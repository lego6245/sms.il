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<sst xmlns="http://schemas.openxmlformats.org/spreadsheetml/2006/main" count="27938" uniqueCount="11569">
  <si>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</si>
  <si>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</si>
  <si>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</si>
  <si>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</si>
  <si>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</si>
  <si>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</si>
  <si>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</si>
  <si>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</si>
  <si>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</si>
  <si>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</si>
  <si>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</si>
  <si>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</si>
  <si>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</si>
  <si>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</si>
  <si>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</si>
  <si>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</si>
  <si>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</si>
  <si>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</si>
  <si>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</si>
  <si>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</si>
  <si>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</si>
  <si>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</si>
  <si>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</si>
  <si>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</si>
  <si>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</si>
  <si>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</si>
  <si>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</si>
  <si>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</si>
  <si>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</si>
  <si>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</si>
  <si>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</si>
  <si>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</si>
  <si>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</si>
  <si>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</si>
  <si>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</si>
  <si>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</si>
  <si>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</si>
  <si>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</si>
  <si>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</si>
  <si>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</si>
  <si>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</si>
  <si>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</si>
  <si>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</si>
  <si>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</si>
  <si>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</si>
  <si>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</si>
  <si>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</si>
  <si>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</si>
  <si>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</si>
  <si>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</si>
  <si>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</si>
  <si>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</si>
  <si>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</si>
  <si>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</si>
  <si>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</si>
  <si>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</si>
  <si>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</si>
  <si>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</si>
  <si>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</si>
  <si>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</si>
  <si>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</si>
  <si>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</si>
  <si>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</si>
  <si>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</si>
  <si>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</si>
  <si>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</si>
  <si>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</si>
  <si>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</si>
  <si>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</si>
  <si>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</si>
  <si>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</si>
  <si>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</si>
  <si>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</si>
  <si>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</si>
  <si>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</si>
  <si>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</si>
  <si>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</si>
  <si>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</si>
  <si>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</si>
  <si>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</si>
  <si>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</si>
  <si>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</si>
  <si>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</si>
  <si>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</si>
  <si>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</si>
  <si>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</si>
  <si>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</si>
  <si>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</si>
  <si>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</si>
  <si>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</si>
  <si>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</si>
  <si>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</si>
  <si>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</si>
  <si>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</si>
  <si>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</si>
  <si>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</si>
  <si>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</si>
  <si>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</si>
  <si>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</si>
  <si>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</si>
  <si>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</si>
  <si>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</si>
  <si>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</si>
  <si>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</si>
  <si>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</si>
  <si>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</si>
  <si>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</si>
  <si>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</si>
  <si>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</si>
  <si>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</si>
  <si>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</si>
  <si>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</si>
  <si>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</si>
  <si>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</si>
  <si>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</si>
  <si>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</si>
  <si>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</si>
  <si>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</si>
  <si>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</si>
  <si>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</si>
  <si>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</si>
  <si>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</si>
  <si>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</si>
  <si>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</si>
  <si>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</si>
  <si>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</si>
  <si>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</si>
  <si>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</si>
  <si>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</si>
  <si>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</si>
  <si>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</si>
  <si>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</si>
  <si>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</si>
  <si>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</si>
  <si>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</si>
  <si>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</si>
  <si>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</si>
  <si>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</si>
  <si>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</si>
  <si>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</si>
  <si>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</si>
  <si>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</si>
  <si>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</si>
  <si>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</si>
  <si>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</si>
  <si>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</si>
  <si>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</si>
  <si>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</si>
  <si>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</si>
  <si>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</si>
  <si>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</si>
  <si>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</si>
  <si>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</si>
  <si>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</si>
  <si>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</si>
  <si>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</si>
  <si>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</si>
  <si>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</si>
  <si>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</si>
  <si>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</si>
  <si>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</si>
  <si>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</si>
  <si>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</si>
  <si>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</si>
  <si>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</si>
  <si>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</si>
  <si>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</si>
  <si>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</si>
  <si>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</si>
  <si>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</si>
  <si>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</si>
  <si>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</si>
  <si>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</si>
  <si>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</si>
  <si>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</si>
  <si>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</si>
  <si>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</si>
  <si>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</si>
  <si>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</si>
  <si>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</si>
  <si>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</si>
  <si>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</si>
  <si>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</si>
  <si>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</si>
  <si>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</si>
  <si>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</si>
  <si>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</si>
  <si>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</si>
  <si>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</si>
  <si>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</si>
  <si>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</si>
  <si>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</si>
  <si>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</si>
  <si>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</si>
  <si>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</si>
  <si>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</si>
  <si>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</si>
  <si>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</si>
  <si>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</si>
  <si>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</si>
  <si>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</si>
  <si>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</si>
  <si>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</si>
  <si>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</si>
  <si>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</si>
  <si>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</si>
  <si>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</si>
  <si>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</si>
  <si>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</si>
  <si>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</si>
  <si>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</si>
  <si>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</si>
  <si>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</si>
  <si>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</si>
  <si>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</si>
  <si>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</si>
  <si>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</si>
  <si>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</si>
  <si>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</si>
  <si>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</si>
  <si>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</si>
  <si>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</si>
  <si>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</si>
  <si>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</si>
  <si>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</si>
  <si>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</si>
  <si>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</si>
  <si>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</si>
  <si>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</si>
  <si>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</si>
  <si>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</si>
  <si>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</si>
  <si>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</si>
  <si>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</si>
  <si>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</si>
  <si>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</si>
  <si>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</si>
  <si>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</si>
  <si>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</si>
  <si>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</si>
  <si>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</si>
  <si>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</si>
  <si>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</si>
  <si>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</si>
  <si>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</si>
  <si>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</si>
  <si>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</si>
  <si>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</si>
  <si>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</si>
  <si>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</si>
  <si>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</si>
  <si>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</si>
  <si>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</si>
  <si>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</si>
  <si>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</si>
  <si>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</si>
  <si>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</si>
  <si>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</si>
  <si>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</si>
  <si>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</si>
  <si>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</si>
  <si>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</si>
  <si>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</si>
  <si>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</si>
  <si>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</si>
  <si>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</si>
  <si>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</si>
  <si>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</si>
  <si>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</si>
  <si>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</si>
  <si>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</si>
  <si>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</si>
  <si>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</si>
  <si>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</si>
  <si>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</si>
  <si>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</si>
  <si>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</si>
  <si>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</si>
  <si>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</si>
  <si>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</si>
  <si>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</si>
  <si>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</si>
  <si>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</si>
  <si>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</si>
  <si>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</si>
  <si>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</si>
  <si>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</si>
  <si>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</si>
  <si>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</si>
  <si>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</si>
  <si>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</si>
  <si>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</si>
  <si>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</si>
  <si>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</si>
  <si>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</si>
  <si>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</si>
  <si>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</si>
  <si>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</si>
  <si>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</si>
  <si>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</si>
  <si>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</si>
  <si>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</si>
  <si>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</si>
  <si>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</si>
  <si>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</si>
  <si>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</si>
  <si>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</si>
  <si>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</si>
  <si>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</si>
  <si>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</si>
  <si>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</si>
  <si>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</si>
  <si>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</si>
  <si>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</si>
  <si>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</si>
  <si>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</si>
  <si>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</si>
  <si>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</si>
  <si>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</si>
  <si>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</si>
  <si>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</si>
  <si>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</si>
  <si>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</si>
  <si>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</si>
  <si>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</si>
  <si>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</si>
  <si>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</si>
  <si>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</si>
  <si>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</si>
  <si>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</si>
  <si>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</si>
  <si>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</si>
  <si>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</si>
  <si>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</si>
  <si>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</si>
  <si>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</si>
  <si>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</si>
  <si>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</si>
  <si>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</si>
  <si>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</si>
  <si>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</si>
  <si>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</si>
  <si>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</si>
  <si>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</si>
  <si>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</si>
  <si>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</si>
  <si>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</si>
  <si>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</si>
  <si>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</si>
  <si>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</si>
  <si>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</si>
  <si>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</si>
  <si>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</si>
  <si>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</si>
  <si>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</si>
  <si>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</si>
  <si>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</si>
  <si>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</si>
  <si>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</si>
  <si>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</si>
  <si>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</si>
  <si>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</si>
  <si>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</si>
  <si>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</si>
  <si>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</si>
  <si>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</si>
  <si>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</si>
  <si>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</si>
  <si>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</si>
  <si>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</si>
  <si>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</si>
  <si>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</si>
  <si>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</si>
  <si>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</si>
  <si>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</si>
  <si>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</si>
  <si>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</si>
  <si>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</si>
  <si>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</si>
  <si>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</si>
  <si>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</si>
  <si>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</si>
  <si>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</si>
  <si>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</si>
  <si>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</si>
  <si>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</si>
  <si>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</si>
  <si>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</si>
  <si>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</si>
  <si>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</si>
  <si>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</si>
  <si>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</si>
  <si>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</si>
  <si>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</si>
  <si>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</si>
  <si>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</si>
  <si>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</si>
  <si>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</si>
  <si>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</si>
  <si>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</si>
  <si>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</si>
  <si>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</si>
  <si>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</si>
  <si>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</si>
  <si>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</si>
  <si>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</si>
  <si>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</si>
  <si>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</si>
  <si>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</si>
  <si>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</si>
  <si>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</si>
  <si>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</si>
  <si>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</si>
  <si>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</si>
  <si>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</si>
  <si>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</si>
  <si>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</si>
  <si>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</si>
  <si>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</si>
  <si>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</si>
  <si>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</si>
  <si>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</si>
  <si>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</si>
  <si>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</si>
  <si>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</si>
  <si>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</si>
  <si>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</si>
  <si>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</si>
  <si>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</si>
  <si>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</si>
  <si>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</si>
  <si>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</si>
  <si>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</si>
  <si>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</si>
  <si>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</si>
  <si>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</si>
  <si>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</si>
  <si>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</si>
  <si>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</si>
  <si>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</si>
  <si>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</si>
  <si>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</si>
  <si>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</si>
  <si>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</si>
  <si>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</si>
  <si>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</si>
  <si>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</si>
  <si>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</si>
  <si>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</si>
  <si>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</si>
  <si>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</si>
  <si>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</si>
  <si>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</si>
  <si>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</si>
  <si>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</si>
  <si>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</si>
  <si>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</si>
  <si>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</si>
  <si>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</si>
  <si>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</si>
  <si>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</si>
  <si>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</si>
  <si>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</si>
  <si>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</si>
  <si>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</si>
  <si>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</si>
  <si>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</si>
  <si>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</si>
  <si>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</si>
  <si>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</si>
  <si>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</si>
  <si>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</si>
  <si>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</si>
  <si>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</si>
  <si>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</si>
  <si>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</si>
  <si>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</si>
  <si>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</si>
  <si>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</si>
  <si>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</si>
  <si>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</si>
  <si>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</si>
  <si>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</si>
  <si>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</si>
  <si>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</si>
  <si>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</si>
  <si>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</si>
  <si>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</si>
  <si>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</si>
  <si>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</si>
  <si>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</si>
  <si>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</si>
  <si>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</si>
  <si>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</si>
  <si>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</si>
  <si>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</si>
  <si>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</si>
  <si>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</si>
  <si>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</si>
  <si>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</si>
  <si>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</si>
  <si>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</si>
  <si>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</si>
  <si>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</si>
  <si>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</si>
  <si>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</si>
  <si>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</si>
  <si>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</si>
  <si>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</si>
  <si>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</si>
  <si>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</si>
  <si>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</si>
  <si>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</si>
  <si>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</si>
  <si>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</si>
  <si>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</si>
  <si>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</si>
  <si>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</si>
  <si>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</si>
  <si>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</si>
  <si>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</si>
  <si>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</si>
  <si>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</si>
  <si>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</si>
  <si>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</si>
  <si>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</si>
  <si>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</si>
  <si>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</si>
  <si>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</si>
  <si>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</si>
  <si>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</si>
  <si>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</si>
  <si>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</si>
  <si>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</si>
  <si>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</si>
  <si>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</si>
  <si>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</si>
  <si>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</si>
  <si>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</si>
  <si>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</si>
  <si>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</si>
  <si>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</si>
  <si>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</si>
  <si>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</si>
  <si>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</si>
  <si>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</si>
  <si>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</si>
  <si>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</si>
  <si>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</si>
  <si>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</si>
  <si>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</si>
  <si>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</si>
  <si>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</si>
  <si>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</si>
  <si>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</si>
  <si>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</si>
  <si>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</si>
  <si>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</si>
  <si>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</si>
  <si>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</si>
  <si>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</si>
  <si>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</si>
  <si>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</si>
  <si>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</si>
  <si>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</si>
  <si>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</si>
  <si>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</si>
  <si>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</si>
  <si>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</si>
  <si>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</si>
  <si>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</si>
  <si>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</si>
  <si>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</si>
  <si>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</si>
  <si>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</si>
  <si>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</si>
  <si>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</si>
  <si>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</si>
  <si>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</si>
  <si>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</si>
  <si>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</si>
  <si>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</si>
  <si>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</si>
  <si>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</si>
  <si>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</si>
  <si>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</si>
  <si>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</si>
  <si>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</si>
  <si>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</si>
  <si>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</si>
  <si>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</si>
  <si>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</si>
  <si>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</si>
  <si>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</si>
  <si>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</si>
  <si>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</si>
  <si>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</si>
  <si>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</si>
  <si>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</si>
  <si>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</si>
  <si>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</si>
  <si>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</si>
  <si>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</si>
  <si>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</si>
  <si>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</si>
  <si>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</si>
  <si>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</si>
  <si>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</si>
  <si>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</si>
  <si>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</si>
  <si>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</si>
  <si>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</si>
  <si>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</si>
  <si>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</si>
  <si>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</si>
  <si>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</si>
  <si>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</si>
  <si>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</si>
  <si>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</si>
  <si>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</si>
  <si>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</si>
  <si>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</si>
  <si>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</si>
  <si>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</si>
  <si>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</si>
  <si>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</si>
  <si>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</si>
  <si>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</si>
  <si>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</si>
  <si>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</si>
  <si>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</si>
  <si>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</si>
  <si>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</si>
  <si>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</si>
  <si>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</si>
  <si>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</si>
  <si>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</si>
  <si>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</si>
  <si>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</si>
  <si>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</si>
  <si>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</si>
  <si>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</si>
  <si>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</si>
  <si>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</si>
  <si>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</si>
  <si>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</si>
  <si>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</si>
  <si>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</si>
  <si>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</si>
  <si>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</si>
  <si>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</si>
  <si>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</si>
  <si>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</si>
  <si>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</si>
  <si>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</si>
  <si>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</si>
  <si>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</si>
  <si>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</si>
  <si>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</si>
  <si>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</si>
  <si>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</si>
  <si>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</si>
  <si>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</si>
  <si>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</si>
  <si>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</si>
  <si>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</si>
  <si>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</si>
  <si>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</si>
  <si>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</si>
  <si>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</si>
  <si>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</si>
  <si>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</si>
  <si>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</si>
  <si>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</si>
  <si>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</si>
  <si>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</si>
  <si>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</si>
  <si>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</si>
  <si>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</si>
  <si>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</si>
  <si>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</si>
  <si>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</si>
  <si>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</si>
  <si>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</si>
  <si>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</si>
  <si>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</si>
  <si>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</si>
  <si>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</si>
  <si>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</si>
  <si>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</si>
  <si>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</si>
  <si>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</si>
  <si>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</si>
  <si>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</si>
  <si>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</si>
  <si>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</si>
  <si>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</si>
  <si>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</si>
  <si>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</si>
  <si>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</si>
  <si>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</si>
  <si>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</si>
  <si>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</si>
  <si>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</si>
  <si>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</si>
  <si>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</si>
  <si>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</si>
  <si>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</si>
  <si>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</si>
  <si>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</si>
  <si>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</si>
  <si>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</si>
  <si>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</si>
  <si>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</si>
  <si>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</si>
  <si>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</si>
  <si>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</si>
  <si>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</si>
  <si>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</si>
  <si>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</si>
  <si>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</si>
  <si>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</si>
  <si>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</si>
  <si>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</si>
  <si>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</si>
  <si>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</si>
  <si>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</si>
  <si>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</si>
  <si>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</si>
  <si>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</si>
  <si>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</si>
  <si>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</si>
  <si>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</si>
  <si>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</si>
  <si>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</si>
  <si>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</si>
  <si>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</si>
  <si>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</si>
  <si>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</si>
  <si>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</si>
  <si>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</si>
  <si>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</si>
  <si>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</si>
  <si>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</si>
  <si>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</si>
  <si>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</si>
  <si>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</si>
  <si>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</si>
  <si>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</si>
  <si>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</si>
  <si>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</si>
  <si>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</si>
  <si>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</si>
  <si>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</si>
  <si>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</si>
  <si>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</si>
  <si>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</si>
  <si>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</si>
  <si>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</si>
  <si>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</si>
  <si>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</si>
  <si>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</si>
  <si>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</si>
  <si>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</si>
  <si>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</si>
  <si>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</si>
  <si>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</si>
  <si>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</si>
  <si>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</si>
  <si>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</si>
  <si>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</si>
  <si>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</si>
  <si>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</si>
  <si>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</si>
  <si>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</si>
  <si>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</si>
  <si>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</si>
  <si>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</si>
  <si>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</si>
  <si>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</si>
  <si>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</si>
  <si>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</si>
  <si>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</si>
  <si>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</si>
  <si>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</si>
  <si>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</si>
  <si>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</si>
  <si>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</si>
  <si>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</si>
  <si>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</si>
  <si>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</si>
  <si>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</si>
  <si>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</si>
  <si>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</si>
  <si>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</si>
  <si>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</si>
  <si>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</si>
  <si>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</si>
  <si>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</si>
  <si>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</si>
  <si>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</si>
  <si>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</si>
  <si>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</si>
  <si>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</si>
  <si>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</si>
  <si>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</si>
  <si>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</si>
  <si>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</si>
  <si>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</si>
  <si>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</si>
  <si>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</si>
  <si>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</si>
  <si>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</si>
  <si>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</si>
  <si>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</si>
  <si>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</si>
  <si>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</si>
  <si>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</si>
  <si>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</si>
  <si>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</si>
  <si>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</si>
  <si>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</si>
  <si>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</si>
  <si>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</si>
  <si>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</si>
  <si>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</si>
  <si>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</si>
  <si>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</si>
  <si>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</si>
  <si>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</si>
  <si>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</si>
  <si>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</si>
  <si>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</si>
  <si>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</si>
  <si>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</si>
  <si>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</si>
  <si>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</si>
  <si>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</si>
  <si>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</si>
  <si>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</si>
  <si>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</si>
  <si>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</si>
  <si>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</si>
  <si>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</si>
  <si>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</si>
  <si>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</si>
  <si>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</si>
  <si>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</si>
  <si>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</si>
  <si>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</si>
  <si>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</si>
  <si>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</si>
  <si>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</si>
  <si>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</si>
  <si>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</si>
  <si>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</si>
  <si>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</si>
  <si>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</si>
  <si>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</si>
  <si>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</si>
  <si>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</si>
  <si>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</si>
  <si>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</si>
  <si>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</si>
  <si>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</si>
  <si>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</si>
  <si>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</si>
  <si>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</si>
  <si>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</si>
  <si>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</si>
  <si>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</si>
  <si>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</si>
  <si>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</si>
  <si>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</si>
  <si>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</si>
  <si>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</si>
  <si>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</si>
  <si>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</si>
  <si>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</si>
  <si>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</si>
  <si>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</si>
  <si>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</si>
  <si>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</si>
  <si>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</si>
  <si>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</si>
  <si>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</si>
  <si>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</si>
  <si>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</si>
  <si>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</si>
  <si>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</si>
  <si>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</si>
  <si>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</si>
  <si>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</si>
  <si>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</si>
  <si>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</si>
  <si>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</si>
  <si>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</si>
  <si>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</si>
  <si>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</si>
  <si>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</si>
  <si>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</si>
  <si>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</si>
  <si>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</si>
  <si>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</si>
  <si>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</si>
  <si>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</si>
  <si>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</si>
  <si>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</si>
  <si>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</si>
  <si>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</si>
  <si>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</si>
  <si>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</si>
  <si>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</si>
  <si>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</si>
  <si>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</si>
  <si>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</si>
  <si>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</si>
  <si>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</si>
  <si>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</si>
  <si>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</si>
  <si>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</si>
  <si>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</si>
  <si>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</si>
  <si>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</si>
  <si>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</si>
  <si>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</si>
  <si>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</si>
  <si>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</si>
  <si>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</si>
  <si>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</si>
  <si>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</si>
  <si>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</si>
  <si>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</si>
  <si>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</si>
  <si>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</si>
  <si>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</si>
  <si>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</si>
  <si>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</si>
  <si>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</si>
  <si>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</si>
  <si>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</si>
  <si>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</si>
  <si>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</si>
  <si>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</si>
  <si>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</si>
  <si>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</si>
  <si>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</si>
  <si>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</si>
  <si>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</si>
  <si>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</si>
  <si>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</si>
  <si>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</si>
  <si>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</si>
  <si>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</si>
  <si>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</si>
  <si>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</si>
  <si>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</si>
  <si>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</si>
  <si>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</si>
  <si>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</si>
  <si>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</si>
  <si>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</si>
  <si>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</si>
  <si>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</si>
  <si>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</si>
  <si>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</si>
  <si>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</si>
  <si>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</si>
  <si>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</si>
  <si>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</si>
  <si>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</si>
  <si>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</si>
  <si>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</si>
  <si>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</si>
  <si>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</si>
  <si>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</si>
  <si>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</si>
  <si>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</si>
  <si>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</si>
  <si>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</si>
  <si>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</si>
  <si>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</si>
  <si>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</si>
  <si>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</si>
  <si>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</si>
  <si>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</si>
  <si>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</si>
  <si>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</si>
  <si>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</si>
  <si>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</si>
  <si>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</si>
  <si>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</si>
  <si>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</si>
  <si>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</si>
  <si>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</si>
  <si>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</si>
  <si>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</si>
  <si>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</si>
  <si>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</si>
  <si>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</si>
  <si>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</si>
  <si>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</si>
  <si>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</si>
  <si>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</si>
  <si>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</si>
  <si>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</si>
  <si>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</si>
  <si>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</si>
  <si>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</si>
  <si>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</si>
  <si>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</si>
  <si>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</si>
  <si>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</si>
  <si>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</si>
  <si>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</si>
  <si>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</si>
  <si>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</si>
  <si>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</si>
  <si>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</si>
  <si>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</si>
  <si>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</si>
  <si>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</si>
  <si>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</si>
  <si>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</si>
  <si>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</si>
  <si>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</si>
  <si>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</si>
  <si>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</si>
  <si>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</si>
  <si>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</si>
  <si>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</si>
  <si>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</si>
  <si>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</si>
  <si>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</si>
  <si>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</si>
  <si>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</si>
  <si>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</si>
  <si>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</si>
  <si>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</si>
  <si>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</si>
  <si>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</si>
  <si>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</si>
  <si>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</si>
  <si>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</si>
  <si>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</si>
  <si>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</si>
  <si>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</si>
  <si>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</si>
  <si>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</si>
  <si>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</si>
  <si>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</si>
  <si>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</si>
  <si>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</si>
  <si>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</si>
  <si>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</si>
  <si>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</si>
  <si>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</si>
  <si>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</si>
  <si>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</si>
  <si>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</si>
  <si>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</si>
  <si>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</si>
  <si>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</si>
  <si>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</si>
  <si>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</si>
  <si>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</si>
  <si>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</si>
  <si>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</si>
  <si>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</si>
  <si>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</si>
  <si>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</si>
  <si>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</si>
  <si>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</si>
  <si>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</si>
  <si>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</si>
  <si>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</si>
  <si>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</si>
  <si>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</si>
  <si>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</si>
  <si>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</si>
  <si>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</si>
  <si>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</si>
  <si>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</si>
  <si>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</si>
  <si>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</si>
  <si>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</si>
  <si>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</si>
  <si>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</si>
  <si>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</si>
  <si>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</si>
  <si>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</si>
  <si>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</si>
  <si>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</si>
  <si>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</si>
  <si>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</si>
  <si>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</si>
  <si>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</si>
  <si>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</si>
  <si>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</si>
  <si>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</si>
  <si>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</si>
  <si>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</si>
  <si>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</si>
  <si>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</si>
  <si>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</si>
  <si>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</si>
  <si>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</si>
  <si>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</si>
  <si>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</si>
  <si>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</si>
  <si>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</si>
  <si>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</si>
  <si>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</si>
  <si>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</si>
  <si>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</si>
  <si>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</si>
  <si>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</si>
  <si>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</si>
  <si>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</si>
  <si>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</si>
  <si>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</si>
  <si>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</si>
  <si>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</si>
  <si>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</si>
  <si>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</si>
  <si>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</si>
  <si>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</si>
  <si>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</si>
  <si>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</si>
  <si>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</si>
  <si>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</si>
  <si>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</si>
  <si>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</si>
  <si>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</si>
  <si>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</si>
  <si>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</si>
  <si>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</si>
  <si>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</si>
  <si>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</si>
  <si>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</si>
  <si>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</si>
  <si>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</si>
  <si>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</si>
  <si>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</si>
  <si>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</si>
  <si>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</si>
  <si>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</si>
  <si>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</si>
  <si>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</si>
  <si>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</si>
  <si>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</si>
  <si>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</si>
  <si>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</si>
  <si>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</si>
  <si>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</si>
  <si>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</si>
  <si>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</si>
  <si>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</si>
  <si>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</si>
  <si>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</si>
  <si>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</si>
  <si>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</si>
  <si>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</si>
  <si>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</si>
  <si>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</si>
  <si>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</si>
  <si>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</si>
  <si>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</si>
  <si>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</si>
  <si>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</si>
  <si>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</si>
  <si>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</si>
  <si>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</si>
  <si>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</si>
  <si>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</si>
  <si>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</si>
  <si>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</si>
  <si>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</si>
  <si>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</si>
  <si>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</si>
  <si>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</si>
  <si>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</si>
  <si>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</si>
  <si>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</si>
  <si>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</si>
  <si>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</si>
  <si>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</si>
  <si>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</si>
  <si>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</si>
  <si>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</si>
  <si>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</si>
  <si>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</si>
  <si>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</si>
  <si>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</si>
  <si>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</si>
  <si>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</si>
  <si>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</si>
  <si>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</si>
  <si>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</si>
  <si>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</si>
  <si>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</si>
  <si>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</si>
  <si>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</si>
  <si>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</si>
  <si>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</si>
  <si>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</si>
  <si>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</si>
  <si>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</si>
  <si>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</si>
  <si>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</si>
  <si>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</si>
  <si>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</si>
  <si>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</si>
  <si>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</si>
  <si>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</si>
  <si>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</si>
  <si>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</si>
  <si>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</si>
  <si>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</si>
  <si>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</si>
  <si>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</si>
  <si>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</si>
  <si>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</si>
  <si>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</si>
  <si>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</si>
  <si>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</si>
  <si>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</si>
  <si>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</si>
  <si>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</si>
  <si>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</si>
  <si>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</si>
  <si>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</si>
  <si>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</si>
  <si>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</si>
  <si>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</si>
  <si>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</si>
  <si>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</si>
  <si>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</si>
  <si>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</si>
  <si>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</si>
  <si>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</si>
  <si>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</si>
  <si>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</si>
  <si>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</si>
  <si>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</si>
  <si>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</si>
  <si>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</si>
  <si>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</si>
  <si>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</si>
  <si>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</si>
  <si>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</si>
  <si>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</si>
  <si>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</si>
  <si>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</si>
  <si>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</si>
  <si>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</si>
  <si>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</si>
  <si>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</si>
  <si>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</si>
  <si>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</si>
  <si>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</si>
  <si>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</si>
  <si>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</si>
  <si>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</si>
  <si>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</si>
  <si>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</si>
  <si>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</si>
  <si>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</si>
  <si>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</si>
  <si>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</si>
  <si>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</si>
  <si>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</si>
  <si>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</si>
  <si>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</si>
  <si>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</si>
  <si>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</si>
  <si>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</si>
  <si>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</si>
  <si>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</si>
  <si>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</si>
  <si>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</si>
  <si>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</si>
  <si>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</si>
  <si>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</si>
  <si>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</si>
  <si>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</si>
  <si>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</si>
  <si>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</si>
  <si>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</si>
  <si>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</si>
  <si>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</si>
  <si>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</si>
  <si>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</si>
  <si>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</si>
  <si>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</si>
  <si>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</si>
  <si>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</si>
  <si>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</si>
  <si>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</si>
  <si>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</si>
  <si>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</si>
  <si>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</si>
  <si>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</si>
  <si>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</si>
  <si>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</si>
  <si>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</si>
  <si>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</si>
  <si>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</si>
  <si>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</si>
  <si>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</si>
  <si>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</si>
  <si>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</si>
  <si>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</si>
  <si>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</si>
  <si>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</si>
  <si>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</si>
  <si>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</si>
  <si>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</si>
  <si>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</si>
  <si>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</si>
  <si>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</si>
  <si>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</si>
  <si>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</si>
  <si>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</si>
  <si>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</si>
  <si>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</si>
  <si>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</si>
  <si>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</si>
  <si>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</si>
  <si>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</si>
  <si>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</si>
  <si>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</si>
  <si>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</si>
  <si>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</si>
  <si>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</si>
  <si>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</si>
  <si>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</si>
  <si>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</si>
  <si>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</si>
  <si>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</si>
  <si>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</si>
  <si>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</si>
  <si>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</si>
  <si>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</si>
  <si>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</si>
  <si>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</si>
  <si>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</si>
  <si>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</si>
  <si>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</si>
  <si>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</si>
  <si>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</si>
  <si>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</si>
  <si>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</si>
  <si>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</si>
  <si>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</si>
  <si>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</si>
  <si>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</si>
  <si>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</si>
  <si>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</si>
  <si>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</si>
  <si>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</si>
  <si>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</si>
  <si>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</si>
  <si>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</si>
  <si>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</si>
  <si>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</si>
  <si>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</si>
  <si>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</si>
  <si>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</si>
  <si>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</si>
  <si>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</si>
  <si>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</si>
  <si>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</si>
  <si>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</si>
  <si>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</si>
  <si>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</si>
  <si>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</si>
  <si>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</si>
  <si>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</si>
  <si>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</si>
  <si>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</si>
  <si>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</si>
  <si>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</si>
  <si>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</si>
  <si>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</si>
  <si>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</si>
  <si>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</si>
  <si>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</si>
  <si>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</si>
  <si>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</si>
  <si>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</si>
  <si>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</si>
  <si>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</si>
  <si>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</si>
  <si>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</si>
  <si>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</si>
  <si>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</si>
  <si>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</si>
  <si>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</si>
  <si>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</si>
  <si>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</si>
  <si>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</si>
  <si>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</si>
  <si>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</si>
  <si>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</si>
  <si>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</si>
  <si>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</si>
  <si>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</si>
  <si>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</si>
  <si>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</si>
  <si>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</si>
  <si>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</si>
  <si>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</si>
  <si>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</si>
  <si>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</si>
  <si>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</si>
  <si>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</si>
  <si>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</si>
  <si>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</si>
  <si>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</si>
  <si>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</si>
  <si>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</si>
  <si>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</si>
  <si>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</si>
  <si>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</si>
  <si>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</si>
  <si>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</si>
  <si>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</si>
  <si>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</si>
  <si>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</si>
  <si>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</si>
  <si>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</si>
  <si>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</si>
  <si>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</si>
  <si>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</si>
  <si>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</si>
  <si>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</si>
  <si>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</si>
  <si>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</si>
  <si>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</si>
  <si>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</si>
  <si>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</si>
  <si>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</si>
  <si>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</si>
  <si>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</si>
  <si>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</si>
  <si>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</si>
  <si>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</si>
  <si>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</si>
  <si>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</si>
  <si>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</si>
  <si>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</si>
  <si>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</si>
  <si>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</si>
  <si>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</si>
  <si>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</si>
  <si>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</si>
  <si>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</si>
  <si>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</si>
  <si>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</si>
  <si>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</si>
  <si>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</si>
  <si>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</si>
  <si>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</si>
  <si>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</si>
  <si>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</si>
  <si>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</si>
  <si>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</si>
  <si>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</si>
  <si>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</si>
  <si>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</si>
  <si>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</si>
  <si>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</si>
  <si>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</si>
  <si>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</si>
  <si>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</si>
  <si>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</si>
  <si>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</si>
  <si>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</si>
  <si>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</si>
  <si>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</si>
  <si>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</si>
  <si>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</si>
  <si>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</si>
  <si>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</si>
  <si>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</si>
  <si>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</si>
  <si>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</si>
  <si>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</si>
  <si>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</si>
  <si>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</si>
  <si>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</si>
  <si>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</si>
  <si>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</si>
  <si>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</si>
  <si>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</si>
  <si>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</si>
  <si>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</si>
  <si>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</si>
  <si>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</si>
  <si>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</si>
  <si>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</si>
  <si>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</si>
  <si>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</si>
  <si>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</si>
  <si>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</si>
  <si>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</si>
  <si>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</si>
  <si>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</si>
  <si>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</si>
  <si>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</si>
  <si>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</si>
  <si>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</si>
  <si>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</si>
  <si>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</si>
  <si>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</si>
  <si>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</si>
  <si>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</si>
  <si>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</si>
  <si>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</si>
  <si>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</si>
  <si>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</si>
  <si>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</si>
  <si>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</si>
  <si>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</si>
  <si>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</si>
  <si>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</si>
  <si>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</si>
  <si>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</si>
  <si>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</si>
  <si>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</si>
  <si>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</si>
  <si>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</si>
  <si>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</si>
  <si>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</si>
  <si>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</si>
  <si>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</si>
  <si>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</si>
  <si>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</si>
  <si>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</si>
  <si>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</si>
  <si>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</si>
  <si>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</si>
  <si>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</si>
  <si>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</si>
  <si>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</si>
  <si>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</si>
  <si>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</si>
  <si>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</si>
  <si>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</si>
  <si>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</si>
  <si>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</si>
  <si>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</si>
  <si>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</si>
  <si>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</si>
  <si>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</si>
  <si>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</si>
  <si>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</si>
  <si>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</si>
  <si>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</si>
  <si>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</si>
  <si>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</si>
  <si>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</si>
  <si>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</si>
  <si>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</si>
  <si>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</si>
  <si>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</si>
  <si>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</si>
  <si>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</si>
  <si>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</si>
  <si>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</si>
  <si>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</si>
  <si>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</si>
  <si>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</si>
  <si>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</si>
  <si>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</si>
  <si>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</si>
  <si>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</si>
  <si>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</si>
  <si>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</si>
  <si>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</si>
  <si>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</si>
  <si>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</si>
  <si>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</si>
  <si>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</si>
  <si>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</si>
  <si>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</si>
  <si>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</si>
  <si>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</si>
  <si>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</si>
  <si>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</si>
  <si>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</si>
  <si>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</si>
  <si>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</si>
  <si>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</si>
  <si>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</si>
  <si>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</si>
  <si>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</si>
  <si>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</si>
  <si>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</si>
  <si>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</si>
  <si>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</si>
  <si>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</si>
  <si>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</si>
  <si>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</si>
  <si>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</si>
  <si>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</si>
  <si>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</si>
  <si>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</si>
  <si>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</si>
  <si>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</si>
  <si>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</si>
  <si>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</si>
  <si>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</si>
  <si>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</si>
  <si>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</si>
  <si>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</si>
  <si>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</si>
  <si>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</si>
  <si>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</si>
  <si>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</si>
  <si>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</si>
  <si>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</si>
  <si>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</si>
  <si>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</si>
  <si>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</si>
  <si>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</si>
  <si>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</si>
  <si>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</si>
  <si>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</si>
  <si>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</si>
  <si>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</si>
  <si>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</si>
  <si>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</si>
  <si>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</si>
  <si>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</si>
  <si>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</si>
  <si>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</si>
  <si>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</si>
  <si>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</si>
  <si>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</si>
  <si>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</si>
  <si>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</si>
  <si>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</si>
  <si>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</si>
  <si>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</si>
  <si>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</si>
  <si>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</si>
  <si>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</si>
  <si>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</si>
  <si>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</si>
  <si>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</si>
  <si>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</si>
  <si>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</si>
  <si>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</si>
  <si>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</si>
  <si>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</si>
  <si>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</si>
  <si>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</si>
  <si>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</si>
  <si>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</si>
  <si>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</si>
  <si>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</si>
  <si>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</si>
  <si>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</si>
  <si>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</si>
  <si>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</si>
  <si>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</si>
  <si>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</si>
  <si>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</si>
  <si>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</si>
  <si>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</si>
  <si>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</si>
  <si>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</si>
  <si>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</si>
  <si>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</si>
  <si>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</si>
  <si>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</si>
  <si>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</si>
  <si>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</si>
  <si>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</si>
  <si>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</si>
  <si>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</si>
  <si>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</si>
  <si>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</si>
  <si>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</si>
  <si>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</si>
  <si>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</si>
  <si>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</si>
  <si>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</si>
  <si>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</si>
  <si>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</si>
  <si>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</si>
  <si>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</si>
  <si>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</si>
  <si>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</si>
  <si>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</si>
  <si>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</si>
  <si>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</si>
  <si>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</si>
  <si>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</si>
  <si>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</si>
  <si>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</si>
  <si>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</si>
  <si>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</si>
  <si>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</si>
  <si>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</si>
  <si>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</si>
  <si>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</si>
  <si>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</si>
  <si>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</si>
  <si>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</si>
  <si>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</si>
  <si>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</si>
  <si>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</si>
  <si>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</si>
  <si>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</si>
  <si>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</si>
  <si>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</si>
  <si>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</si>
  <si>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</si>
  <si>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</si>
  <si>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</si>
  <si>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</si>
  <si>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</si>
  <si>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</si>
  <si>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</si>
  <si>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</si>
  <si>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</si>
  <si>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</si>
  <si>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</si>
  <si>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</si>
  <si>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</si>
  <si>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</si>
  <si>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</si>
  <si>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</si>
  <si>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</si>
  <si>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</si>
  <si>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</si>
  <si>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</si>
  <si>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</si>
  <si>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</si>
  <si>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</si>
  <si>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</si>
  <si>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</si>
  <si>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</si>
  <si>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</si>
  <si>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</si>
  <si>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</si>
  <si>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</si>
  <si>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</si>
  <si>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</si>
  <si>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</si>
  <si>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</si>
  <si>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</si>
  <si>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</si>
  <si>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</si>
  <si>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</si>
  <si>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</si>
  <si>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</si>
  <si>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</si>
  <si>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</si>
  <si>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</si>
  <si>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</si>
  <si>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</si>
  <si>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</si>
  <si>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</si>
  <si>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</si>
  <si>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</si>
  <si>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</si>
  <si>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</si>
  <si>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</si>
  <si>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</si>
  <si>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</si>
  <si>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</si>
  <si>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</si>
  <si>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</si>
  <si>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</si>
  <si>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</si>
  <si>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</si>
  <si>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</si>
  <si>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</si>
  <si>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</si>
  <si>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</si>
  <si>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</si>
  <si>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</si>
  <si>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</si>
  <si>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</si>
  <si>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</si>
  <si>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</si>
  <si>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</si>
  <si>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</si>
  <si>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</si>
  <si>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</si>
  <si>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</si>
  <si>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</si>
  <si>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</si>
  <si>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</si>
  <si>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</si>
  <si>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</si>
  <si>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</si>
  <si>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</si>
  <si>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</si>
  <si>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</si>
  <si>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</si>
  <si>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</si>
  <si>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</si>
  <si>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</si>
  <si>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</si>
  <si>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</si>
  <si>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</si>
  <si>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</si>
  <si>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</si>
  <si>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</si>
  <si>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</si>
  <si>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</si>
  <si>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</si>
  <si>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</si>
  <si>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</si>
  <si>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</si>
  <si>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</si>
  <si>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</si>
  <si>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</si>
  <si>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</si>
  <si>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</si>
  <si>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</si>
  <si>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</si>
  <si>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</si>
  <si>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</si>
  <si>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</si>
  <si>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</si>
  <si>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</si>
  <si>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</si>
  <si>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</si>
  <si>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</si>
  <si>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</si>
  <si>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</si>
  <si>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</si>
  <si>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</si>
  <si>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</si>
  <si>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</si>
  <si>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</si>
  <si>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</si>
  <si>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</si>
  <si>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</si>
  <si>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</si>
  <si>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</si>
  <si>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</si>
  <si>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</si>
  <si>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</si>
  <si>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</si>
  <si>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</si>
  <si>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</si>
  <si>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</si>
  <si>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</si>
  <si>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</si>
  <si>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</si>
  <si>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</si>
  <si>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</si>
  <si>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</si>
  <si>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</si>
  <si>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</si>
  <si>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</si>
  <si>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</si>
  <si>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</si>
  <si>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</si>
  <si>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</si>
  <si>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</si>
  <si>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</si>
  <si>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</si>
  <si>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</si>
  <si>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</si>
  <si>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</si>
  <si>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</si>
  <si>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</si>
  <si>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</si>
  <si>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</si>
  <si>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</si>
  <si>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</si>
  <si>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</si>
  <si>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</si>
  <si>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</si>
  <si>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</si>
  <si>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</si>
  <si>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</si>
  <si>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</si>
  <si>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</si>
  <si>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</si>
  <si>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</si>
  <si>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</si>
  <si>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</si>
  <si>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</si>
  <si>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</si>
  <si>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</si>
  <si>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</si>
  <si>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</si>
  <si>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</si>
  <si>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</si>
  <si>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</si>
  <si>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</si>
  <si>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</si>
  <si>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</si>
  <si>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</si>
  <si>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</si>
  <si>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</si>
  <si>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</si>
  <si>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</si>
  <si>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</si>
  <si>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</si>
  <si>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</si>
  <si>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</si>
  <si>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</si>
  <si>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</si>
  <si>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</si>
  <si>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</si>
  <si>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</si>
  <si>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</si>
  <si>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</si>
  <si>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</si>
  <si>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</si>
  <si>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</si>
  <si>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</si>
  <si>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</si>
  <si>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</si>
  <si>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</si>
  <si>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</si>
  <si>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</si>
  <si>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</si>
  <si>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</si>
  <si>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</si>
  <si>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</si>
  <si>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</si>
  <si>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</si>
  <si>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</si>
  <si>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</si>
  <si>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</si>
  <si>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</si>
  <si>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</si>
  <si>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</si>
  <si>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</si>
  <si>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</si>
  <si>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</si>
  <si>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</si>
  <si>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</si>
  <si>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</si>
  <si>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</si>
  <si>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</si>
  <si>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</si>
  <si>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</si>
  <si>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</si>
  <si>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</si>
  <si>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</si>
  <si>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</si>
  <si>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</si>
  <si>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</si>
  <si>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</si>
  <si>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</si>
  <si>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</si>
  <si>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</si>
  <si>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</si>
  <si>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</si>
  <si>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</si>
  <si>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7514</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</si>
  <si>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</si>
  <si>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</si>
  <si>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</si>
  <si>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</si>
  <si>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</si>
  <si>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</si>
  <si>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</si>
  <si>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</si>
  <si>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</si>
  <si>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</si>
  <si>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</si>
  <si>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</si>
  <si>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</si>
  <si>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</si>
  <si>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</si>
  <si>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</si>
  <si>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</si>
  <si>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</si>
  <si>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</si>
  <si>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</si>
  <si>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</si>
  <si>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</si>
  <si>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</si>
  <si>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</si>
  <si>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</si>
  <si>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</si>
  <si>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</si>
  <si>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</si>
  <si>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</si>
  <si>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</si>
  <si>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</si>
  <si>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</si>
  <si>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</si>
  <si>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</si>
  <si>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</si>
  <si>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</si>
  <si>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</si>
  <si>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</si>
  <si>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</si>
  <si>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</si>
  <si>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</si>
  <si>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</si>
  <si>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</si>
  <si>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</si>
  <si>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</si>
  <si>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</si>
  <si>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</si>
  <si>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</si>
  <si>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</si>
  <si>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</si>
  <si>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</si>
  <si>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</si>
  <si>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</si>
  <si>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</si>
  <si>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</si>
  <si>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</si>
  <si>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</si>
  <si>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</si>
  <si>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</si>
  <si>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</si>
  <si>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</si>
  <si>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</si>
  <si>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</si>
  <si>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</si>
  <si>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</si>
  <si>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</si>
  <si>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</si>
  <si>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</si>
  <si>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</si>
  <si>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</si>
  <si>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</si>
  <si>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</si>
  <si>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</si>
  <si>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</si>
  <si>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</si>
  <si>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</si>
  <si>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</si>
  <si>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</si>
  <si>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</si>
  <si>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</si>
  <si>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</si>
  <si>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</si>
  <si>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</si>
  <si>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</si>
  <si>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</si>
  <si>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</si>
  <si>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</si>
  <si>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</si>
  <si>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</si>
  <si>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</si>
  <si>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</si>
  <si>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</si>
  <si>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</si>
  <si>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</si>
  <si>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</si>
  <si>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</si>
  <si>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</si>
  <si>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</si>
  <si>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</si>
  <si>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</si>
  <si>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</si>
  <si>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</si>
  <si>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</si>
  <si>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</si>
  <si>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</si>
  <si>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</si>
  <si>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</si>
  <si>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</si>
  <si>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</si>
  <si>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</si>
  <si>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</si>
  <si>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</si>
  <si>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</si>
  <si>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</si>
  <si>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</si>
  <si>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</si>
  <si>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</si>
  <si>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</si>
  <si>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</si>
  <si>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</si>
  <si>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</si>
  <si>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</si>
  <si>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</si>
  <si>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</si>
  <si>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</si>
  <si>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</si>
  <si>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</si>
  <si>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</si>
  <si>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</si>
  <si>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</si>
  <si>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</si>
  <si>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</si>
  <si>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</si>
  <si>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</si>
  <si>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</si>
  <si>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</si>
  <si>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</si>
  <si>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</si>
  <si>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</si>
  <si>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</si>
  <si>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</si>
  <si>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</si>
  <si>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</si>
  <si>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</si>
  <si>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</si>
  <si>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</si>
  <si>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</si>
  <si>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</si>
  <si>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</si>
  <si>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</si>
  <si>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</si>
  <si>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</si>
  <si>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</si>
  <si>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</si>
  <si>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</si>
  <si>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</si>
  <si>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</si>
  <si>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</si>
  <si>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</si>
  <si>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</si>
  <si>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</si>
  <si>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</si>
  <si>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</si>
  <si>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</si>
  <si>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</si>
  <si>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</si>
  <si>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</si>
  <si>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</si>
  <si>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</si>
  <si>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</si>
  <si>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</si>
  <si>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</si>
  <si>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</si>
  <si>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</si>
  <si>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</si>
  <si>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</si>
  <si>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</si>
  <si>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</si>
  <si>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</si>
  <si>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</si>
  <si>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</si>
  <si>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</si>
  <si>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</si>
  <si>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</si>
  <si>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</si>
  <si>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</si>
  <si>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</si>
  <si>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</si>
  <si>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</si>
  <si>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</si>
  <si>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</si>
  <si>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</si>
  <si>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</si>
  <si>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</si>
  <si>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</si>
  <si>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</si>
  <si>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</si>
  <si>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</si>
  <si>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</si>
  <si>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</si>
  <si>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</si>
  <si>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</si>
  <si>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</si>
  <si>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</si>
  <si>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</si>
  <si>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</si>
  <si>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</si>
  <si>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</si>
  <si>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</si>
  <si>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</si>
  <si>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</si>
  <si>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</si>
  <si>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</si>
  <si>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</si>
  <si>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</si>
  <si>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</si>
  <si>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</si>
  <si>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</si>
  <si>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</si>
  <si>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</si>
  <si>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</si>
  <si>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</si>
  <si>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</si>
  <si>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</si>
  <si>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</si>
  <si>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</si>
  <si>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</si>
  <si>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</si>
  <si>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</si>
  <si>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</si>
  <si>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</si>
  <si>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</si>
  <si>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</si>
  <si>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</si>
  <si>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</si>
  <si>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</si>
  <si>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</si>
  <si>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</si>
  <si>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</si>
  <si>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</si>
  <si>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</si>
  <si>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</si>
  <si>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</si>
  <si>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</si>
  <si>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</si>
  <si>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</si>
  <si>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</si>
  <si>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</si>
  <si>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</si>
  <si>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</si>
  <si>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</si>
  <si>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</si>
  <si>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</si>
  <si>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</si>
  <si>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</si>
  <si>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</si>
  <si>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</si>
  <si>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</si>
  <si>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</si>
  <si>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</si>
  <si>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</si>
  <si>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</si>
  <si>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</si>
  <si>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</si>
  <si>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</si>
  <si>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</si>
  <si>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</si>
  <si>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</si>
  <si>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</si>
  <si>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</si>
  <si>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</si>
  <si>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</si>
  <si>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</si>
  <si>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</si>
  <si>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</si>
  <si>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</si>
  <si>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</si>
  <si>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</si>
  <si>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</si>
  <si>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</si>
  <si>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</si>
  <si>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</si>
  <si>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</si>
  <si>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</si>
  <si>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</si>
  <si>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</si>
  <si>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</si>
  <si>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</si>
  <si>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</si>
  <si>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</si>
  <si>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</si>
  <si>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</si>
  <si>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</si>
  <si>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</si>
  <si>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</si>
  <si>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</si>
  <si>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</si>
  <si>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</si>
  <si>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</si>
  <si>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</si>
  <si>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</si>
  <si>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</si>
  <si>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</si>
  <si>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</si>
  <si>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</si>
  <si>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</si>
  <si>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</si>
  <si>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</si>
  <si>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</si>
  <si>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</si>
  <si>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</si>
  <si>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</si>
  <si>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</si>
  <si>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</si>
  <si>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</si>
  <si>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</si>
  <si>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</si>
  <si>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</si>
  <si>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</si>
  <si>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</si>
  <si>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</si>
  <si>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</si>
  <si>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</si>
  <si>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</si>
  <si>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</si>
  <si>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</si>
  <si>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</si>
  <si>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</si>
  <si>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</si>
  <si>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</si>
  <si>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</si>
  <si>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</si>
  <si>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</si>
  <si>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</si>
  <si>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</si>
  <si>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</si>
  <si>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</si>
  <si>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</si>
  <si>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</si>
  <si>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</si>
  <si>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</si>
  <si>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</si>
  <si>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</si>
  <si>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</si>
  <si>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</si>
  <si>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</si>
  <si>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</si>
  <si>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</si>
  <si>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</si>
  <si>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</si>
  <si>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</si>
  <si>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</si>
  <si>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</si>
  <si>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</si>
  <si>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</si>
  <si>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</si>
  <si>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</si>
  <si>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</si>
  <si>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</si>
  <si>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</si>
  <si>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</si>
  <si>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</si>
  <si>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</si>
  <si>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</si>
  <si>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</si>
  <si>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</si>
  <si>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</si>
  <si>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</si>
  <si>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</si>
  <si>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</si>
  <si>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</si>
  <si>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</si>
  <si>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</si>
  <si>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</si>
  <si>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</si>
  <si>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</si>
  <si>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</si>
  <si>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</si>
  <si>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</si>
  <si>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</si>
  <si>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</si>
  <si>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</si>
  <si>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</si>
  <si>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</si>
  <si>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</si>
  <si>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</si>
  <si>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</si>
  <si>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</si>
  <si>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</si>
  <si>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</si>
  <si>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</si>
  <si>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</si>
  <si>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</si>
  <si>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</si>
  <si>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</si>
  <si>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</si>
  <si>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</si>
  <si>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</si>
  <si>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</si>
  <si>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</si>
  <si>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</si>
  <si>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</si>
  <si>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</si>
  <si>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</si>
  <si>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</si>
  <si>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</si>
  <si>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</si>
  <si>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</si>
  <si>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</si>
  <si>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</si>
  <si>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</si>
  <si>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</si>
  <si>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</si>
  <si>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</si>
  <si>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</si>
  <si>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</si>
  <si>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</si>
  <si>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</si>
  <si>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</si>
  <si>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</si>
  <si>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</si>
  <si>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</si>
  <si>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</si>
  <si>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</si>
  <si>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</si>
  <si>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</si>
  <si>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</si>
  <si>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</si>
  <si>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</si>
  <si>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</si>
  <si>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</si>
  <si>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</si>
  <si>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</si>
  <si>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</si>
  <si>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</si>
  <si>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</si>
  <si>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</si>
  <si>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</si>
  <si>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</si>
  <si>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</si>
  <si>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</si>
  <si>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</si>
  <si>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</si>
  <si>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</si>
  <si>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</si>
  <si>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</si>
  <si>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</si>
  <si>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</si>
  <si>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</si>
  <si>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</si>
  <si>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</si>
  <si>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</si>
  <si>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</si>
  <si>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</si>
  <si>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</si>
  <si>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</si>
  <si>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</si>
  <si>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</si>
  <si>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</si>
  <si>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</si>
  <si>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</si>
  <si>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</si>
  <si>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</si>
  <si>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</si>
  <si>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</si>
  <si>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</si>
  <si>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</si>
  <si>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</si>
  <si>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</si>
  <si>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</si>
  <si>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</si>
  <si>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</si>
  <si>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</si>
  <si>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</si>
  <si>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</si>
  <si>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</si>
  <si>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</si>
  <si>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</si>
  <si>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</si>
  <si>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</si>
  <si>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</si>
  <si>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</si>
  <si>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</si>
  <si>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</si>
  <si>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</si>
  <si>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</si>
  <si>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</si>
  <si>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</si>
  <si>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</si>
  <si>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</si>
  <si>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</si>
  <si>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</si>
  <si>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</si>
  <si>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</si>
  <si>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</si>
  <si>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</si>
  <si>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</si>
  <si>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</si>
  <si>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</si>
  <si>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</si>
  <si>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</si>
  <si>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</si>
  <si>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</si>
  <si>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</si>
  <si>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</si>
  <si>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</si>
  <si>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</si>
  <si>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</si>
  <si>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</si>
  <si>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</si>
  <si>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</si>
  <si>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</si>
  <si>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</si>
  <si>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</si>
  <si>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</si>
  <si>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</si>
  <si>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</si>
  <si>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</si>
  <si>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</si>
  <si>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</si>
  <si>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</si>
  <si>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</si>
  <si>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</si>
  <si>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</si>
  <si>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</si>
  <si>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</si>
  <si>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</si>
  <si>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</si>
  <si>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</si>
  <si>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</si>
  <si>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</si>
  <si>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</si>
  <si>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</si>
  <si>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</si>
  <si>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</si>
  <si>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</si>
  <si>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</si>
  <si>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</si>
  <si>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</si>
  <si>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</si>
  <si>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</si>
  <si>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</si>
  <si>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</si>
  <si>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</si>
  <si>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</si>
  <si>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</si>
  <si>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</si>
  <si>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</si>
  <si>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</si>
  <si>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</si>
  <si>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</si>
  <si>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</si>
  <si>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</si>
  <si>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</si>
  <si>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</si>
  <si>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</si>
  <si>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</si>
  <si>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</si>
  <si>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</si>
  <si>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</si>
  <si>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</si>
  <si>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</si>
  <si>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</si>
  <si>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</si>
  <si>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</si>
  <si>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</si>
  <si>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</si>
  <si>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</si>
  <si>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</si>
  <si>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</si>
  <si>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</si>
  <si>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</si>
  <si>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</si>
  <si>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</si>
  <si>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</si>
  <si>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</si>
  <si>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</si>
  <si>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</si>
  <si>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</si>
  <si>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</si>
  <si>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</si>
  <si>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</si>
  <si>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</si>
  <si>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</si>
  <si>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</si>
  <si>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</si>
  <si>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</si>
  <si>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</si>
  <si>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</si>
  <si>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</si>
  <si>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</si>
  <si>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</si>
  <si>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</si>
  <si>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</si>
  <si>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</si>
  <si>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</si>
  <si>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</si>
  <si>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</si>
  <si>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</si>
  <si>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</si>
  <si>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</si>
  <si>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</si>
  <si>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</si>
  <si>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</si>
  <si>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</si>
  <si>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</si>
  <si>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</si>
  <si>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</si>
  <si>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</si>
  <si>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</si>
  <si>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</si>
  <si>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</si>
  <si>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</si>
  <si>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</si>
  <si>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</si>
  <si>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</si>
  <si>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</si>
  <si>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</si>
  <si>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</si>
  <si>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</si>
  <si>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</si>
  <si>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</si>
  <si>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</si>
  <si>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</si>
  <si>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</si>
  <si>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</si>
  <si>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</si>
  <si>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</si>
  <si>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</si>
  <si>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</si>
  <si>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</si>
  <si>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</si>
  <si>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</si>
  <si>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</si>
  <si>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</si>
  <si>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</si>
  <si>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</si>
  <si>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</si>
  <si>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</si>
  <si>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</si>
  <si>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</si>
  <si>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</si>
  <si>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</si>
  <si>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</si>
  <si>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</si>
  <si>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</si>
  <si>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</si>
  <si>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</si>
  <si>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</si>
  <si>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</si>
  <si>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</si>
  <si>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</si>
  <si>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</si>
  <si>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</si>
  <si>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</si>
  <si>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</si>
  <si>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</si>
  <si>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</si>
  <si>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</si>
  <si>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</si>
  <si>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</si>
  <si>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</si>
  <si>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</si>
  <si>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</si>
  <si>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</si>
  <si>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</si>
  <si>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</si>
  <si>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</si>
  <si>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</si>
  <si>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</si>
  <si>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</si>
  <si>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</si>
  <si>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</si>
  <si>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</si>
  <si>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</si>
  <si>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</si>
  <si>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</si>
  <si>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</si>
  <si>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</si>
  <si>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</si>
  <si>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</si>
  <si>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</si>
  <si>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</si>
  <si>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</si>
  <si>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</si>
  <si>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</si>
  <si>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</si>
  <si>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</si>
  <si>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</si>
  <si>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</si>
  <si>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</si>
  <si>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</si>
  <si>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</si>
  <si>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</si>
  <si>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</si>
  <si>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</si>
  <si>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</si>
  <si>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</si>
  <si>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</si>
  <si>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</si>
  <si>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</si>
  <si>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</si>
  <si>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</si>
  <si>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</si>
  <si>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</si>
  <si>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</si>
  <si>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</si>
  <si>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</si>
  <si>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</si>
  <si>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</si>
  <si>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</si>
  <si>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</si>
  <si>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</si>
  <si>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</si>
  <si>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</si>
  <si>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</si>
  <si>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</si>
  <si>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</si>
  <si>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</si>
  <si>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</si>
  <si>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</si>
  <si>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</si>
  <si>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</si>
  <si>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</si>
  <si>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</si>
  <si>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</si>
  <si>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</si>
  <si>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</si>
  <si>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</si>
  <si>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</si>
  <si>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</si>
  <si>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</si>
  <si>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</si>
  <si>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</si>
  <si>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</si>
  <si>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</si>
  <si>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</si>
  <si>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</si>
  <si>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</si>
  <si>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</si>
  <si>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</si>
  <si>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</si>
  <si>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</si>
  <si>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</si>
  <si>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</si>
  <si>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</si>
  <si>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</si>
  <si>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</si>
  <si>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</si>
  <si>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</si>
  <si>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</si>
  <si>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</si>
  <si>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</si>
  <si>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</si>
  <si>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</si>
  <si>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</si>
  <si>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</si>
  <si>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</si>
  <si>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</si>
  <si>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</si>
  <si>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</si>
  <si>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</si>
  <si>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</si>
  <si>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</si>
  <si>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</si>
  <si>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</si>
  <si>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</si>
  <si>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</si>
  <si>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</si>
  <si>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</si>
  <si>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</si>
  <si>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</si>
  <si>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</si>
  <si>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</si>
  <si>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</si>
  <si>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</si>
  <si>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</si>
  <si>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</si>
  <si>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</si>
  <si>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</si>
  <si>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</si>
  <si>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</si>
  <si>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</si>
  <si>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</si>
  <si>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</si>
  <si>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</si>
  <si>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</si>
  <si>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</si>
  <si>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</si>
  <si>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</si>
  <si>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</si>
  <si>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</si>
  <si>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</si>
  <si>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</si>
  <si>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</si>
  <si>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</si>
  <si>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</si>
  <si>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</si>
  <si>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</si>
  <si>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</si>
  <si>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</si>
  <si>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</si>
  <si>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</si>
  <si>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</si>
  <si>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</si>
  <si>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</si>
  <si>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</si>
  <si>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</si>
  <si>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</si>
  <si>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</si>
  <si>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</si>
  <si>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</si>
  <si>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</si>
  <si>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</si>
  <si>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</si>
  <si>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</si>
  <si>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</si>
  <si>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</si>
  <si>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</si>
  <si>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</si>
  <si>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</si>
  <si>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</si>
  <si>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</si>
  <si>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</si>
  <si>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</si>
  <si>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</si>
  <si>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</si>
  <si>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</si>
  <si>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</si>
  <si>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</si>
  <si>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</si>
  <si>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</si>
  <si>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</si>
  <si>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</si>
  <si>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</si>
  <si>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</si>
  <si>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</si>
  <si>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</si>
  <si>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</si>
  <si>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</si>
  <si>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</si>
  <si>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</si>
  <si>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</si>
  <si>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</si>
  <si>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</si>
  <si>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</si>
  <si>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</si>
  <si>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</si>
  <si>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</si>
  <si>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</si>
  <si>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</si>
  <si>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</si>
  <si>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</si>
  <si>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</si>
  <si>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</si>
  <si>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</si>
  <si>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</si>
  <si>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</si>
  <si>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</si>
  <si>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</si>
  <si>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</si>
  <si>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</si>
  <si>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</si>
  <si>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</si>
  <si>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</si>
  <si>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</si>
  <si>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</si>
  <si>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</si>
  <si>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</si>
  <si>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</si>
  <si>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</si>
  <si>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</si>
  <si>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</si>
  <si>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</si>
  <si>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</si>
  <si>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</si>
  <si>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</si>
  <si>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</si>
  <si>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</si>
  <si>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</si>
  <si>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</si>
  <si>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</si>
  <si>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</si>
  <si>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</si>
  <si>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</si>
  <si>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</si>
  <si>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</si>
  <si>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</si>
  <si>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</si>
  <si>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</si>
  <si>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</si>
  <si>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</si>
  <si>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</si>
  <si>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</si>
  <si>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</si>
  <si>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</si>
  <si>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</si>
  <si>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</si>
  <si>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</si>
  <si>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</si>
  <si>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</si>
  <si>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</si>
  <si>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</si>
  <si>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</si>
  <si>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</si>
  <si>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</si>
  <si>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</si>
  <si>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</si>
  <si>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</si>
  <si>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</si>
  <si>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</si>
  <si>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</si>
  <si>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</si>
  <si>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</si>
  <si>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</si>
  <si>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</si>
  <si>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</si>
  <si>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</si>
  <si>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</si>
  <si>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</si>
  <si>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</si>
  <si>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</si>
  <si>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</si>
  <si>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</si>
  <si>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</si>
  <si>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</si>
  <si>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</si>
  <si>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</si>
  <si>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</si>
  <si>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</si>
  <si>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</si>
  <si>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</si>
  <si>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</si>
  <si>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</si>
  <si>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</si>
  <si>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</si>
  <si>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</si>
  <si>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</si>
  <si>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</si>
  <si>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</si>
  <si>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</si>
  <si>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</si>
  <si>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</si>
  <si>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</si>
  <si>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</si>
  <si>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</si>
  <si>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</si>
  <si>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</si>
  <si>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</si>
  <si>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</si>
  <si>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</si>
  <si>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</si>
  <si>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</si>
  <si>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</si>
  <si>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</si>
  <si>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</si>
  <si>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</si>
  <si>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</si>
  <si>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</si>
  <si>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</si>
  <si>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</si>
  <si>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</si>
  <si>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</si>
  <si>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</si>
  <si>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</si>
  <si>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</si>
  <si>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</si>
  <si>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</si>
  <si>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</si>
  <si>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</si>
  <si>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</si>
  <si>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</si>
  <si>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</si>
  <si>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</si>
  <si>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</si>
  <si>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</si>
  <si>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</si>
  <si>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</si>
  <si>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</si>
  <si>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</si>
  <si>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</si>
  <si>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</si>
  <si>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</si>
  <si>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</si>
  <si>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</si>
  <si>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</si>
  <si>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</si>
  <si>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</si>
  <si>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</si>
  <si>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</si>
  <si>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</si>
  <si>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</si>
  <si>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</si>
  <si>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</si>
  <si>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</si>
  <si>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</si>
  <si>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</si>
  <si>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</si>
  <si>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</si>
  <si>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</si>
  <si>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</si>
  <si>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</si>
  <si>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</si>
  <si>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</si>
  <si>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</si>
  <si>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</si>
  <si>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</si>
  <si>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</si>
  <si>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</si>
  <si>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</si>
  <si>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</si>
  <si>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</si>
  <si>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</si>
  <si>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</si>
  <si>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</si>
  <si>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</si>
  <si>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</si>
  <si>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</si>
  <si>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</si>
  <si>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</si>
  <si>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</si>
  <si>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</si>
  <si>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</si>
  <si>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</si>
  <si>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</si>
  <si>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</si>
  <si>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</si>
  <si>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</si>
  <si>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</si>
  <si>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</si>
  <si>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</si>
  <si>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</si>
  <si>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</si>
  <si>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</si>
  <si>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</si>
  <si>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</si>
  <si>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</si>
  <si>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</si>
  <si>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</si>
  <si>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</si>
  <si>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</si>
  <si>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</si>
  <si>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</si>
  <si>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</si>
  <si>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</si>
  <si>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</si>
  <si>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</si>
  <si>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</si>
  <si>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</si>
  <si>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</si>
  <si>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</si>
  <si>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</si>
  <si>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</si>
  <si>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</si>
  <si>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</si>
  <si>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</si>
  <si>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</si>
  <si>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</si>
  <si>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</si>
  <si>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</si>
  <si>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</si>
  <si>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</si>
  <si>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</si>
  <si>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</si>
  <si>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</si>
  <si>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</si>
  <si>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</si>
  <si>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</si>
  <si>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</si>
  <si>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</si>
  <si>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</si>
  <si>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</si>
  <si>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</si>
  <si>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</si>
  <si>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</si>
  <si>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</si>
  <si>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</si>
  <si>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</si>
  <si>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</si>
  <si>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</si>
  <si>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</si>
  <si>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</si>
  <si>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</si>
  <si>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</si>
  <si>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</si>
  <si>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</si>
  <si>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</si>
  <si>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</si>
  <si>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</si>
  <si>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</si>
  <si>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</si>
  <si>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</si>
  <si>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</si>
  <si>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</si>
  <si>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</si>
  <si>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</si>
  <si>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</si>
  <si>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</si>
  <si>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</si>
  <si>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</si>
  <si>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</si>
  <si>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</si>
  <si>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</si>
  <si>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</si>
  <si>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</si>
  <si>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</si>
  <si>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</si>
  <si>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</si>
  <si>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</si>
  <si>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</si>
  <si>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</si>
  <si>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</si>
  <si>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</si>
  <si>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</si>
  <si>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</si>
  <si>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</si>
  <si>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</si>
  <si>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</si>
  <si>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</si>
  <si>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</si>
  <si>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</si>
  <si>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</si>
  <si>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</si>
  <si>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</si>
  <si>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</si>
  <si>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</si>
  <si>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</si>
  <si>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</si>
  <si>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</si>
  <si>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</si>
  <si>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</si>
  <si>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</si>
  <si>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</si>
  <si>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</si>
  <si>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</si>
  <si>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</si>
  <si>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</si>
  <si>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</si>
  <si>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</si>
  <si>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</si>
  <si>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</si>
  <si>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</si>
  <si>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</si>
  <si>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</si>
  <si>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</si>
  <si>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</si>
  <si>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</si>
  <si>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</si>
  <si>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</si>
  <si>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</si>
  <si>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</si>
  <si>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</si>
  <si>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</si>
  <si>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</si>
  <si>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</si>
  <si>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</si>
  <si>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</si>
  <si>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</si>
  <si>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</si>
  <si>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</si>
  <si>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</si>
  <si>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</si>
  <si>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</si>
  <si>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</si>
  <si>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</si>
  <si>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</si>
  <si>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</si>
  <si>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</si>
  <si>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</si>
  <si>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</si>
  <si>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</si>
  <si>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</si>
  <si>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</si>
  <si>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</si>
  <si>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</si>
  <si>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</si>
  <si>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</si>
  <si>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</si>
  <si>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</si>
  <si>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</si>
  <si>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</si>
  <si>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</si>
  <si>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</si>
  <si>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</si>
  <si>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</si>
  <si>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</si>
  <si>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</si>
  <si>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</si>
  <si>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</si>
  <si>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</si>
  <si>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</si>
  <si>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</si>
  <si>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</si>
  <si>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</si>
  <si>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</si>
  <si>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</si>
  <si>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</si>
  <si>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</si>
  <si>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</si>
  <si>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</si>
  <si>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</si>
  <si>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</si>
  <si>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</si>
  <si>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</si>
  <si>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</si>
  <si>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</si>
  <si>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</si>
  <si>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</si>
  <si>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</si>
  <si>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</si>
  <si>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</si>
  <si>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</si>
  <si>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</si>
  <si>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</si>
  <si>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</si>
  <si>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</si>
  <si>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</si>
  <si>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</si>
  <si>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</si>
  <si>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</si>
  <si>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</si>
  <si>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</si>
  <si>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</si>
  <si>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</si>
  <si>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5425</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</si>
  <si>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</si>
  <si>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</si>
  <si>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</si>
  <si>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</si>
  <si>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</si>
  <si>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</si>
  <si>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</si>
  <si>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</si>
  <si>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</si>
  <si>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</si>
  <si>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</si>
  <si>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</si>
  <si>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</si>
  <si>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</si>
  <si>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</si>
  <si>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</si>
  <si>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</si>
  <si>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</si>
  <si>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</si>
  <si>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</si>
  <si>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</si>
  <si>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</si>
  <si>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</si>
  <si>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</si>
  <si>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</si>
  <si>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</si>
  <si>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</si>
  <si>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</si>
  <si>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</si>
  <si>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</si>
  <si>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</si>
  <si>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</si>
  <si>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</si>
  <si>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</si>
  <si>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</si>
  <si>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</si>
  <si>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</si>
  <si>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</si>
  <si>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</si>
  <si>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</si>
  <si>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</si>
  <si>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</si>
  <si>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</si>
  <si>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</si>
  <si>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</si>
  <si>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</si>
  <si>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</si>
  <si>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</si>
  <si>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</si>
  <si>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</si>
  <si>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</si>
  <si>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</si>
  <si>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</si>
  <si>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</si>
  <si>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</si>
  <si>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</si>
  <si>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</si>
  <si>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</si>
  <si>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</si>
  <si>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</si>
  <si>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</si>
  <si>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</si>
  <si>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</si>
  <si>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</si>
  <si>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</si>
  <si>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</si>
  <si>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</si>
  <si>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</si>
  <si>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</si>
  <si>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</si>
  <si>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</si>
  <si>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</si>
  <si>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</si>
  <si>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</si>
  <si>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</si>
  <si>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</si>
  <si>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</si>
  <si>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</si>
  <si>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</si>
  <si>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</si>
  <si>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</si>
  <si>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</si>
  <si>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</si>
  <si>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</si>
  <si>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</si>
  <si>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</si>
  <si>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</si>
  <si>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</si>
  <si>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</si>
  <si>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</si>
  <si>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</si>
  <si>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</si>
  <si>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</si>
  <si>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</si>
  <si>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</si>
  <si>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</si>
  <si>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</si>
  <si>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</si>
  <si>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</si>
  <si>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</si>
  <si>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</si>
  <si>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</si>
  <si>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</si>
  <si>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</si>
  <si>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</si>
  <si>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</si>
  <si>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</si>
  <si>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</si>
  <si>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</si>
  <si>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</si>
  <si>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</si>
  <si>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</si>
  <si>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</si>
  <si>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</si>
  <si>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</si>
  <si>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</si>
  <si>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</si>
  <si>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</si>
  <si>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</si>
  <si>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</si>
  <si>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</si>
  <si>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</si>
  <si>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</si>
  <si>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</si>
  <si>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</si>
  <si>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</si>
  <si>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</si>
  <si>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</si>
  <si>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</si>
  <si>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</si>
  <si>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</si>
  <si>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</si>
  <si>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</si>
  <si>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</si>
  <si>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</si>
  <si>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</si>
  <si>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</si>
  <si>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</si>
  <si>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</si>
  <si>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</si>
  <si>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</si>
  <si>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</si>
  <si>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</si>
  <si>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</si>
  <si>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</si>
  <si>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</si>
  <si>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</si>
  <si>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</si>
  <si>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</si>
  <si>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</si>
  <si>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</si>
  <si>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</si>
  <si>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</si>
  <si>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</si>
  <si>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</si>
  <si>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</si>
  <si>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</si>
  <si>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</si>
  <si>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</si>
  <si>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</si>
  <si>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</si>
  <si>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</si>
  <si>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</si>
  <si>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</si>
  <si>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</si>
  <si>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</si>
  <si>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</si>
  <si>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</si>
  <si>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</si>
  <si>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</si>
  <si>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</si>
  <si>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</si>
  <si>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</si>
  <si>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</si>
  <si>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</si>
  <si>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</si>
  <si>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</si>
  <si>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</si>
  <si>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</si>
  <si>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</si>
  <si>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</si>
  <si>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</si>
  <si>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</si>
  <si>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</si>
  <si>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</si>
  <si>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</si>
  <si>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</si>
  <si>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</si>
  <si>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</si>
  <si>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</si>
  <si>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</si>
  <si>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</si>
  <si>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</si>
  <si>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</si>
  <si>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</si>
  <si>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</si>
  <si>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</si>
  <si>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</si>
  <si>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</si>
  <si>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</si>
  <si>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</si>
  <si>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</si>
  <si>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</si>
  <si>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</si>
  <si>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</si>
  <si>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</si>
  <si>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</si>
  <si>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</si>
  <si>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</si>
  <si>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</si>
  <si>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</si>
  <si>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</si>
  <si>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</si>
  <si>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</si>
  <si>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</si>
  <si>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</si>
  <si>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</si>
  <si>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</si>
  <si>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</si>
  <si>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</si>
  <si>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</si>
  <si>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</si>
  <si>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</si>
  <si>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</si>
  <si>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</si>
  <si>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</si>
  <si>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</si>
  <si>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</si>
  <si>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</si>
  <si>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</si>
  <si>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</si>
  <si>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</si>
  <si>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</si>
  <si>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</si>
  <si>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</si>
  <si>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</si>
  <si>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</si>
  <si>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</si>
  <si>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</si>
  <si>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</si>
  <si>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</si>
  <si>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</si>
  <si>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</si>
  <si>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</si>
  <si>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</si>
  <si>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</si>
  <si>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</si>
  <si>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</si>
  <si>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</si>
  <si>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</si>
  <si>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</si>
  <si>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</si>
  <si>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</si>
  <si>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</si>
  <si>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</si>
  <si>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</si>
  <si>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</si>
  <si>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</si>
  <si>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</si>
  <si>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</si>
  <si>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</si>
  <si>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</si>
  <si>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</si>
  <si>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</si>
  <si>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</si>
  <si>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</si>
  <si>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</si>
  <si>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</si>
  <si>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</si>
  <si>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</si>
  <si>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</si>
  <si>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</si>
  <si>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</si>
  <si>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</si>
  <si>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</si>
  <si>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</si>
  <si>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</si>
  <si>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</si>
  <si>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</si>
  <si>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</si>
  <si>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</si>
  <si>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</si>
  <si>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</si>
  <si>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</si>
  <si>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</si>
  <si>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</si>
  <si>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</si>
  <si>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</si>
  <si>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</si>
  <si>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</si>
  <si>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</si>
  <si>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</si>
  <si>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</si>
  <si>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</si>
  <si>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</si>
  <si>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</si>
  <si>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</si>
  <si>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</si>
  <si>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</si>
  <si>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</si>
  <si>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</si>
  <si>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</si>
  <si>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</si>
  <si>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</si>
  <si>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</si>
  <si>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</si>
  <si>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</si>
  <si>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</si>
  <si>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</si>
  <si>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</si>
  <si>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</si>
  <si>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</si>
  <si>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</si>
  <si>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</si>
  <si>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</si>
  <si>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</si>
  <si>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</si>
  <si>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</si>
  <si>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</si>
  <si>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</si>
  <si>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</si>
  <si>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</si>
  <si>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</si>
  <si>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</si>
  <si>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</si>
  <si>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</si>
  <si>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</si>
  <si>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</si>
  <si>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</si>
  <si>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</si>
  <si>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</si>
  <si>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</si>
  <si>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</si>
  <si>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</si>
  <si>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</si>
  <si>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</si>
  <si>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</si>
  <si>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</si>
  <si>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</si>
  <si>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</si>
  <si>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</si>
  <si>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</si>
  <si>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</si>
  <si>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</si>
  <si>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</si>
  <si>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</si>
  <si>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</si>
  <si>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</si>
  <si>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</si>
  <si>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</si>
  <si>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</si>
  <si>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</si>
  <si>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</si>
  <si>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</si>
  <si>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</si>
  <si>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</si>
  <si>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</si>
  <si>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</si>
  <si>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</si>
  <si>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</si>
  <si>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</si>
  <si>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</si>
  <si>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</si>
  <si>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</si>
  <si>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</si>
  <si>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</si>
  <si>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</si>
  <si>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</si>
  <si>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</si>
  <si>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</si>
  <si>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</si>
  <si>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</si>
  <si>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</si>
  <si>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</si>
  <si>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</si>
  <si>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</si>
  <si>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</si>
  <si>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</si>
  <si>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</si>
  <si>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</si>
  <si>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</si>
  <si>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</si>
  <si>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</si>
  <si>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</si>
  <si>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</si>
  <si>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</si>
  <si>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</si>
  <si>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</si>
  <si>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</si>
  <si>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</si>
  <si>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</si>
  <si>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</si>
  <si>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</si>
  <si>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</si>
  <si>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</si>
  <si>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</si>
  <si>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</si>
  <si>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</si>
  <si>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</si>
  <si>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</si>
  <si>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</si>
  <si>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</si>
  <si>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</si>
  <si>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</si>
  <si>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</si>
  <si>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</si>
  <si>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</si>
  <si>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</si>
  <si>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</si>
  <si>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</si>
  <si>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</si>
  <si>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</si>
  <si>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</si>
  <si>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</si>
  <si>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</si>
  <si>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</si>
  <si>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</si>
  <si>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</si>
  <si>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</si>
  <si>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</si>
  <si>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</si>
  <si>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</si>
  <si>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</si>
  <si>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</si>
  <si>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</si>
  <si>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</si>
  <si>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</si>
  <si>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</si>
  <si>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</si>
  <si>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</si>
  <si>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</si>
  <si>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</si>
  <si>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</si>
  <si>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</si>
  <si>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</si>
  <si>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</si>
  <si>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</si>
  <si>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</si>
  <si>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</si>
  <si>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</si>
  <si>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</si>
  <si>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</si>
  <si>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</si>
  <si>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</si>
  <si>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</si>
  <si>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</si>
  <si>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</si>
  <si>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</si>
  <si>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</si>
  <si>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</si>
  <si>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</si>
  <si>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</si>
  <si>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</si>
  <si>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</si>
  <si>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</si>
  <si>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</si>
  <si>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</si>
  <si>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</si>
  <si>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</si>
  <si>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</si>
  <si>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</si>
  <si>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</si>
  <si>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</si>
  <si>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</si>
  <si>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</si>
  <si>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</si>
  <si>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</si>
  <si>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</si>
  <si>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</si>
  <si>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</si>
  <si>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</si>
  <si>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</si>
  <si>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</si>
  <si>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</si>
  <si>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</si>
  <si>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</si>
  <si>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</si>
  <si>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</si>
  <si>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</si>
  <si>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</si>
  <si>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</si>
  <si>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</si>
  <si>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</si>
  <si>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</si>
  <si>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</si>
  <si>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</si>
  <si>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</si>
  <si>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</si>
  <si>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</si>
  <si>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</si>
  <si>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</si>
  <si>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</si>
  <si>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</si>
  <si>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</si>
  <si>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</si>
  <si>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</si>
  <si>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</si>
  <si>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</si>
  <si>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</si>
  <si>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</si>
  <si>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</si>
  <si>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</si>
  <si>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</si>
  <si>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</si>
  <si>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</si>
  <si>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</si>
  <si>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</si>
  <si>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</si>
  <si>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</si>
  <si>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</si>
  <si>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</si>
  <si>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</si>
  <si>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</si>
  <si>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</si>
  <si>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</si>
  <si>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</si>
  <si>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</si>
  <si>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</si>
  <si>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</si>
  <si>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</si>
  <si>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</si>
  <si>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</si>
  <si>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</si>
  <si>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</si>
  <si>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</si>
  <si>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</si>
  <si>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</si>
  <si>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</si>
  <si>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</si>
  <si>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</si>
  <si>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</si>
  <si>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</si>
  <si>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</si>
  <si>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</si>
  <si>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</si>
  <si>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</si>
  <si>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</si>
  <si>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</si>
  <si>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</si>
  <si>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</si>
  <si>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</si>
  <si>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</si>
  <si>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</si>
  <si>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</si>
  <si>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</si>
  <si>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</si>
  <si>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</si>
  <si>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</si>
  <si>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</si>
  <si>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</si>
  <si>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</si>
  <si>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</si>
  <si>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</si>
  <si>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</si>
  <si>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</si>
  <si>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</si>
  <si>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</si>
  <si>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</si>
  <si>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</si>
  <si>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</si>
  <si>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</si>
  <si>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</si>
  <si>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</si>
  <si>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</si>
  <si>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</si>
  <si>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</si>
  <si>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</si>
  <si>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</si>
  <si>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</si>
  <si>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</si>
  <si>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</si>
  <si>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</si>
  <si>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</si>
  <si>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</si>
  <si>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</si>
  <si>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</si>
  <si>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</si>
  <si>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</si>
  <si>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</si>
  <si>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</si>
  <si>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</si>
  <si>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</si>
  <si>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</si>
  <si>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</si>
  <si>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</si>
  <si>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</si>
  <si>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</si>
  <si>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</si>
  <si>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</si>
  <si>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</si>
  <si>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</si>
  <si>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</si>
  <si>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</si>
  <si>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</si>
  <si>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</si>
  <si>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</si>
  <si>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</si>
  <si>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</si>
  <si>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</si>
  <si>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</si>
  <si>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</si>
  <si>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</si>
  <si>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</si>
  <si>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</si>
  <si>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</si>
  <si>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</si>
  <si>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</si>
  <si>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</si>
  <si>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</si>
  <si>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</si>
  <si>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</si>
  <si>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</si>
  <si>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</si>
  <si>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</si>
  <si>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</si>
  <si>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</si>
  <si>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</si>
  <si>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</si>
  <si>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</si>
  <si>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</si>
  <si>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</si>
  <si>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</si>
  <si>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</si>
  <si>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</si>
  <si>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</si>
  <si>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</si>
  <si>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</si>
  <si>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</si>
  <si>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</si>
  <si>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</si>
  <si>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</si>
  <si>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</si>
  <si>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</si>
  <si>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</si>
  <si>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</si>
  <si>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</si>
  <si>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</si>
  <si>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</si>
  <si>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</si>
  <si>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</si>
  <si>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</si>
  <si>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</si>
  <si>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</si>
  <si>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</si>
  <si>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</si>
  <si>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</si>
  <si>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</si>
  <si>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</si>
  <si>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</si>
  <si>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</si>
  <si>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</si>
  <si>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</si>
  <si>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</si>
  <si>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</si>
  <si>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</si>
  <si>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</si>
  <si>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</si>
  <si>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</si>
  <si>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</si>
  <si>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</si>
  <si>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</si>
  <si>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</si>
  <si>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</si>
  <si>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</si>
  <si>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</si>
  <si>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</si>
  <si>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</si>
  <si>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</si>
  <si>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</si>
  <si>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</si>
  <si>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</si>
  <si>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</si>
  <si>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</si>
  <si>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</si>
  <si>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</si>
  <si>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</si>
  <si>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</si>
  <si>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</si>
  <si>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</si>
  <si>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</si>
  <si>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</si>
  <si>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</si>
  <si>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</si>
  <si>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</si>
  <si>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</si>
  <si>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</si>
  <si>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</si>
  <si>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</si>
  <si>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</si>
  <si>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</si>
  <si>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</si>
  <si>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</si>
  <si>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</si>
  <si>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</si>
  <si>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</si>
  <si>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</si>
  <si>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</si>
  <si>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</si>
  <si>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</si>
  <si>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</si>
  <si>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</si>
  <si>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</si>
  <si>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</si>
  <si>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</si>
  <si>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</si>
  <si>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</si>
  <si>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</si>
  <si>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</si>
  <si>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</si>
  <si>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</si>
  <si>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</si>
  <si>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</si>
  <si>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</si>
  <si>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</si>
  <si>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</si>
  <si>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</si>
  <si>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</si>
  <si>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</si>
  <si>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</si>
  <si>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</si>
  <si>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</si>
  <si>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</si>
  <si>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</si>
  <si>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</si>
  <si>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</si>
  <si>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</si>
  <si>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</si>
  <si>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</si>
  <si>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</si>
  <si>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</si>
  <si>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</si>
  <si>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</si>
  <si>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</si>
  <si>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</si>
  <si>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</si>
  <si>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</si>
  <si>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</si>
  <si>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</si>
  <si>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</si>
  <si>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</si>
  <si>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</si>
  <si>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</si>
  <si>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</si>
  <si>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</si>
  <si>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</si>
  <si>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</si>
  <si>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</si>
  <si>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</si>
  <si>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</si>
  <si>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</si>
  <si>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</si>
  <si>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</si>
  <si>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</si>
  <si>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</si>
  <si>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</si>
  <si>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</si>
  <si>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</si>
  <si>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</si>
  <si>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</si>
  <si>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</si>
  <si>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</si>
  <si>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</si>
  <si>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</si>
  <si>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</si>
  <si>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</si>
  <si>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</si>
  <si>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</si>
  <si>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</si>
  <si>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</si>
  <si>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</si>
  <si>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</si>
  <si>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</si>
  <si>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</si>
  <si>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</si>
  <si>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</si>
  <si>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</si>
  <si>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</si>
  <si>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</si>
  <si>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</si>
  <si>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</si>
  <si>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</si>
  <si>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</si>
  <si>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</si>
  <si>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</si>
  <si>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</si>
  <si>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</si>
  <si>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</si>
  <si>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</si>
  <si>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</si>
  <si>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</si>
  <si>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</si>
  <si>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</si>
  <si>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</si>
  <si>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</si>
  <si>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</si>
  <si>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</si>
  <si>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</si>
  <si>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</si>
  <si>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</si>
  <si>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</si>
  <si>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</si>
  <si>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</si>
  <si>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</si>
  <si>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</si>
  <si>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</si>
  <si>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</si>
  <si>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</si>
  <si>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</si>
  <si>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</si>
  <si>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</si>
  <si>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</si>
  <si>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</si>
  <si>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</si>
  <si>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</si>
  <si>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</si>
  <si>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</si>
  <si>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</si>
  <si>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</si>
  <si>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</si>
  <si>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</si>
  <si>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</si>
  <si>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</si>
  <si>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</si>
  <si>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</si>
  <si>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</si>
  <si>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</si>
  <si>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</si>
  <si>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</si>
  <si>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</si>
  <si>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</si>
  <si>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</si>
  <si>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</si>
  <si>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</si>
  <si>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</si>
  <si>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</si>
  <si>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</si>
  <si>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</si>
  <si>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</si>
  <si>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</si>
  <si>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</si>
  <si>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</si>
  <si>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</si>
  <si>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</si>
  <si>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</si>
  <si>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</si>
  <si>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</si>
  <si>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</si>
  <si>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</si>
  <si>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</si>
  <si>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</si>
  <si>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</si>
  <si>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</si>
  <si>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</si>
  <si>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</si>
  <si>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</si>
  <si>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</si>
  <si>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</si>
  <si>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</si>
  <si>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</si>
  <si>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</si>
  <si>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</si>
  <si>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</si>
  <si>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</si>
  <si>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</si>
  <si>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</si>
  <si>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</si>
  <si>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</si>
  <si>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</si>
  <si>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</si>
  <si>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</si>
  <si>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</si>
  <si>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</si>
  <si>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</si>
  <si>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</si>
  <si>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</si>
  <si>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</si>
  <si>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</si>
  <si>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</si>
  <si>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</si>
  <si>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</si>
  <si>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</si>
  <si>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</si>
  <si>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</si>
  <si>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</si>
  <si>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</si>
  <si>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</si>
  <si>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</si>
  <si>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</si>
  <si>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</si>
  <si>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</si>
  <si>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</si>
  <si>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</si>
  <si>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</si>
  <si>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</si>
  <si>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</si>
  <si>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</si>
  <si>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</si>
  <si>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</si>
  <si>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</si>
  <si>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</si>
  <si>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</si>
  <si>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</si>
  <si>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</si>
  <si>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</si>
  <si>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</si>
  <si>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</si>
  <si>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</si>
  <si>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</si>
  <si>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</si>
  <si>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</si>
  <si>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</si>
  <si>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</si>
  <si>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</si>
  <si>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</si>
  <si>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</si>
  <si>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</si>
  <si>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</si>
  <si>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</si>
  <si>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</si>
  <si>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</si>
  <si>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</si>
  <si>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</si>
  <si>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</si>
  <si>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</si>
  <si>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</si>
  <si>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</si>
  <si>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</si>
  <si>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</si>
  <si>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</si>
  <si>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</si>
  <si>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</si>
  <si>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</si>
  <si>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</si>
  <si>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</si>
  <si>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</si>
  <si>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</si>
  <si>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</si>
  <si>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</si>
  <si>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</si>
  <si>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</si>
  <si>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</si>
  <si>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</si>
  <si>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</si>
  <si>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</si>
  <si>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</si>
  <si>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</si>
  <si>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</si>
  <si>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</si>
  <si>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</si>
  <si>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</si>
  <si>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</si>
  <si>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</si>
  <si>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</si>
  <si>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</si>
  <si>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</si>
  <si>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</si>
  <si>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</si>
  <si>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</si>
  <si>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</si>
  <si>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</si>
  <si>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</si>
  <si>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</si>
  <si>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</si>
  <si>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</si>
  <si>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</si>
  <si>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</si>
  <si>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</si>
  <si>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</si>
  <si>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</si>
  <si>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</si>
  <si>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</si>
  <si>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</si>
  <si>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</si>
  <si>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</si>
  <si>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</si>
  <si>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</si>
  <si>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</si>
  <si>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</si>
  <si>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</si>
  <si>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</si>
  <si>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</si>
  <si>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</si>
  <si>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</si>
  <si>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</si>
  <si>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</si>
  <si>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</si>
  <si>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</si>
  <si>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</si>
  <si>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</si>
  <si>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</si>
  <si>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</si>
  <si>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</si>
  <si>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</si>
  <si>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</si>
  <si>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</si>
  <si>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</si>
  <si>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</si>
  <si>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</si>
  <si>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</si>
  <si>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</si>
  <si>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</si>
  <si>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</si>
  <si>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</si>
  <si>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</si>
  <si>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</si>
  <si>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</si>
  <si>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</si>
  <si>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</si>
  <si>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</si>
  <si>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</si>
  <si>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</si>
  <si>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</si>
  <si>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</si>
  <si>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</si>
  <si>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</si>
  <si>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</si>
  <si>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</si>
  <si>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</si>
  <si>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</si>
  <si>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</si>
  <si>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</si>
  <si>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</si>
  <si>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</si>
  <si>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</si>
  <si>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</si>
  <si>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</si>
  <si>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</si>
  <si>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</si>
  <si>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</si>
  <si>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</si>
  <si>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</si>
  <si>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</si>
  <si>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</si>
  <si>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</si>
  <si>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</si>
  <si>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</si>
  <si>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</si>
  <si>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</si>
  <si>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</si>
  <si>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</si>
  <si>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</si>
  <si>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</si>
  <si>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</si>
  <si>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</si>
  <si>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</si>
  <si>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</si>
  <si>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</si>
  <si>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</si>
  <si>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</si>
  <si>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</si>
  <si>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</si>
  <si>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</si>
  <si>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</si>
  <si>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</si>
  <si>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</si>
  <si>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</si>
  <si>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</si>
  <si>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</si>
  <si>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</si>
  <si>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</si>
  <si>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</si>
  <si>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</si>
  <si>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</si>
  <si>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</si>
  <si>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</si>
  <si>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</si>
  <si>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</si>
  <si>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</si>
  <si>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</si>
  <si>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</si>
  <si>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</si>
  <si>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</si>
  <si>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</si>
  <si>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</si>
  <si>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</si>
  <si>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</si>
  <si>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</si>
  <si>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</si>
  <si>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</si>
  <si>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</si>
  <si>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</si>
  <si>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</si>
  <si>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</si>
  <si>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</si>
  <si>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</si>
  <si>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</si>
  <si>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</si>
  <si>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</si>
  <si>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</si>
  <si>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</si>
  <si>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</si>
  <si>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</si>
  <si>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</si>
  <si>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</si>
  <si>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</si>
  <si>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</si>
  <si>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</si>
  <si>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</si>
  <si>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</si>
  <si>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</si>
  <si>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</si>
  <si>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</si>
  <si>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</si>
  <si>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</si>
  <si>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</si>
  <si>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</si>
  <si>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</si>
  <si>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</si>
  <si>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</si>
  <si>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</si>
  <si>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</si>
  <si>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</si>
  <si>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</si>
  <si>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</si>
  <si>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</si>
  <si>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</si>
  <si>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</si>
  <si>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</si>
  <si>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</si>
  <si>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</si>
  <si>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</si>
  <si>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</si>
  <si>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</si>
  <si>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</si>
  <si>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</si>
  <si>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</si>
  <si>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</si>
  <si>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</si>
  <si>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</si>
  <si>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</si>
  <si>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</si>
  <si>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</si>
  <si>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</si>
  <si>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</si>
  <si>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</si>
  <si>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</si>
  <si>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</si>
  <si>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</si>
  <si>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</si>
  <si>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</si>
  <si>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</si>
  <si>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</si>
  <si>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</si>
  <si>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</si>
  <si>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</si>
  <si>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</si>
  <si>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</si>
  <si>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</si>
  <si>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</si>
  <si>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</si>
  <si>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</si>
  <si>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</si>
  <si>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</si>
  <si>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</si>
  <si>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</si>
  <si>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</si>
  <si>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</si>
  <si>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</si>
  <si>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</si>
  <si>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</si>
  <si>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</si>
  <si>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</si>
  <si>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</si>
  <si>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</si>
  <si>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</si>
  <si>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</si>
  <si>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</si>
  <si>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</si>
  <si>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</si>
  <si>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</si>
  <si>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</si>
  <si>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</si>
  <si>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</si>
  <si>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</si>
  <si>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</si>
  <si>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</si>
  <si>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</si>
  <si>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</si>
  <si>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</si>
  <si>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</si>
  <si>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</si>
  <si>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</si>
  <si>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</si>
  <si>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</si>
  <si>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</si>
  <si>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</si>
  <si>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</si>
  <si>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</si>
  <si>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</si>
  <si>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</si>
  <si>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</si>
  <si>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</si>
  <si>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</si>
  <si>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</si>
  <si>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</si>
  <si>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</si>
  <si>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</si>
  <si>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</si>
  <si>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</si>
  <si>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</si>
  <si>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</si>
  <si>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</si>
  <si>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</si>
  <si>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</si>
  <si>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</si>
  <si>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</si>
  <si>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</si>
  <si>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</si>
  <si>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</si>
  <si>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</si>
  <si>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</si>
  <si>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</si>
  <si>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</si>
  <si>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</si>
  <si>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</si>
  <si>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</si>
  <si>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</si>
  <si>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</si>
  <si>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</si>
  <si>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</si>
  <si>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</si>
  <si>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</si>
  <si>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</si>
  <si>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</si>
  <si>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</si>
  <si>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</si>
  <si>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</si>
  <si>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</si>
  <si>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</si>
  <si>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</si>
  <si>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</si>
  <si>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</si>
  <si>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</si>
  <si>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</si>
  <si>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</si>
  <si>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</si>
  <si>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</si>
  <si>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</si>
  <si>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</si>
  <si>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</si>
  <si>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</si>
  <si>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</si>
  <si>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</si>
  <si>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</si>
  <si>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</si>
  <si>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</si>
  <si>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</si>
  <si>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</si>
  <si>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</si>
  <si>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</si>
  <si>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</si>
  <si>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</si>
  <si>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</si>
  <si>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</si>
  <si>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</si>
  <si>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</si>
  <si>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</si>
  <si>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</si>
  <si>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</si>
  <si>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</si>
  <si>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</si>
  <si>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</si>
  <si>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</si>
  <si>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</si>
  <si>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</si>
  <si>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</si>
  <si>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</si>
  <si>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</si>
  <si>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</si>
  <si>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</si>
  <si>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</si>
  <si>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</si>
  <si>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</si>
  <si>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</si>
  <si>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</si>
  <si>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</si>
  <si>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</si>
  <si>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</si>
  <si>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</si>
  <si>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</si>
  <si>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</si>
  <si>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</si>
  <si>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</si>
  <si>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</si>
  <si>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</si>
  <si>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</si>
  <si>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</si>
  <si>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</si>
  <si>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</si>
  <si>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</si>
  <si>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</si>
  <si>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</si>
  <si>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</si>
  <si>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</si>
  <si>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</si>
  <si>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</si>
  <si>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</si>
  <si>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</si>
  <si>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</si>
  <si>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</si>
  <si>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</si>
  <si>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</si>
  <si>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</si>
  <si>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</si>
  <si>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</si>
  <si>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</si>
  <si>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</si>
  <si>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</si>
  <si>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</si>
  <si>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</si>
  <si>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</si>
  <si>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</si>
  <si>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</si>
  <si>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</si>
  <si>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</si>
  <si>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</si>
  <si>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</si>
  <si>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</si>
  <si>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</si>
  <si>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</si>
  <si>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</si>
  <si>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</si>
  <si>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</si>
  <si>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</si>
  <si>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</si>
  <si>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</si>
  <si>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</si>
  <si>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</si>
  <si>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</si>
  <si>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</si>
  <si>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</si>
  <si>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</si>
  <si>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</si>
  <si>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</si>
  <si>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</si>
  <si>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</si>
  <si>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</si>
  <si>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</si>
  <si>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</si>
  <si>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</si>
  <si>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</si>
  <si>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</si>
  <si>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</si>
  <si>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</si>
  <si>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</si>
  <si>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</si>
  <si>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</si>
  <si>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</si>
  <si>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</si>
  <si>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</si>
  <si>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</si>
  <si>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</si>
  <si>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</si>
  <si>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</si>
  <si>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</si>
  <si>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</si>
  <si>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</si>
  <si>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</si>
  <si>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</si>
  <si>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</si>
  <si>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</si>
  <si>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</si>
  <si>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</si>
  <si>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</si>
  <si>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</si>
  <si>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</si>
  <si>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</si>
  <si>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</si>
  <si>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</si>
  <si>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</si>
  <si>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</si>
  <si>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</si>
  <si>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</si>
  <si>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</si>
  <si>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</si>
  <si>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</si>
  <si>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</si>
  <si>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</si>
  <si>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</si>
  <si>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</si>
  <si>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</si>
  <si>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</si>
  <si>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</si>
  <si>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</si>
  <si>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</si>
  <si>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</si>
  <si>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</si>
  <si>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</si>
  <si>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</si>
  <si>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</si>
  <si>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</si>
  <si>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</si>
  <si>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</si>
  <si>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</si>
  <si>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</si>
  <si>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</si>
  <si>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</si>
  <si>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</si>
  <si>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</si>
  <si>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</si>
  <si>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</si>
  <si>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</si>
  <si>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</si>
  <si>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</si>
  <si>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</si>
  <si>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</si>
  <si>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</si>
  <si>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</si>
  <si>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</si>
  <si>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</si>
  <si>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</si>
  <si>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</si>
  <si>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</si>
  <si>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</si>
  <si>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</si>
  <si>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</si>
  <si>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</si>
  <si>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</si>
  <si>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</si>
  <si>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</si>
  <si>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</si>
  <si>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</si>
  <si>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</si>
  <si>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</si>
  <si>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</si>
  <si>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</si>
  <si>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</si>
  <si>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</si>
  <si>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</si>
  <si>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</si>
  <si>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</si>
  <si>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</si>
  <si>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</si>
  <si>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</si>
  <si>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</si>
  <si>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</si>
  <si>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</si>
  <si>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</si>
  <si>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</si>
  <si>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</si>
  <si>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</si>
  <si>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</si>
  <si>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</si>
  <si>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</si>
  <si>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</si>
  <si>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</si>
  <si>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</si>
  <si>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</si>
  <si>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</si>
  <si>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</si>
  <si>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</si>
  <si>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</si>
  <si>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</si>
  <si>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</si>
  <si>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</si>
  <si>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</si>
  <si>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</si>
  <si>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</si>
  <si>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</si>
  <si>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</si>
  <si>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</si>
  <si>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</si>
  <si>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</si>
  <si>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</si>
  <si>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</si>
  <si>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</si>
  <si>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</si>
  <si>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</si>
  <si>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</si>
  <si>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</si>
  <si>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</si>
  <si>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</si>
  <si>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</si>
  <si>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</si>
  <si>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</si>
  <si>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</si>
  <si>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</si>
  <si>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</si>
  <si>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</si>
  <si>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</si>
  <si>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</si>
  <si>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</si>
  <si>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</si>
  <si>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</si>
  <si>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</si>
  <si>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</si>
  <si>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</si>
  <si>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</si>
  <si>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</si>
  <si>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</si>
  <si>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</si>
  <si>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</si>
  <si>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</si>
  <si>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</si>
  <si>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</si>
  <si>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</si>
  <si>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</si>
  <si>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</si>
  <si>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</si>
  <si>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</si>
  <si>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</si>
  <si>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</si>
  <si>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</si>
  <si>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</si>
  <si>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</si>
  <si>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</si>
  <si>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</si>
  <si>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</si>
  <si>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</si>
  <si>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</si>
  <si>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</si>
  <si>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</si>
  <si>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</si>
  <si>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</si>
  <si>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</si>
  <si>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</si>
  <si>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</si>
  <si>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</si>
  <si>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</si>
  <si>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</si>
  <si>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</si>
  <si>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</si>
  <si>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</si>
  <si>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</si>
  <si>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</si>
  <si>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</si>
  <si>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</si>
  <si>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</si>
  <si>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</si>
  <si>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</si>
  <si>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</si>
  <si>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</si>
  <si>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</si>
  <si>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</si>
  <si>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</si>
  <si>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</si>
  <si>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</si>
  <si>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</si>
  <si>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</si>
  <si>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</si>
  <si>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</si>
  <si>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</si>
  <si>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</si>
  <si>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</si>
  <si>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</si>
  <si>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</si>
  <si>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</si>
  <si>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</si>
  <si>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</si>
  <si>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</si>
  <si>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</si>
  <si>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</si>
  <si>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</si>
  <si>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</si>
  <si>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</si>
  <si>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</si>
  <si>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</si>
  <si>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</si>
  <si>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</si>
  <si>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</si>
  <si>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</si>
  <si>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</si>
  <si>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</si>
  <si>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</si>
  <si>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</si>
  <si>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</si>
  <si>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</si>
  <si>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</si>
  <si>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</si>
  <si>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</si>
  <si>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</si>
  <si>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</si>
  <si>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</si>
  <si>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</si>
  <si>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</si>
  <si>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</si>
  <si>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</si>
  <si>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</si>
  <si>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</si>
  <si>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</si>
  <si>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</si>
  <si>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</si>
  <si>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</si>
  <si>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</si>
  <si>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</si>
  <si>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</si>
  <si>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</si>
  <si>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</si>
  <si>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</si>
  <si>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</si>
  <si>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</si>
  <si>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</si>
  <si>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</si>
  <si>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</si>
  <si>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</si>
  <si>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</si>
  <si>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</si>
  <si>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</si>
  <si>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</si>
  <si>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</si>
  <si>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</si>
  <si>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</si>
  <si>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</si>
  <si>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</si>
  <si>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</si>
  <si>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</si>
  <si>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</si>
  <si>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</si>
  <si>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</si>
  <si>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</si>
  <si>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</si>
  <si>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</si>
  <si>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</si>
  <si>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</si>
  <si>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</si>
  <si>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</si>
  <si>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</si>
  <si>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</si>
  <si>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</si>
  <si>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</si>
  <si>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</si>
  <si>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</si>
  <si>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</si>
  <si>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</si>
  <si>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</si>
  <si>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</si>
  <si>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</si>
  <si>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</si>
  <si>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</si>
  <si>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</si>
  <si>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</si>
  <si>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</si>
  <si>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</si>
  <si>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</si>
  <si>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</si>
  <si>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</si>
  <si>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</si>
  <si>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</si>
  <si>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</si>
  <si>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</si>
  <si>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</si>
  <si>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</si>
  <si>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</si>
  <si>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</si>
  <si>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</si>
  <si>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</si>
  <si>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</si>
  <si>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</si>
  <si>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</si>
  <si>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</si>
  <si>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</si>
  <si>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</si>
  <si>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</si>
  <si>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</si>
  <si>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</si>
  <si>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</si>
  <si>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</si>
  <si>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</si>
  <si>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</si>
  <si>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</si>
  <si>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</si>
  <si>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</si>
  <si>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</si>
  <si>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</si>
  <si>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</si>
  <si>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</si>
  <si>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</si>
  <si>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</si>
  <si>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</si>
  <si>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</si>
  <si>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</si>
  <si>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</si>
  <si>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</si>
  <si>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</si>
  <si>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</si>
  <si>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2921</t>
  </si>
  <si>
    <t>1:23.15</t>
  </si>
  <si>
    <t>38.18</t>
  </si>
  <si>
    <t>1:33.08</t>
  </si>
  <si>
    <t>23.06</t>
  </si>
  <si>
    <t>49.43</t>
  </si>
  <si>
    <t>2:10.42</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</si>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</sst>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2002</v>
      </c>
      <c r="CH26" s="135" t="s">
        <v>934</v>
      </c>
      <c r="CI26" s="177" t="s">
        <v>2003</v>
      </c>
      <c r="CJ26" s="135" t="s">
        <v>2004</v>
      </c>
      <c r="CK26" s="135" t="s">
        <v>2005</v>
      </c>
      <c r="CL26" s="135" t="s">
        <v>1476</v>
      </c>
      <c r="CM26" s="135" t="s">
        <v>940</v>
      </c>
      <c r="CN26" s="135" t="s">
        <v>1936</v>
      </c>
      <c r="CO26" s="177" t="s">
        <v>513</v>
      </c>
      <c r="CP26" s="255"/>
      <c r="CQ26" s="255"/>
      <c r="CR26" s="255"/>
      <c r="CS26" s="177" t="s">
        <v>2006</v>
      </c>
      <c r="CT26" s="255"/>
      <c r="CU26" s="92"/>
      <c r="CV26" s="140" t="s">
        <v>2007</v>
      </c>
      <c r="CW26" s="203" t="s">
        <v>2008</v>
      </c>
      <c r="CX26" s="140" t="s">
        <v>477</v>
      </c>
      <c r="CY26" s="140" t="s">
        <v>190</v>
      </c>
      <c r="CZ26" s="140" t="s">
        <v>2009</v>
      </c>
      <c r="DA26" s="310" t="s">
        <v>2010</v>
      </c>
      <c r="DB26" s="140" t="s">
        <v>2011</v>
      </c>
      <c r="DC26" s="203" t="s">
        <v>1790</v>
      </c>
      <c r="DD26" s="140" t="s">
        <v>2012</v>
      </c>
      <c r="DE26" s="256"/>
      <c r="DF26" s="203" t="s">
        <v>2013</v>
      </c>
      <c r="DG26" s="256"/>
      <c r="DH26" s="257"/>
      <c r="DI26" s="204" t="s">
        <v>2014</v>
      </c>
      <c r="DJ26" s="204"/>
      <c r="DK26" s="204" t="s">
        <v>2015</v>
      </c>
      <c r="DL26" s="204" t="s">
        <v>2016</v>
      </c>
      <c r="DM26" s="204" t="s">
        <v>513</v>
      </c>
      <c r="DN26" s="145" t="s">
        <v>1030</v>
      </c>
      <c r="DO26" s="258"/>
      <c r="DP26" s="258"/>
      <c r="DQ26" s="258"/>
      <c r="DR26" s="145" t="s">
        <v>2017</v>
      </c>
      <c r="DS26" s="145" t="s">
        <v>2018</v>
      </c>
      <c r="DT26" s="145" t="s">
        <v>2019</v>
      </c>
      <c r="DU26" s="145" t="s">
        <v>209</v>
      </c>
      <c r="DV26" s="145" t="s">
        <v>1512</v>
      </c>
      <c r="DW26" s="145" t="s">
        <v>1719</v>
      </c>
      <c r="DX26" s="204" t="s">
        <v>2020</v>
      </c>
      <c r="DY26" s="145" t="s">
        <v>2021</v>
      </c>
      <c r="DZ26" s="145" t="s">
        <v>2022</v>
      </c>
      <c r="EA26" s="204" t="s">
        <v>280</v>
      </c>
      <c r="EB26" s="145" t="s">
        <v>2023</v>
      </c>
      <c r="EC26" s="145" t="s">
        <v>217</v>
      </c>
      <c r="ED26" s="311" t="s">
        <v>2024</v>
      </c>
    </row>
    <row r="27">
      <c r="A27" s="312" t="s">
        <v>2025</v>
      </c>
      <c r="B27" s="82" t="s">
        <v>2026</v>
      </c>
      <c r="C27" s="83" t="s">
        <v>1259</v>
      </c>
      <c r="D27" s="84" t="s">
        <v>1259</v>
      </c>
      <c r="E27" s="85" t="s">
        <v>548</v>
      </c>
      <c r="F27" s="86" t="s">
        <v>2027</v>
      </c>
      <c r="G27" s="82" t="s">
        <v>2028</v>
      </c>
      <c r="H27" s="313" t="s">
        <v>1610</v>
      </c>
      <c r="I27" s="314" t="s">
        <v>2029</v>
      </c>
      <c r="J27" s="314" t="s">
        <v>2030</v>
      </c>
      <c r="K27" s="314" t="s">
        <v>446</v>
      </c>
      <c r="L27" s="314" t="s">
        <v>199</v>
      </c>
      <c r="M27" s="315" t="s">
        <v>601</v>
      </c>
      <c r="N27" s="313" t="s">
        <v>2031</v>
      </c>
      <c r="O27" s="314" t="s">
        <v>2032</v>
      </c>
      <c r="P27" s="314" t="s">
        <v>109</v>
      </c>
      <c r="Q27" s="316" t="s">
        <v>2033</v>
      </c>
      <c r="R27" s="313" t="s">
        <v>2034</v>
      </c>
      <c r="S27" s="313" t="s">
        <v>771</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967</v>
      </c>
      <c r="AG27" s="313" t="str">
        <f>HYPERLINK("https://www.youtube.com/watch?v=EdK5oJYC1tk","15.10")</f>
        <v>15.10</v>
      </c>
      <c r="AH27" s="314" t="s">
        <v>460</v>
      </c>
      <c r="AI27" s="314" t="s">
        <v>572</v>
      </c>
      <c r="AJ27" s="313" t="str">
        <f>HYPERLINK("https://youtu.be/ZXRdUyO-EWA","1:01.11")</f>
        <v>1:01.11</v>
      </c>
      <c r="AK27" s="317" t="s">
        <v>2043</v>
      </c>
      <c r="AL27" s="318"/>
      <c r="AM27" s="317" t="s">
        <v>2044</v>
      </c>
      <c r="AN27" s="314" t="s">
        <v>1978</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1374</v>
      </c>
      <c r="AZ27" s="315" t="s">
        <v>2050</v>
      </c>
      <c r="BA27" s="315"/>
      <c r="BB27" s="313" t="s">
        <v>2051</v>
      </c>
      <c r="BC27" s="314" t="s">
        <v>237</v>
      </c>
      <c r="BD27" s="314" t="s">
        <v>145</v>
      </c>
      <c r="BE27" s="313" t="s">
        <v>2052</v>
      </c>
      <c r="BF27" s="315" t="s">
        <v>792</v>
      </c>
      <c r="BG27" s="313" t="s">
        <v>478</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1003</v>
      </c>
      <c r="BS27" s="313" t="str">
        <f>HYPERLINK("https://youtu.be/sYs50tvUHuo","52.01")</f>
        <v>52.01</v>
      </c>
      <c r="BT27" s="314" t="s">
        <v>2057</v>
      </c>
      <c r="BU27" s="313" t="s">
        <v>1121</v>
      </c>
      <c r="BV27" s="315" t="s">
        <v>1976</v>
      </c>
      <c r="BW27" s="313" t="str">
        <f>HYPERLINK("https://youtu.be/n7zdK3H7Bag","22.27")</f>
        <v>22.27</v>
      </c>
      <c r="BX27" s="315"/>
      <c r="BY27" s="315" t="s">
        <v>2058</v>
      </c>
      <c r="BZ27" s="313" t="s">
        <v>1238</v>
      </c>
      <c r="CA27" s="314" t="s">
        <v>868</v>
      </c>
      <c r="CB27" s="314" t="s">
        <v>2059</v>
      </c>
      <c r="CC27" s="314" t="s">
        <v>2060</v>
      </c>
      <c r="CD27" s="313" t="s">
        <v>2061</v>
      </c>
      <c r="CE27" s="315" t="s">
        <v>2062</v>
      </c>
      <c r="CF27" s="320"/>
      <c r="CG27" s="314" t="s">
        <v>2063</v>
      </c>
      <c r="CH27" s="314" t="s">
        <v>1473</v>
      </c>
      <c r="CI27" s="314" t="s">
        <v>2064</v>
      </c>
      <c r="CJ27" s="313" t="s">
        <v>782</v>
      </c>
      <c r="CK27" s="321"/>
      <c r="CL27" s="313" t="s">
        <v>2065</v>
      </c>
      <c r="CM27" s="314" t="s">
        <v>2066</v>
      </c>
      <c r="CN27" s="313" t="s">
        <v>512</v>
      </c>
      <c r="CO27" s="314" t="s">
        <v>2067</v>
      </c>
      <c r="CP27" s="315"/>
      <c r="CQ27" s="315" t="s">
        <v>427</v>
      </c>
      <c r="CR27" s="315"/>
      <c r="CS27" s="315" t="s">
        <v>2068</v>
      </c>
      <c r="CT27" s="315"/>
      <c r="CU27" s="154"/>
      <c r="CV27" s="317" t="s">
        <v>2069</v>
      </c>
      <c r="CW27" s="313" t="str">
        <f>HYPERLINK("https://www.youtube.com/watch?v=wOcz6idXkPk","13.28")</f>
        <v>13.28</v>
      </c>
      <c r="CX27" s="314" t="s">
        <v>717</v>
      </c>
      <c r="CY27" s="315" t="s">
        <v>2070</v>
      </c>
      <c r="CZ27" s="313" t="s">
        <v>2071</v>
      </c>
      <c r="DA27" s="314" t="s">
        <v>934</v>
      </c>
      <c r="DB27" s="314" t="s">
        <v>2072</v>
      </c>
      <c r="DC27" s="314" t="s">
        <v>2073</v>
      </c>
      <c r="DD27" s="315" t="s">
        <v>2074</v>
      </c>
      <c r="DE27" s="315" t="s">
        <v>2075</v>
      </c>
      <c r="DF27" s="314" t="s">
        <v>2076</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1103</v>
      </c>
      <c r="DW27" s="314" t="s">
        <v>539</v>
      </c>
      <c r="DX27" s="315" t="s">
        <v>596</v>
      </c>
      <c r="DY27" s="315" t="s">
        <v>1040</v>
      </c>
      <c r="DZ27" s="313" t="s">
        <v>2082</v>
      </c>
      <c r="EA27" s="313" t="s">
        <v>2083</v>
      </c>
      <c r="EB27" s="315" t="s">
        <v>2084</v>
      </c>
      <c r="EC27" s="315" t="s">
        <v>2085</v>
      </c>
      <c r="ED27" s="313" t="str">
        <f>HYPERLINK("https://youtu.be/Oh1CRK6fpa4","6.59")</f>
        <v>6.59</v>
      </c>
    </row>
    <row r="28">
      <c r="A28" s="166" t="s">
        <v>2086</v>
      </c>
      <c r="B28" s="104" t="s">
        <v>2087</v>
      </c>
      <c r="C28" s="105" t="s">
        <v>548</v>
      </c>
      <c r="D28" s="106" t="s">
        <v>334</v>
      </c>
      <c r="E28" s="107" t="s">
        <v>334</v>
      </c>
      <c r="F28" s="108" t="s">
        <v>2088</v>
      </c>
      <c r="G28" s="104" t="s">
        <v>2089</v>
      </c>
      <c r="H28" s="167" t="s">
        <v>2090</v>
      </c>
      <c r="I28" s="322"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2104</v>
      </c>
      <c r="B29" s="82" t="s">
        <v>2105</v>
      </c>
      <c r="C29" s="83" t="s">
        <v>1259</v>
      </c>
      <c r="D29" s="84" t="s">
        <v>334</v>
      </c>
      <c r="E29" s="85" t="s">
        <v>1259</v>
      </c>
      <c r="F29" s="86" t="s">
        <v>2106</v>
      </c>
      <c r="G29" s="82" t="s">
        <v>2107</v>
      </c>
      <c r="H29" s="328" t="s">
        <v>1814</v>
      </c>
      <c r="I29" s="314" t="s">
        <v>2108</v>
      </c>
      <c r="J29" s="314" t="s">
        <v>2109</v>
      </c>
      <c r="K29" s="314" t="s">
        <v>2110</v>
      </c>
      <c r="L29" s="314" t="s">
        <v>148</v>
      </c>
      <c r="M29" s="314" t="s">
        <v>2111</v>
      </c>
      <c r="N29" s="156" t="s">
        <v>2112</v>
      </c>
      <c r="O29" s="314" t="s">
        <v>2034</v>
      </c>
      <c r="P29" s="314" t="s">
        <v>344</v>
      </c>
      <c r="Q29" s="317" t="s">
        <v>2113</v>
      </c>
      <c r="R29" s="315"/>
      <c r="S29" s="317" t="s">
        <v>2114</v>
      </c>
      <c r="T29" s="315"/>
      <c r="U29" s="317" t="s">
        <v>226</v>
      </c>
      <c r="V29" s="94" t="s">
        <v>2115</v>
      </c>
      <c r="W29" s="154"/>
      <c r="X29" s="314" t="s">
        <v>226</v>
      </c>
      <c r="Y29" s="328"/>
      <c r="Z29" s="328" t="s">
        <v>1892</v>
      </c>
      <c r="AA29" s="328" t="s">
        <v>2116</v>
      </c>
      <c r="AB29" s="314" t="s">
        <v>2117</v>
      </c>
      <c r="AC29" s="314" t="s">
        <v>2118</v>
      </c>
      <c r="AD29" s="314" t="s">
        <v>2119</v>
      </c>
      <c r="AE29" s="317" t="s">
        <v>2120</v>
      </c>
      <c r="AF29" s="314" t="s">
        <v>967</v>
      </c>
      <c r="AG29" s="314" t="s">
        <v>1280</v>
      </c>
      <c r="AH29" s="222" t="s">
        <v>2118</v>
      </c>
      <c r="AI29" s="315"/>
      <c r="AJ29" s="315"/>
      <c r="AK29" s="315"/>
      <c r="AL29" s="159"/>
      <c r="AM29" s="314" t="s">
        <v>1224</v>
      </c>
      <c r="AN29" s="314" t="s">
        <v>920</v>
      </c>
      <c r="AO29" s="315"/>
      <c r="AP29" s="315"/>
      <c r="AQ29" s="315"/>
      <c r="AR29" s="315"/>
      <c r="AS29" s="314" t="s">
        <v>136</v>
      </c>
      <c r="AT29" s="315"/>
      <c r="AU29" s="314" t="s">
        <v>675</v>
      </c>
      <c r="AV29" s="314" t="s">
        <v>2121</v>
      </c>
      <c r="AW29" s="317" t="s">
        <v>2122</v>
      </c>
      <c r="AX29" s="315"/>
      <c r="AY29" s="314" t="s">
        <v>2123</v>
      </c>
      <c r="AZ29" s="315"/>
      <c r="BA29" s="315"/>
      <c r="BB29" s="314" t="s">
        <v>2124</v>
      </c>
      <c r="BC29" s="314" t="s">
        <v>2096</v>
      </c>
      <c r="BD29" s="314" t="s">
        <v>145</v>
      </c>
      <c r="BE29" s="314" t="s">
        <v>1156</v>
      </c>
      <c r="BF29" s="314" t="s">
        <v>2125</v>
      </c>
      <c r="BG29" s="328" t="s">
        <v>2126</v>
      </c>
      <c r="BH29" s="315"/>
      <c r="BI29" s="314" t="s">
        <v>2127</v>
      </c>
      <c r="BJ29" s="317"/>
      <c r="BK29" s="328" t="s">
        <v>2128</v>
      </c>
      <c r="BL29" s="314" t="s">
        <v>2129</v>
      </c>
      <c r="BM29" s="315"/>
      <c r="BN29" s="315"/>
      <c r="BO29" s="315"/>
      <c r="BP29" s="315"/>
      <c r="BQ29" s="329"/>
      <c r="BR29" s="328" t="s">
        <v>2130</v>
      </c>
      <c r="BS29" s="328" t="s">
        <v>2131</v>
      </c>
      <c r="BT29" s="314" t="s">
        <v>2132</v>
      </c>
      <c r="BU29" s="314" t="s">
        <v>2133</v>
      </c>
      <c r="BV29" s="314" t="s">
        <v>2051</v>
      </c>
      <c r="BW29" s="328" t="s">
        <v>1307</v>
      </c>
      <c r="BX29" s="314" t="s">
        <v>2134</v>
      </c>
      <c r="BY29" s="317" t="s">
        <v>2135</v>
      </c>
      <c r="BZ29" s="328" t="s">
        <v>2136</v>
      </c>
      <c r="CA29" s="222" t="s">
        <v>2137</v>
      </c>
      <c r="CB29" s="315"/>
      <c r="CC29" s="315"/>
      <c r="CD29" s="315"/>
      <c r="CE29" s="315"/>
      <c r="CF29" s="329"/>
      <c r="CG29" s="314" t="s">
        <v>2138</v>
      </c>
      <c r="CH29" s="328" t="s">
        <v>2139</v>
      </c>
      <c r="CI29" s="314" t="s">
        <v>1036</v>
      </c>
      <c r="CJ29" s="328" t="s">
        <v>2140</v>
      </c>
      <c r="CK29" s="328"/>
      <c r="CL29" s="330" t="s">
        <v>2141</v>
      </c>
      <c r="CM29" s="328" t="s">
        <v>1935</v>
      </c>
      <c r="CN29" s="328" t="s">
        <v>1144</v>
      </c>
      <c r="CO29" s="314" t="s">
        <v>2142</v>
      </c>
      <c r="CP29" s="315"/>
      <c r="CQ29" s="328" t="s">
        <v>355</v>
      </c>
      <c r="CR29" s="315"/>
      <c r="CS29" s="315"/>
      <c r="CT29" s="315"/>
      <c r="CU29" s="154"/>
      <c r="CV29" s="314" t="s">
        <v>850</v>
      </c>
      <c r="CW29" s="314" t="s">
        <v>2143</v>
      </c>
      <c r="CX29" s="314" t="s">
        <v>189</v>
      </c>
      <c r="CY29" s="314" t="s">
        <v>2144</v>
      </c>
      <c r="CZ29" s="314" t="s">
        <v>2145</v>
      </c>
      <c r="DA29" s="328" t="s">
        <v>2146</v>
      </c>
      <c r="DB29" s="156" t="s">
        <v>193</v>
      </c>
      <c r="DC29" s="222" t="s">
        <v>307</v>
      </c>
      <c r="DD29" s="315"/>
      <c r="DE29" s="315"/>
      <c r="DF29" s="315"/>
      <c r="DG29" s="315"/>
      <c r="DH29" s="329"/>
      <c r="DI29" s="328" t="s">
        <v>628</v>
      </c>
      <c r="DJ29" s="315"/>
      <c r="DK29" s="315"/>
      <c r="DL29" s="315"/>
      <c r="DM29" s="314" t="s">
        <v>531</v>
      </c>
      <c r="DN29" s="314" t="s">
        <v>2147</v>
      </c>
      <c r="DO29" s="314" t="s">
        <v>633</v>
      </c>
      <c r="DP29" s="314" t="s">
        <v>2148</v>
      </c>
      <c r="DQ29" s="315"/>
      <c r="DR29" s="328" t="s">
        <v>2149</v>
      </c>
      <c r="DS29" s="314" t="s">
        <v>1752</v>
      </c>
      <c r="DT29" s="315"/>
      <c r="DU29" s="314" t="s">
        <v>1017</v>
      </c>
      <c r="DV29" s="315"/>
      <c r="DW29" s="314" t="s">
        <v>640</v>
      </c>
      <c r="DX29" s="315"/>
      <c r="DY29" s="315"/>
      <c r="DZ29" s="315"/>
      <c r="EA29" s="315"/>
      <c r="EB29" s="315"/>
      <c r="EC29" s="315"/>
      <c r="ED29" s="156" t="s">
        <v>2150</v>
      </c>
    </row>
    <row r="30">
      <c r="A30" s="331"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1990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2"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3"/>
      <c r="BB31" s="94" t="s">
        <v>1823</v>
      </c>
      <c r="BC31" s="88" t="s">
        <v>2221</v>
      </c>
      <c r="BD31" s="88" t="s">
        <v>2222</v>
      </c>
      <c r="BE31" s="88" t="s">
        <v>1295</v>
      </c>
      <c r="BF31" s="88" t="s">
        <v>1472</v>
      </c>
      <c r="BG31" s="94" t="s">
        <v>2223</v>
      </c>
      <c r="BH31" s="88" t="s">
        <v>1768</v>
      </c>
      <c r="BI31" s="88" t="s">
        <v>1932</v>
      </c>
      <c r="BJ31" s="88" t="s">
        <v>2224</v>
      </c>
      <c r="BK31" s="94"/>
      <c r="BL31" s="88" t="s">
        <v>2054</v>
      </c>
      <c r="BM31" s="94" t="s">
        <v>2225</v>
      </c>
      <c r="BN31" s="88" t="s">
        <v>936</v>
      </c>
      <c r="BO31" s="94" t="s">
        <v>2226</v>
      </c>
      <c r="BP31" s="94" t="s">
        <v>2227</v>
      </c>
      <c r="BQ31" s="334"/>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4"/>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5"/>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6"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1969</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7"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8"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1985</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1988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9"/>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1985</v>
      </c>
      <c r="P34" s="112" t="s">
        <v>654</v>
      </c>
      <c r="Q34" s="243"/>
      <c r="R34" s="243"/>
      <c r="S34" s="112" t="s">
        <v>1206</v>
      </c>
      <c r="T34" s="112" t="s">
        <v>1947</v>
      </c>
      <c r="U34" s="167" t="s">
        <v>2382</v>
      </c>
      <c r="V34" s="243"/>
      <c r="W34" s="92"/>
      <c r="X34" s="116" t="s">
        <v>2383</v>
      </c>
      <c r="Y34" s="270"/>
      <c r="Z34" s="116" t="s">
        <v>2384</v>
      </c>
      <c r="AA34" s="116" t="s">
        <v>2385</v>
      </c>
      <c r="AB34" s="197" t="s">
        <v>2386</v>
      </c>
      <c r="AC34" s="116" t="s">
        <v>1907</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1973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40" t="s">
        <v>2427</v>
      </c>
      <c r="B35" s="82" t="s">
        <v>2428</v>
      </c>
      <c r="C35" s="83" t="s">
        <v>1259</v>
      </c>
      <c r="D35" s="84" t="s">
        <v>1259</v>
      </c>
      <c r="E35" s="85" t="s">
        <v>1259</v>
      </c>
      <c r="F35" s="86" t="s">
        <v>1963</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2022</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1886</v>
      </c>
      <c r="L36" s="112" t="s">
        <v>2300</v>
      </c>
      <c r="M36" s="112" t="s">
        <v>2461</v>
      </c>
      <c r="N36" s="112" t="s">
        <v>2462</v>
      </c>
      <c r="O36" s="110" t="s">
        <v>2161</v>
      </c>
      <c r="P36" s="274" t="s">
        <v>558</v>
      </c>
      <c r="Q36" s="341" t="s">
        <v>2463</v>
      </c>
      <c r="R36" s="112" t="s">
        <v>2464</v>
      </c>
      <c r="S36" s="341" t="s">
        <v>994</v>
      </c>
      <c r="T36" s="112" t="s">
        <v>2465</v>
      </c>
      <c r="U36" s="110" t="s">
        <v>2466</v>
      </c>
      <c r="V36" s="225" t="s">
        <v>2467</v>
      </c>
      <c r="W36" s="226"/>
      <c r="X36" s="270" t="s">
        <v>1935</v>
      </c>
      <c r="Y36" s="115"/>
      <c r="Z36" s="114" t="s">
        <v>1571</v>
      </c>
      <c r="AA36" s="196" t="s">
        <v>2468</v>
      </c>
      <c r="AB36" s="116" t="s">
        <v>1670</v>
      </c>
      <c r="AC36" s="116" t="s">
        <v>2469</v>
      </c>
      <c r="AD36" s="116" t="s">
        <v>2470</v>
      </c>
      <c r="AE36" s="116" t="s">
        <v>2471</v>
      </c>
      <c r="AF36" s="197" t="s">
        <v>2327</v>
      </c>
      <c r="AG36" s="116" t="s">
        <v>2472</v>
      </c>
      <c r="AH36" s="342" t="s">
        <v>2473</v>
      </c>
      <c r="AI36" s="114" t="s">
        <v>2474</v>
      </c>
      <c r="AJ36" s="342" t="s">
        <v>2475</v>
      </c>
      <c r="AK36" s="270"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1969</v>
      </c>
      <c r="BO36" s="174" t="s">
        <v>2496</v>
      </c>
      <c r="BP36" s="174" t="s">
        <v>2497</v>
      </c>
      <c r="BQ36" s="293"/>
      <c r="BR36" s="128" t="s">
        <v>2498</v>
      </c>
      <c r="BS36" s="175" t="s">
        <v>2499</v>
      </c>
      <c r="BT36" s="129" t="s">
        <v>2500</v>
      </c>
      <c r="BU36" s="175" t="s">
        <v>2501</v>
      </c>
      <c r="BV36" s="176" t="s">
        <v>506</v>
      </c>
      <c r="BW36" s="129" t="s">
        <v>163</v>
      </c>
      <c r="BX36" s="128" t="s">
        <v>2502</v>
      </c>
      <c r="BY36" s="175" t="s">
        <v>2503</v>
      </c>
      <c r="BZ36" s="343" t="str">
        <f>HYPERLINK("https://clips.twitch.tv/RamshackleBlindingCaribouPupper", "2:21.41")</f>
        <v>2:21.41</v>
      </c>
      <c r="CA36" s="176" t="s">
        <v>2504</v>
      </c>
      <c r="CB36" s="175" t="s">
        <v>949</v>
      </c>
      <c r="CC36" s="344"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10"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4" t="s">
        <v>2541</v>
      </c>
      <c r="J37" s="314" t="s">
        <v>2542</v>
      </c>
      <c r="K37" s="314" t="s">
        <v>104</v>
      </c>
      <c r="L37" s="314" t="s">
        <v>2126</v>
      </c>
      <c r="M37" s="314" t="s">
        <v>2159</v>
      </c>
      <c r="N37" s="314" t="s">
        <v>2543</v>
      </c>
      <c r="O37" s="314" t="s">
        <v>2544</v>
      </c>
      <c r="P37" s="347" t="s">
        <v>2545</v>
      </c>
      <c r="Q37" s="346"/>
      <c r="R37" s="346"/>
      <c r="S37" s="346"/>
      <c r="T37" s="346"/>
      <c r="U37" s="346"/>
      <c r="V37" s="346"/>
      <c r="W37" s="348"/>
      <c r="X37" s="222" t="s">
        <v>2546</v>
      </c>
      <c r="Y37" s="222" t="s">
        <v>2547</v>
      </c>
      <c r="Z37" s="314" t="s">
        <v>2384</v>
      </c>
      <c r="AA37" s="347" t="s">
        <v>1739</v>
      </c>
      <c r="AB37" s="314" t="s">
        <v>360</v>
      </c>
      <c r="AC37" s="314" t="s">
        <v>1054</v>
      </c>
      <c r="AD37" s="223" t="s">
        <v>2131</v>
      </c>
      <c r="AE37" s="346"/>
      <c r="AF37" s="314" t="s">
        <v>2548</v>
      </c>
      <c r="AG37" s="314" t="s">
        <v>125</v>
      </c>
      <c r="AH37" s="346"/>
      <c r="AI37" s="346"/>
      <c r="AJ37" s="346"/>
      <c r="AK37" s="346"/>
      <c r="AL37" s="349"/>
      <c r="AM37" s="346"/>
      <c r="AN37" s="346"/>
      <c r="AO37" s="346"/>
      <c r="AP37" s="346"/>
      <c r="AQ37" s="346"/>
      <c r="AR37" s="346"/>
      <c r="AS37" s="346"/>
      <c r="AT37" s="346"/>
      <c r="AU37" s="314" t="s">
        <v>138</v>
      </c>
      <c r="AV37" s="314" t="s">
        <v>2549</v>
      </c>
      <c r="AW37" s="346"/>
      <c r="AX37" s="346"/>
      <c r="AY37" s="346"/>
      <c r="AZ37" s="346"/>
      <c r="BA37" s="346"/>
      <c r="BB37" s="314" t="s">
        <v>2550</v>
      </c>
      <c r="BC37" s="314" t="s">
        <v>1911</v>
      </c>
      <c r="BD37" s="314" t="s">
        <v>2325</v>
      </c>
      <c r="BE37" s="314" t="s">
        <v>2551</v>
      </c>
      <c r="BF37" s="347" t="s">
        <v>147</v>
      </c>
      <c r="BG37" s="346"/>
      <c r="BH37" s="346"/>
      <c r="BI37" s="314" t="s">
        <v>1620</v>
      </c>
      <c r="BJ37" s="346"/>
      <c r="BK37" s="314" t="s">
        <v>2552</v>
      </c>
      <c r="BL37" s="314" t="s">
        <v>2553</v>
      </c>
      <c r="BM37" s="346"/>
      <c r="BN37" s="346"/>
      <c r="BO37" s="346"/>
      <c r="BP37" s="346"/>
      <c r="BQ37" s="350"/>
      <c r="BR37" s="314" t="s">
        <v>1302</v>
      </c>
      <c r="BS37" s="314" t="s">
        <v>1260</v>
      </c>
      <c r="BT37" s="314" t="s">
        <v>2481</v>
      </c>
      <c r="BU37" s="314" t="s">
        <v>2554</v>
      </c>
      <c r="BV37" s="314" t="s">
        <v>598</v>
      </c>
      <c r="BW37" s="314" t="s">
        <v>2555</v>
      </c>
      <c r="BX37" s="314" t="s">
        <v>2556</v>
      </c>
      <c r="BY37" s="346"/>
      <c r="BZ37" s="314" t="s">
        <v>2557</v>
      </c>
      <c r="CA37" s="314" t="s">
        <v>2558</v>
      </c>
      <c r="CB37" s="346"/>
      <c r="CC37" s="346"/>
      <c r="CD37" s="346"/>
      <c r="CE37" s="346"/>
      <c r="CF37" s="350"/>
      <c r="CG37" s="314" t="s">
        <v>2559</v>
      </c>
      <c r="CH37" s="314" t="s">
        <v>2560</v>
      </c>
      <c r="CI37" s="314" t="s">
        <v>2561</v>
      </c>
      <c r="CJ37" s="314" t="s">
        <v>2562</v>
      </c>
      <c r="CK37" s="319" t="s">
        <v>2563</v>
      </c>
      <c r="CL37" s="346"/>
      <c r="CM37" s="314" t="s">
        <v>2564</v>
      </c>
      <c r="CN37" s="314" t="s">
        <v>1078</v>
      </c>
      <c r="CO37" s="314" t="s">
        <v>1781</v>
      </c>
      <c r="CP37" s="346"/>
      <c r="CQ37" s="346"/>
      <c r="CR37" s="346"/>
      <c r="CS37" s="346"/>
      <c r="CT37" s="346"/>
      <c r="CU37" s="349"/>
      <c r="CV37" s="314" t="s">
        <v>2565</v>
      </c>
      <c r="CW37" s="346"/>
      <c r="CX37" s="314" t="s">
        <v>2521</v>
      </c>
      <c r="CY37" s="347" t="s">
        <v>190</v>
      </c>
      <c r="CZ37" s="319" t="s">
        <v>2566</v>
      </c>
      <c r="DA37" s="314" t="s">
        <v>1583</v>
      </c>
      <c r="DB37" s="314" t="s">
        <v>2092</v>
      </c>
      <c r="DC37" s="314" t="s">
        <v>2567</v>
      </c>
      <c r="DD37" s="346"/>
      <c r="DE37" s="346"/>
      <c r="DF37" s="346"/>
      <c r="DG37" s="346"/>
      <c r="DH37" s="350"/>
      <c r="DI37" s="347" t="s">
        <v>2568</v>
      </c>
      <c r="DJ37" s="346"/>
      <c r="DK37" s="346"/>
      <c r="DL37" s="346"/>
      <c r="DM37" s="346"/>
      <c r="DN37" s="346"/>
      <c r="DO37" s="346"/>
      <c r="DP37" s="346"/>
      <c r="DQ37" s="346"/>
      <c r="DR37" s="314" t="s">
        <v>272</v>
      </c>
      <c r="DS37" s="314"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09"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2"/>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1984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3"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4"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1963</v>
      </c>
      <c r="H40" s="243"/>
      <c r="I40" s="167" t="s">
        <v>1202</v>
      </c>
      <c r="J40" s="112" t="s">
        <v>2675</v>
      </c>
      <c r="K40" s="308" t="s">
        <v>1731</v>
      </c>
      <c r="L40" s="112" t="s">
        <v>628</v>
      </c>
      <c r="M40" s="112" t="s">
        <v>2676</v>
      </c>
      <c r="N40" s="112" t="s">
        <v>2677</v>
      </c>
      <c r="O40" s="112" t="s">
        <v>2678</v>
      </c>
      <c r="P40" s="308"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404</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2131</v>
      </c>
      <c r="CN40" s="135" t="s">
        <v>542</v>
      </c>
      <c r="CO40" s="177" t="s">
        <v>2697</v>
      </c>
      <c r="CP40" s="255"/>
      <c r="CQ40" s="255"/>
      <c r="CR40" s="255"/>
      <c r="CS40" s="255"/>
      <c r="CT40" s="177"/>
      <c r="CU40" s="92"/>
      <c r="CV40" s="140" t="s">
        <v>2698</v>
      </c>
      <c r="CW40" s="256"/>
      <c r="CX40" s="140" t="s">
        <v>770</v>
      </c>
      <c r="CY40" s="140" t="s">
        <v>2323</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1990</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166</v>
      </c>
      <c r="CA41" s="94" t="s">
        <v>2631</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1991</v>
      </c>
      <c r="J42" s="359" t="s">
        <v>653</v>
      </c>
      <c r="K42" s="359" t="s">
        <v>2756</v>
      </c>
      <c r="L42" s="359" t="s">
        <v>2757</v>
      </c>
      <c r="M42" s="359" t="s">
        <v>2758</v>
      </c>
      <c r="N42" s="359" t="s">
        <v>2759</v>
      </c>
      <c r="O42" s="359" t="s">
        <v>1566</v>
      </c>
      <c r="P42" s="359" t="s">
        <v>2545</v>
      </c>
      <c r="Q42" s="359" t="s">
        <v>342</v>
      </c>
      <c r="R42" s="360"/>
      <c r="S42" s="361" t="s">
        <v>2760</v>
      </c>
      <c r="T42" s="360"/>
      <c r="U42" s="360"/>
      <c r="V42" s="359" t="s">
        <v>2761</v>
      </c>
      <c r="W42" s="186"/>
      <c r="X42" s="362" t="s">
        <v>2066</v>
      </c>
      <c r="Y42" s="363" t="s">
        <v>872</v>
      </c>
      <c r="Z42" s="362" t="s">
        <v>2762</v>
      </c>
      <c r="AA42" s="362" t="s">
        <v>359</v>
      </c>
      <c r="AB42" s="362" t="s">
        <v>2763</v>
      </c>
      <c r="AC42" s="362" t="s">
        <v>2413</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2165</v>
      </c>
      <c r="BG42" s="371"/>
      <c r="BH42" s="371"/>
      <c r="BI42" s="370" t="s">
        <v>2781</v>
      </c>
      <c r="BJ42" s="371"/>
      <c r="BK42" s="370" t="s">
        <v>2782</v>
      </c>
      <c r="BL42" s="372" t="s">
        <v>2783</v>
      </c>
      <c r="BM42" s="126" t="s">
        <v>2784</v>
      </c>
      <c r="BN42" s="370" t="s">
        <v>2486</v>
      </c>
      <c r="BO42" s="126" t="s">
        <v>2785</v>
      </c>
      <c r="BP42" s="126" t="s">
        <v>2786</v>
      </c>
      <c r="BQ42" s="373"/>
      <c r="BR42" s="374" t="s">
        <v>2787</v>
      </c>
      <c r="BS42" s="374" t="s">
        <v>137</v>
      </c>
      <c r="BT42" s="374" t="s">
        <v>2788</v>
      </c>
      <c r="BU42" s="374" t="s">
        <v>2789</v>
      </c>
      <c r="BV42" s="374" t="s">
        <v>2790</v>
      </c>
      <c r="BW42" s="374" t="s">
        <v>1998</v>
      </c>
      <c r="BX42" s="374" t="s">
        <v>2791</v>
      </c>
      <c r="BY42" s="375"/>
      <c r="BZ42" s="374" t="s">
        <v>2792</v>
      </c>
      <c r="CA42" s="374" t="s">
        <v>1255</v>
      </c>
      <c r="CB42" s="129" t="s">
        <v>2793</v>
      </c>
      <c r="CC42" s="129" t="s">
        <v>2794</v>
      </c>
      <c r="CD42" s="129" t="s">
        <v>2795</v>
      </c>
      <c r="CE42" s="129" t="s">
        <v>2796</v>
      </c>
      <c r="CF42" s="376"/>
      <c r="CG42" s="377" t="s">
        <v>2683</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2180</v>
      </c>
      <c r="CX42" s="379" t="s">
        <v>1936</v>
      </c>
      <c r="CY42" s="379" t="s">
        <v>1115</v>
      </c>
      <c r="CZ42" s="379" t="s">
        <v>1002</v>
      </c>
      <c r="DA42" s="379" t="s">
        <v>2181</v>
      </c>
      <c r="DB42" s="379" t="s">
        <v>2805</v>
      </c>
      <c r="DC42" s="379" t="s">
        <v>2806</v>
      </c>
      <c r="DD42" s="140" t="s">
        <v>593</v>
      </c>
      <c r="DE42" s="140" t="s">
        <v>2002</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2057</v>
      </c>
      <c r="DV42" s="145" t="s">
        <v>659</v>
      </c>
      <c r="DW42" s="145" t="s">
        <v>1630</v>
      </c>
      <c r="DX42" s="383"/>
      <c r="DY42" s="383"/>
      <c r="DZ42" s="383"/>
      <c r="EA42" s="384" t="s">
        <v>2813</v>
      </c>
      <c r="EB42" s="145" t="s">
        <v>2425</v>
      </c>
      <c r="EC42" s="145" t="s">
        <v>1124</v>
      </c>
      <c r="ED42" s="145" t="s">
        <v>218</v>
      </c>
    </row>
    <row r="43">
      <c r="A43" s="385" t="s">
        <v>2814</v>
      </c>
      <c r="B43" s="82" t="s">
        <v>2815</v>
      </c>
      <c r="C43" s="83" t="s">
        <v>1259</v>
      </c>
      <c r="D43" s="84" t="s">
        <v>1259</v>
      </c>
      <c r="E43" s="85" t="s">
        <v>1259</v>
      </c>
      <c r="F43" s="86" t="s">
        <v>2191</v>
      </c>
      <c r="G43" s="82" t="s">
        <v>2572</v>
      </c>
      <c r="H43" s="99"/>
      <c r="I43" s="88" t="s">
        <v>2816</v>
      </c>
      <c r="J43" s="88" t="s">
        <v>2817</v>
      </c>
      <c r="K43" s="88" t="s">
        <v>1562</v>
      </c>
      <c r="L43" s="88" t="s">
        <v>2818</v>
      </c>
      <c r="M43" s="88" t="s">
        <v>2819</v>
      </c>
      <c r="N43" s="88" t="s">
        <v>2820</v>
      </c>
      <c r="O43" s="88" t="s">
        <v>2821</v>
      </c>
      <c r="P43" s="88" t="s">
        <v>2545</v>
      </c>
      <c r="Q43" s="99"/>
      <c r="R43" s="88" t="s">
        <v>2822</v>
      </c>
      <c r="S43" s="88" t="s">
        <v>1367</v>
      </c>
      <c r="T43" s="99"/>
      <c r="U43" s="99"/>
      <c r="V43" s="88" t="s">
        <v>2823</v>
      </c>
      <c r="W43" s="92"/>
      <c r="X43" s="88" t="s">
        <v>2824</v>
      </c>
      <c r="Y43" s="93"/>
      <c r="Z43" s="88" t="s">
        <v>2825</v>
      </c>
      <c r="AA43" s="88" t="s">
        <v>2826</v>
      </c>
      <c r="AB43" s="88" t="s">
        <v>2827</v>
      </c>
      <c r="AC43" s="88" t="s">
        <v>2533</v>
      </c>
      <c r="AD43" s="88" t="s">
        <v>1973</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2779</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2655</v>
      </c>
      <c r="CJ43" s="88" t="s">
        <v>2846</v>
      </c>
      <c r="CK43" s="102"/>
      <c r="CL43" s="88" t="s">
        <v>2847</v>
      </c>
      <c r="CM43" s="88" t="s">
        <v>1688</v>
      </c>
      <c r="CN43" s="88" t="s">
        <v>2848</v>
      </c>
      <c r="CO43" s="88" t="s">
        <v>2849</v>
      </c>
      <c r="CP43" s="99"/>
      <c r="CQ43" s="88" t="s">
        <v>2455</v>
      </c>
      <c r="CR43" s="99"/>
      <c r="CS43" s="88" t="s">
        <v>2850</v>
      </c>
      <c r="CT43" s="88" t="s">
        <v>2851</v>
      </c>
      <c r="CU43" s="92"/>
      <c r="CV43" s="88" t="s">
        <v>2852</v>
      </c>
      <c r="CW43" s="88" t="s">
        <v>188</v>
      </c>
      <c r="CX43" s="271"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2339</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2617</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2531</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2180</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2430</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2090</v>
      </c>
      <c r="I45" s="94" t="s">
        <v>2929</v>
      </c>
      <c r="J45" s="94" t="s">
        <v>2930</v>
      </c>
      <c r="K45" s="94" t="s">
        <v>2162</v>
      </c>
      <c r="L45" s="93" t="s">
        <v>1853</v>
      </c>
      <c r="M45" s="99"/>
      <c r="N45" s="99"/>
      <c r="O45" s="93" t="s">
        <v>2931</v>
      </c>
      <c r="P45" s="94" t="s">
        <v>2932</v>
      </c>
      <c r="Q45" s="89" t="s">
        <v>2648</v>
      </c>
      <c r="R45" s="94"/>
      <c r="S45" s="94" t="s">
        <v>994</v>
      </c>
      <c r="T45" s="93"/>
      <c r="U45" s="93" t="s">
        <v>2933</v>
      </c>
      <c r="V45" s="90" t="s">
        <v>2934</v>
      </c>
      <c r="W45" s="226"/>
      <c r="X45" s="94" t="s">
        <v>2935</v>
      </c>
      <c r="Y45" s="94"/>
      <c r="Z45" s="94" t="s">
        <v>2936</v>
      </c>
      <c r="AA45" s="94" t="s">
        <v>2040</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2395</v>
      </c>
      <c r="DD45" s="98" t="str">
        <f>HYPERLINK("https://youtu.be/BJNJgSLnXTM","1:18.10")</f>
        <v>1:18.10</v>
      </c>
      <c r="DE45" s="94" t="s">
        <v>2976</v>
      </c>
      <c r="DF45" s="93" t="s">
        <v>2919</v>
      </c>
      <c r="DG45" s="98" t="s">
        <v>1919</v>
      </c>
      <c r="DH45" s="91"/>
      <c r="DI45" s="99"/>
      <c r="DJ45" s="94" t="s">
        <v>2977</v>
      </c>
      <c r="DK45" s="99"/>
      <c r="DL45" s="89" t="s">
        <v>2978</v>
      </c>
      <c r="DM45" s="94" t="s">
        <v>2630</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2647</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2472</v>
      </c>
      <c r="AH46" s="197" t="s">
        <v>1565</v>
      </c>
      <c r="AI46" s="197" t="s">
        <v>2997</v>
      </c>
      <c r="AJ46" s="197" t="s">
        <v>2872</v>
      </c>
      <c r="AK46" s="197" t="s">
        <v>2476</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2500</v>
      </c>
      <c r="BU46" s="129" t="s">
        <v>896</v>
      </c>
      <c r="BV46" s="129" t="s">
        <v>3015</v>
      </c>
      <c r="BW46" s="129" t="s">
        <v>2257</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2325</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2231</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7" t="s">
        <v>3168</v>
      </c>
      <c r="CN49" s="93" t="s">
        <v>2469</v>
      </c>
      <c r="CO49" s="94" t="s">
        <v>2148</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2303</v>
      </c>
      <c r="J50" s="112" t="s">
        <v>994</v>
      </c>
      <c r="K50" s="308" t="s">
        <v>2867</v>
      </c>
      <c r="L50" s="308" t="s">
        <v>2524</v>
      </c>
      <c r="M50" s="112" t="s">
        <v>3191</v>
      </c>
      <c r="N50" s="439" t="s">
        <v>3192</v>
      </c>
      <c r="O50" s="308" t="s">
        <v>3193</v>
      </c>
      <c r="P50" s="112" t="s">
        <v>2545</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2472</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2567</v>
      </c>
      <c r="AV50" s="279" t="s">
        <v>179</v>
      </c>
      <c r="AW50" s="279" t="s">
        <v>3029</v>
      </c>
      <c r="AX50" s="247"/>
      <c r="AY50" s="121" t="s">
        <v>1332</v>
      </c>
      <c r="AZ50" s="121" t="s">
        <v>3203</v>
      </c>
      <c r="BA50" s="247"/>
      <c r="BB50" s="352" t="s">
        <v>2383</v>
      </c>
      <c r="BC50" s="126" t="s">
        <v>2708</v>
      </c>
      <c r="BD50" s="352" t="s">
        <v>2797</v>
      </c>
      <c r="BE50" s="352" t="s">
        <v>3204</v>
      </c>
      <c r="BF50" s="126" t="s">
        <v>2499</v>
      </c>
      <c r="BG50" s="352" t="s">
        <v>3205</v>
      </c>
      <c r="BH50" s="173"/>
      <c r="BI50" s="352" t="s">
        <v>3081</v>
      </c>
      <c r="BJ50" s="126" t="s">
        <v>278</v>
      </c>
      <c r="BK50" s="352"/>
      <c r="BL50" s="126" t="s">
        <v>3009</v>
      </c>
      <c r="BM50" s="174" t="s">
        <v>3206</v>
      </c>
      <c r="BN50" s="174" t="s">
        <v>2229</v>
      </c>
      <c r="BO50" s="352" t="s">
        <v>1919</v>
      </c>
      <c r="BP50" s="126" t="s">
        <v>3207</v>
      </c>
      <c r="BQ50" s="249"/>
      <c r="BR50" s="131" t="s">
        <v>2548</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2370</v>
      </c>
      <c r="CR50" s="255"/>
      <c r="CS50" s="135" t="s">
        <v>3226</v>
      </c>
      <c r="CT50" s="296" t="s">
        <v>3227</v>
      </c>
      <c r="CU50" s="92"/>
      <c r="CV50" s="285" t="s">
        <v>3228</v>
      </c>
      <c r="CW50" s="285" t="s">
        <v>3229</v>
      </c>
      <c r="CX50" s="310" t="s">
        <v>3230</v>
      </c>
      <c r="CY50" s="140" t="s">
        <v>3231</v>
      </c>
      <c r="CZ50" s="285" t="s">
        <v>3232</v>
      </c>
      <c r="DA50" s="310" t="s">
        <v>851</v>
      </c>
      <c r="DB50" s="310" t="s">
        <v>837</v>
      </c>
      <c r="DC50" s="140" t="s">
        <v>2744</v>
      </c>
      <c r="DD50" s="203" t="s">
        <v>3233</v>
      </c>
      <c r="DE50" s="140" t="s">
        <v>3234</v>
      </c>
      <c r="DF50" s="203" t="s">
        <v>3235</v>
      </c>
      <c r="DG50" s="203" t="s">
        <v>3236</v>
      </c>
      <c r="DH50" s="257"/>
      <c r="DI50" s="205" t="s">
        <v>3237</v>
      </c>
      <c r="DJ50" s="258"/>
      <c r="DK50" s="258"/>
      <c r="DL50" s="205"/>
      <c r="DM50" s="205" t="s">
        <v>2067</v>
      </c>
      <c r="DN50" s="205" t="s">
        <v>3238</v>
      </c>
      <c r="DO50" s="204" t="s">
        <v>3239</v>
      </c>
      <c r="DP50" s="204" t="s">
        <v>3240</v>
      </c>
      <c r="DQ50" s="258"/>
      <c r="DR50" s="145" t="s">
        <v>3241</v>
      </c>
      <c r="DS50" s="205" t="s">
        <v>3242</v>
      </c>
      <c r="DT50" s="204" t="s">
        <v>3243</v>
      </c>
      <c r="DU50" s="440" t="s">
        <v>1364</v>
      </c>
      <c r="DV50" s="145" t="s">
        <v>2349</v>
      </c>
      <c r="DW50" s="204" t="s">
        <v>2921</v>
      </c>
      <c r="DX50" s="204" t="s">
        <v>2423</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2089</v>
      </c>
      <c r="H51" s="94" t="s">
        <v>1768</v>
      </c>
      <c r="I51" s="162" t="s">
        <v>3250</v>
      </c>
      <c r="J51" s="162" t="s">
        <v>3251</v>
      </c>
      <c r="K51" s="88" t="s">
        <v>2756</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2469</v>
      </c>
      <c r="AD51" s="88" t="s">
        <v>3259</v>
      </c>
      <c r="AE51" s="94" t="s">
        <v>3260</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2494</v>
      </c>
      <c r="BM51" s="99"/>
      <c r="BN51" s="99"/>
      <c r="BO51" s="99"/>
      <c r="BP51" s="99"/>
      <c r="BQ51" s="236"/>
      <c r="BR51" s="94" t="s">
        <v>3267</v>
      </c>
      <c r="BS51" s="94" t="s">
        <v>776</v>
      </c>
      <c r="BT51" s="88" t="s">
        <v>3268</v>
      </c>
      <c r="BU51" s="88" t="s">
        <v>1712</v>
      </c>
      <c r="BV51" s="94" t="s">
        <v>2801</v>
      </c>
      <c r="BW51" s="271" t="s">
        <v>3269</v>
      </c>
      <c r="BX51" s="94" t="s">
        <v>456</v>
      </c>
      <c r="BY51" s="266" t="s">
        <v>3270</v>
      </c>
      <c r="BZ51" s="162" t="s">
        <v>3271</v>
      </c>
      <c r="CA51" s="162" t="s">
        <v>789</v>
      </c>
      <c r="CB51" s="99"/>
      <c r="CC51" s="99"/>
      <c r="CD51" s="94" t="s">
        <v>2949</v>
      </c>
      <c r="CE51" s="99"/>
      <c r="CF51" s="236"/>
      <c r="CG51" s="94" t="s">
        <v>3272</v>
      </c>
      <c r="CH51" s="88" t="s">
        <v>2719</v>
      </c>
      <c r="CI51" s="162" t="s">
        <v>3273</v>
      </c>
      <c r="CJ51" s="94" t="s">
        <v>3274</v>
      </c>
      <c r="CK51" s="94"/>
      <c r="CL51" s="441"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1078</v>
      </c>
      <c r="DB51" s="162" t="s">
        <v>2269</v>
      </c>
      <c r="DC51" s="88" t="s">
        <v>1403</v>
      </c>
      <c r="DD51" s="99"/>
      <c r="DE51" s="99"/>
      <c r="DF51" s="99"/>
      <c r="DG51" s="99"/>
      <c r="DH51" s="236"/>
      <c r="DI51" s="94" t="s">
        <v>1291</v>
      </c>
      <c r="DJ51" s="94" t="s">
        <v>529</v>
      </c>
      <c r="DK51" s="99"/>
      <c r="DL51" s="99"/>
      <c r="DM51" s="88" t="s">
        <v>3278</v>
      </c>
      <c r="DN51" s="94" t="s">
        <v>1120</v>
      </c>
      <c r="DO51" s="94" t="s">
        <v>2332</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2335</v>
      </c>
      <c r="DB52" s="232" t="s">
        <v>2250</v>
      </c>
      <c r="DC52" s="203" t="s">
        <v>3334</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1567</v>
      </c>
      <c r="Q53" s="99"/>
      <c r="R53" s="99"/>
      <c r="S53" s="94" t="s">
        <v>3345</v>
      </c>
      <c r="T53" s="99"/>
      <c r="U53" s="94" t="s">
        <v>3346</v>
      </c>
      <c r="V53" s="99"/>
      <c r="W53" s="92"/>
      <c r="X53" s="314" t="s">
        <v>2715</v>
      </c>
      <c r="Y53" s="93"/>
      <c r="Z53" s="88" t="s">
        <v>2762</v>
      </c>
      <c r="AA53" s="94" t="s">
        <v>249</v>
      </c>
      <c r="AB53" s="88" t="s">
        <v>3347</v>
      </c>
      <c r="AC53" s="88" t="s">
        <v>3348</v>
      </c>
      <c r="AD53" s="88" t="s">
        <v>3349</v>
      </c>
      <c r="AE53" s="99"/>
      <c r="AF53" s="94" t="s">
        <v>420</v>
      </c>
      <c r="AG53" s="94" t="s">
        <v>2767</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1580</v>
      </c>
      <c r="CP53" s="99"/>
      <c r="CQ53" s="99"/>
      <c r="CR53" s="99"/>
      <c r="CS53" s="99"/>
      <c r="CT53" s="99"/>
      <c r="CU53" s="92"/>
      <c r="CV53" s="89" t="s">
        <v>1977</v>
      </c>
      <c r="CW53" s="94" t="s">
        <v>3025</v>
      </c>
      <c r="CX53" s="88" t="s">
        <v>1078</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2110</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2022</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2229</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2335</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2605</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2591</v>
      </c>
      <c r="AV55" s="88" t="s">
        <v>1014</v>
      </c>
      <c r="AW55" s="99"/>
      <c r="AX55" s="99"/>
      <c r="AY55" s="162" t="s">
        <v>3164</v>
      </c>
      <c r="AZ55" s="99"/>
      <c r="BA55" s="99"/>
      <c r="BB55" s="94" t="s">
        <v>3413</v>
      </c>
      <c r="BC55" s="94" t="s">
        <v>1161</v>
      </c>
      <c r="BD55" s="94" t="s">
        <v>2325</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2697</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2545</v>
      </c>
      <c r="Q56" s="167" t="s">
        <v>3439</v>
      </c>
      <c r="R56" s="243"/>
      <c r="S56" s="167" t="s">
        <v>836</v>
      </c>
      <c r="T56" s="243"/>
      <c r="U56" s="167" t="s">
        <v>1834</v>
      </c>
      <c r="V56" s="167" t="s">
        <v>3440</v>
      </c>
      <c r="W56" s="92"/>
      <c r="X56" s="117" t="s">
        <v>1223</v>
      </c>
      <c r="Y56" s="117"/>
      <c r="Z56" s="117" t="s">
        <v>3441</v>
      </c>
      <c r="AA56" s="117" t="s">
        <v>2767</v>
      </c>
      <c r="AB56" s="116" t="s">
        <v>3442</v>
      </c>
      <c r="AC56" s="117" t="s">
        <v>2413</v>
      </c>
      <c r="AD56" s="117" t="s">
        <v>3443</v>
      </c>
      <c r="AE56" s="246"/>
      <c r="AF56" s="117" t="s">
        <v>3444</v>
      </c>
      <c r="AG56" s="117" t="s">
        <v>2067</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2633</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2056</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2213</v>
      </c>
      <c r="I57" s="94" t="s">
        <v>1381</v>
      </c>
      <c r="J57" s="94" t="s">
        <v>3485</v>
      </c>
      <c r="K57" s="88" t="s">
        <v>991</v>
      </c>
      <c r="L57" s="94" t="s">
        <v>465</v>
      </c>
      <c r="M57" s="99"/>
      <c r="N57" s="94" t="s">
        <v>3486</v>
      </c>
      <c r="O57" s="88" t="s">
        <v>3487</v>
      </c>
      <c r="P57" s="94" t="s">
        <v>109</v>
      </c>
      <c r="Q57" s="99"/>
      <c r="R57" s="99"/>
      <c r="S57" s="99"/>
      <c r="T57" s="99"/>
      <c r="U57" s="99"/>
      <c r="V57" s="99"/>
      <c r="W57" s="92"/>
      <c r="X57" s="88" t="s">
        <v>2124</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2591</v>
      </c>
      <c r="AV57" s="94" t="s">
        <v>3152</v>
      </c>
      <c r="AW57" s="99"/>
      <c r="AX57" s="99"/>
      <c r="AY57" s="94" t="s">
        <v>751</v>
      </c>
      <c r="AZ57" s="99"/>
      <c r="BA57" s="99"/>
      <c r="BB57" s="94" t="s">
        <v>3494</v>
      </c>
      <c r="BC57" s="94" t="s">
        <v>2158</v>
      </c>
      <c r="BD57" s="94" t="s">
        <v>3152</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2725</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2600</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2551</v>
      </c>
      <c r="DV58" s="258"/>
      <c r="DW58" s="204" t="s">
        <v>3560</v>
      </c>
      <c r="DX58" s="258"/>
      <c r="DY58" s="204" t="s">
        <v>2631</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2172</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2469</v>
      </c>
      <c r="AW59" s="94" t="s">
        <v>535</v>
      </c>
      <c r="AX59" s="99"/>
      <c r="AY59" s="266" t="s">
        <v>836</v>
      </c>
      <c r="AZ59" s="88" t="s">
        <v>3579</v>
      </c>
      <c r="BA59" s="99"/>
      <c r="BB59" s="88" t="s">
        <v>3580</v>
      </c>
      <c r="BC59" s="88" t="s">
        <v>3581</v>
      </c>
      <c r="BD59" s="88" t="s">
        <v>3582</v>
      </c>
      <c r="BE59" s="266" t="s">
        <v>3487</v>
      </c>
      <c r="BF59" s="88" t="s">
        <v>2470</v>
      </c>
      <c r="BG59" s="94" t="s">
        <v>444</v>
      </c>
      <c r="BH59" s="94" t="s">
        <v>3583</v>
      </c>
      <c r="BI59" s="266" t="s">
        <v>1320</v>
      </c>
      <c r="BJ59" s="94"/>
      <c r="BK59" s="266" t="s">
        <v>722</v>
      </c>
      <c r="BL59" s="88" t="s">
        <v>3584</v>
      </c>
      <c r="BM59" s="88" t="s">
        <v>3585</v>
      </c>
      <c r="BN59" s="94" t="s">
        <v>2132</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2622</v>
      </c>
      <c r="CH59" s="88" t="s">
        <v>2906</v>
      </c>
      <c r="CI59" s="94" t="s">
        <v>1267</v>
      </c>
      <c r="CJ59" s="94" t="s">
        <v>3599</v>
      </c>
      <c r="CK59" s="94" t="s">
        <v>3600</v>
      </c>
      <c r="CL59" s="94" t="s">
        <v>3508</v>
      </c>
      <c r="CM59" s="94" t="s">
        <v>3601</v>
      </c>
      <c r="CN59" s="266" t="s">
        <v>3602</v>
      </c>
      <c r="CO59" s="94" t="s">
        <v>3603</v>
      </c>
      <c r="CP59" s="94" t="s">
        <v>2055</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2083</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2089</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2229</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2318</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2222</v>
      </c>
      <c r="BE61" s="94" t="s">
        <v>3701</v>
      </c>
      <c r="BF61" s="94" t="s">
        <v>3702</v>
      </c>
      <c r="BG61" s="94" t="s">
        <v>1220</v>
      </c>
      <c r="BH61" s="94" t="s">
        <v>3703</v>
      </c>
      <c r="BI61" s="88" t="s">
        <v>1756</v>
      </c>
      <c r="BJ61" s="94" t="s">
        <v>2658</v>
      </c>
      <c r="BK61" s="94" t="s">
        <v>3704</v>
      </c>
      <c r="BL61" s="94" t="s">
        <v>3705</v>
      </c>
      <c r="BM61" s="94"/>
      <c r="BN61" s="88" t="s">
        <v>1587</v>
      </c>
      <c r="BO61" s="94" t="s">
        <v>3706</v>
      </c>
      <c r="BP61" s="94" t="s">
        <v>3297</v>
      </c>
      <c r="BQ61" s="94"/>
      <c r="BR61" s="88" t="s">
        <v>3707</v>
      </c>
      <c r="BS61" s="94" t="s">
        <v>3708</v>
      </c>
      <c r="BT61" s="94" t="s">
        <v>3709</v>
      </c>
      <c r="BU61" s="94" t="s">
        <v>3318</v>
      </c>
      <c r="BV61" s="94" t="s">
        <v>2002</v>
      </c>
      <c r="BW61" s="94" t="s">
        <v>3710</v>
      </c>
      <c r="BX61" s="94" t="s">
        <v>3541</v>
      </c>
      <c r="BY61" s="94" t="s">
        <v>3711</v>
      </c>
      <c r="BZ61" s="94" t="s">
        <v>3114</v>
      </c>
      <c r="CA61" s="94" t="s">
        <v>3712</v>
      </c>
      <c r="CB61" s="94" t="s">
        <v>2410</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2346</v>
      </c>
      <c r="DC61" s="88" t="s">
        <v>2624</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2741</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2266</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2559</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2199</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2181</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2575</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1848</v>
      </c>
      <c r="DY62" s="206" t="s">
        <v>2741</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1642</v>
      </c>
      <c r="M63" s="94" t="s">
        <v>3809</v>
      </c>
      <c r="N63" s="94" t="s">
        <v>3810</v>
      </c>
      <c r="O63" s="94" t="s">
        <v>3701</v>
      </c>
      <c r="P63" s="94" t="s">
        <v>2545</v>
      </c>
      <c r="Q63" s="94" t="s">
        <v>3811</v>
      </c>
      <c r="R63" s="99"/>
      <c r="S63" s="99"/>
      <c r="T63" s="99"/>
      <c r="U63" s="99"/>
      <c r="V63" s="94" t="s">
        <v>3812</v>
      </c>
      <c r="W63" s="92"/>
      <c r="X63" s="88" t="s">
        <v>2532</v>
      </c>
      <c r="Y63" s="102"/>
      <c r="Z63" s="88" t="s">
        <v>3813</v>
      </c>
      <c r="AA63" s="88" t="s">
        <v>1828</v>
      </c>
      <c r="AB63" s="94" t="s">
        <v>3057</v>
      </c>
      <c r="AC63" s="94" t="s">
        <v>3058</v>
      </c>
      <c r="AD63" s="93" t="s">
        <v>3814</v>
      </c>
      <c r="AE63" s="99"/>
      <c r="AF63" s="94" t="s">
        <v>2548</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2193</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2040</v>
      </c>
      <c r="AB64" s="197" t="s">
        <v>3841</v>
      </c>
      <c r="AC64" s="197" t="s">
        <v>2469</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2222</v>
      </c>
      <c r="BE64" s="174" t="s">
        <v>3846</v>
      </c>
      <c r="BF64" s="463" t="s">
        <v>3847</v>
      </c>
      <c r="BG64" s="173"/>
      <c r="BH64" s="173"/>
      <c r="BI64" s="174" t="s">
        <v>2049</v>
      </c>
      <c r="BJ64" s="444" t="s">
        <v>3848</v>
      </c>
      <c r="BK64" s="444"/>
      <c r="BL64" s="174" t="s">
        <v>2530</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2042</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2303</v>
      </c>
      <c r="J65" s="94" t="s">
        <v>3863</v>
      </c>
      <c r="K65" s="94" t="s">
        <v>3864</v>
      </c>
      <c r="L65" s="94" t="s">
        <v>3865</v>
      </c>
      <c r="M65" s="94" t="s">
        <v>2184</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1951</v>
      </c>
      <c r="DL65" s="94" t="s">
        <v>3918</v>
      </c>
      <c r="DM65" s="94" t="s">
        <v>3919</v>
      </c>
      <c r="DN65" s="94" t="s">
        <v>695</v>
      </c>
      <c r="DO65" s="94" t="s">
        <v>3920</v>
      </c>
      <c r="DP65" s="94" t="s">
        <v>3921</v>
      </c>
      <c r="DQ65" s="94" t="s">
        <v>3922</v>
      </c>
      <c r="DR65" s="94" t="s">
        <v>2029</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2678</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2715</v>
      </c>
      <c r="BC66" s="174" t="s">
        <v>888</v>
      </c>
      <c r="BD66" s="174" t="s">
        <v>3641</v>
      </c>
      <c r="BE66" s="126" t="s">
        <v>3943</v>
      </c>
      <c r="BF66" s="126" t="s">
        <v>2000</v>
      </c>
      <c r="BG66" s="174" t="s">
        <v>1529</v>
      </c>
      <c r="BH66" s="173"/>
      <c r="BI66" s="174" t="s">
        <v>2781</v>
      </c>
      <c r="BJ66" s="173"/>
      <c r="BK66" s="174" t="s">
        <v>3944</v>
      </c>
      <c r="BL66" s="174" t="s">
        <v>3156</v>
      </c>
      <c r="BM66" s="173"/>
      <c r="BN66" s="126" t="s">
        <v>1657</v>
      </c>
      <c r="BO66" s="174" t="s">
        <v>3586</v>
      </c>
      <c r="BP66" s="173"/>
      <c r="BQ66" s="249"/>
      <c r="BR66" s="175"/>
      <c r="BS66" s="175" t="s">
        <v>2405</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2697</v>
      </c>
      <c r="CP66" s="255"/>
      <c r="CQ66" s="255"/>
      <c r="CR66" s="177"/>
      <c r="CS66" s="177" t="s">
        <v>2314</v>
      </c>
      <c r="CT66" s="255"/>
      <c r="CU66" s="92"/>
      <c r="CV66" s="203" t="s">
        <v>3952</v>
      </c>
      <c r="CW66" s="203" t="s">
        <v>2575</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2519</v>
      </c>
      <c r="M67" s="317" t="s">
        <v>3966</v>
      </c>
      <c r="N67" s="314" t="s">
        <v>3200</v>
      </c>
      <c r="O67" s="328" t="s">
        <v>3967</v>
      </c>
      <c r="P67" s="317" t="s">
        <v>2917</v>
      </c>
      <c r="Q67" s="317" t="s">
        <v>3968</v>
      </c>
      <c r="R67" s="317" t="s">
        <v>3969</v>
      </c>
      <c r="S67" s="317" t="s">
        <v>3970</v>
      </c>
      <c r="T67" s="317" t="s">
        <v>2644</v>
      </c>
      <c r="U67" s="317" t="s">
        <v>3971</v>
      </c>
      <c r="V67" s="317" t="s">
        <v>3972</v>
      </c>
      <c r="W67" s="154"/>
      <c r="X67" s="314" t="s">
        <v>3973</v>
      </c>
      <c r="Y67" s="476"/>
      <c r="Z67" s="314" t="s">
        <v>3974</v>
      </c>
      <c r="AA67" s="317" t="s">
        <v>1318</v>
      </c>
      <c r="AB67" s="314" t="s">
        <v>2386</v>
      </c>
      <c r="AC67" s="314" t="s">
        <v>1907</v>
      </c>
      <c r="AD67" s="314" t="s">
        <v>3975</v>
      </c>
      <c r="AE67" s="317" t="s">
        <v>2359</v>
      </c>
      <c r="AF67" s="317" t="s">
        <v>1475</v>
      </c>
      <c r="AG67" s="314" t="s">
        <v>3755</v>
      </c>
      <c r="AH67" s="317" t="s">
        <v>2613</v>
      </c>
      <c r="AI67" s="314" t="s">
        <v>3976</v>
      </c>
      <c r="AJ67" s="317" t="s">
        <v>2470</v>
      </c>
      <c r="AK67" s="317" t="s">
        <v>3977</v>
      </c>
      <c r="AL67" s="159"/>
      <c r="AM67" s="314" t="s">
        <v>398</v>
      </c>
      <c r="AN67" s="328" t="s">
        <v>1491</v>
      </c>
      <c r="AO67" s="330" t="s">
        <v>3978</v>
      </c>
      <c r="AP67" s="317" t="s">
        <v>3979</v>
      </c>
      <c r="AQ67" s="317" t="s">
        <v>3980</v>
      </c>
      <c r="AR67" s="317" t="s">
        <v>2612</v>
      </c>
      <c r="AS67" s="317" t="s">
        <v>3981</v>
      </c>
      <c r="AT67" s="317" t="s">
        <v>3982</v>
      </c>
      <c r="AU67" s="330" t="s">
        <v>2624</v>
      </c>
      <c r="AV67" s="314" t="s">
        <v>368</v>
      </c>
      <c r="AW67" s="317" t="s">
        <v>3511</v>
      </c>
      <c r="AX67" s="317" t="s">
        <v>1802</v>
      </c>
      <c r="AY67" s="317" t="s">
        <v>3983</v>
      </c>
      <c r="AZ67" s="317" t="s">
        <v>3984</v>
      </c>
      <c r="BA67" s="317"/>
      <c r="BB67" s="317" t="s">
        <v>3985</v>
      </c>
      <c r="BC67" s="314" t="s">
        <v>2708</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2234</v>
      </c>
      <c r="BZ67" s="328" t="s">
        <v>3998</v>
      </c>
      <c r="CA67" s="317" t="s">
        <v>2504</v>
      </c>
      <c r="CB67" s="317" t="s">
        <v>3999</v>
      </c>
      <c r="CC67" s="317" t="s">
        <v>348</v>
      </c>
      <c r="CD67" s="317" t="s">
        <v>4000</v>
      </c>
      <c r="CE67" s="314" t="s">
        <v>4001</v>
      </c>
      <c r="CF67" s="434"/>
      <c r="CG67" s="317" t="s">
        <v>2253</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2299</v>
      </c>
      <c r="DF67" s="317" t="s">
        <v>2517</v>
      </c>
      <c r="DG67" s="317" t="s">
        <v>3448</v>
      </c>
      <c r="DH67" s="317"/>
      <c r="DI67" s="317" t="s">
        <v>1840</v>
      </c>
      <c r="DJ67" s="317"/>
      <c r="DK67" s="317" t="s">
        <v>4016</v>
      </c>
      <c r="DL67" s="317" t="s">
        <v>4017</v>
      </c>
      <c r="DM67" s="317" t="s">
        <v>2630</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2193</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2707</v>
      </c>
      <c r="L68" s="308" t="s">
        <v>2757</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2244</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2147</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2659</v>
      </c>
      <c r="AS69" s="99"/>
      <c r="AT69" s="99"/>
      <c r="AU69" s="94" t="s">
        <v>1877</v>
      </c>
      <c r="AV69" s="94" t="s">
        <v>1054</v>
      </c>
      <c r="AW69" s="94" t="s">
        <v>1752</v>
      </c>
      <c r="AX69" s="99"/>
      <c r="AY69" s="88" t="s">
        <v>4063</v>
      </c>
      <c r="AZ69" s="94" t="s">
        <v>4064</v>
      </c>
      <c r="BA69" s="94"/>
      <c r="BB69" s="88" t="s">
        <v>2093</v>
      </c>
      <c r="BC69" s="94" t="s">
        <v>1480</v>
      </c>
      <c r="BD69" s="88" t="s">
        <v>1396</v>
      </c>
      <c r="BE69" s="88" t="s">
        <v>3487</v>
      </c>
      <c r="BF69" s="162" t="s">
        <v>4065</v>
      </c>
      <c r="BG69" s="94" t="s">
        <v>2276</v>
      </c>
      <c r="BH69" s="94" t="s">
        <v>1915</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2596</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2325</v>
      </c>
      <c r="BE70" s="492" t="s">
        <v>586</v>
      </c>
      <c r="BF70" s="491" t="s">
        <v>2559</v>
      </c>
      <c r="BG70" s="492"/>
      <c r="BH70" s="492"/>
      <c r="BI70" s="492" t="s">
        <v>2336</v>
      </c>
      <c r="BJ70" s="492"/>
      <c r="BK70" s="492" t="s">
        <v>4119</v>
      </c>
      <c r="BL70" s="492" t="s">
        <v>1432</v>
      </c>
      <c r="BM70" s="492"/>
      <c r="BN70" s="492"/>
      <c r="BO70" s="492"/>
      <c r="BP70" s="492"/>
      <c r="BQ70" s="492"/>
      <c r="BR70" s="493"/>
      <c r="BS70" s="493" t="s">
        <v>4120</v>
      </c>
      <c r="BT70" s="494" t="s">
        <v>2659</v>
      </c>
      <c r="BU70" s="493"/>
      <c r="BV70" s="493"/>
      <c r="BW70" s="493" t="s">
        <v>2083</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2636</v>
      </c>
      <c r="CB71" s="99"/>
      <c r="CC71" s="99"/>
      <c r="CD71" s="88" t="s">
        <v>2544</v>
      </c>
      <c r="CE71" s="99"/>
      <c r="CF71" s="236"/>
      <c r="CG71" s="88" t="s">
        <v>4145</v>
      </c>
      <c r="CH71" s="88" t="s">
        <v>4146</v>
      </c>
      <c r="CI71" s="88" t="s">
        <v>2157</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2217</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2351</v>
      </c>
      <c r="AI72" s="197"/>
      <c r="AJ72" s="197" t="s">
        <v>4175</v>
      </c>
      <c r="AK72" s="197" t="s">
        <v>2610</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2664</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2466</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2641</v>
      </c>
      <c r="H75" s="88" t="s">
        <v>4107</v>
      </c>
      <c r="I75" s="99"/>
      <c r="J75" s="99"/>
      <c r="K75" s="99"/>
      <c r="L75" s="94" t="s">
        <v>346</v>
      </c>
      <c r="M75" s="99"/>
      <c r="N75" s="99"/>
      <c r="O75" s="94" t="s">
        <v>4257</v>
      </c>
      <c r="P75" s="94" t="s">
        <v>2545</v>
      </c>
      <c r="Q75" s="98" t="s">
        <v>235</v>
      </c>
      <c r="R75" s="99"/>
      <c r="S75" s="99"/>
      <c r="T75" s="94" t="s">
        <v>2274</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1783</v>
      </c>
      <c r="AX75" s="99"/>
      <c r="AY75" s="99"/>
      <c r="AZ75" s="87" t="s">
        <v>4264</v>
      </c>
      <c r="BA75" s="99"/>
      <c r="BB75" s="99"/>
      <c r="BC75" s="99"/>
      <c r="BD75" s="94"/>
      <c r="BE75" s="88" t="s">
        <v>3735</v>
      </c>
      <c r="BF75" s="99"/>
      <c r="BG75" s="88" t="s">
        <v>2069</v>
      </c>
      <c r="BH75" s="99"/>
      <c r="BI75" s="88" t="s">
        <v>2534</v>
      </c>
      <c r="BJ75" s="99"/>
      <c r="BK75" s="99"/>
      <c r="BL75" s="94" t="s">
        <v>2783</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2569</v>
      </c>
      <c r="CO75" s="99"/>
      <c r="CP75" s="99"/>
      <c r="CQ75" s="162" t="s">
        <v>1895</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2546</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2681</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2261</v>
      </c>
      <c r="DZ76" s="204" t="s">
        <v>3355</v>
      </c>
      <c r="EA76" s="204" t="s">
        <v>1096</v>
      </c>
      <c r="EB76" s="204" t="s">
        <v>4338</v>
      </c>
      <c r="EC76" s="204" t="s">
        <v>2415</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2651</v>
      </c>
      <c r="AK77" s="99"/>
      <c r="AL77" s="97"/>
      <c r="AM77" s="94" t="s">
        <v>926</v>
      </c>
      <c r="AN77" s="94" t="s">
        <v>4348</v>
      </c>
      <c r="AO77" s="99"/>
      <c r="AP77" s="94" t="s">
        <v>2005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4039</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2894</v>
      </c>
      <c r="CN77" s="94" t="s">
        <v>1552</v>
      </c>
      <c r="CO77" s="94" t="s">
        <v>2545</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1886</v>
      </c>
      <c r="L78" s="167" t="s">
        <v>3721</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2349</v>
      </c>
      <c r="BC78" s="174" t="s">
        <v>4372</v>
      </c>
      <c r="BD78" s="174" t="s">
        <v>2779</v>
      </c>
      <c r="BE78" s="174" t="s">
        <v>4373</v>
      </c>
      <c r="BF78" s="174" t="s">
        <v>4374</v>
      </c>
      <c r="BG78" s="174" t="s">
        <v>4375</v>
      </c>
      <c r="BH78" s="173"/>
      <c r="BI78" s="174" t="s">
        <v>2922</v>
      </c>
      <c r="BJ78" s="174" t="s">
        <v>4376</v>
      </c>
      <c r="BK78" s="174" t="s">
        <v>4377</v>
      </c>
      <c r="BL78" s="174" t="s">
        <v>3771</v>
      </c>
      <c r="BM78" s="173"/>
      <c r="BN78" s="173"/>
      <c r="BO78" s="173"/>
      <c r="BP78" s="173"/>
      <c r="BQ78" s="249"/>
      <c r="BR78" s="175" t="s">
        <v>4378</v>
      </c>
      <c r="BS78" s="175" t="s">
        <v>4379</v>
      </c>
      <c r="BT78" s="175" t="s">
        <v>4039</v>
      </c>
      <c r="BU78" s="175" t="s">
        <v>3070</v>
      </c>
      <c r="BV78" s="175" t="s">
        <v>923</v>
      </c>
      <c r="BW78" s="175" t="s">
        <v>4380</v>
      </c>
      <c r="BX78" s="175" t="s">
        <v>4381</v>
      </c>
      <c r="BY78" s="175" t="s">
        <v>4382</v>
      </c>
      <c r="BZ78" s="175" t="s">
        <v>4383</v>
      </c>
      <c r="CA78" s="175" t="s">
        <v>3710</v>
      </c>
      <c r="CB78" s="252"/>
      <c r="CC78" s="252"/>
      <c r="CD78" s="252"/>
      <c r="CE78" s="252"/>
      <c r="CF78" s="253"/>
      <c r="CG78" s="177" t="s">
        <v>2205</v>
      </c>
      <c r="CH78" s="177" t="s">
        <v>2830</v>
      </c>
      <c r="CI78" s="177" t="s">
        <v>3943</v>
      </c>
      <c r="CJ78" s="177" t="s">
        <v>4384</v>
      </c>
      <c r="CK78" s="177"/>
      <c r="CL78" s="177" t="s">
        <v>4385</v>
      </c>
      <c r="CM78" s="177" t="s">
        <v>559</v>
      </c>
      <c r="CN78" s="177" t="s">
        <v>3926</v>
      </c>
      <c r="CO78" s="177" t="s">
        <v>3392</v>
      </c>
      <c r="CP78" s="255"/>
      <c r="CQ78" s="255"/>
      <c r="CR78" s="255"/>
      <c r="CS78" s="255"/>
      <c r="CT78" s="255"/>
      <c r="CU78" s="92"/>
      <c r="CV78" s="203" t="s">
        <v>4386</v>
      </c>
      <c r="CW78" s="203" t="s">
        <v>4387</v>
      </c>
      <c r="CX78" s="203" t="s">
        <v>4388</v>
      </c>
      <c r="CY78" s="203" t="s">
        <v>4389</v>
      </c>
      <c r="CZ78" s="203" t="s">
        <v>3311</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4228</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3625</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3884</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5" t="s">
        <v>3540</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2478</v>
      </c>
      <c r="CP79" s="99"/>
      <c r="CQ79" s="99"/>
      <c r="CR79" s="99"/>
      <c r="CS79" s="99"/>
      <c r="CT79" s="99"/>
      <c r="CU79" s="92"/>
      <c r="CV79" s="315" t="s">
        <v>4422</v>
      </c>
      <c r="CW79" s="317" t="s">
        <v>2575</v>
      </c>
      <c r="CX79" s="315" t="s">
        <v>1651</v>
      </c>
      <c r="CY79" s="315" t="s">
        <v>3140</v>
      </c>
      <c r="CZ79" s="315" t="s">
        <v>4423</v>
      </c>
      <c r="DA79" s="315" t="s">
        <v>1651</v>
      </c>
      <c r="DB79" s="317" t="s">
        <v>4424</v>
      </c>
      <c r="DC79" s="315" t="s">
        <v>3472</v>
      </c>
      <c r="DD79" s="99"/>
      <c r="DE79" s="99"/>
      <c r="DF79" s="99"/>
      <c r="DG79" s="99"/>
      <c r="DH79" s="236"/>
      <c r="DI79" s="315"/>
      <c r="DJ79" s="315"/>
      <c r="DK79" s="315"/>
      <c r="DL79" s="315"/>
      <c r="DM79" s="315"/>
      <c r="DN79" s="94" t="s">
        <v>4425</v>
      </c>
      <c r="DO79" s="315"/>
      <c r="DP79" s="315"/>
      <c r="DQ79" s="94" t="s">
        <v>3919</v>
      </c>
      <c r="DR79" s="94" t="s">
        <v>4426</v>
      </c>
      <c r="DS79" s="94" t="s">
        <v>4427</v>
      </c>
      <c r="DT79" s="94" t="s">
        <v>3755</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2509</v>
      </c>
      <c r="S80" s="274" t="s">
        <v>3006</v>
      </c>
      <c r="T80" s="167" t="s">
        <v>2997</v>
      </c>
      <c r="U80" s="167" t="s">
        <v>1989</v>
      </c>
      <c r="V80" s="167" t="s">
        <v>4438</v>
      </c>
      <c r="W80" s="92"/>
      <c r="X80" s="309" t="s">
        <v>4439</v>
      </c>
      <c r="Y80" s="197"/>
      <c r="Z80" s="197" t="s">
        <v>3084</v>
      </c>
      <c r="AA80" s="270" t="s">
        <v>3548</v>
      </c>
      <c r="AB80" s="196" t="s">
        <v>3751</v>
      </c>
      <c r="AC80" s="196" t="s">
        <v>4440</v>
      </c>
      <c r="AD80" s="116" t="s">
        <v>4441</v>
      </c>
      <c r="AE80" s="246"/>
      <c r="AF80" s="116" t="s">
        <v>3297</v>
      </c>
      <c r="AG80" s="270" t="s">
        <v>1743</v>
      </c>
      <c r="AH80" s="197" t="s">
        <v>1913</v>
      </c>
      <c r="AI80" s="246"/>
      <c r="AJ80" s="197" t="s">
        <v>4005</v>
      </c>
      <c r="AK80" s="197" t="s">
        <v>4442</v>
      </c>
      <c r="AL80" s="97"/>
      <c r="AM80" s="168" t="s">
        <v>141</v>
      </c>
      <c r="AN80" s="168" t="s">
        <v>4443</v>
      </c>
      <c r="AO80" s="168" t="s">
        <v>4444</v>
      </c>
      <c r="AP80" s="168" t="s">
        <v>4445</v>
      </c>
      <c r="AQ80" s="168" t="s">
        <v>1426</v>
      </c>
      <c r="AR80" s="168" t="s">
        <v>3747</v>
      </c>
      <c r="AS80" s="168" t="s">
        <v>3661</v>
      </c>
      <c r="AT80" s="168" t="s">
        <v>4446</v>
      </c>
      <c r="AU80" s="168" t="s">
        <v>2748</v>
      </c>
      <c r="AV80" s="168" t="s">
        <v>1628</v>
      </c>
      <c r="AW80" s="168" t="s">
        <v>4447</v>
      </c>
      <c r="AX80" s="247"/>
      <c r="AY80" s="168" t="s">
        <v>1071</v>
      </c>
      <c r="AZ80" s="279" t="s">
        <v>4448</v>
      </c>
      <c r="BA80" s="168"/>
      <c r="BB80" s="174" t="s">
        <v>4449</v>
      </c>
      <c r="BC80" s="174" t="s">
        <v>4450</v>
      </c>
      <c r="BD80" s="126" t="s">
        <v>1396</v>
      </c>
      <c r="BE80" s="174" t="s">
        <v>4451</v>
      </c>
      <c r="BF80" s="174" t="s">
        <v>3725</v>
      </c>
      <c r="BG80" s="174" t="s">
        <v>4452</v>
      </c>
      <c r="BH80" s="174" t="s">
        <v>4453</v>
      </c>
      <c r="BI80" s="174" t="s">
        <v>2509</v>
      </c>
      <c r="BJ80" s="174" t="s">
        <v>4454</v>
      </c>
      <c r="BK80" s="174" t="s">
        <v>4455</v>
      </c>
      <c r="BL80" s="174" t="s">
        <v>2783</v>
      </c>
      <c r="BM80" s="174" t="s">
        <v>4456</v>
      </c>
      <c r="BN80" s="301" t="s">
        <v>3906</v>
      </c>
      <c r="BO80" s="174" t="s">
        <v>3772</v>
      </c>
      <c r="BP80" s="174" t="s">
        <v>4457</v>
      </c>
      <c r="BQ80" s="174"/>
      <c r="BR80" s="129" t="s">
        <v>4458</v>
      </c>
      <c r="BS80" s="175" t="s">
        <v>3353</v>
      </c>
      <c r="BT80" s="175" t="s">
        <v>4459</v>
      </c>
      <c r="BU80" s="129" t="s">
        <v>4460</v>
      </c>
      <c r="BV80" s="175" t="s">
        <v>4461</v>
      </c>
      <c r="BW80" s="175" t="s">
        <v>330</v>
      </c>
      <c r="BX80" s="252"/>
      <c r="BY80" s="175" t="s">
        <v>1684</v>
      </c>
      <c r="BZ80" s="176" t="s">
        <v>3653</v>
      </c>
      <c r="CA80" s="175" t="s">
        <v>4275</v>
      </c>
      <c r="CB80" s="175" t="s">
        <v>4462</v>
      </c>
      <c r="CC80" s="175" t="s">
        <v>4463</v>
      </c>
      <c r="CD80" s="175" t="s">
        <v>3216</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3285</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3278</v>
      </c>
      <c r="DN80" s="204" t="s">
        <v>1932</v>
      </c>
      <c r="DO80" s="204" t="s">
        <v>4018</v>
      </c>
      <c r="DP80" s="204" t="s">
        <v>4482</v>
      </c>
      <c r="DQ80" s="204" t="s">
        <v>4483</v>
      </c>
      <c r="DR80" s="204" t="s">
        <v>4262</v>
      </c>
      <c r="DS80" s="204" t="s">
        <v>4484</v>
      </c>
      <c r="DT80" s="204" t="s">
        <v>3840</v>
      </c>
      <c r="DU80" s="204" t="s">
        <v>1805</v>
      </c>
      <c r="DV80" s="204" t="s">
        <v>2714</v>
      </c>
      <c r="DW80" s="204" t="s">
        <v>4485</v>
      </c>
      <c r="DX80" s="204" t="s">
        <v>4486</v>
      </c>
      <c r="DY80" s="204" t="s">
        <v>4487</v>
      </c>
      <c r="DZ80" s="204" t="s">
        <v>4488</v>
      </c>
      <c r="EA80" s="204" t="s">
        <v>4489</v>
      </c>
      <c r="EB80" s="145" t="s">
        <v>4490</v>
      </c>
      <c r="EC80" s="145" t="s">
        <v>4102</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2545</v>
      </c>
      <c r="Q81" s="99"/>
      <c r="R81" s="94"/>
      <c r="S81" s="94"/>
      <c r="T81" s="99"/>
      <c r="U81" s="99"/>
      <c r="V81" s="99"/>
      <c r="W81" s="92"/>
      <c r="X81" s="88" t="s">
        <v>1661</v>
      </c>
      <c r="Y81" s="94"/>
      <c r="Z81" s="94" t="s">
        <v>4403</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4504</v>
      </c>
      <c r="CW81" s="99"/>
      <c r="CX81" s="93" t="s">
        <v>756</v>
      </c>
      <c r="CY81" s="94" t="s">
        <v>3258</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2540</v>
      </c>
      <c r="H82" s="308"/>
      <c r="I82" s="322" t="s">
        <v>4508</v>
      </c>
      <c r="J82" s="308" t="s">
        <v>762</v>
      </c>
      <c r="K82" s="308" t="s">
        <v>4509</v>
      </c>
      <c r="L82" s="308" t="s">
        <v>2937</v>
      </c>
      <c r="M82" s="112" t="s">
        <v>4510</v>
      </c>
      <c r="N82" s="308" t="s">
        <v>4511</v>
      </c>
      <c r="O82" s="308" t="s">
        <v>3936</v>
      </c>
      <c r="P82" s="308" t="s">
        <v>3096</v>
      </c>
      <c r="Q82" s="360"/>
      <c r="R82" s="360"/>
      <c r="S82" s="360"/>
      <c r="T82" s="360"/>
      <c r="U82" s="360"/>
      <c r="V82" s="360"/>
      <c r="W82" s="518"/>
      <c r="X82" s="309" t="s">
        <v>1993</v>
      </c>
      <c r="Y82" s="309"/>
      <c r="Z82" s="309" t="s">
        <v>3062</v>
      </c>
      <c r="AA82" s="309" t="s">
        <v>2203</v>
      </c>
      <c r="AB82" s="309" t="s">
        <v>3954</v>
      </c>
      <c r="AC82" s="309" t="s">
        <v>1783</v>
      </c>
      <c r="AD82" s="309" t="s">
        <v>3059</v>
      </c>
      <c r="AE82" s="365"/>
      <c r="AF82" s="309" t="s">
        <v>2359</v>
      </c>
      <c r="AG82" s="309" t="s">
        <v>2802</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2778</v>
      </c>
      <c r="BC82" s="302" t="s">
        <v>809</v>
      </c>
      <c r="BD82" s="302" t="s">
        <v>298</v>
      </c>
      <c r="BE82" s="302" t="s">
        <v>4513</v>
      </c>
      <c r="BF82" s="302" t="s">
        <v>4514</v>
      </c>
      <c r="BG82" s="302"/>
      <c r="BH82" s="371"/>
      <c r="BI82" s="302" t="s">
        <v>1373</v>
      </c>
      <c r="BJ82" s="371"/>
      <c r="BK82" s="302" t="s">
        <v>4515</v>
      </c>
      <c r="BL82" s="302" t="s">
        <v>3584</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3639</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3751</v>
      </c>
      <c r="CZ82" s="310" t="s">
        <v>2197</v>
      </c>
      <c r="DA82" s="310" t="s">
        <v>3855</v>
      </c>
      <c r="DB82" s="310" t="s">
        <v>4531</v>
      </c>
      <c r="DC82" s="310" t="s">
        <v>4329</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2374</v>
      </c>
      <c r="G83" s="82" t="s">
        <v>743</v>
      </c>
      <c r="H83" s="88" t="s">
        <v>4537</v>
      </c>
      <c r="I83" s="88" t="s">
        <v>4538</v>
      </c>
      <c r="J83" s="266" t="s">
        <v>749</v>
      </c>
      <c r="K83" s="88" t="s">
        <v>4539</v>
      </c>
      <c r="L83" s="88" t="s">
        <v>210</v>
      </c>
      <c r="M83" s="88" t="s">
        <v>4540</v>
      </c>
      <c r="N83" s="88" t="s">
        <v>4541</v>
      </c>
      <c r="O83" s="88" t="s">
        <v>4542</v>
      </c>
      <c r="P83" s="88" t="s">
        <v>242</v>
      </c>
      <c r="Q83" s="88" t="s">
        <v>4543</v>
      </c>
      <c r="R83" s="94" t="s">
        <v>2053</v>
      </c>
      <c r="S83" s="94" t="s">
        <v>4244</v>
      </c>
      <c r="T83" s="94" t="s">
        <v>2146</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2775</v>
      </c>
      <c r="AV83" s="88" t="s">
        <v>182</v>
      </c>
      <c r="AW83" s="88" t="s">
        <v>637</v>
      </c>
      <c r="AX83" s="94" t="s">
        <v>4556</v>
      </c>
      <c r="AY83" s="94" t="s">
        <v>3301</v>
      </c>
      <c r="AZ83" s="94" t="s">
        <v>4557</v>
      </c>
      <c r="BA83" s="94"/>
      <c r="BB83" s="88" t="s">
        <v>290</v>
      </c>
      <c r="BC83" s="88" t="s">
        <v>4303</v>
      </c>
      <c r="BD83" s="88" t="s">
        <v>4558</v>
      </c>
      <c r="BE83" s="88" t="s">
        <v>3552</v>
      </c>
      <c r="BF83" s="94" t="s">
        <v>4559</v>
      </c>
      <c r="BG83" s="94" t="s">
        <v>4560</v>
      </c>
      <c r="BH83" s="94" t="s">
        <v>4561</v>
      </c>
      <c r="BI83" s="88" t="s">
        <v>298</v>
      </c>
      <c r="BJ83" s="94" t="s">
        <v>4562</v>
      </c>
      <c r="BK83" s="94"/>
      <c r="BL83" s="88" t="s">
        <v>4563</v>
      </c>
      <c r="BM83" s="94" t="s">
        <v>4564</v>
      </c>
      <c r="BN83" s="94" t="s">
        <v>197</v>
      </c>
      <c r="BO83" s="88" t="s">
        <v>2785</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3320</v>
      </c>
      <c r="CK83" s="94"/>
      <c r="CL83" s="441" t="s">
        <v>4203</v>
      </c>
      <c r="CM83" s="88" t="s">
        <v>4574</v>
      </c>
      <c r="CN83" s="88" t="s">
        <v>4469</v>
      </c>
      <c r="CO83" s="88" t="s">
        <v>1781</v>
      </c>
      <c r="CP83" s="94" t="s">
        <v>4575</v>
      </c>
      <c r="CQ83" s="94" t="s">
        <v>775</v>
      </c>
      <c r="CR83" s="94" t="s">
        <v>2300</v>
      </c>
      <c r="CS83" s="94" t="s">
        <v>4576</v>
      </c>
      <c r="CT83" s="94" t="s">
        <v>945</v>
      </c>
      <c r="CU83" s="92"/>
      <c r="CV83" s="266" t="s">
        <v>4577</v>
      </c>
      <c r="CW83" s="88" t="s">
        <v>2065</v>
      </c>
      <c r="CX83" s="94" t="s">
        <v>2500</v>
      </c>
      <c r="CY83" s="94" t="s">
        <v>3461</v>
      </c>
      <c r="CZ83" s="94" t="s">
        <v>551</v>
      </c>
      <c r="DA83" s="94" t="s">
        <v>4020</v>
      </c>
      <c r="DB83" s="88" t="s">
        <v>4578</v>
      </c>
      <c r="DC83" s="94" t="s">
        <v>364</v>
      </c>
      <c r="DD83" s="94" t="s">
        <v>4579</v>
      </c>
      <c r="DE83" s="94" t="s">
        <v>2000</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2114</v>
      </c>
      <c r="DV83" s="94" t="s">
        <v>4588</v>
      </c>
      <c r="DW83" s="88" t="s">
        <v>2921</v>
      </c>
      <c r="DX83" s="94" t="s">
        <v>2229</v>
      </c>
      <c r="DY83" s="94" t="s">
        <v>1907</v>
      </c>
      <c r="DZ83" s="94" t="s">
        <v>2486</v>
      </c>
      <c r="EA83" s="94" t="s">
        <v>1458</v>
      </c>
      <c r="EB83" s="94" t="s">
        <v>1983</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2545</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4604</v>
      </c>
      <c r="BF84" s="174" t="s">
        <v>1605</v>
      </c>
      <c r="BG84" s="173"/>
      <c r="BH84" s="173"/>
      <c r="BI84" s="174" t="s">
        <v>2325</v>
      </c>
      <c r="BJ84" s="174" t="s">
        <v>4605</v>
      </c>
      <c r="BK84" s="174"/>
      <c r="BL84" s="173"/>
      <c r="BM84" s="173"/>
      <c r="BN84" s="174" t="s">
        <v>4606</v>
      </c>
      <c r="BO84" s="173"/>
      <c r="BP84" s="173"/>
      <c r="BQ84" s="249"/>
      <c r="BR84" s="175" t="s">
        <v>4607</v>
      </c>
      <c r="BS84" s="175" t="s">
        <v>3677</v>
      </c>
      <c r="BT84" s="175" t="s">
        <v>3220</v>
      </c>
      <c r="BU84" s="175" t="s">
        <v>4275</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2760</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1907</v>
      </c>
      <c r="CY85" s="88" t="s">
        <v>4635</v>
      </c>
      <c r="CZ85" s="94" t="s">
        <v>4636</v>
      </c>
      <c r="DA85" s="94" t="s">
        <v>3378</v>
      </c>
      <c r="DB85" s="94" t="s">
        <v>4637</v>
      </c>
      <c r="DC85" s="94" t="s">
        <v>2775</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3138</v>
      </c>
      <c r="AG87" s="99"/>
      <c r="AH87" s="99"/>
      <c r="AI87" s="94"/>
      <c r="AJ87" s="94" t="s">
        <v>3132</v>
      </c>
      <c r="AK87" s="99"/>
      <c r="AL87" s="97"/>
      <c r="AM87" s="99"/>
      <c r="AN87" s="94" t="s">
        <v>4241</v>
      </c>
      <c r="AO87" s="99"/>
      <c r="AP87" s="94" t="s">
        <v>4653</v>
      </c>
      <c r="AQ87" s="99"/>
      <c r="AR87" s="99"/>
      <c r="AS87" s="99"/>
      <c r="AT87" s="99"/>
      <c r="AU87" s="94" t="s">
        <v>1877</v>
      </c>
      <c r="AV87" s="94" t="s">
        <v>1875</v>
      </c>
      <c r="AW87" s="99"/>
      <c r="AX87" s="94"/>
      <c r="AY87" s="94" t="s">
        <v>4654</v>
      </c>
      <c r="AZ87" s="99"/>
      <c r="BA87" s="99"/>
      <c r="BB87" s="94" t="s">
        <v>4655</v>
      </c>
      <c r="BC87" s="94" t="s">
        <v>4342</v>
      </c>
      <c r="BD87" s="99"/>
      <c r="BE87" s="94" t="s">
        <v>1427</v>
      </c>
      <c r="BF87" s="94" t="s">
        <v>1514</v>
      </c>
      <c r="BG87" s="99"/>
      <c r="BH87" s="99"/>
      <c r="BI87" s="94" t="s">
        <v>1176</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3222</v>
      </c>
      <c r="CH87" s="94" t="s">
        <v>512</v>
      </c>
      <c r="CI87" s="533"/>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2088</v>
      </c>
      <c r="H88" s="112" t="s">
        <v>3677</v>
      </c>
      <c r="I88" s="448"/>
      <c r="J88" s="439" t="s">
        <v>4672</v>
      </c>
      <c r="K88" s="112" t="s">
        <v>991</v>
      </c>
      <c r="L88" s="112" t="s">
        <v>2200</v>
      </c>
      <c r="M88" s="112" t="s">
        <v>4673</v>
      </c>
      <c r="N88" s="439"/>
      <c r="O88" s="439" t="s">
        <v>108</v>
      </c>
      <c r="P88" s="112" t="s">
        <v>558</v>
      </c>
      <c r="Q88" s="112" t="s">
        <v>4674</v>
      </c>
      <c r="R88" s="112" t="s">
        <v>4000</v>
      </c>
      <c r="S88" s="243"/>
      <c r="T88" s="112" t="s">
        <v>4675</v>
      </c>
      <c r="U88" s="243"/>
      <c r="V88" s="112" t="s">
        <v>4676</v>
      </c>
      <c r="W88" s="92"/>
      <c r="X88" s="117"/>
      <c r="Y88" s="117"/>
      <c r="Z88" s="117" t="s">
        <v>2806</v>
      </c>
      <c r="AA88" s="116" t="s">
        <v>324</v>
      </c>
      <c r="AB88" s="309"/>
      <c r="AC88" s="117" t="s">
        <v>1054</v>
      </c>
      <c r="AD88" s="116" t="s">
        <v>4677</v>
      </c>
      <c r="AE88" s="197" t="s">
        <v>4678</v>
      </c>
      <c r="AF88" s="116" t="s">
        <v>2281</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4144</v>
      </c>
      <c r="CA88" s="131"/>
      <c r="CB88" s="252"/>
      <c r="CC88" s="129" t="s">
        <v>4688</v>
      </c>
      <c r="CD88" s="252"/>
      <c r="CE88" s="252"/>
      <c r="CF88" s="253"/>
      <c r="CG88" s="135" t="s">
        <v>1393</v>
      </c>
      <c r="CH88" s="135" t="s">
        <v>2354</v>
      </c>
      <c r="CI88" s="135" t="s">
        <v>1748</v>
      </c>
      <c r="CJ88" s="136"/>
      <c r="CK88" s="136"/>
      <c r="CL88" s="136"/>
      <c r="CM88" s="136"/>
      <c r="CN88" s="135" t="s">
        <v>1783</v>
      </c>
      <c r="CO88" s="135" t="s">
        <v>3904</v>
      </c>
      <c r="CP88" s="450"/>
      <c r="CQ88" s="255"/>
      <c r="CR88" s="231" t="s">
        <v>4689</v>
      </c>
      <c r="CS88" s="135" t="s">
        <v>2068</v>
      </c>
      <c r="CT88" s="255"/>
      <c r="CU88" s="92"/>
      <c r="CV88" s="285"/>
      <c r="CW88" s="285"/>
      <c r="CX88" s="140" t="s">
        <v>4690</v>
      </c>
      <c r="CY88" s="140" t="s">
        <v>2208</v>
      </c>
      <c r="CZ88" s="285"/>
      <c r="DA88" s="285"/>
      <c r="DB88" s="140" t="s">
        <v>4207</v>
      </c>
      <c r="DC88" s="140" t="s">
        <v>3827</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2162</v>
      </c>
      <c r="L89" s="540" t="s">
        <v>2933</v>
      </c>
      <c r="M89" s="540" t="s">
        <v>4699</v>
      </c>
      <c r="N89" s="541" t="s">
        <v>4700</v>
      </c>
      <c r="O89" s="540" t="s">
        <v>373</v>
      </c>
      <c r="P89" s="542" t="s">
        <v>4701</v>
      </c>
      <c r="Q89" s="542" t="s">
        <v>4702</v>
      </c>
      <c r="R89" s="542" t="s">
        <v>2518</v>
      </c>
      <c r="S89" s="542" t="s">
        <v>3604</v>
      </c>
      <c r="T89" s="542" t="s">
        <v>1268</v>
      </c>
      <c r="U89" s="542" t="s">
        <v>4703</v>
      </c>
      <c r="V89" s="540" t="s">
        <v>4704</v>
      </c>
      <c r="W89" s="543"/>
      <c r="X89" s="540" t="s">
        <v>2958</v>
      </c>
      <c r="Y89" s="540"/>
      <c r="Z89" s="540" t="s">
        <v>4705</v>
      </c>
      <c r="AA89" s="541" t="s">
        <v>513</v>
      </c>
      <c r="AB89" s="541" t="s">
        <v>631</v>
      </c>
      <c r="AC89" s="540" t="s">
        <v>2298</v>
      </c>
      <c r="AD89" s="541" t="s">
        <v>4706</v>
      </c>
      <c r="AE89" s="540"/>
      <c r="AF89" s="540" t="s">
        <v>4707</v>
      </c>
      <c r="AG89" s="299" t="s">
        <v>4708</v>
      </c>
      <c r="AH89" s="540" t="s">
        <v>3620</v>
      </c>
      <c r="AI89" s="542" t="s">
        <v>1404</v>
      </c>
      <c r="AJ89" s="88" t="s">
        <v>2209</v>
      </c>
      <c r="AK89" s="542" t="s">
        <v>4709</v>
      </c>
      <c r="AL89" s="544"/>
      <c r="AM89" s="540" t="s">
        <v>3428</v>
      </c>
      <c r="AN89" s="540" t="s">
        <v>1307</v>
      </c>
      <c r="AO89" s="540" t="s">
        <v>4710</v>
      </c>
      <c r="AP89" s="542" t="s">
        <v>2989</v>
      </c>
      <c r="AQ89" s="542" t="s">
        <v>134</v>
      </c>
      <c r="AR89" s="542" t="s">
        <v>2010</v>
      </c>
      <c r="AS89" s="540" t="s">
        <v>4711</v>
      </c>
      <c r="AT89" s="542" t="s">
        <v>4712</v>
      </c>
      <c r="AU89" s="542" t="s">
        <v>3146</v>
      </c>
      <c r="AV89" s="299" t="s">
        <v>2531</v>
      </c>
      <c r="AW89" s="540" t="s">
        <v>3261</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2469</v>
      </c>
      <c r="BJ89" s="540" t="s">
        <v>4717</v>
      </c>
      <c r="BK89" s="94"/>
      <c r="BL89" s="541" t="s">
        <v>2494</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2177</v>
      </c>
      <c r="CM89" s="540" t="s">
        <v>4726</v>
      </c>
      <c r="CN89" s="540" t="s">
        <v>1066</v>
      </c>
      <c r="CO89" s="542" t="s">
        <v>3603</v>
      </c>
      <c r="CP89" s="540"/>
      <c r="CQ89" s="542" t="s">
        <v>3268</v>
      </c>
      <c r="CR89" s="542" t="s">
        <v>4727</v>
      </c>
      <c r="CS89" s="546"/>
      <c r="CT89" s="546"/>
      <c r="CU89" s="543"/>
      <c r="CV89" s="540" t="s">
        <v>4560</v>
      </c>
      <c r="CW89" s="541" t="s">
        <v>2143</v>
      </c>
      <c r="CX89" s="542" t="s">
        <v>4728</v>
      </c>
      <c r="CY89" s="541" t="s">
        <v>4729</v>
      </c>
      <c r="CZ89" s="542" t="s">
        <v>4730</v>
      </c>
      <c r="DA89" s="540" t="s">
        <v>2132</v>
      </c>
      <c r="DB89" s="549" t="s">
        <v>4731</v>
      </c>
      <c r="DC89" s="299" t="s">
        <v>1058</v>
      </c>
      <c r="DD89" s="546"/>
      <c r="DE89" s="546"/>
      <c r="DF89" s="546"/>
      <c r="DG89" s="546"/>
      <c r="DH89" s="547"/>
      <c r="DI89" s="540" t="s">
        <v>3865</v>
      </c>
      <c r="DJ89" s="546"/>
      <c r="DK89" s="540" t="s">
        <v>4732</v>
      </c>
      <c r="DL89" s="540"/>
      <c r="DM89" s="541" t="s">
        <v>4733</v>
      </c>
      <c r="DN89" s="540" t="s">
        <v>4734</v>
      </c>
      <c r="DO89" s="540" t="s">
        <v>4735</v>
      </c>
      <c r="DP89" s="540" t="s">
        <v>1950</v>
      </c>
      <c r="DQ89" s="540" t="s">
        <v>4736</v>
      </c>
      <c r="DR89" s="540" t="s">
        <v>4737</v>
      </c>
      <c r="DS89" s="542" t="s">
        <v>4738</v>
      </c>
      <c r="DT89" s="540" t="s">
        <v>3341</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4319</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4149</v>
      </c>
      <c r="AD90" s="197" t="s">
        <v>2474</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2196</v>
      </c>
      <c r="AZ90" s="247"/>
      <c r="BA90" s="247"/>
      <c r="BB90" s="174" t="s">
        <v>4751</v>
      </c>
      <c r="BC90" s="174" t="s">
        <v>3265</v>
      </c>
      <c r="BD90" s="174" t="s">
        <v>2664</v>
      </c>
      <c r="BE90" s="174" t="s">
        <v>4752</v>
      </c>
      <c r="BF90" s="174" t="s">
        <v>3379</v>
      </c>
      <c r="BG90" s="174"/>
      <c r="BH90" s="173"/>
      <c r="BI90" s="174" t="s">
        <v>1984</v>
      </c>
      <c r="BJ90" s="174" t="s">
        <v>4753</v>
      </c>
      <c r="BK90" s="174"/>
      <c r="BL90" s="174" t="s">
        <v>2530</v>
      </c>
      <c r="BM90" s="174" t="s">
        <v>4754</v>
      </c>
      <c r="BN90" s="174" t="s">
        <v>4755</v>
      </c>
      <c r="BO90" s="173"/>
      <c r="BP90" s="173"/>
      <c r="BQ90" s="249"/>
      <c r="BR90" s="175"/>
      <c r="BS90" s="175" t="s">
        <v>2214</v>
      </c>
      <c r="BT90" s="175" t="s">
        <v>4459</v>
      </c>
      <c r="BU90" s="129" t="s">
        <v>890</v>
      </c>
      <c r="BV90" s="175" t="s">
        <v>4756</v>
      </c>
      <c r="BW90" s="129" t="s">
        <v>163</v>
      </c>
      <c r="BX90" s="175" t="s">
        <v>3400</v>
      </c>
      <c r="BY90" s="175" t="s">
        <v>4757</v>
      </c>
      <c r="BZ90" s="252"/>
      <c r="CA90" s="129" t="s">
        <v>1239</v>
      </c>
      <c r="CB90" s="175" t="s">
        <v>4758</v>
      </c>
      <c r="CC90" s="175" t="s">
        <v>4759</v>
      </c>
      <c r="CD90" s="175" t="s">
        <v>2595</v>
      </c>
      <c r="CE90" s="252"/>
      <c r="CF90" s="253"/>
      <c r="CG90" s="177" t="s">
        <v>4760</v>
      </c>
      <c r="CH90" s="177" t="s">
        <v>3329</v>
      </c>
      <c r="CI90" s="177" t="s">
        <v>3520</v>
      </c>
      <c r="CJ90" s="177" t="s">
        <v>4761</v>
      </c>
      <c r="CK90" s="177"/>
      <c r="CL90" s="177"/>
      <c r="CM90" s="177" t="s">
        <v>4762</v>
      </c>
      <c r="CN90" s="177" t="s">
        <v>3832</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3420</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2513</v>
      </c>
      <c r="J91" s="88" t="s">
        <v>2218</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2697</v>
      </c>
      <c r="CP91" s="99"/>
      <c r="CQ91" s="99"/>
      <c r="CR91" s="99"/>
      <c r="CS91" s="99"/>
      <c r="CT91" s="99"/>
      <c r="CU91" s="92"/>
      <c r="CV91" s="88" t="s">
        <v>4788</v>
      </c>
      <c r="CW91" s="441" t="str">
        <f>HYPERLINK("https://youtu.be/E3G9EWGMU-8?t=986", "14.55")</f>
        <v>14.55</v>
      </c>
      <c r="CX91" s="88" t="s">
        <v>3516</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1063</v>
      </c>
      <c r="G92" s="104" t="s">
        <v>1813</v>
      </c>
      <c r="H92" s="167" t="s">
        <v>3458</v>
      </c>
      <c r="I92" s="167" t="s">
        <v>4794</v>
      </c>
      <c r="J92" s="167" t="s">
        <v>1367</v>
      </c>
      <c r="K92" s="167" t="s">
        <v>4595</v>
      </c>
      <c r="L92" s="167" t="s">
        <v>4795</v>
      </c>
      <c r="M92" s="243"/>
      <c r="N92" s="167" t="s">
        <v>2243</v>
      </c>
      <c r="O92" s="167" t="s">
        <v>4408</v>
      </c>
      <c r="P92" s="167" t="s">
        <v>4796</v>
      </c>
      <c r="Q92" s="167" t="s">
        <v>2749</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3727</v>
      </c>
      <c r="AN92" s="168" t="s">
        <v>391</v>
      </c>
      <c r="AO92" s="168" t="s">
        <v>4804</v>
      </c>
      <c r="AP92" s="168" t="s">
        <v>4805</v>
      </c>
      <c r="AQ92" s="168" t="s">
        <v>1577</v>
      </c>
      <c r="AR92" s="168"/>
      <c r="AS92" s="168" t="s">
        <v>1535</v>
      </c>
      <c r="AT92" s="168" t="s">
        <v>1966</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2302</v>
      </c>
      <c r="BP92" s="174" t="s">
        <v>4813</v>
      </c>
      <c r="BQ92" s="174"/>
      <c r="BR92" s="252"/>
      <c r="BS92" s="252"/>
      <c r="BT92" s="175" t="s">
        <v>4814</v>
      </c>
      <c r="BU92" s="175" t="s">
        <v>2166</v>
      </c>
      <c r="BV92" s="175" t="s">
        <v>4815</v>
      </c>
      <c r="BW92" s="175" t="s">
        <v>2982</v>
      </c>
      <c r="BX92" s="252"/>
      <c r="BY92" s="175" t="s">
        <v>4816</v>
      </c>
      <c r="BZ92" s="252"/>
      <c r="CA92" s="175" t="s">
        <v>1116</v>
      </c>
      <c r="CB92" s="175" t="s">
        <v>4817</v>
      </c>
      <c r="CC92" s="175" t="s">
        <v>668</v>
      </c>
      <c r="CD92" s="175" t="s">
        <v>2795</v>
      </c>
      <c r="CE92" s="129" t="s">
        <v>4818</v>
      </c>
      <c r="CF92" s="295"/>
      <c r="CG92" s="177" t="s">
        <v>4819</v>
      </c>
      <c r="CH92" s="177" t="s">
        <v>1898</v>
      </c>
      <c r="CI92" s="255"/>
      <c r="CJ92" s="255"/>
      <c r="CK92" s="255"/>
      <c r="CL92" s="255" t="s">
        <v>3229</v>
      </c>
      <c r="CM92" s="255"/>
      <c r="CN92" s="177" t="s">
        <v>4820</v>
      </c>
      <c r="CO92" s="177" t="s">
        <v>3409</v>
      </c>
      <c r="CP92" s="255"/>
      <c r="CQ92" s="177" t="s">
        <v>4069</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4333</v>
      </c>
      <c r="DK92" s="258"/>
      <c r="DL92" s="204"/>
      <c r="DM92" s="204" t="s">
        <v>4651</v>
      </c>
      <c r="DN92" s="204" t="s">
        <v>4827</v>
      </c>
      <c r="DO92" s="145" t="s">
        <v>3920</v>
      </c>
      <c r="DP92" s="204" t="s">
        <v>3178</v>
      </c>
      <c r="DQ92" s="204" t="s">
        <v>2293</v>
      </c>
      <c r="DR92" s="204" t="s">
        <v>1037</v>
      </c>
      <c r="DS92" s="258"/>
      <c r="DT92" s="204" t="s">
        <v>4828</v>
      </c>
      <c r="DU92" s="204" t="s">
        <v>4829</v>
      </c>
      <c r="DV92" s="204" t="s">
        <v>4830</v>
      </c>
      <c r="DW92" s="204" t="s">
        <v>4831</v>
      </c>
      <c r="DX92" s="204" t="s">
        <v>1848</v>
      </c>
      <c r="DY92" s="204" t="s">
        <v>1314</v>
      </c>
      <c r="DZ92" s="204" t="s">
        <v>3567</v>
      </c>
      <c r="EA92" s="204" t="s">
        <v>3699</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2728</v>
      </c>
      <c r="P93" s="88" t="s">
        <v>3096</v>
      </c>
      <c r="Q93" s="99"/>
      <c r="R93" s="99"/>
      <c r="S93" s="99"/>
      <c r="T93" s="99"/>
      <c r="U93" s="99"/>
      <c r="V93" s="94" t="s">
        <v>4840</v>
      </c>
      <c r="W93" s="92"/>
      <c r="X93" s="266" t="s">
        <v>4841</v>
      </c>
      <c r="Y93" s="94"/>
      <c r="Z93" s="94" t="s">
        <v>1008</v>
      </c>
      <c r="AA93" s="88" t="s">
        <v>1743</v>
      </c>
      <c r="AB93" s="88" t="s">
        <v>4842</v>
      </c>
      <c r="AC93" s="88" t="s">
        <v>2335</v>
      </c>
      <c r="AD93" s="266" t="s">
        <v>4330</v>
      </c>
      <c r="AE93" s="94"/>
      <c r="AF93" s="162" t="s">
        <v>3490</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2217</v>
      </c>
      <c r="BE93" s="88" t="s">
        <v>380</v>
      </c>
      <c r="BF93" s="94" t="s">
        <v>1229</v>
      </c>
      <c r="BG93" s="99"/>
      <c r="BH93" s="99"/>
      <c r="BI93" s="266" t="s">
        <v>2654</v>
      </c>
      <c r="BJ93" s="99"/>
      <c r="BK93" s="94" t="s">
        <v>4846</v>
      </c>
      <c r="BL93" s="99"/>
      <c r="BM93" s="94"/>
      <c r="BN93" s="94" t="s">
        <v>3268</v>
      </c>
      <c r="BO93" s="94" t="s">
        <v>4481</v>
      </c>
      <c r="BP93" s="99"/>
      <c r="BQ93" s="236"/>
      <c r="BR93" s="99"/>
      <c r="BS93" s="94" t="s">
        <v>2237</v>
      </c>
      <c r="BT93" s="98" t="s">
        <v>3682</v>
      </c>
      <c r="BU93" s="94" t="s">
        <v>2084</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2697</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4121</v>
      </c>
      <c r="I94" s="448" t="s">
        <v>4864</v>
      </c>
      <c r="J94" s="112" t="s">
        <v>4865</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4866</v>
      </c>
      <c r="AG94" s="117" t="s">
        <v>2992</v>
      </c>
      <c r="AH94" s="246"/>
      <c r="AI94" s="246"/>
      <c r="AJ94" s="117"/>
      <c r="AK94" s="246"/>
      <c r="AL94" s="97"/>
      <c r="AM94" s="124"/>
      <c r="AN94" s="121" t="s">
        <v>1978</v>
      </c>
      <c r="AO94" s="247"/>
      <c r="AP94" s="247"/>
      <c r="AQ94" s="168"/>
      <c r="AR94" s="168"/>
      <c r="AS94" s="247"/>
      <c r="AT94" s="247"/>
      <c r="AU94" s="124"/>
      <c r="AV94" s="124" t="s">
        <v>1243</v>
      </c>
      <c r="AW94" s="124" t="s">
        <v>2172</v>
      </c>
      <c r="AX94" s="247"/>
      <c r="AY94" s="247"/>
      <c r="AZ94" s="247"/>
      <c r="BA94" s="247"/>
      <c r="BB94" s="352"/>
      <c r="BC94" s="352"/>
      <c r="BD94" s="352" t="s">
        <v>1014</v>
      </c>
      <c r="BE94" s="352"/>
      <c r="BF94" s="352"/>
      <c r="BG94" s="352"/>
      <c r="BH94" s="173"/>
      <c r="BI94" s="352" t="s">
        <v>2354</v>
      </c>
      <c r="BJ94" s="173"/>
      <c r="BK94" s="352"/>
      <c r="BL94" s="352"/>
      <c r="BM94" s="173"/>
      <c r="BN94" s="174" t="s">
        <v>2886</v>
      </c>
      <c r="BO94" s="352"/>
      <c r="BP94" s="173"/>
      <c r="BQ94" s="249"/>
      <c r="BR94" s="129" t="s">
        <v>156</v>
      </c>
      <c r="BS94" s="129" t="s">
        <v>375</v>
      </c>
      <c r="BT94" s="129" t="s">
        <v>2617</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3864</v>
      </c>
      <c r="L95" s="88" t="s">
        <v>2941</v>
      </c>
      <c r="M95" s="88" t="s">
        <v>3436</v>
      </c>
      <c r="N95" s="88" t="s">
        <v>4882</v>
      </c>
      <c r="O95" s="88" t="s">
        <v>4257</v>
      </c>
      <c r="P95" s="88" t="s">
        <v>4883</v>
      </c>
      <c r="Q95" s="88" t="s">
        <v>4884</v>
      </c>
      <c r="R95" s="99"/>
      <c r="S95" s="88" t="s">
        <v>3065</v>
      </c>
      <c r="T95" s="88" t="s">
        <v>4885</v>
      </c>
      <c r="U95" s="99"/>
      <c r="V95" s="94" t="s">
        <v>4886</v>
      </c>
      <c r="W95" s="92"/>
      <c r="X95" s="88" t="s">
        <v>1751</v>
      </c>
      <c r="Y95" s="99"/>
      <c r="Z95" s="99"/>
      <c r="AA95" s="88" t="s">
        <v>1073</v>
      </c>
      <c r="AB95" s="162" t="s">
        <v>4887</v>
      </c>
      <c r="AC95" s="88" t="s">
        <v>1486</v>
      </c>
      <c r="AD95" s="94" t="s">
        <v>2872</v>
      </c>
      <c r="AE95" s="99"/>
      <c r="AF95" s="88" t="s">
        <v>3490</v>
      </c>
      <c r="AG95" s="88" t="s">
        <v>118</v>
      </c>
      <c r="AH95" s="99"/>
      <c r="AI95" s="94" t="s">
        <v>2920</v>
      </c>
      <c r="AJ95" s="94" t="s">
        <v>757</v>
      </c>
      <c r="AK95" s="99"/>
      <c r="AL95" s="97"/>
      <c r="AM95" s="94" t="s">
        <v>4888</v>
      </c>
      <c r="AN95" s="94" t="s">
        <v>4889</v>
      </c>
      <c r="AO95" s="99"/>
      <c r="AP95" s="94" t="s">
        <v>4890</v>
      </c>
      <c r="AQ95" s="99"/>
      <c r="AR95" s="99"/>
      <c r="AS95" s="99"/>
      <c r="AT95" s="94" t="s">
        <v>3215</v>
      </c>
      <c r="AU95" s="88" t="s">
        <v>3472</v>
      </c>
      <c r="AV95" s="88" t="s">
        <v>3172</v>
      </c>
      <c r="AW95" s="88" t="s">
        <v>4891</v>
      </c>
      <c r="AX95" s="99"/>
      <c r="AY95" s="88" t="s">
        <v>4285</v>
      </c>
      <c r="AZ95" s="99"/>
      <c r="BA95" s="99"/>
      <c r="BB95" s="94" t="s">
        <v>2090</v>
      </c>
      <c r="BC95" s="94" t="s">
        <v>2818</v>
      </c>
      <c r="BD95" s="94" t="s">
        <v>1984</v>
      </c>
      <c r="BE95" s="88" t="s">
        <v>4892</v>
      </c>
      <c r="BF95" s="88" t="s">
        <v>4630</v>
      </c>
      <c r="BG95" s="99"/>
      <c r="BH95" s="99"/>
      <c r="BI95" s="88" t="s">
        <v>2922</v>
      </c>
      <c r="BJ95" s="99"/>
      <c r="BK95" s="88" t="s">
        <v>4893</v>
      </c>
      <c r="BL95" s="88" t="s">
        <v>2812</v>
      </c>
      <c r="BM95" s="99"/>
      <c r="BN95" s="88" t="s">
        <v>2486</v>
      </c>
      <c r="BO95" s="99"/>
      <c r="BP95" s="99"/>
      <c r="BQ95" s="236"/>
      <c r="BR95" s="88" t="s">
        <v>4894</v>
      </c>
      <c r="BS95" s="99"/>
      <c r="BT95" s="94" t="s">
        <v>4895</v>
      </c>
      <c r="BU95" s="88" t="s">
        <v>4523</v>
      </c>
      <c r="BV95" s="99"/>
      <c r="BW95" s="99"/>
      <c r="BX95" s="99"/>
      <c r="BY95" s="94" t="s">
        <v>4896</v>
      </c>
      <c r="BZ95" s="162" t="s">
        <v>803</v>
      </c>
      <c r="CA95" s="88" t="s">
        <v>4897</v>
      </c>
      <c r="CB95" s="88" t="s">
        <v>4898</v>
      </c>
      <c r="CC95" s="94" t="s">
        <v>4692</v>
      </c>
      <c r="CD95" s="88" t="s">
        <v>4063</v>
      </c>
      <c r="CE95" s="99"/>
      <c r="CF95" s="236"/>
      <c r="CG95" s="88" t="s">
        <v>4899</v>
      </c>
      <c r="CH95" s="88" t="s">
        <v>1398</v>
      </c>
      <c r="CI95" s="94" t="s">
        <v>4900</v>
      </c>
      <c r="CJ95" s="88" t="s">
        <v>4901</v>
      </c>
      <c r="CK95" s="102"/>
      <c r="CL95" s="88" t="s">
        <v>4902</v>
      </c>
      <c r="CM95" s="88" t="s">
        <v>4500</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3368</v>
      </c>
      <c r="DQ95" s="94" t="s">
        <v>4876</v>
      </c>
      <c r="DR95" s="99"/>
      <c r="DS95" s="99"/>
      <c r="DT95" s="94" t="s">
        <v>2917</v>
      </c>
      <c r="DU95" s="94" t="s">
        <v>4909</v>
      </c>
      <c r="DV95" s="99"/>
      <c r="DW95" s="94" t="s">
        <v>4831</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2867</v>
      </c>
      <c r="L96" s="167" t="s">
        <v>4635</v>
      </c>
      <c r="M96" s="112" t="s">
        <v>4913</v>
      </c>
      <c r="N96" s="243"/>
      <c r="O96" s="167" t="s">
        <v>929</v>
      </c>
      <c r="P96" s="167" t="s">
        <v>2545</v>
      </c>
      <c r="Q96" s="243"/>
      <c r="R96" s="243"/>
      <c r="S96" s="243"/>
      <c r="T96" s="243"/>
      <c r="U96" s="243"/>
      <c r="V96" s="243"/>
      <c r="W96" s="92"/>
      <c r="X96" s="197" t="s">
        <v>4914</v>
      </c>
      <c r="Y96" s="197"/>
      <c r="Z96" s="197" t="s">
        <v>2744</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4167</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3321</v>
      </c>
      <c r="BZ96" s="175" t="s">
        <v>4919</v>
      </c>
      <c r="CA96" s="175" t="s">
        <v>4920</v>
      </c>
      <c r="CB96" s="252"/>
      <c r="CC96" s="252"/>
      <c r="CD96" s="252"/>
      <c r="CE96" s="252"/>
      <c r="CF96" s="253"/>
      <c r="CG96" s="135" t="s">
        <v>172</v>
      </c>
      <c r="CH96" s="177" t="s">
        <v>892</v>
      </c>
      <c r="CI96" s="255"/>
      <c r="CJ96" s="135" t="s">
        <v>4921</v>
      </c>
      <c r="CK96" s="263"/>
      <c r="CL96" s="263"/>
      <c r="CM96" s="177" t="s">
        <v>3702</v>
      </c>
      <c r="CN96" s="177" t="s">
        <v>1056</v>
      </c>
      <c r="CO96" s="255"/>
      <c r="CP96" s="135" t="s">
        <v>4922</v>
      </c>
      <c r="CQ96" s="255"/>
      <c r="CR96" s="255"/>
      <c r="CS96" s="255"/>
      <c r="CT96" s="255"/>
      <c r="CU96" s="92"/>
      <c r="CV96" s="203" t="s">
        <v>1702</v>
      </c>
      <c r="CW96" s="256"/>
      <c r="CX96" s="203" t="s">
        <v>2172</v>
      </c>
      <c r="CY96" s="256"/>
      <c r="CZ96" s="203" t="s">
        <v>4923</v>
      </c>
      <c r="DA96" s="203" t="s">
        <v>1990</v>
      </c>
      <c r="DB96" s="203" t="s">
        <v>2250</v>
      </c>
      <c r="DC96" s="203" t="s">
        <v>1517</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5"/>
    </row>
    <row r="97">
      <c r="A97" s="556" t="s">
        <v>4925</v>
      </c>
      <c r="B97" s="82" t="s">
        <v>4926</v>
      </c>
      <c r="C97" s="83" t="s">
        <v>1259</v>
      </c>
      <c r="D97" s="84" t="s">
        <v>548</v>
      </c>
      <c r="E97" s="85" t="s">
        <v>548</v>
      </c>
      <c r="F97" s="86" t="s">
        <v>2985</v>
      </c>
      <c r="G97" s="82" t="s">
        <v>4773</v>
      </c>
      <c r="H97" s="94" t="s">
        <v>2801</v>
      </c>
      <c r="I97" s="94" t="s">
        <v>4927</v>
      </c>
      <c r="J97" s="94" t="s">
        <v>4928</v>
      </c>
      <c r="K97" s="266" t="s">
        <v>2867</v>
      </c>
      <c r="L97" s="88" t="s">
        <v>4929</v>
      </c>
      <c r="M97" s="99"/>
      <c r="N97" s="99"/>
      <c r="O97" s="99"/>
      <c r="P97" s="88" t="s">
        <v>2545</v>
      </c>
      <c r="Q97" s="99"/>
      <c r="R97" s="99"/>
      <c r="S97" s="88" t="s">
        <v>4930</v>
      </c>
      <c r="T97" s="99"/>
      <c r="U97" s="99"/>
      <c r="V97" s="88" t="s">
        <v>4931</v>
      </c>
      <c r="W97" s="92"/>
      <c r="X97" s="88" t="s">
        <v>4628</v>
      </c>
      <c r="Y97" s="102"/>
      <c r="Z97" s="88" t="s">
        <v>2202</v>
      </c>
      <c r="AA97" s="88" t="s">
        <v>4371</v>
      </c>
      <c r="AB97" s="88" t="s">
        <v>4932</v>
      </c>
      <c r="AC97" s="88" t="s">
        <v>2172</v>
      </c>
      <c r="AD97" s="99"/>
      <c r="AE97" s="99"/>
      <c r="AF97" s="99"/>
      <c r="AG97" s="88" t="s">
        <v>3844</v>
      </c>
      <c r="AH97" s="99"/>
      <c r="AI97" s="99"/>
      <c r="AJ97" s="99"/>
      <c r="AK97" s="99"/>
      <c r="AL97" s="97"/>
      <c r="AM97" s="99"/>
      <c r="AN97" s="99"/>
      <c r="AO97" s="99"/>
      <c r="AP97" s="88" t="s">
        <v>4933</v>
      </c>
      <c r="AQ97" s="99"/>
      <c r="AR97" s="88" t="s">
        <v>135</v>
      </c>
      <c r="AS97" s="99"/>
      <c r="AT97" s="99"/>
      <c r="AU97" s="99"/>
      <c r="AV97" s="99"/>
      <c r="AW97" s="88" t="s">
        <v>3246</v>
      </c>
      <c r="AX97" s="99"/>
      <c r="AY97" s="99"/>
      <c r="AZ97" s="99"/>
      <c r="BA97" s="99"/>
      <c r="BB97" s="99"/>
      <c r="BC97" s="94" t="s">
        <v>4450</v>
      </c>
      <c r="BD97" s="88" t="s">
        <v>2222</v>
      </c>
      <c r="BE97" s="88" t="s">
        <v>4108</v>
      </c>
      <c r="BF97" s="99"/>
      <c r="BG97" s="99"/>
      <c r="BH97" s="99"/>
      <c r="BI97" s="88" t="s">
        <v>1591</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4619</v>
      </c>
      <c r="DC97" s="99"/>
      <c r="DD97" s="99"/>
      <c r="DE97" s="99"/>
      <c r="DF97" s="94" t="s">
        <v>373</v>
      </c>
      <c r="DG97" s="99"/>
      <c r="DH97" s="236"/>
      <c r="DI97" s="99"/>
      <c r="DJ97" s="99"/>
      <c r="DK97" s="99"/>
      <c r="DL97" s="88" t="s">
        <v>4550</v>
      </c>
      <c r="DM97" s="101" t="s">
        <v>180</v>
      </c>
      <c r="DN97" s="99"/>
      <c r="DO97" s="88" t="s">
        <v>423</v>
      </c>
      <c r="DP97" s="89" t="s">
        <v>4944</v>
      </c>
      <c r="DQ97" s="88" t="s">
        <v>4945</v>
      </c>
      <c r="DR97" s="99"/>
      <c r="DS97" s="99"/>
      <c r="DT97" s="99"/>
      <c r="DU97" s="94" t="s">
        <v>4459</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3708</v>
      </c>
      <c r="I98" s="308" t="s">
        <v>3645</v>
      </c>
      <c r="J98" s="308" t="s">
        <v>2114</v>
      </c>
      <c r="K98" s="112" t="s">
        <v>1886</v>
      </c>
      <c r="L98" s="308" t="s">
        <v>1095</v>
      </c>
      <c r="M98" s="112" t="s">
        <v>4948</v>
      </c>
      <c r="N98" s="308" t="s">
        <v>4949</v>
      </c>
      <c r="O98" s="308" t="s">
        <v>4892</v>
      </c>
      <c r="P98" s="308" t="s">
        <v>3096</v>
      </c>
      <c r="Q98" s="308" t="s">
        <v>4950</v>
      </c>
      <c r="R98" s="112" t="s">
        <v>3244</v>
      </c>
      <c r="S98" s="112" t="s">
        <v>4806</v>
      </c>
      <c r="T98" s="243"/>
      <c r="U98" s="112" t="s">
        <v>678</v>
      </c>
      <c r="V98" s="112" t="s">
        <v>4951</v>
      </c>
      <c r="W98" s="92"/>
      <c r="X98" s="309" t="s">
        <v>3015</v>
      </c>
      <c r="Y98" s="309"/>
      <c r="Z98" s="309" t="s">
        <v>4952</v>
      </c>
      <c r="AA98" s="309" t="s">
        <v>406</v>
      </c>
      <c r="AB98" s="309" t="s">
        <v>4953</v>
      </c>
      <c r="AC98" s="309" t="s">
        <v>4954</v>
      </c>
      <c r="AD98" s="309" t="s">
        <v>4955</v>
      </c>
      <c r="AE98" s="197"/>
      <c r="AF98" s="116" t="s">
        <v>958</v>
      </c>
      <c r="AG98" s="116" t="s">
        <v>4956</v>
      </c>
      <c r="AH98" s="116" t="s">
        <v>4957</v>
      </c>
      <c r="AI98" s="197"/>
      <c r="AJ98" s="116" t="s">
        <v>4655</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1506</v>
      </c>
      <c r="AZ98" s="247"/>
      <c r="BA98" s="247"/>
      <c r="BB98" s="302" t="s">
        <v>366</v>
      </c>
      <c r="BC98" s="126" t="s">
        <v>4964</v>
      </c>
      <c r="BD98" s="302" t="s">
        <v>2723</v>
      </c>
      <c r="BE98" s="302" t="s">
        <v>4965</v>
      </c>
      <c r="BF98" s="126" t="s">
        <v>3299</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4398</v>
      </c>
      <c r="BY98" s="294" t="s">
        <v>4976</v>
      </c>
      <c r="BZ98" s="252"/>
      <c r="CA98" s="294" t="s">
        <v>4977</v>
      </c>
      <c r="CB98" s="129" t="s">
        <v>4978</v>
      </c>
      <c r="CC98" s="252"/>
      <c r="CD98" s="252"/>
      <c r="CE98" s="252"/>
      <c r="CF98" s="253"/>
      <c r="CG98" s="135" t="s">
        <v>4979</v>
      </c>
      <c r="CH98" s="135" t="s">
        <v>322</v>
      </c>
      <c r="CI98" s="135" t="s">
        <v>3815</v>
      </c>
      <c r="CJ98" s="177" t="s">
        <v>4980</v>
      </c>
      <c r="CK98" s="177"/>
      <c r="CL98" s="558" t="s">
        <v>4981</v>
      </c>
      <c r="CM98" s="177" t="s">
        <v>4982</v>
      </c>
      <c r="CN98" s="135" t="s">
        <v>1439</v>
      </c>
      <c r="CO98" s="135" t="s">
        <v>3603</v>
      </c>
      <c r="CP98" s="255"/>
      <c r="CQ98" s="255"/>
      <c r="CR98" s="255"/>
      <c r="CS98" s="255"/>
      <c r="CT98" s="135" t="s">
        <v>4983</v>
      </c>
      <c r="CU98" s="92"/>
      <c r="CV98" s="140" t="s">
        <v>4984</v>
      </c>
      <c r="CW98" s="310" t="s">
        <v>4009</v>
      </c>
      <c r="CX98" s="310" t="s">
        <v>4351</v>
      </c>
      <c r="CY98" s="310" t="s">
        <v>2935</v>
      </c>
      <c r="CZ98" s="140" t="s">
        <v>4985</v>
      </c>
      <c r="DA98" s="310" t="s">
        <v>2161</v>
      </c>
      <c r="DB98" s="310" t="s">
        <v>4986</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2157</v>
      </c>
      <c r="DV98" s="258"/>
      <c r="DW98" s="204" t="s">
        <v>898</v>
      </c>
      <c r="DX98" s="258"/>
      <c r="DY98" s="145" t="s">
        <v>3022</v>
      </c>
      <c r="DZ98" s="204" t="s">
        <v>2032</v>
      </c>
      <c r="EA98" s="258"/>
      <c r="EB98" s="258"/>
      <c r="EC98" s="258"/>
      <c r="ED98" s="142" t="s">
        <v>2537</v>
      </c>
    </row>
    <row r="99">
      <c r="A99" s="559" t="s">
        <v>4987</v>
      </c>
      <c r="B99" s="471" t="s">
        <v>4988</v>
      </c>
      <c r="C99" s="472" t="s">
        <v>1259</v>
      </c>
      <c r="D99" s="473" t="s">
        <v>1259</v>
      </c>
      <c r="E99" s="474" t="s">
        <v>1259</v>
      </c>
      <c r="F99" s="475" t="s">
        <v>1063</v>
      </c>
      <c r="G99" s="471" t="s">
        <v>3372</v>
      </c>
      <c r="H99" s="315"/>
      <c r="I99" s="315"/>
      <c r="J99" s="315"/>
      <c r="K99" s="476" t="s">
        <v>1731</v>
      </c>
      <c r="L99" s="317"/>
      <c r="M99" s="315"/>
      <c r="N99" s="560" t="s">
        <v>4989</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4990</v>
      </c>
      <c r="AB99" s="317" t="s">
        <v>4991</v>
      </c>
      <c r="AC99" s="561" t="s">
        <v>4992</v>
      </c>
      <c r="AD99" s="315"/>
      <c r="AE99" s="315"/>
      <c r="AF99" s="560" t="s">
        <v>759</v>
      </c>
      <c r="AG99" s="561" t="s">
        <v>249</v>
      </c>
      <c r="AH99" s="315"/>
      <c r="AI99" s="315"/>
      <c r="AJ99" s="315"/>
      <c r="AK99" s="315"/>
      <c r="AL99" s="159"/>
      <c r="AM99" s="315"/>
      <c r="AN99" s="315"/>
      <c r="AO99" s="315"/>
      <c r="AP99" s="315"/>
      <c r="AQ99" s="315"/>
      <c r="AR99" s="315"/>
      <c r="AS99" s="315"/>
      <c r="AT99" s="315"/>
      <c r="AU99" s="317" t="s">
        <v>2395</v>
      </c>
      <c r="AV99" s="317" t="s">
        <v>4993</v>
      </c>
      <c r="AW99" s="315"/>
      <c r="AX99" s="315"/>
      <c r="AY99" s="315"/>
      <c r="AZ99" s="315"/>
      <c r="BA99" s="315"/>
      <c r="BB99" s="315"/>
      <c r="BC99" s="317"/>
      <c r="BD99" s="317"/>
      <c r="BE99" s="317"/>
      <c r="BF99" s="561" t="s">
        <v>2801</v>
      </c>
      <c r="BG99" s="315"/>
      <c r="BH99" s="315"/>
      <c r="BI99" s="561" t="s">
        <v>2022</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4994</v>
      </c>
      <c r="B100" s="104" t="s">
        <v>4995</v>
      </c>
      <c r="C100" s="105" t="s">
        <v>1259</v>
      </c>
      <c r="D100" s="106" t="s">
        <v>1259</v>
      </c>
      <c r="E100" s="107" t="s">
        <v>1259</v>
      </c>
      <c r="F100" s="108" t="s">
        <v>548</v>
      </c>
      <c r="G100" s="104" t="s">
        <v>4773</v>
      </c>
      <c r="H100" s="322"/>
      <c r="I100" s="322" t="s">
        <v>1299</v>
      </c>
      <c r="J100" s="322" t="s">
        <v>2218</v>
      </c>
      <c r="K100" s="322" t="s">
        <v>3519</v>
      </c>
      <c r="L100" s="322" t="s">
        <v>4996</v>
      </c>
      <c r="M100" s="322"/>
      <c r="N100" s="322" t="s">
        <v>2908</v>
      </c>
      <c r="O100" s="322" t="s">
        <v>1451</v>
      </c>
      <c r="P100" s="322" t="s">
        <v>2917</v>
      </c>
      <c r="Q100" s="563"/>
      <c r="R100" s="563"/>
      <c r="S100" s="563"/>
      <c r="T100" s="563"/>
      <c r="U100" s="563"/>
      <c r="V100" s="563"/>
      <c r="W100" s="92"/>
      <c r="X100" s="300" t="s">
        <v>3973</v>
      </c>
      <c r="Y100" s="300"/>
      <c r="Z100" s="300" t="s">
        <v>364</v>
      </c>
      <c r="AA100" s="300" t="s">
        <v>2242</v>
      </c>
      <c r="AB100" s="300" t="s">
        <v>1072</v>
      </c>
      <c r="AC100" s="300" t="s">
        <v>4440</v>
      </c>
      <c r="AD100" s="300" t="s">
        <v>4997</v>
      </c>
      <c r="AE100" s="564"/>
      <c r="AF100" s="300" t="s">
        <v>4998</v>
      </c>
      <c r="AG100" s="300" t="s">
        <v>4999</v>
      </c>
      <c r="AH100" s="564"/>
      <c r="AI100" s="564"/>
      <c r="AJ100" s="300"/>
      <c r="AK100" s="564"/>
      <c r="AL100" s="565"/>
      <c r="AM100" s="454"/>
      <c r="AN100" s="454"/>
      <c r="AO100" s="566"/>
      <c r="AP100" s="566"/>
      <c r="AQ100" s="567"/>
      <c r="AR100" s="567"/>
      <c r="AS100" s="566"/>
      <c r="AT100" s="566"/>
      <c r="AU100" s="454" t="s">
        <v>3351</v>
      </c>
      <c r="AV100" s="454" t="s">
        <v>5000</v>
      </c>
      <c r="AW100" s="454"/>
      <c r="AX100" s="566"/>
      <c r="AY100" s="566"/>
      <c r="AZ100" s="566"/>
      <c r="BA100" s="566"/>
      <c r="BB100" s="200" t="s">
        <v>4046</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4" t="s">
        <v>5001</v>
      </c>
      <c r="BS100" s="344" t="s">
        <v>5002</v>
      </c>
      <c r="BT100" s="344" t="s">
        <v>5003</v>
      </c>
      <c r="BU100" s="344" t="s">
        <v>4858</v>
      </c>
      <c r="BV100" s="344" t="s">
        <v>3416</v>
      </c>
      <c r="BW100" s="344" t="s">
        <v>5004</v>
      </c>
      <c r="BX100" s="572"/>
      <c r="BY100" s="344" t="s">
        <v>5005</v>
      </c>
      <c r="BZ100" s="344"/>
      <c r="CA100" s="344" t="s">
        <v>5006</v>
      </c>
      <c r="CB100" s="572"/>
      <c r="CC100" s="572"/>
      <c r="CD100" s="572"/>
      <c r="CE100" s="572"/>
      <c r="CF100" s="573"/>
      <c r="CG100" s="337" t="s">
        <v>5007</v>
      </c>
      <c r="CH100" s="337" t="s">
        <v>5008</v>
      </c>
      <c r="CI100" s="337"/>
      <c r="CJ100" s="132" t="s">
        <v>5009</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5010</v>
      </c>
      <c r="DC100" s="284" t="s">
        <v>4392</v>
      </c>
      <c r="DD100" s="578"/>
      <c r="DE100" s="578"/>
      <c r="DF100" s="578"/>
      <c r="DG100" s="578"/>
      <c r="DH100" s="579"/>
      <c r="DI100" s="287"/>
      <c r="DJ100" s="580"/>
      <c r="DK100" s="580"/>
      <c r="DL100" s="287"/>
      <c r="DM100" s="287"/>
      <c r="DN100" s="287"/>
      <c r="DO100" s="580"/>
      <c r="DP100" s="580"/>
      <c r="DQ100" s="580"/>
      <c r="DR100" s="287" t="s">
        <v>3241</v>
      </c>
      <c r="DS100" s="287" t="s">
        <v>4486</v>
      </c>
      <c r="DT100" s="580"/>
      <c r="DU100" s="287"/>
      <c r="DV100" s="580"/>
      <c r="DW100" s="580"/>
      <c r="DX100" s="580"/>
      <c r="DY100" s="580"/>
      <c r="DZ100" s="580"/>
      <c r="EA100" s="287"/>
      <c r="EB100" s="580"/>
      <c r="EC100" s="580"/>
      <c r="ED100" s="287"/>
    </row>
    <row r="101">
      <c r="A101" s="81" t="s">
        <v>5011</v>
      </c>
      <c r="B101" s="82" t="s">
        <v>5012</v>
      </c>
      <c r="C101" s="83" t="s">
        <v>1259</v>
      </c>
      <c r="D101" s="84" t="s">
        <v>1259</v>
      </c>
      <c r="E101" s="85" t="s">
        <v>1259</v>
      </c>
      <c r="F101" s="86" t="s">
        <v>335</v>
      </c>
      <c r="G101" s="82" t="s">
        <v>1061</v>
      </c>
      <c r="H101" s="99"/>
      <c r="I101" s="94" t="s">
        <v>2929</v>
      </c>
      <c r="J101" s="94" t="s">
        <v>3398</v>
      </c>
      <c r="K101" s="94" t="s">
        <v>1562</v>
      </c>
      <c r="L101" s="271" t="s">
        <v>5013</v>
      </c>
      <c r="M101" s="99"/>
      <c r="N101" s="94" t="s">
        <v>5014</v>
      </c>
      <c r="O101" s="94" t="s">
        <v>5015</v>
      </c>
      <c r="P101" s="94" t="s">
        <v>3096</v>
      </c>
      <c r="Q101" s="99"/>
      <c r="R101" s="99"/>
      <c r="S101" s="99"/>
      <c r="T101" s="99"/>
      <c r="U101" s="99"/>
      <c r="V101" s="99"/>
      <c r="W101" s="92"/>
      <c r="X101" s="94" t="s">
        <v>5016</v>
      </c>
      <c r="Y101" s="94"/>
      <c r="Z101" s="94" t="s">
        <v>1431</v>
      </c>
      <c r="AA101" s="94" t="s">
        <v>1971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5003</v>
      </c>
      <c r="BU101" s="94" t="s">
        <v>3466</v>
      </c>
      <c r="BV101" s="94" t="s">
        <v>5018</v>
      </c>
      <c r="BW101" s="94" t="s">
        <v>3420</v>
      </c>
      <c r="BX101" s="99"/>
      <c r="BY101" s="99"/>
      <c r="BZ101" s="94" t="s">
        <v>5019</v>
      </c>
      <c r="CA101" s="99"/>
      <c r="CB101" s="99"/>
      <c r="CC101" s="99"/>
      <c r="CD101" s="99"/>
      <c r="CE101" s="99"/>
      <c r="CF101" s="236"/>
      <c r="CG101" s="94" t="s">
        <v>5020</v>
      </c>
      <c r="CH101" s="88" t="s">
        <v>5021</v>
      </c>
      <c r="CI101" s="99"/>
      <c r="CJ101" s="99"/>
      <c r="CK101" s="99"/>
      <c r="CL101" s="99"/>
      <c r="CM101" s="99"/>
      <c r="CN101" s="266" t="s">
        <v>2848</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2941</v>
      </c>
      <c r="M102" s="167" t="s">
        <v>5030</v>
      </c>
      <c r="N102" s="167" t="s">
        <v>5031</v>
      </c>
      <c r="O102" s="167" t="s">
        <v>1901</v>
      </c>
      <c r="P102" s="167" t="s">
        <v>5032</v>
      </c>
      <c r="Q102" s="243"/>
      <c r="R102" s="243"/>
      <c r="S102" s="167" t="s">
        <v>4100</v>
      </c>
      <c r="T102" s="243"/>
      <c r="U102" s="167" t="s">
        <v>638</v>
      </c>
      <c r="V102" s="243"/>
      <c r="W102" s="92"/>
      <c r="X102" s="197" t="s">
        <v>2071</v>
      </c>
      <c r="Y102" s="197"/>
      <c r="Z102" s="197" t="s">
        <v>1902</v>
      </c>
      <c r="AA102" s="197" t="s">
        <v>5033</v>
      </c>
      <c r="AB102" s="197" t="s">
        <v>3684</v>
      </c>
      <c r="AC102" s="582" t="s">
        <v>2569</v>
      </c>
      <c r="AD102" s="197" t="s">
        <v>4465</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2591</v>
      </c>
      <c r="AV102" s="168" t="s">
        <v>146</v>
      </c>
      <c r="AW102" s="168" t="s">
        <v>4201</v>
      </c>
      <c r="AX102" s="247"/>
      <c r="AY102" s="168" t="s">
        <v>5036</v>
      </c>
      <c r="AZ102" s="168" t="s">
        <v>5037</v>
      </c>
      <c r="BA102" s="168"/>
      <c r="BB102" s="174" t="s">
        <v>5038</v>
      </c>
      <c r="BC102" s="174" t="s">
        <v>5039</v>
      </c>
      <c r="BD102" s="174" t="s">
        <v>1044</v>
      </c>
      <c r="BE102" s="174" t="s">
        <v>1023</v>
      </c>
      <c r="BF102" s="174" t="s">
        <v>3033</v>
      </c>
      <c r="BG102" s="174" t="s">
        <v>2831</v>
      </c>
      <c r="BH102" s="174" t="s">
        <v>5040</v>
      </c>
      <c r="BI102" s="174" t="s">
        <v>5041</v>
      </c>
      <c r="BJ102" s="173"/>
      <c r="BK102" s="174" t="s">
        <v>5042</v>
      </c>
      <c r="BL102" s="174" t="s">
        <v>2847</v>
      </c>
      <c r="BM102" s="173"/>
      <c r="BN102" s="173"/>
      <c r="BO102" s="174"/>
      <c r="BP102" s="173"/>
      <c r="BQ102" s="249"/>
      <c r="BR102" s="252"/>
      <c r="BS102" s="252"/>
      <c r="BT102" s="175" t="s">
        <v>5043</v>
      </c>
      <c r="BU102" s="175" t="s">
        <v>2238</v>
      </c>
      <c r="BV102" s="252"/>
      <c r="BW102" s="175" t="s">
        <v>3503</v>
      </c>
      <c r="BX102" s="252"/>
      <c r="BY102" s="252"/>
      <c r="BZ102" s="252"/>
      <c r="CA102" s="175" t="s">
        <v>2636</v>
      </c>
      <c r="CB102" s="252"/>
      <c r="CC102" s="175" t="s">
        <v>5044</v>
      </c>
      <c r="CD102" s="252"/>
      <c r="CE102" s="252"/>
      <c r="CF102" s="253"/>
      <c r="CG102" s="177" t="s">
        <v>5045</v>
      </c>
      <c r="CH102" s="177" t="s">
        <v>5046</v>
      </c>
      <c r="CI102" s="177" t="s">
        <v>4930</v>
      </c>
      <c r="CJ102" s="177"/>
      <c r="CK102" s="177"/>
      <c r="CL102" s="177" t="s">
        <v>5047</v>
      </c>
      <c r="CM102" s="177" t="s">
        <v>4618</v>
      </c>
      <c r="CN102" s="583" t="s">
        <v>1409</v>
      </c>
      <c r="CO102" s="177" t="s">
        <v>3142</v>
      </c>
      <c r="CP102" s="255"/>
      <c r="CQ102" s="255"/>
      <c r="CR102" s="177"/>
      <c r="CS102" s="177" t="s">
        <v>5048</v>
      </c>
      <c r="CT102" s="255"/>
      <c r="CU102" s="92"/>
      <c r="CV102" s="203" t="s">
        <v>5049</v>
      </c>
      <c r="CW102" s="203" t="s">
        <v>2575</v>
      </c>
      <c r="CX102" s="203" t="s">
        <v>5050</v>
      </c>
      <c r="CY102" s="203" t="s">
        <v>4405</v>
      </c>
      <c r="CZ102" s="256"/>
      <c r="DA102" s="203" t="s">
        <v>390</v>
      </c>
      <c r="DB102" s="203" t="s">
        <v>5051</v>
      </c>
      <c r="DC102" s="203" t="s">
        <v>4263</v>
      </c>
      <c r="DD102" s="256"/>
      <c r="DE102" s="256"/>
      <c r="DF102" s="203" t="s">
        <v>3556</v>
      </c>
      <c r="DG102" s="203" t="s">
        <v>1544</v>
      </c>
      <c r="DH102" s="297"/>
      <c r="DI102" s="258"/>
      <c r="DJ102" s="258"/>
      <c r="DK102" s="258"/>
      <c r="DL102" s="204"/>
      <c r="DM102" s="204" t="s">
        <v>5052</v>
      </c>
      <c r="DN102" s="204" t="s">
        <v>5053</v>
      </c>
      <c r="DO102" s="258"/>
      <c r="DP102" s="258"/>
      <c r="DQ102" s="258"/>
      <c r="DR102" s="258"/>
      <c r="DS102" s="258"/>
      <c r="DT102" s="204" t="s">
        <v>4475</v>
      </c>
      <c r="DU102" s="204" t="s">
        <v>5054</v>
      </c>
      <c r="DV102" s="258"/>
      <c r="DW102" s="258"/>
      <c r="DX102" s="258"/>
      <c r="DY102" s="258"/>
      <c r="DZ102" s="258"/>
      <c r="EA102" s="258"/>
      <c r="EB102" s="258"/>
      <c r="EC102" s="258"/>
      <c r="ED102" s="287"/>
    </row>
    <row r="103">
      <c r="A103" s="584" t="s">
        <v>5055</v>
      </c>
      <c r="B103" s="82" t="s">
        <v>5056</v>
      </c>
      <c r="C103" s="83" t="s">
        <v>1259</v>
      </c>
      <c r="D103" s="84" t="s">
        <v>1259</v>
      </c>
      <c r="E103" s="85" t="s">
        <v>1259</v>
      </c>
      <c r="F103" s="86" t="s">
        <v>4234</v>
      </c>
      <c r="G103" s="82" t="s">
        <v>5057</v>
      </c>
      <c r="H103" s="88" t="s">
        <v>5058</v>
      </c>
      <c r="I103" s="88" t="s">
        <v>3012</v>
      </c>
      <c r="J103" s="88" t="s">
        <v>4000</v>
      </c>
      <c r="K103" s="94" t="s">
        <v>1274</v>
      </c>
      <c r="L103" s="94" t="s">
        <v>5059</v>
      </c>
      <c r="M103" s="94" t="s">
        <v>5060</v>
      </c>
      <c r="N103" s="94" t="s">
        <v>5061</v>
      </c>
      <c r="O103" s="94" t="s">
        <v>5062</v>
      </c>
      <c r="P103" s="88" t="s">
        <v>4055</v>
      </c>
      <c r="Q103" s="94" t="s">
        <v>5063</v>
      </c>
      <c r="R103" s="99"/>
      <c r="S103" s="94" t="s">
        <v>1387</v>
      </c>
      <c r="T103" s="99"/>
      <c r="U103" s="94" t="s">
        <v>236</v>
      </c>
      <c r="V103" s="260" t="s">
        <v>5064</v>
      </c>
      <c r="W103" s="226"/>
      <c r="X103" s="94" t="s">
        <v>1605</v>
      </c>
      <c r="Y103" s="93"/>
      <c r="Z103" s="93" t="s">
        <v>3717</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1505</v>
      </c>
      <c r="AQ103" s="94" t="s">
        <v>3759</v>
      </c>
      <c r="AR103" s="94" t="s">
        <v>1357</v>
      </c>
      <c r="AS103" s="99"/>
      <c r="AT103" s="94" t="s">
        <v>5074</v>
      </c>
      <c r="AU103" s="88" t="s">
        <v>5075</v>
      </c>
      <c r="AV103" s="94" t="s">
        <v>3263</v>
      </c>
      <c r="AW103" s="94" t="s">
        <v>4149</v>
      </c>
      <c r="AX103" s="99"/>
      <c r="AY103" s="98" t="str">
        <f>HYPERLINK("https://clips.twitch.tv/PeppyAbstruseSmoothieCurseLit","39.09")</f>
        <v>39.09</v>
      </c>
      <c r="AZ103" s="94" t="s">
        <v>5076</v>
      </c>
      <c r="BA103" s="94"/>
      <c r="BB103" s="94" t="s">
        <v>5077</v>
      </c>
      <c r="BC103" s="94" t="s">
        <v>5078</v>
      </c>
      <c r="BD103" s="94" t="s">
        <v>477</v>
      </c>
      <c r="BE103" s="94" t="s">
        <v>2634</v>
      </c>
      <c r="BF103" s="94" t="s">
        <v>5067</v>
      </c>
      <c r="BG103" s="94" t="s">
        <v>3703</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4459</v>
      </c>
      <c r="BU103" s="94" t="s">
        <v>1986</v>
      </c>
      <c r="BV103" s="99"/>
      <c r="BW103" s="93" t="s">
        <v>432</v>
      </c>
      <c r="BX103" s="99"/>
      <c r="BY103" s="99"/>
      <c r="BZ103" s="94" t="s">
        <v>3812</v>
      </c>
      <c r="CA103" s="94" t="s">
        <v>641</v>
      </c>
      <c r="CB103" s="88" t="s">
        <v>5082</v>
      </c>
      <c r="CC103" s="94" t="s">
        <v>5083</v>
      </c>
      <c r="CD103" s="94" t="s">
        <v>3656</v>
      </c>
      <c r="CE103" s="94" t="s">
        <v>5084</v>
      </c>
      <c r="CF103" s="100"/>
      <c r="CG103" s="94" t="s">
        <v>1331</v>
      </c>
      <c r="CH103" s="94" t="s">
        <v>5085</v>
      </c>
      <c r="CI103" s="94" t="s">
        <v>3149</v>
      </c>
      <c r="CJ103" s="94" t="s">
        <v>5086</v>
      </c>
      <c r="CK103" s="94"/>
      <c r="CL103" s="94" t="s">
        <v>5087</v>
      </c>
      <c r="CM103" s="99"/>
      <c r="CN103" s="94" t="s">
        <v>2980</v>
      </c>
      <c r="CO103" s="94" t="s">
        <v>1548</v>
      </c>
      <c r="CP103" s="94" t="s">
        <v>5088</v>
      </c>
      <c r="CQ103" s="94" t="s">
        <v>5089</v>
      </c>
      <c r="CR103" s="94"/>
      <c r="CS103" s="94" t="s">
        <v>5090</v>
      </c>
      <c r="CT103" s="94" t="s">
        <v>5091</v>
      </c>
      <c r="CU103" s="92"/>
      <c r="CV103" s="94" t="s">
        <v>5092</v>
      </c>
      <c r="CW103" s="94" t="s">
        <v>3872</v>
      </c>
      <c r="CX103" s="88" t="s">
        <v>5093</v>
      </c>
      <c r="CY103" s="94" t="s">
        <v>1995</v>
      </c>
      <c r="CZ103" s="99"/>
      <c r="DA103" s="94" t="s">
        <v>4319</v>
      </c>
      <c r="DB103" s="94" t="s">
        <v>5094</v>
      </c>
      <c r="DC103" s="94" t="s">
        <v>3603</v>
      </c>
      <c r="DD103" s="94" t="s">
        <v>5095</v>
      </c>
      <c r="DE103" s="94" t="s">
        <v>3426</v>
      </c>
      <c r="DF103" s="94" t="s">
        <v>1563</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4665</v>
      </c>
      <c r="DU103" s="94" t="s">
        <v>5100</v>
      </c>
      <c r="DV103" s="94" t="s">
        <v>5101</v>
      </c>
      <c r="DW103" s="94" t="s">
        <v>5102</v>
      </c>
      <c r="DX103" s="94" t="s">
        <v>5103</v>
      </c>
      <c r="DY103" s="94" t="s">
        <v>1320</v>
      </c>
      <c r="DZ103" s="94" t="s">
        <v>5104</v>
      </c>
      <c r="EA103" s="94" t="s">
        <v>4993</v>
      </c>
      <c r="EB103" s="94" t="s">
        <v>641</v>
      </c>
      <c r="EC103" s="94" t="s">
        <v>2911</v>
      </c>
      <c r="ED103" s="260" t="s">
        <v>5105</v>
      </c>
    </row>
    <row r="104">
      <c r="A104" s="166" t="s">
        <v>5106</v>
      </c>
      <c r="B104" s="104" t="s">
        <v>5107</v>
      </c>
      <c r="C104" s="105" t="s">
        <v>1259</v>
      </c>
      <c r="D104" s="106" t="s">
        <v>1259</v>
      </c>
      <c r="E104" s="107" t="s">
        <v>1259</v>
      </c>
      <c r="F104" s="108" t="s">
        <v>439</v>
      </c>
      <c r="G104" s="104" t="s">
        <v>3090</v>
      </c>
      <c r="H104" s="167" t="s">
        <v>995</v>
      </c>
      <c r="I104" s="243"/>
      <c r="J104" s="167" t="s">
        <v>5108</v>
      </c>
      <c r="K104" s="167" t="s">
        <v>5029</v>
      </c>
      <c r="L104" s="167" t="s">
        <v>1618</v>
      </c>
      <c r="M104" s="167" t="s">
        <v>5109</v>
      </c>
      <c r="N104" s="167" t="s">
        <v>1582</v>
      </c>
      <c r="O104" s="167" t="s">
        <v>5110</v>
      </c>
      <c r="P104" s="167" t="s">
        <v>1080</v>
      </c>
      <c r="Q104" s="243"/>
      <c r="R104" s="243"/>
      <c r="S104" s="243"/>
      <c r="T104" s="243"/>
      <c r="U104" s="243"/>
      <c r="V104" s="243"/>
      <c r="W104" s="92"/>
      <c r="X104" s="246"/>
      <c r="Y104" s="197"/>
      <c r="Z104" s="197" t="s">
        <v>3098</v>
      </c>
      <c r="AA104" s="197" t="s">
        <v>1781</v>
      </c>
      <c r="AB104" s="270" t="s">
        <v>2070</v>
      </c>
      <c r="AC104" s="197" t="s">
        <v>3427</v>
      </c>
      <c r="AD104" s="197" t="s">
        <v>5111</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3841</v>
      </c>
      <c r="BD104" s="174" t="s">
        <v>1044</v>
      </c>
      <c r="BE104" s="174" t="s">
        <v>1521</v>
      </c>
      <c r="BF104" s="174"/>
      <c r="BG104" s="174" t="s">
        <v>5112</v>
      </c>
      <c r="BH104" s="173"/>
      <c r="BI104" s="125" t="str">
        <f>HYPERLINK("https://www.youtube.com/watch?v=D3qit_yrtB8&amp;feature=youtu.be","27.76")</f>
        <v>27.76</v>
      </c>
      <c r="BJ104" s="174" t="s">
        <v>4432</v>
      </c>
      <c r="BK104" s="174"/>
      <c r="BL104" s="174" t="s">
        <v>5113</v>
      </c>
      <c r="BM104" s="173"/>
      <c r="BN104" s="174" t="s">
        <v>160</v>
      </c>
      <c r="BO104" s="173"/>
      <c r="BP104" s="173"/>
      <c r="BQ104" s="249"/>
      <c r="BR104" s="252"/>
      <c r="BS104" s="175" t="s">
        <v>5114</v>
      </c>
      <c r="BT104" s="175" t="s">
        <v>5115</v>
      </c>
      <c r="BU104" s="175" t="s">
        <v>4380</v>
      </c>
      <c r="BV104" s="252"/>
      <c r="BW104" s="175" t="s">
        <v>3071</v>
      </c>
      <c r="BX104" s="252"/>
      <c r="BY104" s="175" t="s">
        <v>5116</v>
      </c>
      <c r="BZ104" s="252"/>
      <c r="CA104" s="175" t="s">
        <v>2789</v>
      </c>
      <c r="CB104" s="175" t="s">
        <v>5117</v>
      </c>
      <c r="CC104" s="252"/>
      <c r="CD104" s="252"/>
      <c r="CE104" s="252"/>
      <c r="CF104" s="253"/>
      <c r="CG104" s="177" t="s">
        <v>5118</v>
      </c>
      <c r="CH104" s="263" t="s">
        <v>5119</v>
      </c>
      <c r="CI104" s="177"/>
      <c r="CJ104" s="255"/>
      <c r="CK104" s="255"/>
      <c r="CL104" s="255" t="s">
        <v>553</v>
      </c>
      <c r="CM104" s="255"/>
      <c r="CN104" s="263" t="s">
        <v>4083</v>
      </c>
      <c r="CO104" s="177" t="s">
        <v>5120</v>
      </c>
      <c r="CP104" s="255"/>
      <c r="CQ104" s="255"/>
      <c r="CR104" s="255"/>
      <c r="CS104" s="255"/>
      <c r="CT104" s="255"/>
      <c r="CU104" s="92"/>
      <c r="CV104" s="203" t="s">
        <v>5121</v>
      </c>
      <c r="CW104" s="203"/>
      <c r="CX104" s="203" t="s">
        <v>2551</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4671</v>
      </c>
      <c r="H105" s="94" t="s">
        <v>2790</v>
      </c>
      <c r="I105" s="94" t="s">
        <v>4016</v>
      </c>
      <c r="J105" s="94" t="s">
        <v>5125</v>
      </c>
      <c r="K105" s="94" t="s">
        <v>3965</v>
      </c>
      <c r="L105" s="94" t="s">
        <v>5126</v>
      </c>
      <c r="M105" s="94" t="s">
        <v>5127</v>
      </c>
      <c r="N105" s="94" t="s">
        <v>5128</v>
      </c>
      <c r="O105" s="94" t="s">
        <v>5129</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2019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3516</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3188</v>
      </c>
      <c r="H106" s="167" t="s">
        <v>2905</v>
      </c>
      <c r="I106" s="167" t="s">
        <v>5143</v>
      </c>
      <c r="J106" s="167" t="s">
        <v>5144</v>
      </c>
      <c r="K106" s="167" t="s">
        <v>4280</v>
      </c>
      <c r="L106" s="167" t="s">
        <v>2323</v>
      </c>
      <c r="M106" s="243"/>
      <c r="N106" s="167" t="s">
        <v>4343</v>
      </c>
      <c r="O106" s="167" t="s">
        <v>5145</v>
      </c>
      <c r="P106" s="167" t="s">
        <v>4055</v>
      </c>
      <c r="Q106" s="243"/>
      <c r="R106" s="243"/>
      <c r="S106" s="243"/>
      <c r="T106" s="243"/>
      <c r="U106" s="243"/>
      <c r="V106" s="243"/>
      <c r="W106" s="92"/>
      <c r="X106" s="197" t="s">
        <v>4802</v>
      </c>
      <c r="Y106" s="197"/>
      <c r="Z106" s="197" t="s">
        <v>3351</v>
      </c>
      <c r="AA106" s="197" t="s">
        <v>5146</v>
      </c>
      <c r="AB106" s="197" t="s">
        <v>4887</v>
      </c>
      <c r="AC106" s="246"/>
      <c r="AD106" s="197" t="s">
        <v>4175</v>
      </c>
      <c r="AE106" s="246"/>
      <c r="AF106" s="197" t="s">
        <v>3297</v>
      </c>
      <c r="AG106" s="197" t="s">
        <v>5147</v>
      </c>
      <c r="AH106" s="246"/>
      <c r="AI106" s="246"/>
      <c r="AJ106" s="246"/>
      <c r="AK106" s="246"/>
      <c r="AL106" s="97"/>
      <c r="AM106" s="168" t="s">
        <v>4097</v>
      </c>
      <c r="AN106" s="247"/>
      <c r="AO106" s="247"/>
      <c r="AP106" s="247"/>
      <c r="AQ106" s="247"/>
      <c r="AR106" s="247"/>
      <c r="AS106" s="247"/>
      <c r="AT106" s="247"/>
      <c r="AU106" s="247"/>
      <c r="AV106" s="168" t="s">
        <v>5148</v>
      </c>
      <c r="AW106" s="168" t="s">
        <v>4806</v>
      </c>
      <c r="AX106" s="247"/>
      <c r="AY106" s="247"/>
      <c r="AZ106" s="247"/>
      <c r="BA106" s="247"/>
      <c r="BB106" s="174" t="s">
        <v>2066</v>
      </c>
      <c r="BC106" s="173"/>
      <c r="BD106" s="174" t="s">
        <v>5149</v>
      </c>
      <c r="BE106" s="174" t="s">
        <v>5003</v>
      </c>
      <c r="BF106" s="126" t="s">
        <v>4137</v>
      </c>
      <c r="BG106" s="174" t="s">
        <v>1342</v>
      </c>
      <c r="BH106" s="173"/>
      <c r="BI106" s="174" t="s">
        <v>2664</v>
      </c>
      <c r="BJ106" s="174" t="s">
        <v>5150</v>
      </c>
      <c r="BK106" s="174"/>
      <c r="BL106" s="173"/>
      <c r="BM106" s="173"/>
      <c r="BN106" s="173"/>
      <c r="BO106" s="173"/>
      <c r="BP106" s="173"/>
      <c r="BQ106" s="249"/>
      <c r="BR106" s="175" t="s">
        <v>3784</v>
      </c>
      <c r="BS106" s="252"/>
      <c r="BT106" s="175" t="s">
        <v>2635</v>
      </c>
      <c r="BU106" s="175" t="s">
        <v>5151</v>
      </c>
      <c r="BV106" s="252"/>
      <c r="BW106" s="175" t="s">
        <v>5152</v>
      </c>
      <c r="BX106" s="252"/>
      <c r="BY106" s="252"/>
      <c r="BZ106" s="175" t="s">
        <v>3812</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3516</v>
      </c>
      <c r="CY106" s="203" t="s">
        <v>2941</v>
      </c>
      <c r="CZ106" s="256"/>
      <c r="DA106" s="140" t="s">
        <v>3325</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4200</v>
      </c>
      <c r="J107" s="94" t="s">
        <v>2464</v>
      </c>
      <c r="K107" s="93" t="s">
        <v>4385</v>
      </c>
      <c r="L107" s="94" t="s">
        <v>5160</v>
      </c>
      <c r="M107" s="99"/>
      <c r="N107" s="94" t="s">
        <v>673</v>
      </c>
      <c r="O107" s="94" t="s">
        <v>3839</v>
      </c>
      <c r="P107" s="94" t="s">
        <v>4345</v>
      </c>
      <c r="Q107" s="94" t="s">
        <v>5161</v>
      </c>
      <c r="R107" s="94"/>
      <c r="S107" s="94" t="s">
        <v>233</v>
      </c>
      <c r="T107" s="99"/>
      <c r="U107" s="94" t="s">
        <v>2406</v>
      </c>
      <c r="V107" s="94" t="s">
        <v>5162</v>
      </c>
      <c r="W107" s="92"/>
      <c r="X107" s="94" t="s">
        <v>5163</v>
      </c>
      <c r="Y107" s="93"/>
      <c r="Z107" s="93" t="s">
        <v>2713</v>
      </c>
      <c r="AA107" s="94" t="s">
        <v>2940</v>
      </c>
      <c r="AB107" s="94" t="s">
        <v>5164</v>
      </c>
      <c r="AC107" s="94" t="s">
        <v>892</v>
      </c>
      <c r="AD107" s="94" t="s">
        <v>4350</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3920</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3188</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3309</v>
      </c>
      <c r="Y108" s="197"/>
      <c r="Z108" s="197" t="s">
        <v>4403</v>
      </c>
      <c r="AA108" s="197" t="s">
        <v>4088</v>
      </c>
      <c r="AB108" s="197" t="s">
        <v>4929</v>
      </c>
      <c r="AC108" s="197" t="s">
        <v>4318</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3934</v>
      </c>
      <c r="BD108" s="173"/>
      <c r="BE108" s="174" t="s">
        <v>4408</v>
      </c>
      <c r="BF108" s="174" t="s">
        <v>5179</v>
      </c>
      <c r="BG108" s="173"/>
      <c r="BH108" s="173"/>
      <c r="BI108" s="174" t="s">
        <v>3348</v>
      </c>
      <c r="BJ108" s="174" t="s">
        <v>5180</v>
      </c>
      <c r="BK108" s="173"/>
      <c r="BL108" s="174" t="s">
        <v>1495</v>
      </c>
      <c r="BM108" s="173"/>
      <c r="BN108" s="173"/>
      <c r="BO108" s="173"/>
      <c r="BP108" s="173"/>
      <c r="BQ108" s="249"/>
      <c r="BR108" s="175" t="s">
        <v>5181</v>
      </c>
      <c r="BS108" s="175" t="s">
        <v>4289</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3491</v>
      </c>
      <c r="CN108" s="177" t="s">
        <v>3942</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3188</v>
      </c>
      <c r="H109" s="99"/>
      <c r="I109" s="585" t="s">
        <v>3434</v>
      </c>
      <c r="J109" s="585" t="s">
        <v>5196</v>
      </c>
      <c r="K109" s="585" t="s">
        <v>662</v>
      </c>
      <c r="L109" s="58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3337</v>
      </c>
      <c r="H110" s="243"/>
      <c r="I110" s="167" t="s">
        <v>5200</v>
      </c>
      <c r="J110" s="112" t="s">
        <v>5201</v>
      </c>
      <c r="K110" s="167" t="s">
        <v>4494</v>
      </c>
      <c r="L110" s="308" t="s">
        <v>567</v>
      </c>
      <c r="M110" s="243"/>
      <c r="N110" s="167" t="s">
        <v>5202</v>
      </c>
      <c r="O110" s="167" t="s">
        <v>1023</v>
      </c>
      <c r="P110" s="167" t="s">
        <v>3626</v>
      </c>
      <c r="Q110" s="243"/>
      <c r="R110" s="243"/>
      <c r="S110" s="243"/>
      <c r="T110" s="243"/>
      <c r="U110" s="243"/>
      <c r="V110" s="243"/>
      <c r="W110" s="92"/>
      <c r="X110" s="197" t="s">
        <v>2629</v>
      </c>
      <c r="Y110" s="197"/>
      <c r="Z110" s="197" t="s">
        <v>1008</v>
      </c>
      <c r="AA110" s="197" t="s">
        <v>3255</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3409</v>
      </c>
      <c r="AV110" s="168" t="s">
        <v>5205</v>
      </c>
      <c r="AW110" s="247"/>
      <c r="AX110" s="247"/>
      <c r="AY110" s="247"/>
      <c r="AZ110" s="247"/>
      <c r="BA110" s="247"/>
      <c r="BB110" s="174" t="s">
        <v>1108</v>
      </c>
      <c r="BC110" s="174" t="s">
        <v>373</v>
      </c>
      <c r="BD110" s="174" t="s">
        <v>4668</v>
      </c>
      <c r="BE110" s="174" t="s">
        <v>4892</v>
      </c>
      <c r="BF110" s="174" t="s">
        <v>1745</v>
      </c>
      <c r="BG110" s="173"/>
      <c r="BH110" s="173"/>
      <c r="BI110" s="174" t="s">
        <v>2049</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3508</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4318</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4885</v>
      </c>
      <c r="BC111" s="94" t="s">
        <v>3312</v>
      </c>
      <c r="BD111" s="94" t="s">
        <v>2181</v>
      </c>
      <c r="BE111" s="94" t="s">
        <v>4496</v>
      </c>
      <c r="BF111" s="94" t="s">
        <v>4409</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5224</v>
      </c>
      <c r="CW111" s="94" t="s">
        <v>2992</v>
      </c>
      <c r="CX111" s="94" t="s">
        <v>5000</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3564</v>
      </c>
      <c r="H112" s="167" t="s">
        <v>778</v>
      </c>
      <c r="I112" s="195" t="s">
        <v>3600</v>
      </c>
      <c r="J112" s="167" t="s">
        <v>5229</v>
      </c>
      <c r="K112" s="112" t="s">
        <v>2867</v>
      </c>
      <c r="L112" s="167" t="s">
        <v>4874</v>
      </c>
      <c r="M112" s="243"/>
      <c r="N112" s="243"/>
      <c r="O112" s="167" t="s">
        <v>263</v>
      </c>
      <c r="P112" s="167" t="s">
        <v>109</v>
      </c>
      <c r="Q112" s="243"/>
      <c r="R112" s="243"/>
      <c r="S112" s="167" t="s">
        <v>2633</v>
      </c>
      <c r="T112" s="243"/>
      <c r="U112" s="243"/>
      <c r="V112" s="243"/>
      <c r="W112" s="92"/>
      <c r="X112" s="116" t="s">
        <v>3075</v>
      </c>
      <c r="Y112" s="270"/>
      <c r="Z112" s="270" t="s">
        <v>2567</v>
      </c>
      <c r="AA112" s="270" t="s">
        <v>4088</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3847</v>
      </c>
      <c r="CW112" s="203" t="s">
        <v>4385</v>
      </c>
      <c r="CX112" s="232" t="s">
        <v>3481</v>
      </c>
      <c r="CY112" s="203" t="s">
        <v>1085</v>
      </c>
      <c r="CZ112" s="203" t="s">
        <v>2865</v>
      </c>
      <c r="DA112" s="256"/>
      <c r="DB112" s="203" t="s">
        <v>3896</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3106</v>
      </c>
      <c r="P113" s="100" t="s">
        <v>4876</v>
      </c>
      <c r="Q113" s="99"/>
      <c r="R113" s="99"/>
      <c r="S113" s="100" t="s">
        <v>4755</v>
      </c>
      <c r="T113" s="99"/>
      <c r="U113" s="99"/>
      <c r="V113" s="99"/>
      <c r="W113" s="92"/>
      <c r="X113" s="592" t="s">
        <v>1913</v>
      </c>
      <c r="Y113" s="93"/>
      <c r="Z113" s="590" t="s">
        <v>2789</v>
      </c>
      <c r="AA113" s="94" t="s">
        <v>458</v>
      </c>
      <c r="AB113" s="100" t="s">
        <v>3305</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4668</v>
      </c>
      <c r="BE113" s="592" t="s">
        <v>2144</v>
      </c>
      <c r="BF113" s="94" t="s">
        <v>4287</v>
      </c>
      <c r="BG113" s="99"/>
      <c r="BH113" s="99"/>
      <c r="BI113" s="100" t="s">
        <v>1898</v>
      </c>
      <c r="BJ113" s="593"/>
      <c r="BK113" s="100" t="s">
        <v>5253</v>
      </c>
      <c r="BL113" s="100" t="s">
        <v>5254</v>
      </c>
      <c r="BM113" s="94"/>
      <c r="BN113" s="88" t="s">
        <v>3268</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3360</v>
      </c>
      <c r="CB113" s="99"/>
      <c r="CC113" s="99"/>
      <c r="CD113" s="100" t="s">
        <v>2647</v>
      </c>
      <c r="CE113" s="99"/>
      <c r="CF113" s="236"/>
      <c r="CG113" s="100" t="s">
        <v>5260</v>
      </c>
      <c r="CH113" s="100" t="s">
        <v>5261</v>
      </c>
      <c r="CI113" s="99"/>
      <c r="CJ113" s="99"/>
      <c r="CK113" s="99"/>
      <c r="CL113" s="99"/>
      <c r="CM113" s="99"/>
      <c r="CN113" s="100" t="s">
        <v>418</v>
      </c>
      <c r="CO113" s="100" t="s">
        <v>4335</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3537</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4047</v>
      </c>
      <c r="L114" s="112" t="s">
        <v>4107</v>
      </c>
      <c r="M114" s="167" t="s">
        <v>866</v>
      </c>
      <c r="N114" s="167" t="s">
        <v>5273</v>
      </c>
      <c r="O114" s="308" t="s">
        <v>155</v>
      </c>
      <c r="P114" s="112" t="s">
        <v>2711</v>
      </c>
      <c r="Q114" s="243"/>
      <c r="R114" s="243"/>
      <c r="S114" s="167" t="s">
        <v>3279</v>
      </c>
      <c r="T114" s="243"/>
      <c r="U114" s="167" t="s">
        <v>1458</v>
      </c>
      <c r="V114" s="243"/>
      <c r="W114" s="92"/>
      <c r="X114" s="309" t="s">
        <v>4802</v>
      </c>
      <c r="Y114" s="309"/>
      <c r="Z114" s="309" t="s">
        <v>3816</v>
      </c>
      <c r="AA114" s="116" t="s">
        <v>5274</v>
      </c>
      <c r="AB114" s="197" t="s">
        <v>5275</v>
      </c>
      <c r="AC114" s="116" t="s">
        <v>2617</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2542</v>
      </c>
      <c r="AS114" s="121" t="s">
        <v>1662</v>
      </c>
      <c r="AT114" s="247"/>
      <c r="AU114" s="454" t="s">
        <v>3698</v>
      </c>
      <c r="AV114" s="279" t="s">
        <v>4747</v>
      </c>
      <c r="AW114" s="121" t="s">
        <v>4052</v>
      </c>
      <c r="AX114" s="247"/>
      <c r="AY114" s="168" t="s">
        <v>5281</v>
      </c>
      <c r="AZ114" s="247"/>
      <c r="BA114" s="247"/>
      <c r="BB114" s="174" t="s">
        <v>4358</v>
      </c>
      <c r="BC114" s="174" t="s">
        <v>1189</v>
      </c>
      <c r="BD114" s="126" t="s">
        <v>4668</v>
      </c>
      <c r="BE114" s="174" t="s">
        <v>3105</v>
      </c>
      <c r="BF114" s="174" t="s">
        <v>4347</v>
      </c>
      <c r="BG114" s="174" t="s">
        <v>2532</v>
      </c>
      <c r="BH114" s="174" t="s">
        <v>5282</v>
      </c>
      <c r="BI114" s="174" t="s">
        <v>3547</v>
      </c>
      <c r="BJ114" s="174" t="s">
        <v>5283</v>
      </c>
      <c r="BK114" s="173"/>
      <c r="BL114" s="174" t="s">
        <v>3341</v>
      </c>
      <c r="BM114" s="173"/>
      <c r="BN114" s="174" t="s">
        <v>4472</v>
      </c>
      <c r="BO114" s="173"/>
      <c r="BP114" s="174" t="s">
        <v>5284</v>
      </c>
      <c r="BQ114" s="249"/>
      <c r="BR114" s="252"/>
      <c r="BS114" s="252"/>
      <c r="BT114" s="175" t="s">
        <v>5144</v>
      </c>
      <c r="BU114" s="175" t="s">
        <v>5285</v>
      </c>
      <c r="BV114" s="175" t="s">
        <v>5286</v>
      </c>
      <c r="BW114" s="175" t="s">
        <v>5287</v>
      </c>
      <c r="BX114" s="252"/>
      <c r="BY114" s="175" t="s">
        <v>5024</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3409</v>
      </c>
      <c r="CP114" s="255"/>
      <c r="CQ114" s="255"/>
      <c r="CR114" s="255"/>
      <c r="CS114" s="255"/>
      <c r="CT114" s="255"/>
      <c r="CU114" s="92"/>
      <c r="CV114" s="310" t="s">
        <v>1412</v>
      </c>
      <c r="CW114" s="140" t="s">
        <v>5294</v>
      </c>
      <c r="CX114" s="203" t="s">
        <v>2003</v>
      </c>
      <c r="CY114" s="256"/>
      <c r="CZ114" s="256"/>
      <c r="DA114" s="256"/>
      <c r="DB114" s="310" t="s">
        <v>5295</v>
      </c>
      <c r="DC114" s="203" t="s">
        <v>5296</v>
      </c>
      <c r="DD114" s="256"/>
      <c r="DE114" s="256"/>
      <c r="DF114" s="256"/>
      <c r="DG114" s="256"/>
      <c r="DH114" s="257"/>
      <c r="DI114" s="204" t="s">
        <v>5297</v>
      </c>
      <c r="DJ114" s="258"/>
      <c r="DK114" s="258"/>
      <c r="DL114" s="258"/>
      <c r="DM114" s="204" t="s">
        <v>3904</v>
      </c>
      <c r="DN114" s="258"/>
      <c r="DO114" s="258"/>
      <c r="DP114" s="145" t="s">
        <v>5298</v>
      </c>
      <c r="DQ114" s="258"/>
      <c r="DR114" s="204" t="s">
        <v>5299</v>
      </c>
      <c r="DS114" s="204" t="s">
        <v>5291</v>
      </c>
      <c r="DT114" s="204" t="s">
        <v>5300</v>
      </c>
      <c r="DU114" s="258"/>
      <c r="DV114" s="204" t="s">
        <v>3259</v>
      </c>
      <c r="DW114" s="145" t="s">
        <v>3360</v>
      </c>
      <c r="DX114" s="258"/>
      <c r="DY114" s="258"/>
      <c r="DZ114" s="258"/>
      <c r="EA114" s="258"/>
      <c r="EB114" s="258"/>
      <c r="EC114" s="258"/>
      <c r="ED114" s="287"/>
    </row>
    <row r="115">
      <c r="A115" s="452" t="s">
        <v>5301</v>
      </c>
      <c r="B115" s="82" t="s">
        <v>5302</v>
      </c>
      <c r="C115" s="83" t="s">
        <v>1259</v>
      </c>
      <c r="D115" s="84" t="s">
        <v>1259</v>
      </c>
      <c r="E115" s="85" t="s">
        <v>1259</v>
      </c>
      <c r="F115" s="86" t="s">
        <v>2640</v>
      </c>
      <c r="G115" s="82" t="s">
        <v>5057</v>
      </c>
      <c r="H115" s="94" t="s">
        <v>3349</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3819</v>
      </c>
      <c r="AD115" s="94" t="s">
        <v>5309</v>
      </c>
      <c r="AE115" s="94"/>
      <c r="AF115" s="94" t="s">
        <v>3990</v>
      </c>
      <c r="AG115" s="88" t="s">
        <v>2067</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1665</v>
      </c>
      <c r="AZ115" s="94" t="s">
        <v>5316</v>
      </c>
      <c r="BA115" s="94"/>
      <c r="BB115" s="99"/>
      <c r="BC115" s="94" t="s">
        <v>2163</v>
      </c>
      <c r="BD115" s="94" t="s">
        <v>3488</v>
      </c>
      <c r="BE115" s="94" t="s">
        <v>838</v>
      </c>
      <c r="BF115" s="94" t="s">
        <v>2598</v>
      </c>
      <c r="BG115" s="94" t="s">
        <v>3264</v>
      </c>
      <c r="BH115" s="99"/>
      <c r="BI115" s="94" t="s">
        <v>5317</v>
      </c>
      <c r="BJ115" s="94" t="s">
        <v>1146</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2794</v>
      </c>
      <c r="CH115" s="94" t="s">
        <v>3449</v>
      </c>
      <c r="CI115" s="94" t="s">
        <v>484</v>
      </c>
      <c r="CJ115" s="94" t="s">
        <v>5326</v>
      </c>
      <c r="CK115" s="94"/>
      <c r="CL115" s="94"/>
      <c r="CM115" s="94" t="s">
        <v>5327</v>
      </c>
      <c r="CN115" s="266" t="s">
        <v>5328</v>
      </c>
      <c r="CO115" s="88" t="s">
        <v>3626</v>
      </c>
      <c r="CP115" s="99"/>
      <c r="CQ115" s="94" t="s">
        <v>5329</v>
      </c>
      <c r="CR115" s="99"/>
      <c r="CS115" s="99"/>
      <c r="CT115" s="94" t="s">
        <v>3541</v>
      </c>
      <c r="CU115" s="92"/>
      <c r="CV115" s="94" t="s">
        <v>2608</v>
      </c>
      <c r="CW115" s="94" t="s">
        <v>4765</v>
      </c>
      <c r="CX115" s="94" t="s">
        <v>3317</v>
      </c>
      <c r="CY115" s="94" t="s">
        <v>659</v>
      </c>
      <c r="CZ115" s="99"/>
      <c r="DA115" s="99"/>
      <c r="DB115" s="88" t="s">
        <v>5330</v>
      </c>
      <c r="DC115" s="88" t="s">
        <v>2417</v>
      </c>
      <c r="DD115" s="94" t="s">
        <v>5331</v>
      </c>
      <c r="DE115" s="94" t="s">
        <v>5216</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3487</v>
      </c>
      <c r="DV115" s="94" t="s">
        <v>1081</v>
      </c>
      <c r="DW115" s="94" t="s">
        <v>1344</v>
      </c>
      <c r="DX115" s="94" t="s">
        <v>4158</v>
      </c>
      <c r="DY115" s="94" t="s">
        <v>1017</v>
      </c>
      <c r="DZ115" s="94" t="s">
        <v>2852</v>
      </c>
      <c r="EA115" s="94" t="s">
        <v>3971</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4718</v>
      </c>
      <c r="I116" s="167" t="s">
        <v>2319</v>
      </c>
      <c r="J116" s="167" t="s">
        <v>1888</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1969</v>
      </c>
      <c r="AN116" s="168" t="s">
        <v>4272</v>
      </c>
      <c r="AO116" s="247"/>
      <c r="AP116" s="247"/>
      <c r="AQ116" s="247"/>
      <c r="AR116" s="247"/>
      <c r="AS116" s="168" t="s">
        <v>4030</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4245</v>
      </c>
      <c r="BH116" s="174" t="s">
        <v>4559</v>
      </c>
      <c r="BI116" s="174" t="s">
        <v>5357</v>
      </c>
      <c r="BJ116" s="174" t="s">
        <v>967</v>
      </c>
      <c r="BK116" s="174"/>
      <c r="BL116" s="174" t="s">
        <v>5358</v>
      </c>
      <c r="BM116" s="173"/>
      <c r="BN116" s="174" t="s">
        <v>1848</v>
      </c>
      <c r="BO116" s="174" t="s">
        <v>2977</v>
      </c>
      <c r="BP116" s="173"/>
      <c r="BQ116" s="249"/>
      <c r="BR116" s="175"/>
      <c r="BS116" s="175" t="s">
        <v>2768</v>
      </c>
      <c r="BT116" s="175" t="s">
        <v>2923</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3389</v>
      </c>
      <c r="CY116" s="203" t="s">
        <v>2002</v>
      </c>
      <c r="CZ116" s="203" t="s">
        <v>5371</v>
      </c>
      <c r="DA116" s="203" t="s">
        <v>4021</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2496</v>
      </c>
      <c r="J117" s="94" t="s">
        <v>1666</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4960</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5092</v>
      </c>
      <c r="CW117" s="94" t="s">
        <v>3025</v>
      </c>
      <c r="CX117" s="94" t="s">
        <v>4215</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3739</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9"/>
      <c r="BR118" s="175" t="s">
        <v>5424</v>
      </c>
      <c r="BS118" s="252"/>
      <c r="BT118" s="175" t="s">
        <v>4459</v>
      </c>
      <c r="BU118" s="175" t="s">
        <v>5425</v>
      </c>
      <c r="BV118" s="175" t="s">
        <v>5426</v>
      </c>
      <c r="BW118" s="175" t="s">
        <v>5427</v>
      </c>
      <c r="BX118" s="252"/>
      <c r="BY118" s="175" t="s">
        <v>3859</v>
      </c>
      <c r="BZ118" s="175" t="s">
        <v>5428</v>
      </c>
      <c r="CA118" s="175" t="s">
        <v>5429</v>
      </c>
      <c r="CB118" s="252"/>
      <c r="CC118" s="252"/>
      <c r="CD118" s="252"/>
      <c r="CE118" s="252"/>
      <c r="CF118" s="253"/>
      <c r="CG118" s="177" t="s">
        <v>5430</v>
      </c>
      <c r="CH118" s="177" t="s">
        <v>5103</v>
      </c>
      <c r="CI118" s="177" t="s">
        <v>990</v>
      </c>
      <c r="CJ118" s="177" t="s">
        <v>5431</v>
      </c>
      <c r="CK118" s="177"/>
      <c r="CL118" s="177" t="s">
        <v>4168</v>
      </c>
      <c r="CM118" s="177" t="s">
        <v>5432</v>
      </c>
      <c r="CN118" s="177" t="s">
        <v>5433</v>
      </c>
      <c r="CO118" s="177" t="s">
        <v>4148</v>
      </c>
      <c r="CP118" s="255"/>
      <c r="CQ118" s="177" t="s">
        <v>5434</v>
      </c>
      <c r="CR118" s="255"/>
      <c r="CS118" s="255"/>
      <c r="CT118" s="255"/>
      <c r="CU118" s="92"/>
      <c r="CV118" s="203" t="s">
        <v>5435</v>
      </c>
      <c r="CW118" s="203" t="s">
        <v>5436</v>
      </c>
      <c r="CX118" s="203" t="s">
        <v>5437</v>
      </c>
      <c r="CY118" s="203" t="s">
        <v>3489</v>
      </c>
      <c r="CZ118" s="203" t="s">
        <v>5438</v>
      </c>
      <c r="DA118" s="203" t="s">
        <v>1914</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3396</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3921</v>
      </c>
      <c r="AA119" s="266" t="s">
        <v>5457</v>
      </c>
      <c r="AB119" s="266" t="s">
        <v>3531</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3904</v>
      </c>
      <c r="BM119" s="99"/>
      <c r="BN119" s="94" t="s">
        <v>5437</v>
      </c>
      <c r="BO119" s="94" t="s">
        <v>4436</v>
      </c>
      <c r="BP119" s="94" t="s">
        <v>5471</v>
      </c>
      <c r="BQ119" s="94"/>
      <c r="BR119" s="94"/>
      <c r="BS119" s="94" t="s">
        <v>3958</v>
      </c>
      <c r="BT119" s="94" t="s">
        <v>3802</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3198</v>
      </c>
      <c r="DD119" s="99"/>
      <c r="DE119" s="99"/>
      <c r="DF119" s="99"/>
      <c r="DG119" s="94" t="s">
        <v>5487</v>
      </c>
      <c r="DH119" s="100"/>
      <c r="DI119" s="94" t="s">
        <v>2414</v>
      </c>
      <c r="DJ119" s="99"/>
      <c r="DK119" s="99"/>
      <c r="DL119" s="94"/>
      <c r="DM119" s="99"/>
      <c r="DN119" s="94" t="s">
        <v>5488</v>
      </c>
      <c r="DO119" s="94" t="s">
        <v>3796</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4138</v>
      </c>
      <c r="BH120" s="173"/>
      <c r="BI120" s="302" t="s">
        <v>612</v>
      </c>
      <c r="BJ120" s="174" t="s">
        <v>5504</v>
      </c>
      <c r="BK120" s="174" t="s">
        <v>5505</v>
      </c>
      <c r="BL120" s="174" t="s">
        <v>5506</v>
      </c>
      <c r="BM120" s="173"/>
      <c r="BN120" s="173"/>
      <c r="BO120" s="173"/>
      <c r="BP120" s="173"/>
      <c r="BQ120" s="249"/>
      <c r="BR120" s="175" t="s">
        <v>5507</v>
      </c>
      <c r="BS120" s="175" t="s">
        <v>3101</v>
      </c>
      <c r="BT120" s="175" t="s">
        <v>4895</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4115</v>
      </c>
      <c r="CJ120" s="177" t="s">
        <v>5512</v>
      </c>
      <c r="CK120" s="177"/>
      <c r="CL120" s="177"/>
      <c r="CM120" s="177" t="s">
        <v>5513</v>
      </c>
      <c r="CN120" s="177" t="s">
        <v>1631</v>
      </c>
      <c r="CO120" s="177" t="s">
        <v>5006</v>
      </c>
      <c r="CP120" s="255"/>
      <c r="CQ120" s="255"/>
      <c r="CR120" s="255"/>
      <c r="CS120" s="255"/>
      <c r="CT120" s="255"/>
      <c r="CU120" s="92"/>
      <c r="CV120" s="203" t="s">
        <v>5514</v>
      </c>
      <c r="CW120" s="203" t="s">
        <v>4088</v>
      </c>
      <c r="CX120" s="203" t="s">
        <v>3268</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3283</v>
      </c>
      <c r="G121" s="82" t="s">
        <v>2640</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4953</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5131</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4895</v>
      </c>
      <c r="CO122" s="177" t="s">
        <v>5530</v>
      </c>
      <c r="CP122" s="255"/>
      <c r="CQ122" s="255"/>
      <c r="CR122" s="255"/>
      <c r="CS122" s="255"/>
      <c r="CT122" s="255"/>
      <c r="CU122" s="92"/>
      <c r="CV122" s="203" t="s">
        <v>1011</v>
      </c>
      <c r="CW122" s="203" t="s">
        <v>5033</v>
      </c>
      <c r="CX122" s="203" t="s">
        <v>3245</v>
      </c>
      <c r="CY122" s="203" t="s">
        <v>4544</v>
      </c>
      <c r="CZ122" s="203" t="s">
        <v>5206</v>
      </c>
      <c r="DA122" s="203" t="s">
        <v>4777</v>
      </c>
      <c r="DB122" s="203" t="s">
        <v>5548</v>
      </c>
      <c r="DC122" s="203" t="s">
        <v>3941</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4173</v>
      </c>
      <c r="T123" s="99"/>
      <c r="U123" s="94" t="s">
        <v>3204</v>
      </c>
      <c r="V123" s="99"/>
      <c r="W123" s="92"/>
      <c r="X123" s="94" t="s">
        <v>5077</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3507</v>
      </c>
      <c r="AN123" s="94" t="s">
        <v>5561</v>
      </c>
      <c r="AO123" s="99"/>
      <c r="AP123" s="99"/>
      <c r="AQ123" s="99"/>
      <c r="AR123" s="99"/>
      <c r="AS123" s="99"/>
      <c r="AT123" s="99"/>
      <c r="AU123" s="94" t="s">
        <v>5352</v>
      </c>
      <c r="AV123" s="94" t="s">
        <v>893</v>
      </c>
      <c r="AW123" s="99"/>
      <c r="AX123" s="99"/>
      <c r="AY123" s="94" t="s">
        <v>1133</v>
      </c>
      <c r="AZ123" s="99"/>
      <c r="BA123" s="99"/>
      <c r="BB123" s="99"/>
      <c r="BC123" s="260" t="s">
        <v>2379</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2153</v>
      </c>
      <c r="G124" s="104" t="s">
        <v>4592</v>
      </c>
      <c r="H124" s="439"/>
      <c r="I124" s="110" t="s">
        <v>5577</v>
      </c>
      <c r="J124" s="112" t="s">
        <v>2579</v>
      </c>
      <c r="K124" s="112" t="s">
        <v>754</v>
      </c>
      <c r="L124" s="112" t="s">
        <v>5578</v>
      </c>
      <c r="M124" s="112" t="s">
        <v>5579</v>
      </c>
      <c r="N124" s="112" t="s">
        <v>3250</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2178</v>
      </c>
      <c r="BC124" s="126" t="s">
        <v>354</v>
      </c>
      <c r="BD124" s="126" t="s">
        <v>3246</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3811</v>
      </c>
      <c r="BT124" s="129" t="s">
        <v>233</v>
      </c>
      <c r="BU124" s="129" t="s">
        <v>5362</v>
      </c>
      <c r="BV124" s="129" t="s">
        <v>3522</v>
      </c>
      <c r="BW124" s="129" t="s">
        <v>1196</v>
      </c>
      <c r="BX124" s="129" t="s">
        <v>5592</v>
      </c>
      <c r="BY124" s="131"/>
      <c r="BZ124" s="129" t="s">
        <v>5593</v>
      </c>
      <c r="CA124" s="129" t="s">
        <v>5209</v>
      </c>
      <c r="CB124" s="252"/>
      <c r="CC124" s="252"/>
      <c r="CD124" s="175"/>
      <c r="CE124" s="252"/>
      <c r="CF124" s="253"/>
      <c r="CG124" s="135" t="s">
        <v>5594</v>
      </c>
      <c r="CH124" s="135" t="s">
        <v>3532</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3549</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4881</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3103</v>
      </c>
      <c r="CP125" s="99"/>
      <c r="CQ125" s="99"/>
      <c r="CR125" s="99"/>
      <c r="CS125" s="99"/>
      <c r="CT125" s="99"/>
      <c r="CU125" s="92"/>
      <c r="CV125" s="94" t="s">
        <v>3644</v>
      </c>
      <c r="CW125" s="94" t="s">
        <v>2826</v>
      </c>
      <c r="CX125" s="94" t="s">
        <v>5103</v>
      </c>
      <c r="CY125" s="94" t="s">
        <v>911</v>
      </c>
      <c r="CZ125" s="94" t="s">
        <v>1766</v>
      </c>
      <c r="DA125" s="99"/>
      <c r="DB125" s="94" t="s">
        <v>5010</v>
      </c>
      <c r="DC125" s="94" t="s">
        <v>4263</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3181</v>
      </c>
      <c r="Y126" s="117"/>
      <c r="Z126" s="116" t="s">
        <v>2478</v>
      </c>
      <c r="AA126" s="309" t="s">
        <v>5631</v>
      </c>
      <c r="AB126" s="197" t="s">
        <v>5632</v>
      </c>
      <c r="AC126" s="116" t="s">
        <v>3894</v>
      </c>
      <c r="AD126" s="309" t="s">
        <v>3475</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3424</v>
      </c>
      <c r="CI126" s="135" t="s">
        <v>5645</v>
      </c>
      <c r="CJ126" s="135" t="s">
        <v>5646</v>
      </c>
      <c r="CK126" s="136"/>
      <c r="CL126" s="135" t="s">
        <v>3573</v>
      </c>
      <c r="CM126" s="177" t="s">
        <v>5647</v>
      </c>
      <c r="CN126" s="135" t="s">
        <v>2044</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2153</v>
      </c>
      <c r="H127" s="102"/>
      <c r="I127" s="98" t="s">
        <v>5660</v>
      </c>
      <c r="J127" s="93" t="s">
        <v>4698</v>
      </c>
      <c r="K127" s="88" t="s">
        <v>2278</v>
      </c>
      <c r="L127" s="93" t="s">
        <v>928</v>
      </c>
      <c r="M127" s="88" t="s">
        <v>5661</v>
      </c>
      <c r="N127" s="88" t="s">
        <v>4362</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4351</v>
      </c>
      <c r="CI127" s="102" t="s">
        <v>5679</v>
      </c>
      <c r="CJ127" s="102" t="s">
        <v>5680</v>
      </c>
      <c r="CK127" s="102" t="s">
        <v>2746</v>
      </c>
      <c r="CL127" s="102" t="s">
        <v>5681</v>
      </c>
      <c r="CM127" s="102" t="s">
        <v>3304</v>
      </c>
      <c r="CN127" s="102" t="s">
        <v>1587</v>
      </c>
      <c r="CO127" s="102" t="s">
        <v>3351</v>
      </c>
      <c r="CP127" s="221"/>
      <c r="CQ127" s="99"/>
      <c r="CR127" s="99"/>
      <c r="CS127" s="99"/>
      <c r="CT127" s="99"/>
      <c r="CU127" s="92"/>
      <c r="CV127" s="102" t="s">
        <v>4292</v>
      </c>
      <c r="CW127" s="102" t="s">
        <v>5682</v>
      </c>
      <c r="CX127" s="102" t="s">
        <v>2626</v>
      </c>
      <c r="CY127" s="102" t="s">
        <v>5683</v>
      </c>
      <c r="CZ127" s="102" t="s">
        <v>1091</v>
      </c>
      <c r="DA127" s="102" t="s">
        <v>3775</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4949</v>
      </c>
      <c r="O128" s="167" t="s">
        <v>2698</v>
      </c>
      <c r="P128" s="167" t="s">
        <v>3569</v>
      </c>
      <c r="Q128" s="243"/>
      <c r="R128" s="243"/>
      <c r="S128" s="243"/>
      <c r="T128" s="243"/>
      <c r="U128" s="243"/>
      <c r="V128" s="243"/>
      <c r="W128" s="92"/>
      <c r="X128" s="197" t="s">
        <v>4577</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3378</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2013</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5020</v>
      </c>
      <c r="BT129" s="102" t="s">
        <v>3765</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3283</v>
      </c>
      <c r="G130" s="104" t="s">
        <v>2862</v>
      </c>
      <c r="H130" s="439"/>
      <c r="I130" s="448"/>
      <c r="J130" s="439"/>
      <c r="K130" s="112" t="s">
        <v>2162</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2188</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4891</v>
      </c>
      <c r="AD131" s="99"/>
      <c r="AE131" s="99"/>
      <c r="AF131" s="94" t="s">
        <v>2130</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4221</v>
      </c>
      <c r="H132" s="322" t="s">
        <v>952</v>
      </c>
      <c r="I132" s="322" t="s">
        <v>5729</v>
      </c>
      <c r="J132" s="322" t="s">
        <v>5130</v>
      </c>
      <c r="K132" s="322" t="s">
        <v>4941</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5120</v>
      </c>
      <c r="AB132" s="300"/>
      <c r="AC132" s="300" t="s">
        <v>4216</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3860</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3439</v>
      </c>
      <c r="CH132" s="337" t="s">
        <v>5739</v>
      </c>
      <c r="CI132" s="337" t="s">
        <v>5740</v>
      </c>
      <c r="CJ132" s="337"/>
      <c r="CK132" s="337"/>
      <c r="CL132" s="337"/>
      <c r="CM132" s="337"/>
      <c r="CN132" s="337" t="s">
        <v>5036</v>
      </c>
      <c r="CO132" s="614">
        <v>19.7</v>
      </c>
      <c r="CP132" s="575"/>
      <c r="CQ132" s="576"/>
      <c r="CR132" s="576"/>
      <c r="CS132" s="576"/>
      <c r="CT132" s="576"/>
      <c r="CU132" s="577"/>
      <c r="CV132" s="284" t="s">
        <v>4120</v>
      </c>
      <c r="CW132" s="284" t="s">
        <v>4539</v>
      </c>
      <c r="CX132" s="284" t="s">
        <v>5741</v>
      </c>
      <c r="CY132" s="284" t="s">
        <v>5742</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3279</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5046</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1990</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2635</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4052</v>
      </c>
      <c r="BU134" s="252"/>
      <c r="BV134" s="252"/>
      <c r="BW134" s="252"/>
      <c r="BX134" s="252"/>
      <c r="BY134" s="252"/>
      <c r="BZ134" s="252"/>
      <c r="CA134" s="129" t="s">
        <v>5767</v>
      </c>
      <c r="CB134" s="252"/>
      <c r="CC134" s="252"/>
      <c r="CD134" s="252"/>
      <c r="CE134" s="252"/>
      <c r="CF134" s="253"/>
      <c r="CG134" s="135" t="s">
        <v>5768</v>
      </c>
      <c r="CH134" s="135" t="s">
        <v>2369</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4196</v>
      </c>
      <c r="I135" s="94" t="s">
        <v>5772</v>
      </c>
      <c r="J135" s="94" t="s">
        <v>3352</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4271</v>
      </c>
      <c r="CI135" s="94" t="s">
        <v>2597</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4613</v>
      </c>
      <c r="EC135" s="94" t="s">
        <v>2659</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2681</v>
      </c>
      <c r="L136" s="322" t="s">
        <v>2098</v>
      </c>
      <c r="M136" s="322" t="s">
        <v>5792</v>
      </c>
      <c r="N136" s="322" t="s">
        <v>5780</v>
      </c>
      <c r="O136" s="322" t="s">
        <v>3916</v>
      </c>
      <c r="P136" s="322" t="s">
        <v>4956</v>
      </c>
      <c r="Q136" s="167" t="s">
        <v>5793</v>
      </c>
      <c r="R136" s="243"/>
      <c r="S136" s="167" t="s">
        <v>3801</v>
      </c>
      <c r="T136" s="243"/>
      <c r="U136" s="167" t="s">
        <v>1267</v>
      </c>
      <c r="V136" s="167" t="s">
        <v>5794</v>
      </c>
      <c r="W136" s="92"/>
      <c r="X136" s="300" t="s">
        <v>5023</v>
      </c>
      <c r="Y136" s="300"/>
      <c r="Z136" s="300" t="s">
        <v>3590</v>
      </c>
      <c r="AA136" s="300" t="s">
        <v>1445</v>
      </c>
      <c r="AB136" s="309" t="s">
        <v>5795</v>
      </c>
      <c r="AC136" s="300" t="s">
        <v>4484</v>
      </c>
      <c r="AD136" s="300" t="s">
        <v>4979</v>
      </c>
      <c r="AE136" s="246"/>
      <c r="AF136" s="300" t="s">
        <v>2420</v>
      </c>
      <c r="AG136" s="300" t="s">
        <v>5383</v>
      </c>
      <c r="AH136" s="197" t="s">
        <v>1660</v>
      </c>
      <c r="AI136" s="246"/>
      <c r="AJ136" s="300" t="s">
        <v>2434</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4330</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3437</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2608</v>
      </c>
      <c r="CW136" s="284" t="s">
        <v>5820</v>
      </c>
      <c r="CX136" s="620" t="s">
        <v>5821</v>
      </c>
      <c r="CY136" s="284" t="s">
        <v>3319</v>
      </c>
      <c r="CZ136" s="284" t="s">
        <v>5822</v>
      </c>
      <c r="DA136" s="284" t="s">
        <v>4046</v>
      </c>
      <c r="DB136" s="284" t="s">
        <v>5823</v>
      </c>
      <c r="DC136" s="284" t="s">
        <v>5824</v>
      </c>
      <c r="DD136" s="203" t="s">
        <v>5825</v>
      </c>
      <c r="DE136" s="256"/>
      <c r="DF136" s="256"/>
      <c r="DG136" s="203" t="s">
        <v>5826</v>
      </c>
      <c r="DH136" s="257"/>
      <c r="DI136" s="287" t="s">
        <v>571</v>
      </c>
      <c r="DJ136" s="258"/>
      <c r="DK136" s="204" t="s">
        <v>4016</v>
      </c>
      <c r="DL136" s="287" t="s">
        <v>5827</v>
      </c>
      <c r="DM136" s="287" t="s">
        <v>3974</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3910</v>
      </c>
      <c r="ED136" s="287" t="s">
        <v>5835</v>
      </c>
    </row>
    <row r="137">
      <c r="A137" s="621" t="s">
        <v>5836</v>
      </c>
      <c r="B137" s="208" t="s">
        <v>5837</v>
      </c>
      <c r="C137" s="209" t="s">
        <v>1259</v>
      </c>
      <c r="D137" s="210" t="s">
        <v>1259</v>
      </c>
      <c r="E137" s="211" t="s">
        <v>1259</v>
      </c>
      <c r="F137" s="212" t="s">
        <v>985</v>
      </c>
      <c r="G137" s="208" t="s">
        <v>2674</v>
      </c>
      <c r="H137" s="622"/>
      <c r="I137" s="622" t="s">
        <v>5838</v>
      </c>
      <c r="J137" s="622"/>
      <c r="K137" s="622" t="s">
        <v>3099</v>
      </c>
      <c r="L137" s="213" t="s">
        <v>5189</v>
      </c>
      <c r="M137" s="622"/>
      <c r="N137" s="623" t="s">
        <v>5839</v>
      </c>
      <c r="O137" s="623" t="s">
        <v>5713</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2589</v>
      </c>
      <c r="BW137" s="88" t="s">
        <v>5427</v>
      </c>
      <c r="BX137" s="622"/>
      <c r="BY137" s="622"/>
      <c r="BZ137" s="622"/>
      <c r="CA137" s="88" t="s">
        <v>3731</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3411</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3372</v>
      </c>
      <c r="H138" s="167" t="s">
        <v>3826</v>
      </c>
      <c r="I138" s="167" t="s">
        <v>2128</v>
      </c>
      <c r="J138" s="167" t="s">
        <v>5740</v>
      </c>
      <c r="K138" s="167" t="s">
        <v>3965</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5859</v>
      </c>
      <c r="BK138" s="174"/>
      <c r="BL138" s="173"/>
      <c r="BM138" s="173"/>
      <c r="BN138" s="173"/>
      <c r="BO138" s="173"/>
      <c r="BP138" s="173"/>
      <c r="BQ138" s="249"/>
      <c r="BR138" s="252"/>
      <c r="BS138" s="176" t="s">
        <v>3875</v>
      </c>
      <c r="BT138" s="175" t="s">
        <v>4755</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3775</v>
      </c>
      <c r="I139" s="266" t="s">
        <v>5864</v>
      </c>
      <c r="J139" s="266" t="s">
        <v>1645</v>
      </c>
      <c r="K139" s="260" t="s">
        <v>353</v>
      </c>
      <c r="L139" s="260" t="s">
        <v>611</v>
      </c>
      <c r="M139" s="260" t="s">
        <v>5865</v>
      </c>
      <c r="N139" s="260" t="s">
        <v>5866</v>
      </c>
      <c r="O139" s="93" t="s">
        <v>244</v>
      </c>
      <c r="P139" s="260" t="s">
        <v>4876</v>
      </c>
      <c r="Q139" s="94" t="s">
        <v>5867</v>
      </c>
      <c r="R139" s="99"/>
      <c r="S139" s="94" t="s">
        <v>4091</v>
      </c>
      <c r="T139" s="99"/>
      <c r="U139" s="94" t="s">
        <v>2096</v>
      </c>
      <c r="V139" s="94" t="s">
        <v>5868</v>
      </c>
      <c r="W139" s="92"/>
      <c r="X139" s="456" t="s">
        <v>5020</v>
      </c>
      <c r="Y139" s="162"/>
      <c r="Z139" s="162" t="s">
        <v>5440</v>
      </c>
      <c r="AA139" s="88" t="s">
        <v>416</v>
      </c>
      <c r="AB139" s="266" t="s">
        <v>4151</v>
      </c>
      <c r="AC139" s="266" t="s">
        <v>3942</v>
      </c>
      <c r="AD139" s="260" t="s">
        <v>1577</v>
      </c>
      <c r="AE139" s="99"/>
      <c r="AF139" s="93" t="s">
        <v>5869</v>
      </c>
      <c r="AG139" s="260" t="s">
        <v>5870</v>
      </c>
      <c r="AH139" s="99"/>
      <c r="AI139" s="99"/>
      <c r="AJ139" s="102"/>
      <c r="AK139" s="99"/>
      <c r="AL139" s="97"/>
      <c r="AM139" s="260" t="s">
        <v>3552</v>
      </c>
      <c r="AN139" s="260" t="s">
        <v>5871</v>
      </c>
      <c r="AO139" s="94" t="s">
        <v>5872</v>
      </c>
      <c r="AP139" s="94" t="s">
        <v>102</v>
      </c>
      <c r="AQ139" s="94" t="s">
        <v>5873</v>
      </c>
      <c r="AR139" s="94" t="s">
        <v>5108</v>
      </c>
      <c r="AS139" s="94" t="s">
        <v>5874</v>
      </c>
      <c r="AT139" s="94" t="s">
        <v>5875</v>
      </c>
      <c r="AU139" s="260" t="s">
        <v>4295</v>
      </c>
      <c r="AV139" s="260" t="s">
        <v>3487</v>
      </c>
      <c r="AW139" s="260" t="s">
        <v>4179</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3860</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2142</v>
      </c>
      <c r="CM139" s="102"/>
      <c r="CN139" s="102"/>
      <c r="CO139" s="102"/>
      <c r="CP139" s="221"/>
      <c r="CQ139" s="99"/>
      <c r="CR139" s="99"/>
      <c r="CS139" s="99"/>
      <c r="CT139" s="99"/>
      <c r="CU139" s="92"/>
      <c r="CV139" s="260" t="s">
        <v>5886</v>
      </c>
      <c r="CW139" s="260" t="s">
        <v>5887</v>
      </c>
      <c r="CX139" s="456" t="s">
        <v>5888</v>
      </c>
      <c r="CY139" s="88" t="s">
        <v>4500</v>
      </c>
      <c r="CZ139" s="260" t="s">
        <v>3393</v>
      </c>
      <c r="DA139" s="260" t="s">
        <v>4023</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2524</v>
      </c>
      <c r="BD140" s="301"/>
      <c r="BE140" s="301"/>
      <c r="BF140" s="444" t="s">
        <v>4298</v>
      </c>
      <c r="BG140" s="173"/>
      <c r="BH140" s="173"/>
      <c r="BI140" s="301"/>
      <c r="BJ140" s="301"/>
      <c r="BK140" s="301"/>
      <c r="BL140" s="301"/>
      <c r="BM140" s="173"/>
      <c r="BN140" s="173"/>
      <c r="BO140" s="173"/>
      <c r="BP140" s="173"/>
      <c r="BQ140" s="249"/>
      <c r="BR140" s="176"/>
      <c r="BS140" s="176"/>
      <c r="BT140" s="176"/>
      <c r="BU140" s="466" t="s">
        <v>5004</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2641</v>
      </c>
      <c r="H141" s="94" t="s">
        <v>5898</v>
      </c>
      <c r="I141" s="266" t="s">
        <v>1595</v>
      </c>
      <c r="J141" s="94" t="s">
        <v>5899</v>
      </c>
      <c r="K141" s="94" t="s">
        <v>5900</v>
      </c>
      <c r="L141" s="94" t="s">
        <v>5901</v>
      </c>
      <c r="M141" s="99"/>
      <c r="N141" s="94" t="s">
        <v>5902</v>
      </c>
      <c r="O141" s="94" t="s">
        <v>3581</v>
      </c>
      <c r="P141" s="94" t="s">
        <v>1080</v>
      </c>
      <c r="Q141" s="99"/>
      <c r="R141" s="94" t="s">
        <v>326</v>
      </c>
      <c r="S141" s="94" t="s">
        <v>2217</v>
      </c>
      <c r="T141" s="99"/>
      <c r="U141" s="94" t="s">
        <v>3216</v>
      </c>
      <c r="V141" s="99"/>
      <c r="W141" s="92"/>
      <c r="X141" s="94" t="s">
        <v>5903</v>
      </c>
      <c r="Y141" s="102"/>
      <c r="Z141" s="88" t="s">
        <v>2392</v>
      </c>
      <c r="AA141" s="94" t="s">
        <v>4512</v>
      </c>
      <c r="AB141" s="94" t="s">
        <v>1768</v>
      </c>
      <c r="AC141" s="94" t="s">
        <v>3943</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3571</v>
      </c>
      <c r="BF141" s="94" t="s">
        <v>5723</v>
      </c>
      <c r="BG141" s="99"/>
      <c r="BH141" s="99"/>
      <c r="BI141" s="94" t="s">
        <v>4012</v>
      </c>
      <c r="BJ141" s="94" t="s">
        <v>5907</v>
      </c>
      <c r="BK141" s="94"/>
      <c r="BL141" s="94" t="s">
        <v>2616</v>
      </c>
      <c r="BM141" s="99"/>
      <c r="BN141" s="94" t="s">
        <v>4217</v>
      </c>
      <c r="BO141" s="99"/>
      <c r="BP141" s="99"/>
      <c r="BQ141" s="236"/>
      <c r="BR141" s="94" t="s">
        <v>5908</v>
      </c>
      <c r="BS141" s="94" t="s">
        <v>4237</v>
      </c>
      <c r="BT141" s="94" t="s">
        <v>3398</v>
      </c>
      <c r="BU141" s="94" t="s">
        <v>5909</v>
      </c>
      <c r="BV141" s="94" t="s">
        <v>5910</v>
      </c>
      <c r="BW141" s="94" t="s">
        <v>5182</v>
      </c>
      <c r="BX141" s="99"/>
      <c r="BY141" s="94" t="s">
        <v>2869</v>
      </c>
      <c r="BZ141" s="99"/>
      <c r="CA141" s="94" t="s">
        <v>5911</v>
      </c>
      <c r="CB141" s="99"/>
      <c r="CC141" s="99"/>
      <c r="CD141" s="99"/>
      <c r="CE141" s="99"/>
      <c r="CF141" s="236"/>
      <c r="CG141" s="94" t="s">
        <v>5912</v>
      </c>
      <c r="CH141" s="94" t="s">
        <v>4472</v>
      </c>
      <c r="CI141" s="94" t="s">
        <v>2219</v>
      </c>
      <c r="CJ141" s="94" t="s">
        <v>5913</v>
      </c>
      <c r="CK141" s="94"/>
      <c r="CL141" s="94" t="s">
        <v>5914</v>
      </c>
      <c r="CM141" s="94" t="s">
        <v>5915</v>
      </c>
      <c r="CN141" s="94" t="s">
        <v>1645</v>
      </c>
      <c r="CO141" s="94" t="s">
        <v>4295</v>
      </c>
      <c r="CP141" s="99"/>
      <c r="CQ141" s="99"/>
      <c r="CR141" s="99"/>
      <c r="CS141" s="99"/>
      <c r="CT141" s="99"/>
      <c r="CU141" s="92"/>
      <c r="CV141" s="94" t="s">
        <v>5916</v>
      </c>
      <c r="CW141" s="94" t="s">
        <v>2826</v>
      </c>
      <c r="CX141" s="94" t="s">
        <v>3747</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2188</v>
      </c>
      <c r="DZ141" s="94" t="s">
        <v>5923</v>
      </c>
      <c r="EA141" s="94" t="s">
        <v>3435</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2795</v>
      </c>
      <c r="K142" s="112" t="s">
        <v>2278</v>
      </c>
      <c r="L142" s="167" t="s">
        <v>2473</v>
      </c>
      <c r="M142" s="167" t="s">
        <v>5928</v>
      </c>
      <c r="N142" s="167" t="s">
        <v>5929</v>
      </c>
      <c r="O142" s="167" t="s">
        <v>5131</v>
      </c>
      <c r="P142" s="167" t="s">
        <v>565</v>
      </c>
      <c r="Q142" s="243"/>
      <c r="R142" s="243"/>
      <c r="S142" s="243"/>
      <c r="T142" s="243"/>
      <c r="U142" s="243"/>
      <c r="V142" s="243"/>
      <c r="W142" s="92"/>
      <c r="X142" s="197" t="s">
        <v>4611</v>
      </c>
      <c r="Y142" s="197"/>
      <c r="Z142" s="197" t="s">
        <v>5752</v>
      </c>
      <c r="AA142" s="197" t="s">
        <v>2242</v>
      </c>
      <c r="AB142" s="197" t="s">
        <v>5930</v>
      </c>
      <c r="AC142" s="197" t="s">
        <v>4961</v>
      </c>
      <c r="AD142" s="197" t="s">
        <v>5931</v>
      </c>
      <c r="AE142" s="246"/>
      <c r="AF142" s="197" t="s">
        <v>5932</v>
      </c>
      <c r="AG142" s="309" t="s">
        <v>4999</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4005</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3698</v>
      </c>
      <c r="CP142" s="255"/>
      <c r="CQ142" s="255"/>
      <c r="CR142" s="255"/>
      <c r="CS142" s="255"/>
      <c r="CT142" s="255"/>
      <c r="CU142" s="92"/>
      <c r="CV142" s="203" t="s">
        <v>2905</v>
      </c>
      <c r="CW142" s="203" t="s">
        <v>3663</v>
      </c>
      <c r="CX142" s="203" t="s">
        <v>2736</v>
      </c>
      <c r="CY142" s="203" t="s">
        <v>5945</v>
      </c>
      <c r="CZ142" s="203" t="s">
        <v>3719</v>
      </c>
      <c r="DA142" s="203" t="s">
        <v>1816</v>
      </c>
      <c r="DB142" s="203" t="s">
        <v>5946</v>
      </c>
      <c r="DC142" s="203" t="s">
        <v>3833</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4221</v>
      </c>
      <c r="H144" s="322" t="s">
        <v>5960</v>
      </c>
      <c r="I144" s="322" t="s">
        <v>5961</v>
      </c>
      <c r="J144" s="322" t="s">
        <v>5962</v>
      </c>
      <c r="K144" s="322" t="s">
        <v>1886</v>
      </c>
      <c r="L144" s="630" t="s">
        <v>3677</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3547</v>
      </c>
      <c r="AD144" s="634"/>
      <c r="AE144" s="636"/>
      <c r="AF144" s="634"/>
      <c r="AG144" s="634"/>
      <c r="AH144" s="636"/>
      <c r="AI144" s="636"/>
      <c r="AJ144" s="117" t="s">
        <v>2299</v>
      </c>
      <c r="AK144" s="636"/>
      <c r="AL144" s="637"/>
      <c r="AM144" s="638"/>
      <c r="AN144" s="124" t="s">
        <v>2501</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3771</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3298</v>
      </c>
      <c r="CX144" s="285" t="s">
        <v>2980</v>
      </c>
      <c r="CY144" s="653"/>
      <c r="CZ144" s="653"/>
      <c r="DA144" s="284" t="s">
        <v>2365</v>
      </c>
      <c r="DB144" s="654" t="s">
        <v>5971</v>
      </c>
      <c r="DC144" s="653"/>
      <c r="DD144" s="655"/>
      <c r="DE144" s="655"/>
      <c r="DF144" s="655"/>
      <c r="DG144" s="655"/>
      <c r="DH144" s="656"/>
      <c r="DI144" s="657"/>
      <c r="DJ144" s="658"/>
      <c r="DK144" s="658"/>
      <c r="DL144" s="657"/>
      <c r="DM144" s="657"/>
      <c r="DN144" s="287" t="s">
        <v>3874</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2674</v>
      </c>
      <c r="H145" s="94" t="s">
        <v>2000</v>
      </c>
      <c r="I145" s="94" t="s">
        <v>3707</v>
      </c>
      <c r="J145" s="94" t="s">
        <v>574</v>
      </c>
      <c r="K145" s="94" t="s">
        <v>2681</v>
      </c>
      <c r="L145" s="94" t="s">
        <v>4107</v>
      </c>
      <c r="M145" s="94" t="s">
        <v>5975</v>
      </c>
      <c r="N145" s="94" t="s">
        <v>5736</v>
      </c>
      <c r="O145" s="94" t="s">
        <v>447</v>
      </c>
      <c r="P145" s="94" t="s">
        <v>3914</v>
      </c>
      <c r="Q145" s="99"/>
      <c r="R145" s="99"/>
      <c r="S145" s="99"/>
      <c r="T145" s="99"/>
      <c r="U145" s="99"/>
      <c r="V145" s="99"/>
      <c r="W145" s="92"/>
      <c r="X145" s="94" t="s">
        <v>5023</v>
      </c>
      <c r="Y145" s="94"/>
      <c r="Z145" s="94" t="s">
        <v>4241</v>
      </c>
      <c r="AA145" s="94" t="s">
        <v>5604</v>
      </c>
      <c r="AB145" s="94" t="s">
        <v>785</v>
      </c>
      <c r="AC145" s="94" t="s">
        <v>4325</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60"/>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4034</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3610</v>
      </c>
      <c r="CP148" s="255"/>
      <c r="CQ148" s="255"/>
      <c r="CR148" s="255"/>
      <c r="CS148" s="255"/>
      <c r="CT148" s="255"/>
      <c r="CU148" s="92"/>
      <c r="CV148" s="140" t="s">
        <v>3228</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2085</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2559</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1160</v>
      </c>
      <c r="BT149" s="94" t="s">
        <v>952</v>
      </c>
      <c r="BU149" s="94" t="s">
        <v>2354</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3802</v>
      </c>
      <c r="CO149" s="94" t="s">
        <v>2121</v>
      </c>
      <c r="CP149" s="94" t="s">
        <v>6049</v>
      </c>
      <c r="CQ149" s="94" t="s">
        <v>6050</v>
      </c>
      <c r="CR149" s="99"/>
      <c r="CS149" s="94" t="s">
        <v>6051</v>
      </c>
      <c r="CT149" s="94" t="s">
        <v>6052</v>
      </c>
      <c r="CU149" s="92"/>
      <c r="CV149" s="94" t="s">
        <v>2889</v>
      </c>
      <c r="CW149" s="94" t="s">
        <v>6053</v>
      </c>
      <c r="CX149" s="94" t="s">
        <v>2438</v>
      </c>
      <c r="CY149" s="94" t="s">
        <v>6054</v>
      </c>
      <c r="CZ149" s="94" t="s">
        <v>1434</v>
      </c>
      <c r="DA149" s="94" t="s">
        <v>4205</v>
      </c>
      <c r="DB149" s="94" t="s">
        <v>6055</v>
      </c>
      <c r="DC149" s="94" t="s">
        <v>6056</v>
      </c>
      <c r="DD149" s="94" t="s">
        <v>6057</v>
      </c>
      <c r="DE149" s="94" t="s">
        <v>4167</v>
      </c>
      <c r="DF149" s="94" t="s">
        <v>1823</v>
      </c>
      <c r="DG149" s="94" t="s">
        <v>6058</v>
      </c>
      <c r="DH149" s="236"/>
      <c r="DI149" s="94" t="s">
        <v>4035</v>
      </c>
      <c r="DJ149" s="99"/>
      <c r="DK149" s="94" t="s">
        <v>2727</v>
      </c>
      <c r="DL149" s="94" t="s">
        <v>2112</v>
      </c>
      <c r="DM149" s="94" t="s">
        <v>3243</v>
      </c>
      <c r="DN149" s="94" t="s">
        <v>2415</v>
      </c>
      <c r="DO149" s="94" t="s">
        <v>4122</v>
      </c>
      <c r="DP149" s="94" t="s">
        <v>6059</v>
      </c>
      <c r="DQ149" s="94" t="s">
        <v>180</v>
      </c>
      <c r="DR149" s="94" t="s">
        <v>5591</v>
      </c>
      <c r="DS149" s="94" t="s">
        <v>3127</v>
      </c>
      <c r="DT149" s="94" t="s">
        <v>4824</v>
      </c>
      <c r="DU149" s="94" t="s">
        <v>6060</v>
      </c>
      <c r="DV149" s="94" t="s">
        <v>6061</v>
      </c>
      <c r="DW149" s="94" t="s">
        <v>1124</v>
      </c>
      <c r="DX149" s="94" t="s">
        <v>3943</v>
      </c>
      <c r="DY149" s="94" t="s">
        <v>6062</v>
      </c>
      <c r="DZ149" s="94" t="s">
        <v>4450</v>
      </c>
      <c r="EA149" s="94" t="s">
        <v>2573</v>
      </c>
      <c r="EB149" s="94" t="s">
        <v>5000</v>
      </c>
      <c r="EC149" s="94" t="s">
        <v>2318</v>
      </c>
      <c r="ED149" s="307" t="s">
        <v>4429</v>
      </c>
    </row>
    <row r="150">
      <c r="A150" s="663" t="s">
        <v>6063</v>
      </c>
      <c r="B150" s="104" t="s">
        <v>6064</v>
      </c>
      <c r="C150" s="105" t="s">
        <v>1259</v>
      </c>
      <c r="D150" s="106" t="s">
        <v>548</v>
      </c>
      <c r="E150" s="107" t="s">
        <v>1259</v>
      </c>
      <c r="F150" s="108" t="s">
        <v>986</v>
      </c>
      <c r="G150" s="104" t="s">
        <v>1061</v>
      </c>
      <c r="H150" s="243"/>
      <c r="I150" s="167" t="s">
        <v>6065</v>
      </c>
      <c r="J150" s="167" t="s">
        <v>4346</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3799</v>
      </c>
      <c r="AD150" s="246"/>
      <c r="AE150" s="246"/>
      <c r="AF150" s="246"/>
      <c r="AG150" s="116" t="s">
        <v>2767</v>
      </c>
      <c r="AH150" s="246"/>
      <c r="AI150" s="246"/>
      <c r="AJ150" s="246"/>
      <c r="AK150" s="246"/>
      <c r="AL150" s="97"/>
      <c r="AM150" s="247"/>
      <c r="AN150" s="121" t="s">
        <v>4241</v>
      </c>
      <c r="AO150" s="247"/>
      <c r="AP150" s="247"/>
      <c r="AQ150" s="247"/>
      <c r="AR150" s="247"/>
      <c r="AS150" s="247"/>
      <c r="AT150" s="247"/>
      <c r="AU150" s="121" t="s">
        <v>2624</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3951</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2674</v>
      </c>
      <c r="H151" s="93"/>
      <c r="I151" s="98" t="s">
        <v>6074</v>
      </c>
      <c r="J151" s="88" t="s">
        <v>4698</v>
      </c>
      <c r="K151" s="88" t="s">
        <v>6075</v>
      </c>
      <c r="L151" s="88" t="s">
        <v>2098</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2678</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5120</v>
      </c>
      <c r="AB153" s="266"/>
      <c r="AC153" s="102" t="s">
        <v>4351</v>
      </c>
      <c r="AD153" s="102"/>
      <c r="AE153" s="99"/>
      <c r="AF153" s="102" t="s">
        <v>6107</v>
      </c>
      <c r="AG153" s="102" t="s">
        <v>5034</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3443</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3942</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6122</v>
      </c>
      <c r="BD154" s="200" t="s">
        <v>3329</v>
      </c>
      <c r="BE154" s="200" t="s">
        <v>6123</v>
      </c>
      <c r="BF154" s="200" t="s">
        <v>2421</v>
      </c>
      <c r="BG154" s="200" t="s">
        <v>6124</v>
      </c>
      <c r="BH154" s="568"/>
      <c r="BI154" s="200" t="s">
        <v>2750</v>
      </c>
      <c r="BJ154" s="568"/>
      <c r="BK154" s="200" t="s">
        <v>6125</v>
      </c>
      <c r="BL154" s="200" t="s">
        <v>4203</v>
      </c>
      <c r="BM154" s="568"/>
      <c r="BN154" s="568"/>
      <c r="BO154" s="200"/>
      <c r="BP154" s="568"/>
      <c r="BQ154" s="571"/>
      <c r="BR154" s="344"/>
      <c r="BS154" s="344" t="s">
        <v>6126</v>
      </c>
      <c r="BT154" s="344" t="s">
        <v>4223</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2678</v>
      </c>
      <c r="CO154" s="337" t="s">
        <v>6132</v>
      </c>
      <c r="CP154" s="575"/>
      <c r="CQ154" s="576"/>
      <c r="CR154" s="576"/>
      <c r="CS154" s="576"/>
      <c r="CT154" s="576"/>
      <c r="CU154" s="577"/>
      <c r="CV154" s="284" t="s">
        <v>2075</v>
      </c>
      <c r="CW154" s="284"/>
      <c r="CX154" s="284" t="s">
        <v>3902</v>
      </c>
      <c r="CY154" s="284"/>
      <c r="CZ154" s="284"/>
      <c r="DA154" s="284"/>
      <c r="DB154" s="284" t="s">
        <v>6133</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2540</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4350</v>
      </c>
      <c r="Y155" s="102"/>
      <c r="Z155" s="102" t="s">
        <v>2085</v>
      </c>
      <c r="AA155" s="102" t="s">
        <v>6139</v>
      </c>
      <c r="AB155" s="266"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4959</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3734</v>
      </c>
      <c r="O156" s="167" t="s">
        <v>5849</v>
      </c>
      <c r="P156" s="167" t="s">
        <v>3914</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1983</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2586</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2133</v>
      </c>
      <c r="AA158" s="197" t="s">
        <v>2251</v>
      </c>
      <c r="AB158" s="197" t="s">
        <v>2002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3301</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4249</v>
      </c>
      <c r="CZ158" s="256"/>
      <c r="DA158" s="256"/>
      <c r="DB158" s="256"/>
      <c r="DC158" s="203" t="s">
        <v>1020</v>
      </c>
      <c r="DD158" s="256"/>
      <c r="DE158" s="256"/>
      <c r="DF158" s="256"/>
      <c r="DG158" s="256"/>
      <c r="DH158" s="257"/>
      <c r="DI158" s="204" t="s">
        <v>6188</v>
      </c>
      <c r="DJ158" s="258"/>
      <c r="DK158" s="258"/>
      <c r="DL158" s="204"/>
      <c r="DM158" s="258"/>
      <c r="DN158" s="204" t="s">
        <v>1994</v>
      </c>
      <c r="DO158" s="204" t="s">
        <v>6189</v>
      </c>
      <c r="DP158" s="258"/>
      <c r="DQ158" s="258"/>
      <c r="DR158" s="258"/>
      <c r="DS158" s="258"/>
      <c r="DT158" s="258"/>
      <c r="DU158" s="258"/>
      <c r="DV158" s="258"/>
      <c r="DW158" s="258"/>
      <c r="DX158" s="258"/>
      <c r="DY158" s="258"/>
      <c r="DZ158" s="204" t="s">
        <v>6190</v>
      </c>
      <c r="EA158" s="258"/>
      <c r="EB158" s="258"/>
      <c r="EC158" s="204" t="s">
        <v>4243</v>
      </c>
      <c r="ED158" s="287"/>
    </row>
    <row r="159">
      <c r="A159" s="81" t="s">
        <v>6191</v>
      </c>
      <c r="B159" s="82" t="s">
        <v>6192</v>
      </c>
      <c r="C159" s="83" t="s">
        <v>1259</v>
      </c>
      <c r="D159" s="84" t="s">
        <v>1259</v>
      </c>
      <c r="E159" s="85" t="s">
        <v>1259</v>
      </c>
      <c r="F159" s="86" t="s">
        <v>1259</v>
      </c>
      <c r="G159" s="82" t="s">
        <v>2928</v>
      </c>
      <c r="H159" s="94" t="s">
        <v>2725</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60" t="s">
        <v>369</v>
      </c>
    </row>
    <row r="160">
      <c r="A160" s="596" t="s">
        <v>6203</v>
      </c>
      <c r="B160" s="104" t="s">
        <v>6204</v>
      </c>
      <c r="C160" s="105" t="s">
        <v>1259</v>
      </c>
      <c r="D160" s="106" t="s">
        <v>1259</v>
      </c>
      <c r="E160" s="107" t="s">
        <v>1259</v>
      </c>
      <c r="F160" s="108" t="s">
        <v>1063</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4275</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3963</v>
      </c>
      <c r="H161" s="94" t="s">
        <v>6211</v>
      </c>
      <c r="I161" s="94" t="s">
        <v>4935</v>
      </c>
      <c r="J161" s="94" t="s">
        <v>2391</v>
      </c>
      <c r="K161" s="94" t="s">
        <v>1432</v>
      </c>
      <c r="L161" s="94" t="s">
        <v>3916</v>
      </c>
      <c r="M161" s="94" t="s">
        <v>3897</v>
      </c>
      <c r="N161" s="94" t="s">
        <v>5088</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4047</v>
      </c>
      <c r="L162" s="439"/>
      <c r="M162" s="439"/>
      <c r="N162" s="439"/>
      <c r="O162" s="439"/>
      <c r="P162" s="322" t="s">
        <v>4883</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2238</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5077</v>
      </c>
      <c r="M164" s="243"/>
      <c r="N164" s="243"/>
      <c r="O164" s="167" t="s">
        <v>1863</v>
      </c>
      <c r="P164" s="243"/>
      <c r="Q164" s="243"/>
      <c r="R164" s="243"/>
      <c r="S164" s="243"/>
      <c r="T164" s="243"/>
      <c r="U164" s="243"/>
      <c r="V164" s="243"/>
      <c r="W164" s="92"/>
      <c r="X164" s="197" t="s">
        <v>6233</v>
      </c>
      <c r="Y164" s="197"/>
      <c r="Z164" s="197" t="s">
        <v>3816</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3531</v>
      </c>
      <c r="I165" s="93" t="s">
        <v>6239</v>
      </c>
      <c r="J165" s="93" t="s">
        <v>4573</v>
      </c>
      <c r="K165" s="94" t="s">
        <v>1886</v>
      </c>
      <c r="L165" s="94" t="s">
        <v>4332</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6238</v>
      </c>
      <c r="C166" s="105" t="s">
        <v>1259</v>
      </c>
      <c r="D166" s="106" t="s">
        <v>1259</v>
      </c>
      <c r="E166" s="107" t="s">
        <v>1259</v>
      </c>
      <c r="F166" s="108" t="s">
        <v>1259</v>
      </c>
      <c r="G166" s="104" t="s">
        <v>3372</v>
      </c>
      <c r="H166" s="167" t="s">
        <v>1913</v>
      </c>
      <c r="I166" s="167" t="s">
        <v>2176</v>
      </c>
      <c r="J166" s="243"/>
      <c r="K166" s="167" t="s">
        <v>2681</v>
      </c>
      <c r="L166" s="243"/>
      <c r="M166" s="243"/>
      <c r="N166" s="243"/>
      <c r="O166" s="167" t="s">
        <v>6241</v>
      </c>
      <c r="P166" s="167" t="s">
        <v>6242</v>
      </c>
      <c r="Q166" s="243"/>
      <c r="R166" s="243"/>
      <c r="S166" s="243"/>
      <c r="T166" s="243"/>
      <c r="U166" s="243"/>
      <c r="V166" s="243"/>
      <c r="W166" s="92"/>
      <c r="X166" s="197" t="s">
        <v>3489</v>
      </c>
      <c r="Y166" s="246"/>
      <c r="Z166" s="246"/>
      <c r="AA166" s="197" t="s">
        <v>4665</v>
      </c>
      <c r="AB166" s="246"/>
      <c r="AC166" s="197" t="s">
        <v>2481</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5031</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5183</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6219</v>
      </c>
      <c r="H168" s="667" t="s">
        <v>3574</v>
      </c>
      <c r="I168" s="243" t="s">
        <v>6274</v>
      </c>
      <c r="J168" s="243" t="s">
        <v>453</v>
      </c>
      <c r="K168" s="243" t="s">
        <v>4371</v>
      </c>
      <c r="L168" s="243" t="s">
        <v>2832</v>
      </c>
      <c r="M168" s="243" t="s">
        <v>6275</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3537</v>
      </c>
      <c r="CO168" s="326" t="s">
        <v>6276</v>
      </c>
      <c r="CP168" s="255"/>
      <c r="CQ168" s="263"/>
      <c r="CR168" s="255"/>
      <c r="CS168" s="255"/>
      <c r="CT168" s="255"/>
      <c r="CU168" s="92"/>
      <c r="CV168" s="256"/>
      <c r="CW168" s="256"/>
      <c r="CX168" s="256" t="s">
        <v>5175</v>
      </c>
      <c r="CY168" s="256" t="s">
        <v>3527</v>
      </c>
      <c r="CZ168" s="256"/>
      <c r="DA168" s="256"/>
      <c r="DB168" s="676" t="s">
        <v>6277</v>
      </c>
      <c r="DC168" s="232" t="s">
        <v>6139</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4891</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6289</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6221</v>
      </c>
      <c r="AB174" s="246"/>
      <c r="AC174" s="197" t="s">
        <v>6309</v>
      </c>
      <c r="AD174" s="197" t="s">
        <v>3544</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6315</v>
      </c>
      <c r="CY174" s="203" t="s">
        <v>3101</v>
      </c>
      <c r="CZ174" s="203" t="s">
        <v>6316</v>
      </c>
      <c r="DA174" s="203" t="s">
        <v>6155</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4044</v>
      </c>
      <c r="H175" s="685" t="s">
        <v>2997</v>
      </c>
      <c r="I175" s="685" t="s">
        <v>6321</v>
      </c>
      <c r="J175" s="685" t="s">
        <v>6322</v>
      </c>
      <c r="K175" s="685" t="s">
        <v>754</v>
      </c>
      <c r="L175" s="685" t="s">
        <v>909</v>
      </c>
      <c r="M175" s="686"/>
      <c r="N175" s="685" t="s">
        <v>6323</v>
      </c>
      <c r="O175" s="685" t="s">
        <v>5834</v>
      </c>
      <c r="P175" s="685" t="s">
        <v>5413</v>
      </c>
      <c r="Q175" s="686"/>
      <c r="R175" s="686"/>
      <c r="S175" s="686"/>
      <c r="T175" s="686"/>
      <c r="U175" s="686"/>
      <c r="V175" s="686"/>
      <c r="W175" s="687"/>
      <c r="X175" s="685" t="s">
        <v>6324</v>
      </c>
      <c r="Y175" s="685"/>
      <c r="Z175" s="688" t="s">
        <v>381</v>
      </c>
      <c r="AA175" s="688" t="s">
        <v>868</v>
      </c>
      <c r="AB175" s="688" t="s">
        <v>3956</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5235</v>
      </c>
      <c r="CW175" s="685" t="s">
        <v>2468</v>
      </c>
      <c r="CX175" s="685" t="s">
        <v>5176</v>
      </c>
      <c r="CY175" s="686"/>
      <c r="CZ175" s="686"/>
      <c r="DA175" s="686"/>
      <c r="DB175" s="685" t="s">
        <v>6328</v>
      </c>
      <c r="DC175" s="688" t="s">
        <v>5824</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6103</v>
      </c>
      <c r="K179" s="99"/>
      <c r="L179" s="94" t="s">
        <v>6340</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5110</v>
      </c>
      <c r="K180" s="167" t="s">
        <v>2385</v>
      </c>
      <c r="L180" s="167" t="s">
        <v>4095</v>
      </c>
      <c r="M180" s="167" t="s">
        <v>6347</v>
      </c>
      <c r="N180" s="243"/>
      <c r="O180" s="167" t="s">
        <v>1862</v>
      </c>
      <c r="P180" s="167" t="s">
        <v>6348</v>
      </c>
      <c r="Q180" s="243"/>
      <c r="R180" s="243"/>
      <c r="S180" s="243"/>
      <c r="T180" s="243"/>
      <c r="U180" s="243"/>
      <c r="V180" s="243"/>
      <c r="W180" s="92"/>
      <c r="X180" s="197" t="s">
        <v>4437</v>
      </c>
      <c r="Y180" s="197"/>
      <c r="Z180" s="197" t="s">
        <v>5677</v>
      </c>
      <c r="AA180" s="197" t="s">
        <v>4470</v>
      </c>
      <c r="AB180" s="197" t="s">
        <v>6349</v>
      </c>
      <c r="AC180" s="197" t="s">
        <v>6350</v>
      </c>
      <c r="AD180" s="197" t="s">
        <v>4754</v>
      </c>
      <c r="AE180" s="246"/>
      <c r="AF180" s="197" t="s">
        <v>6351</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5937</v>
      </c>
      <c r="BY180" s="175" t="s">
        <v>2828</v>
      </c>
      <c r="BZ180" s="252"/>
      <c r="CA180" s="175" t="s">
        <v>2082</v>
      </c>
      <c r="CB180" s="252"/>
      <c r="CC180" s="252"/>
      <c r="CD180" s="252"/>
      <c r="CE180" s="252"/>
      <c r="CF180" s="253"/>
      <c r="CG180" s="177" t="s">
        <v>4950</v>
      </c>
      <c r="CH180" s="177" t="s">
        <v>2519</v>
      </c>
      <c r="CI180" s="177" t="s">
        <v>2614</v>
      </c>
      <c r="CJ180" s="177" t="s">
        <v>6358</v>
      </c>
      <c r="CK180" s="177"/>
      <c r="CL180" s="177" t="s">
        <v>2806</v>
      </c>
      <c r="CM180" s="255"/>
      <c r="CN180" s="177" t="s">
        <v>2801</v>
      </c>
      <c r="CO180" s="177" t="s">
        <v>3318</v>
      </c>
      <c r="CP180" s="255"/>
      <c r="CQ180" s="255"/>
      <c r="CR180" s="255"/>
      <c r="CS180" s="255"/>
      <c r="CT180" s="255"/>
      <c r="CU180" s="92"/>
      <c r="CV180" s="203" t="s">
        <v>5903</v>
      </c>
      <c r="CW180" s="203" t="s">
        <v>6359</v>
      </c>
      <c r="CX180" s="203" t="s">
        <v>2030</v>
      </c>
      <c r="CY180" s="256"/>
      <c r="CZ180" s="256"/>
      <c r="DA180" s="256"/>
      <c r="DB180" s="203" t="s">
        <v>6360</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2622</v>
      </c>
      <c r="I182" s="243"/>
      <c r="J182" s="167" t="s">
        <v>6365</v>
      </c>
      <c r="K182" s="112" t="s">
        <v>4990</v>
      </c>
      <c r="L182" s="274" t="s">
        <v>3445</v>
      </c>
      <c r="M182" s="243"/>
      <c r="N182" s="243"/>
      <c r="O182" s="243"/>
      <c r="P182" s="167" t="s">
        <v>6366</v>
      </c>
      <c r="Q182" s="243"/>
      <c r="R182" s="243"/>
      <c r="S182" s="243"/>
      <c r="T182" s="243"/>
      <c r="U182" s="243"/>
      <c r="V182" s="243"/>
      <c r="W182" s="92"/>
      <c r="X182" s="116" t="s">
        <v>6367</v>
      </c>
      <c r="Y182" s="197"/>
      <c r="Z182" s="197" t="s">
        <v>1770</v>
      </c>
      <c r="AA182" s="116" t="s">
        <v>5237</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9"/>
      <c r="BR182" s="252"/>
      <c r="BS182" s="252"/>
      <c r="BT182" s="252"/>
      <c r="BU182" s="175" t="s">
        <v>3449</v>
      </c>
      <c r="BV182" s="252"/>
      <c r="BW182" s="129" t="s">
        <v>4993</v>
      </c>
      <c r="BX182" s="252"/>
      <c r="BY182" s="252"/>
      <c r="BZ182" s="252"/>
      <c r="CA182" s="129" t="s">
        <v>4827</v>
      </c>
      <c r="CB182" s="252"/>
      <c r="CC182" s="252"/>
      <c r="CD182" s="252"/>
      <c r="CE182" s="252"/>
      <c r="CF182" s="253"/>
      <c r="CG182" s="135" t="s">
        <v>6372</v>
      </c>
      <c r="CH182" s="177" t="s">
        <v>6373</v>
      </c>
      <c r="CI182" s="255"/>
      <c r="CJ182" s="255"/>
      <c r="CK182" s="255"/>
      <c r="CL182" s="255"/>
      <c r="CM182" s="255"/>
      <c r="CN182" s="135" t="s">
        <v>5125</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2939</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2651</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5165</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6399</v>
      </c>
      <c r="DA184" s="256"/>
      <c r="DB184" s="256"/>
      <c r="DC184" s="256"/>
      <c r="DD184" s="256"/>
      <c r="DE184" s="256"/>
      <c r="DF184" s="256"/>
      <c r="DG184" s="256"/>
      <c r="DH184" s="257"/>
      <c r="DI184" s="204" t="s">
        <v>3277</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5040</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5112</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1965</v>
      </c>
      <c r="K186" s="167" t="s">
        <v>6075</v>
      </c>
      <c r="L186" s="167" t="s">
        <v>6421</v>
      </c>
      <c r="M186" s="243"/>
      <c r="N186" s="243"/>
      <c r="O186" s="243"/>
      <c r="P186" s="167" t="s">
        <v>6422</v>
      </c>
      <c r="Q186" s="243"/>
      <c r="R186" s="243"/>
      <c r="S186" s="243"/>
      <c r="T186" s="243"/>
      <c r="U186" s="243"/>
      <c r="V186" s="243"/>
      <c r="W186" s="92"/>
      <c r="X186" s="246"/>
      <c r="Y186" s="246"/>
      <c r="Z186" s="246"/>
      <c r="AA186" s="197" t="s">
        <v>4225</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4956</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5900</v>
      </c>
      <c r="L190" s="439" t="s">
        <v>4132</v>
      </c>
      <c r="M190" s="439"/>
      <c r="N190" s="439"/>
      <c r="O190" s="439" t="s">
        <v>3150</v>
      </c>
      <c r="P190" s="439" t="s">
        <v>1445</v>
      </c>
      <c r="Q190" s="243"/>
      <c r="R190" s="243"/>
      <c r="S190" s="243"/>
      <c r="T190" s="243"/>
      <c r="U190" s="243"/>
      <c r="V190" s="243"/>
      <c r="W190" s="92"/>
      <c r="X190" s="117" t="s">
        <v>4561</v>
      </c>
      <c r="Y190" s="117"/>
      <c r="Z190" s="117"/>
      <c r="AA190" s="117"/>
      <c r="AB190" s="309" t="s">
        <v>6435</v>
      </c>
      <c r="AC190" s="117" t="s">
        <v>2633</v>
      </c>
      <c r="AD190" s="117"/>
      <c r="AE190" s="246"/>
      <c r="AF190" s="117"/>
      <c r="AG190" s="117" t="s">
        <v>5413</v>
      </c>
      <c r="AH190" s="246"/>
      <c r="AI190" s="246"/>
      <c r="AJ190" s="117"/>
      <c r="AK190" s="246"/>
      <c r="AL190" s="97"/>
      <c r="AM190" s="124"/>
      <c r="AN190" s="124" t="s">
        <v>3244</v>
      </c>
      <c r="AO190" s="247"/>
      <c r="AP190" s="247"/>
      <c r="AQ190" s="168"/>
      <c r="AR190" s="168"/>
      <c r="AS190" s="247"/>
      <c r="AT190" s="247"/>
      <c r="AU190" s="124" t="s">
        <v>2312</v>
      </c>
      <c r="AV190" s="124" t="s">
        <v>2634</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6219</v>
      </c>
      <c r="H193" s="99"/>
      <c r="I193" s="94" t="s">
        <v>6443</v>
      </c>
      <c r="J193" s="94" t="s">
        <v>4240</v>
      </c>
      <c r="K193" s="94" t="s">
        <v>4371</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3441</v>
      </c>
      <c r="CM194" s="255"/>
      <c r="CN194" s="177" t="s">
        <v>4808</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3632</v>
      </c>
      <c r="Y195" s="102"/>
      <c r="Z195" s="102" t="s">
        <v>6457</v>
      </c>
      <c r="AA195" s="102"/>
      <c r="AB195" s="266"/>
      <c r="AC195" s="102"/>
      <c r="AD195" s="102"/>
      <c r="AE195" s="88" t="s">
        <v>2649</v>
      </c>
      <c r="AF195" s="102" t="s">
        <v>313</v>
      </c>
      <c r="AG195" s="102"/>
      <c r="AH195" s="99"/>
      <c r="AI195" s="99"/>
      <c r="AJ195" s="102"/>
      <c r="AK195" s="99"/>
      <c r="AL195" s="97"/>
      <c r="AM195" s="102"/>
      <c r="AN195" s="102" t="s">
        <v>5102</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4234</v>
      </c>
      <c r="H198" s="112" t="s">
        <v>5020</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4592</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4449</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1565</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1103</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4234</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2239</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1967</v>
      </c>
      <c r="AD201" s="102"/>
      <c r="AE201" s="99"/>
      <c r="AF201" s="102"/>
      <c r="AG201" s="260" t="s">
        <v>6221</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6060</v>
      </c>
      <c r="BJ201" s="99"/>
      <c r="BK201" s="102"/>
      <c r="BL201" s="260" t="s">
        <v>2561</v>
      </c>
      <c r="BM201" s="99"/>
      <c r="BN201" s="99"/>
      <c r="BO201" s="102"/>
      <c r="BP201" s="99"/>
      <c r="BQ201" s="236"/>
      <c r="BR201" s="260" t="s">
        <v>6513</v>
      </c>
      <c r="BS201" s="260" t="s">
        <v>6514</v>
      </c>
      <c r="BT201" s="102"/>
      <c r="BU201" s="260" t="s">
        <v>2574</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2040</v>
      </c>
      <c r="L202" s="167" t="s">
        <v>6524</v>
      </c>
      <c r="M202" s="167" t="s">
        <v>6525</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3484</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5118</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4044</v>
      </c>
      <c r="H204" s="167" t="s">
        <v>6566</v>
      </c>
      <c r="I204" s="167" t="s">
        <v>6567</v>
      </c>
      <c r="J204" s="167" t="s">
        <v>6568</v>
      </c>
      <c r="K204" s="167" t="s">
        <v>1621</v>
      </c>
      <c r="L204" s="167" t="s">
        <v>4062</v>
      </c>
      <c r="M204" s="167" t="s">
        <v>6569</v>
      </c>
      <c r="N204" s="167" t="s">
        <v>6570</v>
      </c>
      <c r="O204" s="167" t="s">
        <v>4423</v>
      </c>
      <c r="P204" s="167" t="s">
        <v>4665</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2529</v>
      </c>
      <c r="BE204" s="173"/>
      <c r="BF204" s="173"/>
      <c r="BG204" s="173"/>
      <c r="BH204" s="173"/>
      <c r="BI204" s="174" t="s">
        <v>3976</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5732</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5057</v>
      </c>
      <c r="C208" s="105" t="s">
        <v>1259</v>
      </c>
      <c r="D208" s="106" t="s">
        <v>1259</v>
      </c>
      <c r="E208" s="107" t="s">
        <v>1259</v>
      </c>
      <c r="F208" s="108" t="s">
        <v>1259</v>
      </c>
      <c r="G208" s="104" t="s">
        <v>2862</v>
      </c>
      <c r="H208" s="167"/>
      <c r="I208" s="167" t="s">
        <v>6580</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4434</v>
      </c>
      <c r="BJ208" s="173"/>
      <c r="BK208" s="173"/>
      <c r="BL208" s="173"/>
      <c r="BM208" s="173"/>
      <c r="BN208" s="173"/>
      <c r="BO208" s="173"/>
      <c r="BP208" s="173"/>
      <c r="BQ208" s="249"/>
      <c r="BR208" s="252"/>
      <c r="BS208" s="175" t="s">
        <v>4901</v>
      </c>
      <c r="BT208" s="175" t="s">
        <v>6582</v>
      </c>
      <c r="BU208" s="175" t="s">
        <v>5251</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2154</v>
      </c>
      <c r="C213" s="83" t="s">
        <v>1259</v>
      </c>
      <c r="D213" s="84" t="s">
        <v>1259</v>
      </c>
      <c r="E213" s="85" t="s">
        <v>1259</v>
      </c>
      <c r="F213" s="86" t="s">
        <v>1062</v>
      </c>
      <c r="G213" s="82" t="s">
        <v>1062</v>
      </c>
      <c r="H213" s="446" t="s">
        <v>6594</v>
      </c>
      <c r="I213" s="94"/>
      <c r="J213" s="99"/>
      <c r="K213" s="441" t="s">
        <v>4288</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4738</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6598</v>
      </c>
      <c r="DR213" s="99"/>
      <c r="DS213" s="99"/>
      <c r="DT213" s="99"/>
      <c r="DU213" s="99"/>
      <c r="DV213" s="99"/>
      <c r="DW213" s="99"/>
      <c r="DX213" s="99"/>
      <c r="DY213" s="99"/>
      <c r="DZ213" s="99"/>
      <c r="EA213" s="99"/>
      <c r="EB213" s="99"/>
      <c r="EC213" s="99"/>
      <c r="ED213" s="682" t="s">
        <v>1843</v>
      </c>
    </row>
    <row r="214">
      <c r="A214" s="103" t="s">
        <v>6599</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4221</v>
      </c>
      <c r="C217" s="83" t="s">
        <v>1259</v>
      </c>
      <c r="D217" s="84" t="s">
        <v>1259</v>
      </c>
      <c r="E217" s="85" t="s">
        <v>1259</v>
      </c>
      <c r="F217" s="86" t="s">
        <v>1259</v>
      </c>
      <c r="G217" s="82" t="s">
        <v>334</v>
      </c>
      <c r="H217" s="99"/>
      <c r="I217" s="94"/>
      <c r="J217" s="99"/>
      <c r="K217" s="94" t="s">
        <v>4990</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4677</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4106</v>
      </c>
      <c r="D4" s="753" t="s">
        <v>440</v>
      </c>
      <c r="E4" s="754" t="s">
        <v>1259</v>
      </c>
      <c r="F4" s="755" t="s">
        <v>4773</v>
      </c>
      <c r="G4" s="756" t="s">
        <v>2540</v>
      </c>
      <c r="H4" s="757" t="s">
        <v>2987</v>
      </c>
      <c r="I4" s="758"/>
      <c r="J4" s="759" t="s">
        <v>2029</v>
      </c>
      <c r="K4" s="759" t="s">
        <v>2803</v>
      </c>
      <c r="L4" s="759" t="s">
        <v>2543</v>
      </c>
      <c r="M4" s="760" t="s">
        <v>3215</v>
      </c>
      <c r="N4" s="758"/>
      <c r="O4" s="761" t="s">
        <v>6660</v>
      </c>
      <c r="P4" s="762"/>
      <c r="Q4" s="763" t="s">
        <v>6661</v>
      </c>
      <c r="R4" s="764" t="s">
        <v>1651</v>
      </c>
      <c r="S4" s="765" t="s">
        <v>5068</v>
      </c>
      <c r="T4" s="765" t="s">
        <v>5615</v>
      </c>
      <c r="U4" s="765"/>
      <c r="V4" s="763" t="s">
        <v>6662</v>
      </c>
      <c r="W4" s="762"/>
      <c r="X4" s="766" t="s">
        <v>2379</v>
      </c>
      <c r="Y4" s="767" t="s">
        <v>6663</v>
      </c>
      <c r="Z4" s="767" t="s">
        <v>6664</v>
      </c>
      <c r="AA4" s="767" t="s">
        <v>5031</v>
      </c>
      <c r="AB4" s="768" t="s">
        <v>6665</v>
      </c>
      <c r="AC4" s="767" t="s">
        <v>748</v>
      </c>
      <c r="AD4" s="769" t="s">
        <v>4263</v>
      </c>
      <c r="AE4" s="769" t="s">
        <v>2524</v>
      </c>
      <c r="AF4" s="770"/>
      <c r="AG4" s="768" t="s">
        <v>6666</v>
      </c>
      <c r="AH4" s="771"/>
      <c r="AI4" s="772"/>
      <c r="AJ4" s="773"/>
      <c r="AK4" s="774"/>
      <c r="AL4" s="774"/>
      <c r="AM4" s="775" t="s">
        <v>1428</v>
      </c>
      <c r="AN4" s="773"/>
      <c r="AO4" s="774"/>
      <c r="AP4" s="775" t="s">
        <v>909</v>
      </c>
      <c r="AQ4" s="773" t="s">
        <v>6667</v>
      </c>
      <c r="AR4" s="774"/>
      <c r="AS4" s="774"/>
      <c r="AT4" s="774"/>
      <c r="AU4" s="774"/>
      <c r="AV4" s="774"/>
      <c r="AW4" s="776" t="s">
        <v>4708</v>
      </c>
      <c r="AX4" s="775" t="s">
        <v>6668</v>
      </c>
      <c r="AY4" s="775" t="s">
        <v>158</v>
      </c>
      <c r="AZ4" s="777"/>
      <c r="BA4" s="778" t="s">
        <v>6669</v>
      </c>
      <c r="BB4" s="779" t="s">
        <v>6670</v>
      </c>
      <c r="BC4" s="780" t="s">
        <v>296</v>
      </c>
      <c r="BD4" s="778" t="s">
        <v>4268</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3382</v>
      </c>
      <c r="BZ4" s="793" t="s">
        <v>6146</v>
      </c>
      <c r="CA4" s="763" t="s">
        <v>6681</v>
      </c>
      <c r="CB4" s="794"/>
      <c r="CC4" s="795"/>
      <c r="CD4" s="763" t="s">
        <v>6682</v>
      </c>
      <c r="CE4" s="796" t="s">
        <v>6683</v>
      </c>
      <c r="CF4" s="763" t="s">
        <v>1596</v>
      </c>
      <c r="CG4" s="764" t="s">
        <v>5102</v>
      </c>
      <c r="CH4" s="797" t="s">
        <v>6684</v>
      </c>
      <c r="CI4" s="763" t="s">
        <v>1021</v>
      </c>
      <c r="CJ4" s="763" t="s">
        <v>2216</v>
      </c>
      <c r="CK4" s="763" t="s">
        <v>3934</v>
      </c>
    </row>
    <row r="5">
      <c r="A5" s="798" t="s">
        <v>6685</v>
      </c>
      <c r="B5" s="756" t="s">
        <v>6686</v>
      </c>
      <c r="C5" s="752" t="s">
        <v>334</v>
      </c>
      <c r="D5" s="753" t="s">
        <v>335</v>
      </c>
      <c r="E5" s="754" t="s">
        <v>441</v>
      </c>
      <c r="F5" s="755" t="s">
        <v>3372</v>
      </c>
      <c r="G5" s="756" t="s">
        <v>4671</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4436</v>
      </c>
      <c r="AA5" s="769" t="s">
        <v>5612</v>
      </c>
      <c r="AB5" s="809" t="s">
        <v>792</v>
      </c>
      <c r="AC5" s="809" t="s">
        <v>2971</v>
      </c>
      <c r="AD5" s="767" t="s">
        <v>1215</v>
      </c>
      <c r="AE5" s="809" t="s">
        <v>2698</v>
      </c>
      <c r="AF5" s="770"/>
      <c r="AG5" s="767" t="s">
        <v>6694</v>
      </c>
      <c r="AH5" s="771"/>
      <c r="AI5" s="777"/>
      <c r="AJ5" s="810"/>
      <c r="AK5" s="810" t="s">
        <v>4066</v>
      </c>
      <c r="AL5" s="811"/>
      <c r="AM5" s="810" t="s">
        <v>4628</v>
      </c>
      <c r="AN5" s="810"/>
      <c r="AO5" s="812" t="s">
        <v>2386</v>
      </c>
      <c r="AP5" s="811"/>
      <c r="AQ5" s="813" t="s">
        <v>6695</v>
      </c>
      <c r="AR5" s="810" t="s">
        <v>6696</v>
      </c>
      <c r="AS5" s="810" t="s">
        <v>6697</v>
      </c>
      <c r="AT5" s="811"/>
      <c r="AU5" s="811"/>
      <c r="AV5" s="811"/>
      <c r="AW5" s="814" t="s">
        <v>4225</v>
      </c>
      <c r="AX5" s="815" t="s">
        <v>3754</v>
      </c>
      <c r="AY5" s="810" t="s">
        <v>6698</v>
      </c>
      <c r="AZ5" s="777"/>
      <c r="BA5" s="816"/>
      <c r="BB5" s="817" t="s">
        <v>6699</v>
      </c>
      <c r="BC5" s="818" t="s">
        <v>6700</v>
      </c>
      <c r="BD5" s="816"/>
      <c r="BE5" s="819" t="s">
        <v>6701</v>
      </c>
      <c r="BF5" s="777"/>
      <c r="BG5" s="820" t="s">
        <v>6702</v>
      </c>
      <c r="BH5" s="821" t="s">
        <v>1875</v>
      </c>
      <c r="BI5" s="821"/>
      <c r="BJ5" s="821"/>
      <c r="BK5" s="822" t="s">
        <v>2048</v>
      </c>
      <c r="BL5" s="823"/>
      <c r="BM5" s="821" t="s">
        <v>6703</v>
      </c>
      <c r="BN5" s="777"/>
      <c r="BO5" s="824" t="s">
        <v>6476</v>
      </c>
      <c r="BP5" s="825"/>
      <c r="BQ5" s="825"/>
      <c r="BR5" s="826" t="s">
        <v>6704</v>
      </c>
      <c r="BS5" s="825"/>
      <c r="BT5" s="827" t="s">
        <v>1620</v>
      </c>
      <c r="BU5" s="825"/>
      <c r="BV5" s="828" t="s">
        <v>3853</v>
      </c>
      <c r="BW5" s="827" t="s">
        <v>6113</v>
      </c>
      <c r="BX5" s="777"/>
      <c r="BY5" s="829" t="s">
        <v>2740</v>
      </c>
      <c r="BZ5" s="830" t="s">
        <v>4201</v>
      </c>
      <c r="CA5" s="831"/>
      <c r="CB5" s="831"/>
      <c r="CC5" s="831"/>
      <c r="CD5" s="830" t="s">
        <v>1400</v>
      </c>
      <c r="CE5" s="832" t="s">
        <v>4702</v>
      </c>
      <c r="CF5" s="830" t="s">
        <v>6705</v>
      </c>
      <c r="CG5" s="831"/>
      <c r="CH5" s="831"/>
      <c r="CI5" s="831"/>
      <c r="CJ5" s="831"/>
      <c r="CK5" s="831"/>
    </row>
    <row r="6">
      <c r="A6" s="833" t="s">
        <v>437</v>
      </c>
      <c r="B6" s="756" t="s">
        <v>6102</v>
      </c>
      <c r="C6" s="752" t="s">
        <v>439</v>
      </c>
      <c r="D6" s="753" t="s">
        <v>1063</v>
      </c>
      <c r="E6" s="754" t="s">
        <v>441</v>
      </c>
      <c r="F6" s="755" t="s">
        <v>4044</v>
      </c>
      <c r="G6" s="756" t="s">
        <v>1503</v>
      </c>
      <c r="H6" s="801" t="s">
        <v>1610</v>
      </c>
      <c r="I6" s="834" t="s">
        <v>3110</v>
      </c>
      <c r="J6" s="802" t="s">
        <v>6706</v>
      </c>
      <c r="K6" s="835" t="s">
        <v>5921</v>
      </c>
      <c r="L6" s="801" t="s">
        <v>5461</v>
      </c>
      <c r="M6" s="799"/>
      <c r="N6" s="799"/>
      <c r="O6" s="836" t="s">
        <v>6707</v>
      </c>
      <c r="P6" s="762"/>
      <c r="Q6" s="837" t="s">
        <v>6708</v>
      </c>
      <c r="R6" s="837" t="s">
        <v>2741</v>
      </c>
      <c r="S6" s="804"/>
      <c r="T6" s="838" t="s">
        <v>234</v>
      </c>
      <c r="U6" s="839"/>
      <c r="V6" s="805" t="s">
        <v>6709</v>
      </c>
      <c r="W6" s="762"/>
      <c r="X6" s="769" t="s">
        <v>3265</v>
      </c>
      <c r="Y6" s="769" t="s">
        <v>6710</v>
      </c>
      <c r="Z6" s="769" t="s">
        <v>2588</v>
      </c>
      <c r="AA6" s="840" t="s">
        <v>6711</v>
      </c>
      <c r="AB6" s="808" t="s">
        <v>1277</v>
      </c>
      <c r="AC6" s="840" t="s">
        <v>1319</v>
      </c>
      <c r="AD6" s="767" t="s">
        <v>1215</v>
      </c>
      <c r="AE6" s="767" t="s">
        <v>6712</v>
      </c>
      <c r="AF6" s="841"/>
      <c r="AG6" s="842" t="s">
        <v>6713</v>
      </c>
      <c r="AH6" s="771"/>
      <c r="AI6" s="772"/>
      <c r="AJ6" s="810"/>
      <c r="AK6" s="810" t="s">
        <v>6714</v>
      </c>
      <c r="AL6" s="811"/>
      <c r="AM6" s="843" t="s">
        <v>2801</v>
      </c>
      <c r="AN6" s="844" t="s">
        <v>3537</v>
      </c>
      <c r="AO6" s="810" t="s">
        <v>6715</v>
      </c>
      <c r="AP6" s="843" t="s">
        <v>2463</v>
      </c>
      <c r="AQ6" s="845" t="s">
        <v>6716</v>
      </c>
      <c r="AR6" s="810" t="s">
        <v>6717</v>
      </c>
      <c r="AS6" s="811"/>
      <c r="AT6" s="812" t="s">
        <v>4894</v>
      </c>
      <c r="AU6" s="811"/>
      <c r="AV6" s="811"/>
      <c r="AW6" s="815" t="s">
        <v>5033</v>
      </c>
      <c r="AX6" s="815" t="s">
        <v>1304</v>
      </c>
      <c r="AY6" s="811"/>
      <c r="AZ6" s="777"/>
      <c r="BA6" s="846"/>
      <c r="BB6" s="818" t="s">
        <v>6718</v>
      </c>
      <c r="BC6" s="819" t="s">
        <v>6137</v>
      </c>
      <c r="BD6" s="846"/>
      <c r="BE6" s="847" t="s">
        <v>6719</v>
      </c>
      <c r="BF6" s="777"/>
      <c r="BG6" s="820" t="s">
        <v>3226</v>
      </c>
      <c r="BH6" s="820" t="s">
        <v>1306</v>
      </c>
      <c r="BI6" s="848" t="s">
        <v>5808</v>
      </c>
      <c r="BJ6" s="849"/>
      <c r="BK6" s="820" t="s">
        <v>6720</v>
      </c>
      <c r="BL6" s="823"/>
      <c r="BM6" s="821" t="s">
        <v>6721</v>
      </c>
      <c r="BN6" s="762"/>
      <c r="BO6" s="827" t="s">
        <v>6722</v>
      </c>
      <c r="BP6" s="826"/>
      <c r="BQ6" s="850" t="s">
        <v>1770</v>
      </c>
      <c r="BR6" s="826" t="s">
        <v>6723</v>
      </c>
      <c r="BS6" s="825"/>
      <c r="BT6" s="850" t="s">
        <v>1981</v>
      </c>
      <c r="BU6" s="825"/>
      <c r="BV6" s="826" t="s">
        <v>5929</v>
      </c>
      <c r="BW6" s="826" t="s">
        <v>2134</v>
      </c>
      <c r="BX6" s="762"/>
      <c r="BY6" s="851" t="s">
        <v>304</v>
      </c>
      <c r="BZ6" s="830" t="s">
        <v>3532</v>
      </c>
      <c r="CA6" s="831"/>
      <c r="CB6" s="852"/>
      <c r="CC6" s="831"/>
      <c r="CD6" s="831"/>
      <c r="CE6" s="831"/>
      <c r="CF6" s="831"/>
      <c r="CG6" s="831"/>
      <c r="CH6" s="831"/>
      <c r="CI6" s="831"/>
      <c r="CJ6" s="852"/>
      <c r="CK6" s="852"/>
    </row>
    <row r="7">
      <c r="A7" s="853" t="s">
        <v>6724</v>
      </c>
      <c r="B7" s="854" t="s">
        <v>6725</v>
      </c>
      <c r="C7" s="752" t="s">
        <v>335</v>
      </c>
      <c r="D7" s="753" t="s">
        <v>441</v>
      </c>
      <c r="E7" s="754" t="s">
        <v>4234</v>
      </c>
      <c r="F7" s="755" t="s">
        <v>3484</v>
      </c>
      <c r="G7" s="756" t="s">
        <v>3931</v>
      </c>
      <c r="H7" s="855" t="s">
        <v>6726</v>
      </c>
      <c r="I7" s="801" t="s">
        <v>6727</v>
      </c>
      <c r="J7" s="801" t="s">
        <v>3718</v>
      </c>
      <c r="K7" s="801" t="s">
        <v>6728</v>
      </c>
      <c r="L7" s="856" t="s">
        <v>2029</v>
      </c>
      <c r="M7" s="834" t="s">
        <v>6729</v>
      </c>
      <c r="N7" s="801" t="s">
        <v>6730</v>
      </c>
      <c r="O7" s="801" t="s">
        <v>6731</v>
      </c>
      <c r="P7" s="762"/>
      <c r="Q7" s="807" t="s">
        <v>6732</v>
      </c>
      <c r="R7" s="807" t="s">
        <v>2018</v>
      </c>
      <c r="S7" s="805" t="s">
        <v>727</v>
      </c>
      <c r="T7" s="807" t="s">
        <v>5178</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2231</v>
      </c>
      <c r="AN7" s="810" t="s">
        <v>4617</v>
      </c>
      <c r="AO7" s="810" t="s">
        <v>6742</v>
      </c>
      <c r="AP7" s="815" t="s">
        <v>6743</v>
      </c>
      <c r="AQ7" s="810" t="s">
        <v>6744</v>
      </c>
      <c r="AR7" s="815" t="s">
        <v>6745</v>
      </c>
      <c r="AS7" s="815" t="s">
        <v>2791</v>
      </c>
      <c r="AT7" s="844" t="s">
        <v>6746</v>
      </c>
      <c r="AU7" s="812" t="s">
        <v>6747</v>
      </c>
      <c r="AV7" s="845" t="s">
        <v>6748</v>
      </c>
      <c r="AW7" s="815" t="s">
        <v>2545</v>
      </c>
      <c r="AX7" s="844" t="s">
        <v>5299</v>
      </c>
      <c r="AY7" s="844" t="s">
        <v>6749</v>
      </c>
      <c r="AZ7" s="777"/>
      <c r="BA7" s="819" t="s">
        <v>6750</v>
      </c>
      <c r="BB7" s="860" t="s">
        <v>6751</v>
      </c>
      <c r="BC7" s="861" t="s">
        <v>3278</v>
      </c>
      <c r="BD7" s="862"/>
      <c r="BE7" s="818" t="s">
        <v>6752</v>
      </c>
      <c r="BF7" s="777"/>
      <c r="BG7" s="863" t="s">
        <v>6753</v>
      </c>
      <c r="BH7" s="864" t="s">
        <v>3549</v>
      </c>
      <c r="BI7" s="820" t="s">
        <v>612</v>
      </c>
      <c r="BJ7" s="821" t="s">
        <v>6754</v>
      </c>
      <c r="BK7" s="820" t="s">
        <v>6755</v>
      </c>
      <c r="BL7" s="820" t="s">
        <v>6756</v>
      </c>
      <c r="BM7" s="820" t="s">
        <v>6757</v>
      </c>
      <c r="BN7" s="762"/>
      <c r="BO7" s="827" t="s">
        <v>2463</v>
      </c>
      <c r="BP7" s="828" t="s">
        <v>5784</v>
      </c>
      <c r="BQ7" s="827" t="s">
        <v>3590</v>
      </c>
      <c r="BR7" s="827" t="s">
        <v>3915</v>
      </c>
      <c r="BS7" s="827" t="s">
        <v>816</v>
      </c>
      <c r="BT7" s="827" t="s">
        <v>1373</v>
      </c>
      <c r="BU7" s="850" t="s">
        <v>3915</v>
      </c>
      <c r="BV7" s="865" t="s">
        <v>6758</v>
      </c>
      <c r="BW7" s="827" t="s">
        <v>6759</v>
      </c>
      <c r="BX7" s="762"/>
      <c r="BY7" s="851" t="s">
        <v>6760</v>
      </c>
      <c r="BZ7" s="866" t="s">
        <v>6371</v>
      </c>
      <c r="CA7" s="866" t="s">
        <v>2347</v>
      </c>
      <c r="CB7" s="867" t="s">
        <v>3453</v>
      </c>
      <c r="CC7" s="868"/>
      <c r="CD7" s="869"/>
      <c r="CE7" s="851" t="s">
        <v>2749</v>
      </c>
      <c r="CF7" s="851" t="s">
        <v>6761</v>
      </c>
      <c r="CG7" s="851" t="s">
        <v>6762</v>
      </c>
      <c r="CH7" s="851" t="s">
        <v>2246</v>
      </c>
      <c r="CI7" s="851" t="s">
        <v>6763</v>
      </c>
      <c r="CJ7" s="866" t="s">
        <v>2776</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4155</v>
      </c>
      <c r="R8" s="838" t="s">
        <v>3172</v>
      </c>
      <c r="S8" s="839" t="s">
        <v>5904</v>
      </c>
      <c r="T8" s="872" t="s">
        <v>5383</v>
      </c>
      <c r="U8" s="872" t="s">
        <v>6769</v>
      </c>
      <c r="V8" s="837" t="s">
        <v>6770</v>
      </c>
      <c r="W8" s="762"/>
      <c r="X8" s="840" t="s">
        <v>913</v>
      </c>
      <c r="Y8" s="840" t="s">
        <v>6771</v>
      </c>
      <c r="Z8" s="769" t="s">
        <v>6772</v>
      </c>
      <c r="AA8" s="857" t="s">
        <v>6773</v>
      </c>
      <c r="AB8" s="808" t="s">
        <v>4955</v>
      </c>
      <c r="AC8" s="808" t="s">
        <v>5128</v>
      </c>
      <c r="AD8" s="840" t="s">
        <v>4960</v>
      </c>
      <c r="AE8" s="808" t="s">
        <v>6774</v>
      </c>
      <c r="AF8" s="808"/>
      <c r="AG8" s="873"/>
      <c r="AH8" s="874" t="s">
        <v>6775</v>
      </c>
      <c r="AI8" s="762"/>
      <c r="AJ8" s="810"/>
      <c r="AK8" s="810" t="s">
        <v>6776</v>
      </c>
      <c r="AL8" s="810" t="s">
        <v>5504</v>
      </c>
      <c r="AM8" s="810" t="s">
        <v>563</v>
      </c>
      <c r="AN8" s="815" t="s">
        <v>6777</v>
      </c>
      <c r="AO8" s="811"/>
      <c r="AP8" s="815" t="s">
        <v>6778</v>
      </c>
      <c r="AQ8" s="875" t="s">
        <v>5063</v>
      </c>
      <c r="AR8" s="810" t="s">
        <v>6779</v>
      </c>
      <c r="AS8" s="844" t="s">
        <v>6780</v>
      </c>
      <c r="AT8" s="811"/>
      <c r="AU8" s="810" t="s">
        <v>6781</v>
      </c>
      <c r="AV8" s="811"/>
      <c r="AW8" s="810" t="s">
        <v>475</v>
      </c>
      <c r="AX8" s="815" t="s">
        <v>6782</v>
      </c>
      <c r="AY8" s="815" t="s">
        <v>6783</v>
      </c>
      <c r="AZ8" s="777"/>
      <c r="BA8" s="817" t="s">
        <v>6784</v>
      </c>
      <c r="BB8" s="818" t="s">
        <v>6785</v>
      </c>
      <c r="BC8" s="876" t="s">
        <v>3548</v>
      </c>
      <c r="BD8" s="846"/>
      <c r="BE8" s="847" t="s">
        <v>6786</v>
      </c>
      <c r="BF8" s="777"/>
      <c r="BG8" s="820" t="s">
        <v>3226</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2643</v>
      </c>
      <c r="CA8" s="831"/>
      <c r="CB8" s="880" t="s">
        <v>2403</v>
      </c>
      <c r="CC8" s="830"/>
      <c r="CD8" s="830" t="s">
        <v>2945</v>
      </c>
      <c r="CE8" s="866" t="s">
        <v>6799</v>
      </c>
      <c r="CF8" s="867" t="s">
        <v>6800</v>
      </c>
      <c r="CG8" s="867" t="s">
        <v>5705</v>
      </c>
      <c r="CH8" s="881" t="s">
        <v>6801</v>
      </c>
      <c r="CI8" s="867" t="s">
        <v>3638</v>
      </c>
      <c r="CJ8" s="867" t="s">
        <v>5041</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2122</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2061</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4051</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2351</v>
      </c>
      <c r="AC10" s="840" t="s">
        <v>6834</v>
      </c>
      <c r="AD10" s="889" t="s">
        <v>2417</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4332</v>
      </c>
      <c r="CE10" s="831"/>
      <c r="CF10" s="866" t="s">
        <v>6850</v>
      </c>
      <c r="CG10" s="880" t="s">
        <v>2631</v>
      </c>
      <c r="CH10" s="831"/>
      <c r="CI10" s="831"/>
      <c r="CJ10" s="852"/>
      <c r="CK10" s="852"/>
    </row>
    <row r="11">
      <c r="A11" s="833" t="s">
        <v>332</v>
      </c>
      <c r="B11" s="756" t="s">
        <v>6851</v>
      </c>
      <c r="C11" s="752" t="s">
        <v>441</v>
      </c>
      <c r="D11" s="753" t="s">
        <v>335</v>
      </c>
      <c r="E11" s="754" t="s">
        <v>1063</v>
      </c>
      <c r="F11" s="755" t="s">
        <v>3963</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3426</v>
      </c>
      <c r="AC11" s="840" t="s">
        <v>2891</v>
      </c>
      <c r="AD11" s="769" t="s">
        <v>2395</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6697</v>
      </c>
      <c r="AT11" s="900"/>
      <c r="AU11" s="891"/>
      <c r="AV11" s="812" t="s">
        <v>6865</v>
      </c>
      <c r="AW11" s="844" t="s">
        <v>6866</v>
      </c>
      <c r="AX11" s="875" t="s">
        <v>6867</v>
      </c>
      <c r="AY11" s="875" t="s">
        <v>6868</v>
      </c>
      <c r="AZ11" s="777"/>
      <c r="BA11" s="816"/>
      <c r="BB11" s="819" t="s">
        <v>6869</v>
      </c>
      <c r="BC11" s="818" t="s">
        <v>3750</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2010</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2372</v>
      </c>
      <c r="B12" s="756" t="s">
        <v>6851</v>
      </c>
      <c r="C12" s="752" t="s">
        <v>548</v>
      </c>
      <c r="D12" s="753" t="s">
        <v>441</v>
      </c>
      <c r="E12" s="754" t="s">
        <v>440</v>
      </c>
      <c r="F12" s="755" t="s">
        <v>2106</v>
      </c>
      <c r="G12" s="756" t="s">
        <v>2106</v>
      </c>
      <c r="H12" s="801" t="s">
        <v>1207</v>
      </c>
      <c r="I12" s="801" t="s">
        <v>6879</v>
      </c>
      <c r="J12" s="801" t="s">
        <v>3718</v>
      </c>
      <c r="K12" s="801" t="s">
        <v>2031</v>
      </c>
      <c r="L12" s="799"/>
      <c r="M12" s="799"/>
      <c r="N12" s="799"/>
      <c r="O12" s="855" t="s">
        <v>6880</v>
      </c>
      <c r="P12" s="762"/>
      <c r="Q12" s="807" t="s">
        <v>6881</v>
      </c>
      <c r="R12" s="804"/>
      <c r="S12" s="837" t="s">
        <v>6882</v>
      </c>
      <c r="T12" s="807" t="s">
        <v>5217</v>
      </c>
      <c r="U12" s="807" t="s">
        <v>3597</v>
      </c>
      <c r="V12" s="807" t="s">
        <v>6883</v>
      </c>
      <c r="W12" s="762"/>
      <c r="X12" s="769" t="s">
        <v>2708</v>
      </c>
      <c r="Y12" s="809" t="s">
        <v>6884</v>
      </c>
      <c r="Z12" s="769" t="s">
        <v>6885</v>
      </c>
      <c r="AA12" s="769" t="s">
        <v>6737</v>
      </c>
      <c r="AB12" s="769" t="s">
        <v>6383</v>
      </c>
      <c r="AC12" s="769" t="s">
        <v>6886</v>
      </c>
      <c r="AD12" s="769" t="s">
        <v>1058</v>
      </c>
      <c r="AE12" s="769" t="s">
        <v>6887</v>
      </c>
      <c r="AF12" s="841"/>
      <c r="AG12" s="769" t="s">
        <v>6888</v>
      </c>
      <c r="AH12" s="771"/>
      <c r="AI12" s="762"/>
      <c r="AJ12" s="899"/>
      <c r="AK12" s="845" t="s">
        <v>2091</v>
      </c>
      <c r="AL12" s="811"/>
      <c r="AM12" s="815" t="s">
        <v>4245</v>
      </c>
      <c r="AN12" s="811"/>
      <c r="AO12" s="811"/>
      <c r="AP12" s="815" t="s">
        <v>3550</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3325</v>
      </c>
      <c r="BI12" s="820" t="s">
        <v>2216</v>
      </c>
      <c r="BJ12" s="886" t="s">
        <v>6897</v>
      </c>
      <c r="BK12" s="820" t="s">
        <v>2687</v>
      </c>
      <c r="BL12" s="823"/>
      <c r="BM12" s="820" t="s">
        <v>6898</v>
      </c>
      <c r="BN12" s="762"/>
      <c r="BO12" s="825"/>
      <c r="BP12" s="878"/>
      <c r="BQ12" s="827" t="s">
        <v>2660</v>
      </c>
      <c r="BR12" s="827" t="s">
        <v>6899</v>
      </c>
      <c r="BS12" s="825"/>
      <c r="BT12" s="827" t="s">
        <v>1788</v>
      </c>
      <c r="BU12" s="825"/>
      <c r="BV12" s="827" t="s">
        <v>6900</v>
      </c>
      <c r="BW12" s="827" t="s">
        <v>6206</v>
      </c>
      <c r="BX12" s="762"/>
      <c r="BY12" s="851" t="s">
        <v>6715</v>
      </c>
      <c r="BZ12" s="851" t="s">
        <v>2712</v>
      </c>
      <c r="CA12" s="867" t="s">
        <v>6901</v>
      </c>
      <c r="CB12" s="852"/>
      <c r="CC12" s="831"/>
      <c r="CD12" s="867" t="s">
        <v>4332</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3963</v>
      </c>
      <c r="G13" s="756" t="s">
        <v>6250</v>
      </c>
      <c r="H13" s="834" t="s">
        <v>4809</v>
      </c>
      <c r="I13" s="799"/>
      <c r="J13" s="855" t="s">
        <v>6905</v>
      </c>
      <c r="K13" s="855" t="s">
        <v>6352</v>
      </c>
      <c r="L13" s="799"/>
      <c r="M13" s="799"/>
      <c r="N13" s="799"/>
      <c r="O13" s="800" t="s">
        <v>6906</v>
      </c>
      <c r="P13" s="762"/>
      <c r="Q13" s="804"/>
      <c r="R13" s="805" t="s">
        <v>405</v>
      </c>
      <c r="S13" s="804"/>
      <c r="T13" s="883" t="s">
        <v>4860</v>
      </c>
      <c r="U13" s="883" t="s">
        <v>1187</v>
      </c>
      <c r="V13" s="804"/>
      <c r="W13" s="762"/>
      <c r="X13" s="808" t="s">
        <v>380</v>
      </c>
      <c r="Y13" s="873"/>
      <c r="Z13" s="809" t="s">
        <v>3291</v>
      </c>
      <c r="AA13" s="768" t="s">
        <v>6907</v>
      </c>
      <c r="AB13" s="808" t="s">
        <v>506</v>
      </c>
      <c r="AC13" s="842" t="s">
        <v>1122</v>
      </c>
      <c r="AD13" s="768" t="s">
        <v>1790</v>
      </c>
      <c r="AE13" s="840" t="s">
        <v>6908</v>
      </c>
      <c r="AF13" s="808"/>
      <c r="AG13" s="808" t="s">
        <v>6909</v>
      </c>
      <c r="AH13" s="771"/>
      <c r="AI13" s="762"/>
      <c r="AJ13" s="811"/>
      <c r="AK13" s="811"/>
      <c r="AL13" s="811"/>
      <c r="AM13" s="810" t="s">
        <v>5163</v>
      </c>
      <c r="AN13" s="812" t="s">
        <v>4069</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5035</v>
      </c>
      <c r="BR13" s="825"/>
      <c r="BS13" s="825"/>
      <c r="BT13" s="828" t="s">
        <v>6914</v>
      </c>
      <c r="BU13" s="825"/>
      <c r="BV13" s="879" t="s">
        <v>6915</v>
      </c>
      <c r="BW13" s="827" t="s">
        <v>6916</v>
      </c>
      <c r="BX13" s="762"/>
      <c r="BY13" s="881" t="s">
        <v>3452</v>
      </c>
      <c r="BZ13" s="881" t="s">
        <v>6825</v>
      </c>
      <c r="CA13" s="831"/>
      <c r="CB13" s="852"/>
      <c r="CC13" s="831"/>
      <c r="CD13" s="831"/>
      <c r="CE13" s="831"/>
      <c r="CF13" s="831"/>
      <c r="CG13" s="881" t="s">
        <v>6917</v>
      </c>
      <c r="CH13" s="831"/>
      <c r="CI13" s="831"/>
      <c r="CJ13" s="852"/>
      <c r="CK13" s="852"/>
    </row>
    <row r="14">
      <c r="A14" s="798" t="s">
        <v>2025</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3716</v>
      </c>
      <c r="AC14" s="769" t="s">
        <v>2048</v>
      </c>
      <c r="AD14" s="808" t="s">
        <v>4136</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3243</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2125</v>
      </c>
      <c r="I15" s="801" t="s">
        <v>6938</v>
      </c>
      <c r="J15" s="799"/>
      <c r="K15" s="799"/>
      <c r="L15" s="801" t="s">
        <v>3369</v>
      </c>
      <c r="M15" s="799"/>
      <c r="N15" s="801" t="s">
        <v>6939</v>
      </c>
      <c r="O15" s="799"/>
      <c r="P15" s="762"/>
      <c r="Q15" s="807" t="s">
        <v>248</v>
      </c>
      <c r="R15" s="804"/>
      <c r="S15" s="807" t="s">
        <v>6837</v>
      </c>
      <c r="T15" s="807" t="s">
        <v>3733</v>
      </c>
      <c r="U15" s="804"/>
      <c r="V15" s="807" t="s">
        <v>6940</v>
      </c>
      <c r="W15" s="762"/>
      <c r="X15" s="769" t="s">
        <v>275</v>
      </c>
      <c r="Y15" s="769" t="s">
        <v>6941</v>
      </c>
      <c r="Z15" s="769" t="s">
        <v>2368</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4062</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4077</v>
      </c>
      <c r="BH15" s="821" t="s">
        <v>4604</v>
      </c>
      <c r="BI15" s="904" t="s">
        <v>1591</v>
      </c>
      <c r="BJ15" s="823"/>
      <c r="BK15" s="821" t="s">
        <v>4297</v>
      </c>
      <c r="BL15" s="823"/>
      <c r="BM15" s="821" t="s">
        <v>6957</v>
      </c>
      <c r="BN15" s="762"/>
      <c r="BO15" s="827" t="s">
        <v>3422</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3283</v>
      </c>
      <c r="G16" s="756" t="s">
        <v>2153</v>
      </c>
      <c r="H16" s="801" t="s">
        <v>2356</v>
      </c>
      <c r="I16" s="909" t="s">
        <v>6962</v>
      </c>
      <c r="J16" s="800" t="s">
        <v>1302</v>
      </c>
      <c r="K16" s="800" t="s">
        <v>6963</v>
      </c>
      <c r="L16" s="800" t="s">
        <v>2149</v>
      </c>
      <c r="M16" s="910"/>
      <c r="N16" s="800" t="s">
        <v>6964</v>
      </c>
      <c r="O16" s="800" t="s">
        <v>6965</v>
      </c>
      <c r="P16" s="762"/>
      <c r="Q16" s="803" t="s">
        <v>6966</v>
      </c>
      <c r="R16" s="803" t="s">
        <v>2455</v>
      </c>
      <c r="S16" s="803" t="s">
        <v>6967</v>
      </c>
      <c r="T16" s="803" t="s">
        <v>5764</v>
      </c>
      <c r="U16" s="803" t="s">
        <v>6968</v>
      </c>
      <c r="V16" s="803" t="s">
        <v>6969</v>
      </c>
      <c r="W16" s="762"/>
      <c r="X16" s="808" t="s">
        <v>3971</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3416</v>
      </c>
      <c r="AN16" s="815" t="s">
        <v>1645</v>
      </c>
      <c r="AO16" s="810" t="s">
        <v>4120</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4210</v>
      </c>
      <c r="BD16" s="847"/>
      <c r="BE16" s="913" t="s">
        <v>6987</v>
      </c>
      <c r="BF16" s="777"/>
      <c r="BG16" s="821" t="s">
        <v>6988</v>
      </c>
      <c r="BH16" s="821" t="s">
        <v>5170</v>
      </c>
      <c r="BI16" s="820" t="s">
        <v>2018</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2517</v>
      </c>
      <c r="BZ16" s="830" t="s">
        <v>2013</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3337</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3638</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2132</v>
      </c>
      <c r="BI17" s="823"/>
      <c r="BJ17" s="823"/>
      <c r="BK17" s="823"/>
      <c r="BL17" s="823"/>
      <c r="BM17" s="821" t="s">
        <v>7016</v>
      </c>
      <c r="BN17" s="762"/>
      <c r="BO17" s="879" t="s">
        <v>2033</v>
      </c>
      <c r="BP17" s="878"/>
      <c r="BQ17" s="825"/>
      <c r="BR17" s="879" t="s">
        <v>7017</v>
      </c>
      <c r="BS17" s="825"/>
      <c r="BT17" s="879" t="s">
        <v>3081</v>
      </c>
      <c r="BU17" s="825"/>
      <c r="BV17" s="879" t="s">
        <v>7018</v>
      </c>
      <c r="BW17" s="879" t="s">
        <v>7019</v>
      </c>
      <c r="BX17" s="762"/>
      <c r="BY17" s="880" t="s">
        <v>3510</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2674</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2401</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6321</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2325</v>
      </c>
      <c r="BU18" s="825"/>
      <c r="BV18" s="826" t="s">
        <v>254</v>
      </c>
      <c r="BW18" s="826" t="s">
        <v>1578</v>
      </c>
      <c r="BX18" s="762"/>
      <c r="BY18" s="830" t="s">
        <v>4202</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2674</v>
      </c>
      <c r="H19" s="799"/>
      <c r="I19" s="800" t="s">
        <v>2656</v>
      </c>
      <c r="J19" s="800" t="s">
        <v>2097</v>
      </c>
      <c r="K19" s="800" t="s">
        <v>7042</v>
      </c>
      <c r="L19" s="871" t="s">
        <v>7043</v>
      </c>
      <c r="M19" s="799"/>
      <c r="N19" s="871" t="s">
        <v>7044</v>
      </c>
      <c r="O19" s="800" t="s">
        <v>7045</v>
      </c>
      <c r="P19" s="762"/>
      <c r="Q19" s="872" t="s">
        <v>2548</v>
      </c>
      <c r="R19" s="804"/>
      <c r="S19" s="804"/>
      <c r="T19" s="872" t="s">
        <v>5034</v>
      </c>
      <c r="U19" s="803"/>
      <c r="V19" s="872" t="s">
        <v>7046</v>
      </c>
      <c r="W19" s="762"/>
      <c r="X19" s="840" t="s">
        <v>4113</v>
      </c>
      <c r="Y19" s="840" t="s">
        <v>7047</v>
      </c>
      <c r="Z19" s="840" t="s">
        <v>7048</v>
      </c>
      <c r="AA19" s="840" t="s">
        <v>3028</v>
      </c>
      <c r="AB19" s="840" t="s">
        <v>4696</v>
      </c>
      <c r="AC19" s="808" t="s">
        <v>7049</v>
      </c>
      <c r="AD19" s="840" t="s">
        <v>4603</v>
      </c>
      <c r="AE19" s="840" t="s">
        <v>4904</v>
      </c>
      <c r="AF19" s="808"/>
      <c r="AG19" s="808" t="s">
        <v>7050</v>
      </c>
      <c r="AH19" s="917" t="s">
        <v>7051</v>
      </c>
      <c r="AI19" s="762"/>
      <c r="AJ19" s="811"/>
      <c r="AK19" s="811"/>
      <c r="AL19" s="811"/>
      <c r="AM19" s="810" t="s">
        <v>172</v>
      </c>
      <c r="AN19" s="811"/>
      <c r="AO19" s="875" t="s">
        <v>4386</v>
      </c>
      <c r="AP19" s="810" t="s">
        <v>3299</v>
      </c>
      <c r="AQ19" s="875" t="s">
        <v>7052</v>
      </c>
      <c r="AR19" s="811"/>
      <c r="AS19" s="811"/>
      <c r="AT19" s="811"/>
      <c r="AU19" s="811"/>
      <c r="AV19" s="811"/>
      <c r="AW19" s="875" t="s">
        <v>1008</v>
      </c>
      <c r="AX19" s="875" t="s">
        <v>4894</v>
      </c>
      <c r="AY19" s="811"/>
      <c r="AZ19" s="777"/>
      <c r="BA19" s="885"/>
      <c r="BB19" s="885"/>
      <c r="BC19" s="913" t="s">
        <v>7053</v>
      </c>
      <c r="BD19" s="847"/>
      <c r="BE19" s="847" t="s">
        <v>7054</v>
      </c>
      <c r="BF19" s="777"/>
      <c r="BG19" s="905" t="s">
        <v>1205</v>
      </c>
      <c r="BH19" s="905" t="s">
        <v>2132</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3562</v>
      </c>
      <c r="B20" s="756" t="s">
        <v>7059</v>
      </c>
      <c r="C20" s="752" t="s">
        <v>548</v>
      </c>
      <c r="D20" s="753" t="s">
        <v>1259</v>
      </c>
      <c r="E20" s="754" t="s">
        <v>334</v>
      </c>
      <c r="F20" s="755" t="s">
        <v>3283</v>
      </c>
      <c r="G20" s="756" t="s">
        <v>3836</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2644</v>
      </c>
      <c r="Y20" s="808" t="s">
        <v>3577</v>
      </c>
      <c r="Z20" s="808" t="s">
        <v>6854</v>
      </c>
      <c r="AA20" s="857" t="s">
        <v>7064</v>
      </c>
      <c r="AB20" s="808" t="s">
        <v>2390</v>
      </c>
      <c r="AC20" s="808" t="s">
        <v>3905</v>
      </c>
      <c r="AD20" s="808" t="s">
        <v>3071</v>
      </c>
      <c r="AE20" s="769" t="s">
        <v>246</v>
      </c>
      <c r="AF20" s="768" t="s">
        <v>1094</v>
      </c>
      <c r="AG20" s="808" t="s">
        <v>7065</v>
      </c>
      <c r="AH20" s="920" t="s">
        <v>3579</v>
      </c>
      <c r="AI20" s="762"/>
      <c r="AJ20" s="810"/>
      <c r="AK20" s="810" t="s">
        <v>7066</v>
      </c>
      <c r="AL20" s="810" t="s">
        <v>7067</v>
      </c>
      <c r="AM20" s="810" t="s">
        <v>5112</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2076</v>
      </c>
      <c r="BI20" s="821" t="s">
        <v>1826</v>
      </c>
      <c r="BJ20" s="823"/>
      <c r="BK20" s="821" t="s">
        <v>1478</v>
      </c>
      <c r="BL20" s="821" t="s">
        <v>7078</v>
      </c>
      <c r="BM20" s="821" t="s">
        <v>7079</v>
      </c>
      <c r="BN20" s="762"/>
      <c r="BO20" s="879" t="s">
        <v>4882</v>
      </c>
      <c r="BP20" s="878"/>
      <c r="BQ20" s="826" t="s">
        <v>2592</v>
      </c>
      <c r="BR20" s="826" t="s">
        <v>3784</v>
      </c>
      <c r="BS20" s="865" t="s">
        <v>7080</v>
      </c>
      <c r="BT20" s="879" t="s">
        <v>2317</v>
      </c>
      <c r="BU20" s="865" t="s">
        <v>7081</v>
      </c>
      <c r="BV20" s="826" t="s">
        <v>7082</v>
      </c>
      <c r="BW20" s="826" t="s">
        <v>7083</v>
      </c>
      <c r="BX20" s="762"/>
      <c r="BY20" s="831"/>
      <c r="BZ20" s="830" t="s">
        <v>3301</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2272</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3969</v>
      </c>
      <c r="AX21" s="875" t="s">
        <v>7099</v>
      </c>
      <c r="AY21" s="811"/>
      <c r="AZ21" s="777"/>
      <c r="BA21" s="885"/>
      <c r="BB21" s="847" t="s">
        <v>7100</v>
      </c>
      <c r="BC21" s="847" t="s">
        <v>3730</v>
      </c>
      <c r="BD21" s="847"/>
      <c r="BE21" s="913" t="s">
        <v>7101</v>
      </c>
      <c r="BF21" s="777"/>
      <c r="BG21" s="821" t="s">
        <v>713</v>
      </c>
      <c r="BH21" s="905" t="s">
        <v>4300</v>
      </c>
      <c r="BI21" s="821" t="s">
        <v>1761</v>
      </c>
      <c r="BJ21" s="821" t="s">
        <v>7102</v>
      </c>
      <c r="BK21" s="821" t="s">
        <v>7103</v>
      </c>
      <c r="BL21" s="823"/>
      <c r="BM21" s="821" t="s">
        <v>7104</v>
      </c>
      <c r="BN21" s="762"/>
      <c r="BO21" s="826" t="s">
        <v>4726</v>
      </c>
      <c r="BP21" s="878"/>
      <c r="BQ21" s="825"/>
      <c r="BR21" s="865" t="s">
        <v>7105</v>
      </c>
      <c r="BS21" s="825"/>
      <c r="BT21" s="826" t="s">
        <v>2366</v>
      </c>
      <c r="BU21" s="825"/>
      <c r="BV21" s="826" t="s">
        <v>7106</v>
      </c>
      <c r="BW21" s="826" t="s">
        <v>1996</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3188</v>
      </c>
      <c r="H22" s="799"/>
      <c r="I22" s="799"/>
      <c r="J22" s="800" t="s">
        <v>313</v>
      </c>
      <c r="K22" s="800" t="s">
        <v>7108</v>
      </c>
      <c r="L22" s="800"/>
      <c r="M22" s="799"/>
      <c r="N22" s="799"/>
      <c r="O22" s="800" t="s">
        <v>7109</v>
      </c>
      <c r="P22" s="762"/>
      <c r="Q22" s="803" t="s">
        <v>4940</v>
      </c>
      <c r="R22" s="803" t="s">
        <v>3802</v>
      </c>
      <c r="S22" s="803" t="s">
        <v>691</v>
      </c>
      <c r="T22" s="803" t="s">
        <v>253</v>
      </c>
      <c r="U22" s="804"/>
      <c r="V22" s="803" t="s">
        <v>7110</v>
      </c>
      <c r="W22" s="762"/>
      <c r="X22" s="808" t="s">
        <v>6445</v>
      </c>
      <c r="Y22" s="873"/>
      <c r="Z22" s="808" t="s">
        <v>4918</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4175</v>
      </c>
      <c r="BQ22" s="825"/>
      <c r="BR22" s="826" t="s">
        <v>7128</v>
      </c>
      <c r="BS22" s="825"/>
      <c r="BT22" s="826" t="s">
        <v>3022</v>
      </c>
      <c r="BU22" s="826" t="s">
        <v>5165</v>
      </c>
      <c r="BV22" s="826" t="s">
        <v>7129</v>
      </c>
      <c r="BW22" s="826" t="s">
        <v>7130</v>
      </c>
      <c r="BX22" s="762"/>
      <c r="BY22" s="922" t="s">
        <v>3551</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4134</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2554</v>
      </c>
      <c r="AE24" s="808" t="s">
        <v>147</v>
      </c>
      <c r="AF24" s="808"/>
      <c r="AG24" s="808" t="s">
        <v>6541</v>
      </c>
      <c r="AH24" s="929" t="s">
        <v>7149</v>
      </c>
      <c r="AI24" s="762"/>
      <c r="AJ24" s="810"/>
      <c r="AK24" s="810" t="s">
        <v>5761</v>
      </c>
      <c r="AL24" s="811"/>
      <c r="AM24" s="810" t="s">
        <v>5163</v>
      </c>
      <c r="AN24" s="811"/>
      <c r="AO24" s="811"/>
      <c r="AP24" s="810" t="s">
        <v>2060</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3963</v>
      </c>
      <c r="H25" s="801" t="s">
        <v>2605</v>
      </c>
      <c r="I25" s="801" t="s">
        <v>7161</v>
      </c>
      <c r="J25" s="932"/>
      <c r="K25" s="801" t="s">
        <v>3304</v>
      </c>
      <c r="L25" s="800"/>
      <c r="M25" s="799"/>
      <c r="N25" s="799"/>
      <c r="O25" s="871" t="s">
        <v>7162</v>
      </c>
      <c r="P25" s="762"/>
      <c r="Q25" s="872" t="s">
        <v>7163</v>
      </c>
      <c r="R25" s="804"/>
      <c r="S25" s="804"/>
      <c r="T25" s="872" t="s">
        <v>5178</v>
      </c>
      <c r="U25" s="803"/>
      <c r="V25" s="872" t="s">
        <v>7164</v>
      </c>
      <c r="W25" s="762"/>
      <c r="X25" s="840" t="s">
        <v>2144</v>
      </c>
      <c r="Y25" s="873"/>
      <c r="Z25" s="840" t="s">
        <v>1841</v>
      </c>
      <c r="AA25" s="916"/>
      <c r="AB25" s="840" t="s">
        <v>5321</v>
      </c>
      <c r="AC25" s="873"/>
      <c r="AD25" s="873"/>
      <c r="AE25" s="840" t="s">
        <v>4422</v>
      </c>
      <c r="AF25" s="808"/>
      <c r="AG25" s="840" t="s">
        <v>7165</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7166</v>
      </c>
      <c r="BF25" s="777"/>
      <c r="BG25" s="905" t="s">
        <v>2620</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3963</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4955</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4933</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4032</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6506</v>
      </c>
      <c r="AW28" s="810" t="s">
        <v>2653</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4049</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4106</v>
      </c>
      <c r="H29" s="897" t="s">
        <v>4238</v>
      </c>
      <c r="I29" s="800" t="s">
        <v>7218</v>
      </c>
      <c r="J29" s="800"/>
      <c r="K29" s="800"/>
      <c r="L29" s="871" t="s">
        <v>7219</v>
      </c>
      <c r="M29" s="799"/>
      <c r="N29" s="801" t="s">
        <v>7220</v>
      </c>
      <c r="O29" s="799"/>
      <c r="P29" s="762"/>
      <c r="Q29" s="804"/>
      <c r="R29" s="804"/>
      <c r="S29" s="804"/>
      <c r="T29" s="804"/>
      <c r="U29" s="803" t="s">
        <v>417</v>
      </c>
      <c r="V29" s="807" t="s">
        <v>7221</v>
      </c>
      <c r="W29" s="762"/>
      <c r="X29" s="840" t="s">
        <v>4929</v>
      </c>
      <c r="Y29" s="808" t="s">
        <v>6159</v>
      </c>
      <c r="Z29" s="840" t="s">
        <v>6074</v>
      </c>
      <c r="AA29" s="911" t="s">
        <v>4605</v>
      </c>
      <c r="AB29" s="840" t="s">
        <v>2505</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2627</v>
      </c>
      <c r="BX29" s="762"/>
      <c r="BY29" s="831"/>
      <c r="BZ29" s="831"/>
      <c r="CA29" s="831"/>
      <c r="CB29" s="852"/>
      <c r="CC29" s="831"/>
      <c r="CD29" s="880" t="s">
        <v>4984</v>
      </c>
      <c r="CE29" s="831"/>
      <c r="CF29" s="831"/>
      <c r="CG29" s="831"/>
      <c r="CH29" s="831"/>
      <c r="CI29" s="831"/>
      <c r="CJ29" s="852"/>
      <c r="CK29" s="852"/>
    </row>
    <row r="30">
      <c r="A30" s="798" t="s">
        <v>6578</v>
      </c>
      <c r="B30" s="756" t="s">
        <v>7233</v>
      </c>
      <c r="C30" s="752" t="s">
        <v>548</v>
      </c>
      <c r="D30" s="753" t="s">
        <v>1259</v>
      </c>
      <c r="E30" s="754" t="s">
        <v>1259</v>
      </c>
      <c r="F30" s="755" t="s">
        <v>548</v>
      </c>
      <c r="G30" s="756" t="s">
        <v>6250</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3912</v>
      </c>
      <c r="BJ30" s="905" t="s">
        <v>6409</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6710</v>
      </c>
      <c r="CG30" s="831"/>
      <c r="CH30" s="831"/>
      <c r="CI30" s="831"/>
      <c r="CJ30" s="852"/>
      <c r="CK30" s="852"/>
    </row>
    <row r="31">
      <c r="A31" s="798" t="s">
        <v>4042</v>
      </c>
      <c r="B31" s="756" t="s">
        <v>7253</v>
      </c>
      <c r="C31" s="752" t="s">
        <v>1259</v>
      </c>
      <c r="D31" s="753" t="s">
        <v>1259</v>
      </c>
      <c r="E31" s="754" t="s">
        <v>1259</v>
      </c>
      <c r="F31" s="755" t="s">
        <v>439</v>
      </c>
      <c r="G31" s="756" t="s">
        <v>2985</v>
      </c>
      <c r="H31" s="800" t="s">
        <v>2308</v>
      </c>
      <c r="I31" s="799"/>
      <c r="J31" s="799"/>
      <c r="K31" s="799"/>
      <c r="L31" s="800" t="s">
        <v>6477</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2801</v>
      </c>
      <c r="AF31" s="808"/>
      <c r="AG31" s="769" t="s">
        <v>7258</v>
      </c>
      <c r="AH31" s="921" t="s">
        <v>7259</v>
      </c>
      <c r="AI31" s="762"/>
      <c r="AJ31" s="810"/>
      <c r="AK31" s="810" t="s">
        <v>7260</v>
      </c>
      <c r="AL31" s="810" t="s">
        <v>7261</v>
      </c>
      <c r="AM31" s="810" t="s">
        <v>4192</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3393</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2299</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2471</v>
      </c>
      <c r="BS33" s="825"/>
      <c r="BT33" s="825"/>
      <c r="BU33" s="825"/>
      <c r="BV33" s="879" t="s">
        <v>7293</v>
      </c>
      <c r="BW33" s="826" t="s">
        <v>7294</v>
      </c>
      <c r="BX33" s="762"/>
      <c r="BY33" s="830" t="s">
        <v>6307</v>
      </c>
      <c r="BZ33" s="831"/>
      <c r="CA33" s="830"/>
      <c r="CB33" s="880"/>
      <c r="CC33" s="830"/>
      <c r="CD33" s="831"/>
      <c r="CE33" s="831"/>
      <c r="CF33" s="831"/>
      <c r="CG33" s="831"/>
      <c r="CH33" s="831"/>
      <c r="CI33" s="831"/>
      <c r="CJ33" s="852"/>
      <c r="CK33" s="852"/>
    </row>
    <row r="34">
      <c r="A34" s="940" t="s">
        <v>5055</v>
      </c>
      <c r="B34" s="756" t="s">
        <v>3565</v>
      </c>
      <c r="C34" s="752" t="s">
        <v>1259</v>
      </c>
      <c r="D34" s="753" t="s">
        <v>1259</v>
      </c>
      <c r="E34" s="754" t="s">
        <v>1259</v>
      </c>
      <c r="F34" s="755" t="s">
        <v>441</v>
      </c>
      <c r="G34" s="756" t="s">
        <v>6287</v>
      </c>
      <c r="H34" s="800" t="s">
        <v>7295</v>
      </c>
      <c r="I34" s="799"/>
      <c r="J34" s="799"/>
      <c r="K34" s="799"/>
      <c r="L34" s="799"/>
      <c r="M34" s="799"/>
      <c r="N34" s="799"/>
      <c r="O34" s="799"/>
      <c r="P34" s="762"/>
      <c r="Q34" s="804"/>
      <c r="R34" s="804"/>
      <c r="S34" s="803" t="s">
        <v>1024</v>
      </c>
      <c r="T34" s="803" t="s">
        <v>1978</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2189</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3923</v>
      </c>
      <c r="AC35" s="808" t="s">
        <v>7311</v>
      </c>
      <c r="AD35" s="873"/>
      <c r="AE35" s="808" t="s">
        <v>2598</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4944</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3262</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6591</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3407</v>
      </c>
      <c r="BV38" s="826" t="s">
        <v>392</v>
      </c>
      <c r="BW38" s="879" t="s">
        <v>7343</v>
      </c>
      <c r="BX38" s="762"/>
      <c r="BY38" s="831"/>
      <c r="BZ38" s="922" t="s">
        <v>2866</v>
      </c>
      <c r="CA38" s="831"/>
      <c r="CB38" s="852"/>
      <c r="CC38" s="831"/>
      <c r="CD38" s="831"/>
      <c r="CE38" s="831"/>
      <c r="CF38" s="830" t="s">
        <v>7344</v>
      </c>
      <c r="CG38" s="831"/>
      <c r="CH38" s="831"/>
      <c r="CI38" s="851" t="s">
        <v>5014</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5135</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2341</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4234</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3659</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7376</v>
      </c>
      <c r="AS46" s="811"/>
      <c r="AT46" s="811"/>
      <c r="AU46" s="811"/>
      <c r="AV46" s="811"/>
      <c r="AW46" s="810" t="s">
        <v>889</v>
      </c>
      <c r="AX46" s="811"/>
      <c r="AY46" s="811"/>
      <c r="AZ46" s="777"/>
      <c r="BA46" s="885"/>
      <c r="BB46" s="885"/>
      <c r="BC46" s="847" t="s">
        <v>2137</v>
      </c>
      <c r="BD46" s="885"/>
      <c r="BE46" s="885"/>
      <c r="BF46" s="777"/>
      <c r="BG46" s="823"/>
      <c r="BH46" s="823"/>
      <c r="BI46" s="823"/>
      <c r="BJ46" s="823"/>
      <c r="BK46" s="823"/>
      <c r="BL46" s="823"/>
      <c r="BM46" s="823"/>
      <c r="BN46" s="762"/>
      <c r="BO46" s="826" t="s">
        <v>7377</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2260</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2640</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3283</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2056</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2538</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4042</v>
      </c>
      <c r="Y1" s="967" t="s">
        <v>7429</v>
      </c>
      <c r="Z1" s="971" t="s">
        <v>7430</v>
      </c>
      <c r="AA1" s="967" t="s">
        <v>6685</v>
      </c>
      <c r="AB1" s="967" t="s">
        <v>3562</v>
      </c>
      <c r="AC1" s="967" t="s">
        <v>7171</v>
      </c>
      <c r="AD1" s="967" t="s">
        <v>7431</v>
      </c>
      <c r="AE1" s="967" t="s">
        <v>7432</v>
      </c>
      <c r="AF1" s="967" t="s">
        <v>1198</v>
      </c>
      <c r="AG1" s="967" t="s">
        <v>219</v>
      </c>
      <c r="AH1" s="967" t="s">
        <v>1725</v>
      </c>
      <c r="AI1" s="967" t="s">
        <v>2086</v>
      </c>
      <c r="AJ1" s="967" t="s">
        <v>7433</v>
      </c>
      <c r="AK1" s="967" t="s">
        <v>7434</v>
      </c>
      <c r="AL1" s="967" t="s">
        <v>7435</v>
      </c>
      <c r="AM1" s="967" t="s">
        <v>2025</v>
      </c>
      <c r="AN1" s="967" t="s">
        <v>7436</v>
      </c>
      <c r="AO1" s="967" t="s">
        <v>7437</v>
      </c>
      <c r="AP1" s="967" t="s">
        <v>5990</v>
      </c>
      <c r="AQ1" s="967" t="s">
        <v>7438</v>
      </c>
      <c r="AR1" s="967" t="s">
        <v>7439</v>
      </c>
      <c r="AS1" s="967" t="s">
        <v>7440</v>
      </c>
      <c r="AT1" s="967" t="s">
        <v>7441</v>
      </c>
      <c r="AU1" s="971" t="s">
        <v>7442</v>
      </c>
      <c r="AV1" s="967" t="s">
        <v>3186</v>
      </c>
      <c r="AW1" s="967" t="s">
        <v>3861</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6617</v>
      </c>
      <c r="BJ1" s="971" t="s">
        <v>6578</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2608</v>
      </c>
      <c r="K4" s="990" t="s">
        <v>2063</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3645</v>
      </c>
      <c r="L5" s="993"/>
      <c r="M5" s="993"/>
      <c r="N5" s="993" t="s">
        <v>7454</v>
      </c>
      <c r="O5" s="993" t="str">
        <f>HYPERLINK("https://youtu.be/y9FQ4EcrohI", "1:21.52")</f>
        <v>1:21.52</v>
      </c>
      <c r="P5" s="991" t="s">
        <v>7455</v>
      </c>
      <c r="Q5" s="993"/>
      <c r="R5" s="993" t="s">
        <v>7005</v>
      </c>
      <c r="S5" s="993" t="s">
        <v>2573</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2541</v>
      </c>
      <c r="G6" s="988" t="s">
        <v>1261</v>
      </c>
      <c r="H6" s="989" t="s">
        <v>2687</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2124</v>
      </c>
      <c r="D7" s="1003"/>
      <c r="E7" s="1003"/>
      <c r="F7" s="987"/>
      <c r="G7" s="1004"/>
      <c r="H7" s="1003"/>
      <c r="I7" s="1003"/>
      <c r="J7" s="1003"/>
      <c r="K7" s="1003"/>
      <c r="L7" s="1003"/>
      <c r="M7" s="1003"/>
      <c r="N7" s="1003"/>
      <c r="O7" s="1003"/>
      <c r="P7" s="1003"/>
      <c r="Q7" s="1003"/>
      <c r="R7" s="1003"/>
      <c r="S7" s="1003"/>
      <c r="T7" s="1003"/>
      <c r="U7" s="989" t="s">
        <v>2124</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3845</v>
      </c>
      <c r="S8" s="993" t="s">
        <v>7466</v>
      </c>
      <c r="T8" s="993" t="s">
        <v>7467</v>
      </c>
      <c r="U8" s="993"/>
      <c r="V8" s="993"/>
      <c r="W8" s="993" t="s">
        <v>5775</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2324</v>
      </c>
      <c r="D9" s="1003"/>
      <c r="E9" s="1003"/>
      <c r="F9" s="987"/>
      <c r="G9" s="988" t="s">
        <v>1411</v>
      </c>
      <c r="H9" s="1003"/>
      <c r="I9" s="1003"/>
      <c r="J9" s="1003"/>
      <c r="K9" s="1003"/>
      <c r="L9" s="1003"/>
      <c r="M9" s="1003"/>
      <c r="N9" s="1003"/>
      <c r="O9" s="1003" t="s">
        <v>207</v>
      </c>
      <c r="P9" s="1003"/>
      <c r="Q9" s="1003"/>
      <c r="R9" s="1003" t="s">
        <v>2324</v>
      </c>
      <c r="S9" s="1003"/>
      <c r="T9" s="1003"/>
      <c r="U9" s="1003"/>
      <c r="V9" s="1003"/>
      <c r="W9" s="1003"/>
      <c r="X9" s="1003"/>
      <c r="Y9" s="1003"/>
      <c r="Z9" s="992"/>
      <c r="AA9" s="1003"/>
      <c r="AB9" s="1003"/>
      <c r="AC9" s="1003"/>
      <c r="AD9" s="1003" t="s">
        <v>2617</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2533</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2533</v>
      </c>
      <c r="BL10" s="996"/>
      <c r="BM10" s="996"/>
      <c r="BN10" s="996"/>
      <c r="BO10" s="996"/>
    </row>
    <row r="11" ht="15.75" customHeight="1">
      <c r="A11" s="997"/>
      <c r="B11" s="998" t="s">
        <v>7459</v>
      </c>
      <c r="C11" s="984" t="s">
        <v>7472</v>
      </c>
      <c r="D11" s="990"/>
      <c r="E11" s="989" t="s">
        <v>1242</v>
      </c>
      <c r="F11" s="1010" t="s">
        <v>5041</v>
      </c>
      <c r="G11" s="988" t="s">
        <v>2164</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2345</v>
      </c>
      <c r="D12" s="993" t="s">
        <v>1707</v>
      </c>
      <c r="E12" s="993" t="s">
        <v>2817</v>
      </c>
      <c r="F12" s="1012" t="s">
        <v>2345</v>
      </c>
      <c r="G12" s="988" t="s">
        <v>7476</v>
      </c>
      <c r="H12" s="993"/>
      <c r="I12" s="993" t="s">
        <v>7304</v>
      </c>
      <c r="J12" s="993"/>
      <c r="K12" s="993" t="s">
        <v>6087</v>
      </c>
      <c r="L12" s="993"/>
      <c r="M12" s="993" t="s">
        <v>4488</v>
      </c>
      <c r="N12" s="993" t="s">
        <v>4781</v>
      </c>
      <c r="O12" s="993"/>
      <c r="P12" s="991" t="s">
        <v>3398</v>
      </c>
      <c r="Q12" s="993" t="s">
        <v>4488</v>
      </c>
      <c r="R12" s="993"/>
      <c r="S12" s="993" t="s">
        <v>4366</v>
      </c>
      <c r="T12" s="993"/>
      <c r="U12" s="993" t="s">
        <v>653</v>
      </c>
      <c r="V12" s="993" t="s">
        <v>2886</v>
      </c>
      <c r="W12" s="993"/>
      <c r="X12" s="993"/>
      <c r="Y12" s="993"/>
      <c r="Z12" s="1013" t="s">
        <v>4198</v>
      </c>
      <c r="AA12" s="993"/>
      <c r="AB12" s="993" t="s">
        <v>7477</v>
      </c>
      <c r="AC12" s="993"/>
      <c r="AD12" s="993"/>
      <c r="AE12" s="993"/>
      <c r="AF12" s="993"/>
      <c r="AG12" s="993"/>
      <c r="AH12" s="993"/>
      <c r="AI12" s="993"/>
      <c r="AJ12" s="993"/>
      <c r="AK12" s="990"/>
      <c r="AL12" s="993"/>
      <c r="AM12" s="993"/>
      <c r="AN12" s="993" t="s">
        <v>2034</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4266</v>
      </c>
      <c r="D13" s="948" t="s">
        <v>1561</v>
      </c>
      <c r="E13" s="989" t="s">
        <v>338</v>
      </c>
      <c r="F13" s="999" t="s">
        <v>2542</v>
      </c>
      <c r="G13" s="988" t="s">
        <v>1262</v>
      </c>
      <c r="H13" s="989" t="s">
        <v>4266</v>
      </c>
      <c r="I13" s="990" t="s">
        <v>7479</v>
      </c>
      <c r="J13" s="989" t="s">
        <v>724</v>
      </c>
      <c r="K13" s="990"/>
      <c r="L13" s="990" t="s">
        <v>2345</v>
      </c>
      <c r="M13" s="989" t="s">
        <v>2109</v>
      </c>
      <c r="N13" s="990" t="s">
        <v>7480</v>
      </c>
      <c r="O13" s="989" t="s">
        <v>7481</v>
      </c>
      <c r="P13" s="991" t="s">
        <v>2817</v>
      </c>
      <c r="Q13" s="990" t="s">
        <v>3933</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6281</v>
      </c>
      <c r="D14" s="993" t="s">
        <v>119</v>
      </c>
      <c r="E14" s="993" t="s">
        <v>6281</v>
      </c>
      <c r="F14" s="1012" t="s">
        <v>6104</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4387</v>
      </c>
      <c r="Q14" s="993" t="s">
        <v>2278</v>
      </c>
      <c r="R14" s="993" t="s">
        <v>3864</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2378</v>
      </c>
      <c r="Q15" s="993" t="s">
        <v>1886</v>
      </c>
      <c r="R15" s="993"/>
      <c r="S15" s="989" t="s">
        <v>2575</v>
      </c>
      <c r="T15" s="993"/>
      <c r="U15" s="993"/>
      <c r="V15" s="993" t="s">
        <v>2616</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2147</v>
      </c>
      <c r="G16" s="1004"/>
      <c r="H16" s="993"/>
      <c r="I16" s="993"/>
      <c r="J16" s="993"/>
      <c r="K16" s="993"/>
      <c r="L16" s="993"/>
      <c r="M16" s="993" t="s">
        <v>7112</v>
      </c>
      <c r="N16" s="993"/>
      <c r="O16" s="993"/>
      <c r="P16" s="991"/>
      <c r="Q16" s="993"/>
      <c r="R16" s="993"/>
      <c r="S16" s="993" t="s">
        <v>7484</v>
      </c>
      <c r="T16" s="993"/>
      <c r="U16" s="993"/>
      <c r="V16" s="993"/>
      <c r="W16" s="993"/>
      <c r="X16" s="993"/>
      <c r="Y16" s="993"/>
      <c r="Z16" s="995" t="s">
        <v>2230</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2257</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3606</v>
      </c>
      <c r="E18" s="993" t="s">
        <v>1173</v>
      </c>
      <c r="F18" s="994"/>
      <c r="G18" s="988" t="s">
        <v>4434</v>
      </c>
      <c r="H18" s="993"/>
      <c r="I18" s="993" t="s">
        <v>4202</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2126</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4154</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3946</v>
      </c>
      <c r="F24" s="1010" t="s">
        <v>4247</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2543</v>
      </c>
      <c r="G28" s="988" t="s">
        <v>1266</v>
      </c>
      <c r="H28" s="993"/>
      <c r="I28" s="993"/>
      <c r="J28" s="993" t="s">
        <v>7526</v>
      </c>
      <c r="K28" s="993" t="s">
        <v>7527</v>
      </c>
      <c r="L28" s="993"/>
      <c r="M28" s="993"/>
      <c r="N28" s="993"/>
      <c r="O28" s="993" t="s">
        <v>7528</v>
      </c>
      <c r="P28" s="991" t="s">
        <v>7529</v>
      </c>
      <c r="Q28" s="993" t="s">
        <v>7530</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4257</v>
      </c>
      <c r="D31" s="993"/>
      <c r="E31" s="993" t="s">
        <v>1901</v>
      </c>
      <c r="F31" s="1030" t="s">
        <v>5672</v>
      </c>
      <c r="G31" s="1004"/>
      <c r="H31" s="993"/>
      <c r="I31" s="993" t="s">
        <v>4909</v>
      </c>
      <c r="J31" s="993" t="s">
        <v>771</v>
      </c>
      <c r="K31" s="993" t="s">
        <v>3438</v>
      </c>
      <c r="L31" s="993"/>
      <c r="M31" s="993" t="s">
        <v>1449</v>
      </c>
      <c r="N31" s="993" t="s">
        <v>5672</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2044</v>
      </c>
      <c r="D32" s="993"/>
      <c r="E32" s="993" t="s">
        <v>1427</v>
      </c>
      <c r="F32" s="994"/>
      <c r="G32" s="988" t="s">
        <v>4930</v>
      </c>
      <c r="H32" s="993"/>
      <c r="I32" s="993" t="s">
        <v>1901</v>
      </c>
      <c r="J32" s="993" t="s">
        <v>2044</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2391</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3738</v>
      </c>
      <c r="D35" s="993"/>
      <c r="E35" s="993" t="s">
        <v>3438</v>
      </c>
      <c r="F35" s="987"/>
      <c r="G35" s="1004"/>
      <c r="H35" s="993"/>
      <c r="I35" s="993"/>
      <c r="J35" s="993" t="s">
        <v>3738</v>
      </c>
      <c r="K35" s="993" t="s">
        <v>3936</v>
      </c>
      <c r="L35" s="993"/>
      <c r="M35" s="993" t="s">
        <v>5364</v>
      </c>
      <c r="N35" s="993"/>
      <c r="O35" s="993"/>
      <c r="P35" s="991"/>
      <c r="Q35" s="993" t="s">
        <v>7539</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3839</v>
      </c>
      <c r="F36" s="994"/>
      <c r="G36" s="1004"/>
      <c r="H36" s="993"/>
      <c r="I36" s="993"/>
      <c r="J36" s="993" t="s">
        <v>2795</v>
      </c>
      <c r="K36" s="993" t="s">
        <v>7541</v>
      </c>
      <c r="L36" s="993" t="s">
        <v>2271</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2315</v>
      </c>
      <c r="D37" s="993" t="s">
        <v>1566</v>
      </c>
      <c r="E37" s="993" t="s">
        <v>3738</v>
      </c>
      <c r="F37" s="1012" t="s">
        <v>3149</v>
      </c>
      <c r="G37" s="1004"/>
      <c r="H37" s="993"/>
      <c r="I37" s="993" t="s">
        <v>7543</v>
      </c>
      <c r="J37" s="993" t="s">
        <v>2315</v>
      </c>
      <c r="K37" s="993" t="s">
        <v>2271</v>
      </c>
      <c r="L37" s="993"/>
      <c r="M37" s="993" t="s">
        <v>7541</v>
      </c>
      <c r="N37" s="993"/>
      <c r="O37" s="993"/>
      <c r="P37" s="991"/>
      <c r="Q37" s="993" t="s">
        <v>1748</v>
      </c>
      <c r="R37" s="993"/>
      <c r="S37" s="993"/>
      <c r="T37" s="993"/>
      <c r="U37" s="989" t="s">
        <v>3738</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4000</v>
      </c>
      <c r="F38" s="999" t="s">
        <v>2544</v>
      </c>
      <c r="G38" s="988" t="s">
        <v>3815</v>
      </c>
      <c r="H38" s="993" t="s">
        <v>762</v>
      </c>
      <c r="I38" s="993" t="s">
        <v>2034</v>
      </c>
      <c r="J38" s="993" t="s">
        <v>1137</v>
      </c>
      <c r="K38" s="993" t="s">
        <v>4881</v>
      </c>
      <c r="L38" s="993"/>
      <c r="M38" s="993"/>
      <c r="N38" s="993"/>
      <c r="O38" s="993" t="s">
        <v>2034</v>
      </c>
      <c r="P38" s="991" t="s">
        <v>2486</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4359</v>
      </c>
      <c r="D39" s="993" t="s">
        <v>7546</v>
      </c>
      <c r="E39" s="993" t="s">
        <v>4359</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2534</v>
      </c>
      <c r="D40" s="993" t="s">
        <v>2797</v>
      </c>
      <c r="E40" s="993" t="s">
        <v>3658</v>
      </c>
      <c r="F40" s="1010" t="s">
        <v>5041</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2534</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2680</v>
      </c>
      <c r="I41" s="993" t="str">
        <f>HYPERLINK("https://youtu.be/WdBDZlWcLa8","16.95")</f>
        <v>16.95</v>
      </c>
      <c r="J41" s="993"/>
      <c r="K41" s="993"/>
      <c r="L41" s="993"/>
      <c r="M41" s="993"/>
      <c r="N41" s="993" t="str">
        <f>HYPERLINK("https://youtu.be/FwtG-kRM0SE","17.64")</f>
        <v>17.64</v>
      </c>
      <c r="O41" s="993"/>
      <c r="P41" s="991" t="s">
        <v>4883</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2545</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4955</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2402</v>
      </c>
      <c r="D44" s="945" t="s">
        <v>1357</v>
      </c>
      <c r="E44" s="993" t="s">
        <v>2402</v>
      </c>
      <c r="F44" s="987"/>
      <c r="G44" s="1004"/>
      <c r="H44" s="993"/>
      <c r="I44" s="993" t="str">
        <f>HYPERLINK("https://youtu.be/t-1yqXLdZMA","38.05")</f>
        <v>38.05</v>
      </c>
      <c r="J44" s="993" t="s">
        <v>7559</v>
      </c>
      <c r="K44" s="993" t="s">
        <v>2273</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2173</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2625</v>
      </c>
      <c r="D47" s="991"/>
      <c r="E47" s="991"/>
      <c r="F47" s="994"/>
      <c r="G47" s="1004"/>
      <c r="H47" s="991"/>
      <c r="I47" s="989" t="s">
        <v>2625</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2274</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3418</v>
      </c>
      <c r="Q55" s="993" t="s">
        <v>122</v>
      </c>
      <c r="R55" s="993" t="s">
        <v>7578</v>
      </c>
      <c r="S55" s="993"/>
      <c r="T55" s="993"/>
      <c r="U55" s="993" t="s">
        <v>3540</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3580</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2546</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3827</v>
      </c>
      <c r="D60" s="1031"/>
      <c r="E60" s="1031" t="s">
        <v>5139</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2148</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5032</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2684</v>
      </c>
      <c r="F63" s="1065" t="s">
        <v>194</v>
      </c>
      <c r="G63" s="988" t="s">
        <v>7586</v>
      </c>
      <c r="H63" s="988" t="s">
        <v>623</v>
      </c>
      <c r="I63" s="1031"/>
      <c r="J63" s="1031"/>
      <c r="K63" s="1031"/>
      <c r="L63" s="1031"/>
      <c r="M63" s="1031"/>
      <c r="N63" s="1031"/>
      <c r="O63" s="988" t="s">
        <v>3974</v>
      </c>
      <c r="P63" s="991" t="s">
        <v>7587</v>
      </c>
      <c r="Q63" s="1031" t="s">
        <v>7498</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4131</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5021</v>
      </c>
      <c r="D65" s="1031"/>
      <c r="E65" s="1031"/>
      <c r="F65" s="1065" t="s">
        <v>5021</v>
      </c>
      <c r="G65" s="1004"/>
      <c r="H65" s="995" t="s">
        <v>5021</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2547</v>
      </c>
      <c r="D66" s="1035" t="s">
        <v>7591</v>
      </c>
      <c r="E66" s="1035"/>
      <c r="F66" s="1065" t="s">
        <v>2547</v>
      </c>
      <c r="G66" s="1004"/>
      <c r="H66" s="1035" t="s">
        <v>2260</v>
      </c>
      <c r="I66" s="1035"/>
      <c r="J66" s="1035"/>
      <c r="K66" s="1035"/>
      <c r="L66" s="1035"/>
      <c r="M66" s="1035"/>
      <c r="N66" s="1035"/>
      <c r="O66" s="1035"/>
      <c r="P66" s="1036"/>
      <c r="Q66" s="1035"/>
      <c r="R66" s="1035"/>
      <c r="S66" s="1035"/>
      <c r="T66" s="1035"/>
      <c r="U66" s="1035"/>
      <c r="V66" s="1035"/>
      <c r="W66" s="1035"/>
      <c r="X66" s="1035"/>
      <c r="Y66" s="1035" t="s">
        <v>2093</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3735</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4211</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2352</v>
      </c>
      <c r="E71" s="993" t="s">
        <v>3472</v>
      </c>
      <c r="F71" s="1065" t="s">
        <v>7599</v>
      </c>
      <c r="G71" s="1004"/>
      <c r="H71" s="993" t="s">
        <v>575</v>
      </c>
      <c r="I71" s="993"/>
      <c r="J71" s="993" t="s">
        <v>7599</v>
      </c>
      <c r="K71" s="993"/>
      <c r="L71" s="993"/>
      <c r="M71" s="993" t="s">
        <v>3472</v>
      </c>
      <c r="N71" s="993"/>
      <c r="O71" s="993"/>
      <c r="P71" s="991"/>
      <c r="Q71" s="993"/>
      <c r="R71" s="993"/>
      <c r="S71" s="993"/>
      <c r="T71" s="993" t="s">
        <v>2829</v>
      </c>
      <c r="U71" s="1031" t="s">
        <v>5568</v>
      </c>
      <c r="V71" s="993"/>
      <c r="W71" s="993" t="s">
        <v>3367</v>
      </c>
      <c r="X71" s="993" t="s">
        <v>5075</v>
      </c>
      <c r="Y71" s="993"/>
      <c r="Z71" s="1052"/>
      <c r="AA71" s="993" t="s">
        <v>4824</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7602</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3573</v>
      </c>
      <c r="D73" s="993" t="s">
        <v>531</v>
      </c>
      <c r="E73" s="993"/>
      <c r="F73" s="1012" t="s">
        <v>344</v>
      </c>
      <c r="G73" s="988" t="s">
        <v>2215</v>
      </c>
      <c r="H73" s="993" t="s">
        <v>3904</v>
      </c>
      <c r="I73" s="993" t="s">
        <v>406</v>
      </c>
      <c r="J73" s="993" t="s">
        <v>3257</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1971</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2200</v>
      </c>
      <c r="D75" s="993"/>
      <c r="E75" s="993" t="s">
        <v>2200</v>
      </c>
      <c r="F75" s="1056"/>
      <c r="G75" s="988" t="s">
        <v>6584</v>
      </c>
      <c r="H75" s="993"/>
      <c r="I75" s="993" t="s">
        <v>7609</v>
      </c>
      <c r="J75" s="993"/>
      <c r="K75" s="993" t="s">
        <v>4223</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4991</v>
      </c>
      <c r="K76" s="993" t="s">
        <v>7612</v>
      </c>
      <c r="L76" s="993" t="s">
        <v>913</v>
      </c>
      <c r="M76" s="993" t="s">
        <v>755</v>
      </c>
      <c r="N76" s="993" t="s">
        <v>1361</v>
      </c>
      <c r="O76" s="993" t="s">
        <v>2323</v>
      </c>
      <c r="P76" s="991" t="s">
        <v>3940</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5008</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4047</v>
      </c>
      <c r="D80" s="993"/>
      <c r="E80" s="993" t="s">
        <v>4047</v>
      </c>
      <c r="F80" s="1056"/>
      <c r="G80" s="988" t="s">
        <v>2472</v>
      </c>
      <c r="H80" s="993"/>
      <c r="I80" s="993"/>
      <c r="J80" s="993"/>
      <c r="K80" s="993"/>
      <c r="L80" s="993"/>
      <c r="M80" s="993"/>
      <c r="N80" s="993"/>
      <c r="O80" s="993"/>
      <c r="P80" s="991"/>
      <c r="Q80" s="993"/>
      <c r="R80" s="993"/>
      <c r="S80" s="993"/>
      <c r="T80" s="993"/>
      <c r="U80" s="993"/>
      <c r="V80" s="993"/>
      <c r="W80" s="993"/>
      <c r="X80" s="993" t="s">
        <v>3736</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2530</v>
      </c>
      <c r="E81" s="993" t="s">
        <v>2400</v>
      </c>
      <c r="F81" s="1012" t="s">
        <v>7620</v>
      </c>
      <c r="G81" s="988" t="s">
        <v>7621</v>
      </c>
      <c r="H81" s="993"/>
      <c r="I81" s="993"/>
      <c r="J81" s="993"/>
      <c r="K81" s="993"/>
      <c r="L81" s="993"/>
      <c r="M81" s="993" t="s">
        <v>7622</v>
      </c>
      <c r="N81" s="993"/>
      <c r="O81" s="993"/>
      <c r="P81" s="991" t="s">
        <v>7623</v>
      </c>
      <c r="Q81" s="993"/>
      <c r="R81" s="993"/>
      <c r="S81" s="993" t="s">
        <v>4037</v>
      </c>
      <c r="T81" s="993"/>
      <c r="U81" s="993"/>
      <c r="V81" s="993"/>
      <c r="W81" s="993" t="s">
        <v>7623</v>
      </c>
      <c r="X81" s="993" t="s">
        <v>2019</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4968</v>
      </c>
      <c r="Q82" s="1031"/>
      <c r="R82" s="1031"/>
      <c r="S82" s="1031"/>
      <c r="T82" s="1031"/>
      <c r="U82" s="1031"/>
      <c r="V82" s="1031"/>
      <c r="W82" s="1031"/>
      <c r="X82" s="1031"/>
      <c r="Y82" s="1031"/>
      <c r="Z82" s="996"/>
      <c r="AA82" s="1031" t="s">
        <v>2054</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2256</v>
      </c>
      <c r="D83" s="993"/>
      <c r="E83" s="993" t="s">
        <v>2256</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2648</v>
      </c>
      <c r="D84" s="993" t="s">
        <v>3643</v>
      </c>
      <c r="E84" s="993" t="s">
        <v>2648</v>
      </c>
      <c r="F84" s="987"/>
      <c r="G84" s="1004"/>
      <c r="H84" s="993"/>
      <c r="I84" s="993"/>
      <c r="J84" s="993"/>
      <c r="K84" s="993" t="s">
        <v>7628</v>
      </c>
      <c r="L84" s="993" t="s">
        <v>5183</v>
      </c>
      <c r="M84" s="993"/>
      <c r="N84" s="993" t="str">
        <f>HYPERLINK("https://youtu.be/HUwmtKe7cOY","56.54")</f>
        <v>56.54</v>
      </c>
      <c r="O84" s="993"/>
      <c r="P84" s="991" t="s">
        <v>3814</v>
      </c>
      <c r="Q84" s="993"/>
      <c r="R84" s="993"/>
      <c r="S84" s="993"/>
      <c r="T84" s="993"/>
      <c r="U84" s="993" t="s">
        <v>7629</v>
      </c>
      <c r="V84" s="993" t="s">
        <v>2279</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3536</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2548</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6561</v>
      </c>
      <c r="D88" s="1082" t="s">
        <v>7637</v>
      </c>
      <c r="E88" s="1083" t="s">
        <v>2388</v>
      </c>
      <c r="F88" s="1083" t="s">
        <v>759</v>
      </c>
      <c r="G88" s="1083" t="s">
        <v>666</v>
      </c>
      <c r="H88" s="1082" t="s">
        <v>759</v>
      </c>
      <c r="I88" s="1083" t="s">
        <v>2437</v>
      </c>
      <c r="J88" s="1083" t="s">
        <v>1279</v>
      </c>
      <c r="K88" s="1082" t="s">
        <v>3102</v>
      </c>
      <c r="L88" s="1082" t="s">
        <v>7638</v>
      </c>
      <c r="M88" s="959"/>
      <c r="N88" s="959"/>
      <c r="O88" s="1083" t="s">
        <v>6561</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4708</v>
      </c>
      <c r="L91" s="993"/>
      <c r="M91" s="993" t="s">
        <v>3243</v>
      </c>
      <c r="N91" s="993" t="str">
        <f>HYPERLINK("https://youtu.be/HjDDp_Mj_yI","16.74")</f>
        <v>16.74</v>
      </c>
      <c r="O91" s="993"/>
      <c r="P91" s="991" t="s">
        <v>6423</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2472</v>
      </c>
      <c r="D95" s="993" t="s">
        <v>2472</v>
      </c>
      <c r="E95" s="993"/>
      <c r="F95" s="1072" t="s">
        <v>2472</v>
      </c>
      <c r="G95" s="1004"/>
      <c r="H95" s="990" t="s">
        <v>4999</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5022</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4198</v>
      </c>
      <c r="D101" s="948" t="s">
        <v>1579</v>
      </c>
      <c r="E101" s="1094" t="s">
        <v>2438</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3334</v>
      </c>
      <c r="J102" s="1094" t="s">
        <v>4148</v>
      </c>
      <c r="K102" s="1100" t="s">
        <v>1235</v>
      </c>
      <c r="L102" s="1100" t="s">
        <v>920</v>
      </c>
      <c r="M102" s="1094" t="s">
        <v>763</v>
      </c>
      <c r="N102" s="1100" t="s">
        <v>3717</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3392</v>
      </c>
      <c r="D103" s="1104" t="s">
        <v>4512</v>
      </c>
      <c r="E103" s="1100"/>
      <c r="F103" s="987"/>
      <c r="G103" s="988" t="s">
        <v>6078</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3714</v>
      </c>
      <c r="E107" s="1100"/>
      <c r="F107" s="1101"/>
      <c r="G107" s="988" t="s">
        <v>134</v>
      </c>
      <c r="H107" s="1100"/>
      <c r="I107" s="1100" t="s">
        <v>7672</v>
      </c>
      <c r="J107" s="1094" t="s">
        <v>7673</v>
      </c>
      <c r="K107" s="1100" t="s">
        <v>3636</v>
      </c>
      <c r="L107" s="1100" t="s">
        <v>922</v>
      </c>
      <c r="M107" s="1100"/>
      <c r="N107" s="1100" t="s">
        <v>2505</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2567</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2591</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3816</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2215</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2244</v>
      </c>
      <c r="D116" s="1100"/>
      <c r="E116" s="1100"/>
      <c r="F116" s="1101"/>
      <c r="G116" s="988" t="s">
        <v>4250</v>
      </c>
      <c r="H116" s="1100"/>
      <c r="I116" s="1100"/>
      <c r="J116" s="1100"/>
      <c r="K116" s="1094" t="s">
        <v>4008</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7682</v>
      </c>
      <c r="C117" s="1093" t="s">
        <v>877</v>
      </c>
      <c r="D117" s="1100" t="s">
        <v>3983</v>
      </c>
      <c r="E117" s="1100"/>
      <c r="F117" s="987"/>
      <c r="G117" s="988" t="s">
        <v>823</v>
      </c>
      <c r="H117" s="1100"/>
      <c r="I117" s="1100"/>
      <c r="J117" s="1094" t="s">
        <v>182</v>
      </c>
      <c r="K117" s="1100" t="s">
        <v>121</v>
      </c>
      <c r="L117" s="1100" t="s">
        <v>298</v>
      </c>
      <c r="M117" s="1100"/>
      <c r="N117" s="1100"/>
      <c r="O117" s="1100"/>
      <c r="P117" s="1102" t="s">
        <v>2521</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2053</v>
      </c>
      <c r="G118" s="1004"/>
      <c r="H118" s="1094"/>
      <c r="I118" s="1094" t="s">
        <v>261</v>
      </c>
      <c r="J118" s="1094" t="s">
        <v>4791</v>
      </c>
      <c r="K118" s="1094" t="s">
        <v>847</v>
      </c>
      <c r="L118" s="1094"/>
      <c r="M118" s="1094" t="s">
        <v>769</v>
      </c>
      <c r="N118" s="1094"/>
      <c r="O118" s="1094" t="s">
        <v>4229</v>
      </c>
      <c r="P118" s="1095" t="s">
        <v>6170</v>
      </c>
      <c r="Q118" s="1094" t="s">
        <v>2560</v>
      </c>
      <c r="R118" s="1094" t="s">
        <v>3363</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2549</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2533</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4103</v>
      </c>
      <c r="D125" s="1094" t="s">
        <v>7694</v>
      </c>
      <c r="E125" s="1094" t="s">
        <v>7695</v>
      </c>
      <c r="F125" s="1012" t="s">
        <v>7696</v>
      </c>
      <c r="G125" s="1004"/>
      <c r="H125" s="1094" t="s">
        <v>4103</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2550</v>
      </c>
      <c r="G129" s="988" t="s">
        <v>1293</v>
      </c>
      <c r="H129" s="1027" t="s">
        <v>1085</v>
      </c>
      <c r="I129" s="1100"/>
      <c r="J129" s="1100"/>
      <c r="K129" s="1100"/>
      <c r="L129" s="1100"/>
      <c r="M129" s="1100"/>
      <c r="N129" s="1100"/>
      <c r="O129" s="1027" t="s">
        <v>1016</v>
      </c>
      <c r="P129" s="1102"/>
      <c r="Q129" s="1100"/>
      <c r="R129" s="1100"/>
      <c r="S129" s="1100" t="s">
        <v>2594</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3404</v>
      </c>
      <c r="D130" s="1097"/>
      <c r="E130" s="1097"/>
      <c r="F130" s="1132" t="s">
        <v>2776</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2024</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2144</v>
      </c>
      <c r="L132" s="1027" t="s">
        <v>929</v>
      </c>
      <c r="M132" s="1027" t="s">
        <v>774</v>
      </c>
      <c r="N132" s="1100" t="s">
        <v>4679</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2126</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2325</v>
      </c>
      <c r="G133" s="988" t="s">
        <v>377</v>
      </c>
      <c r="H133" s="1027" t="s">
        <v>1113</v>
      </c>
      <c r="I133" s="1100" t="s">
        <v>1452</v>
      </c>
      <c r="J133" s="1100" t="s">
        <v>2325</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2593</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3970</v>
      </c>
      <c r="G138" s="988" t="s">
        <v>1295</v>
      </c>
      <c r="H138" s="1136" t="s">
        <v>5702</v>
      </c>
      <c r="I138" s="988" t="s">
        <v>5437</v>
      </c>
      <c r="J138" s="1004"/>
      <c r="K138" s="1004"/>
      <c r="L138" s="988" t="s">
        <v>930</v>
      </c>
      <c r="M138" s="988" t="s">
        <v>6446</v>
      </c>
      <c r="N138" s="1004"/>
      <c r="O138" s="988" t="s">
        <v>7716</v>
      </c>
      <c r="P138" s="1095" t="s">
        <v>5103</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4287</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3582</v>
      </c>
      <c r="D148" s="1094" t="s">
        <v>5386</v>
      </c>
      <c r="E148" s="1094" t="s">
        <v>3582</v>
      </c>
      <c r="F148" s="1125"/>
      <c r="G148" s="988" t="s">
        <v>2938</v>
      </c>
      <c r="H148" s="1094"/>
      <c r="I148" s="1094"/>
      <c r="J148" s="1094"/>
      <c r="K148" s="1094" t="s">
        <v>477</v>
      </c>
      <c r="L148" s="1094"/>
      <c r="M148" s="1094" t="s">
        <v>2317</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3363</v>
      </c>
      <c r="H149" s="1104" t="s">
        <v>1372</v>
      </c>
      <c r="I149" s="1094" t="str">
        <f>HYPERLINK("https://youtu.be/NPrbRwZDn1I","27.54")</f>
        <v>27.54</v>
      </c>
      <c r="J149" s="1094" t="s">
        <v>507</v>
      </c>
      <c r="K149" s="1094" t="s">
        <v>2560</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2366</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5114</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2552</v>
      </c>
      <c r="D153" s="1031" t="s">
        <v>1593</v>
      </c>
      <c r="E153" s="988" t="s">
        <v>383</v>
      </c>
      <c r="F153" s="1018" t="s">
        <v>2552</v>
      </c>
      <c r="G153" s="1004"/>
      <c r="H153" s="988" t="s">
        <v>7749</v>
      </c>
      <c r="I153" s="988" t="s">
        <v>589</v>
      </c>
      <c r="J153" s="988" t="s">
        <v>3250</v>
      </c>
      <c r="K153" s="1004" t="s">
        <v>3646</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3486</v>
      </c>
      <c r="D154" s="948" t="s">
        <v>1592</v>
      </c>
      <c r="E154" s="1100"/>
      <c r="F154" s="1125"/>
      <c r="G154" s="988" t="s">
        <v>1299</v>
      </c>
      <c r="H154" s="1100"/>
      <c r="I154" s="1100"/>
      <c r="J154" s="1100"/>
      <c r="K154" s="1104" t="s">
        <v>3645</v>
      </c>
      <c r="L154" s="1100"/>
      <c r="M154" s="1100" t="s">
        <v>7752</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5111</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2621</v>
      </c>
      <c r="D157" s="1141" t="s">
        <v>7756</v>
      </c>
      <c r="E157" s="1141"/>
      <c r="F157" s="1030" t="s">
        <v>3845</v>
      </c>
      <c r="G157" s="1004"/>
      <c r="H157" s="988" t="s">
        <v>2621</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5136</v>
      </c>
      <c r="D158" s="1141"/>
      <c r="E158" s="1141"/>
      <c r="F158" s="1012" t="s">
        <v>5136</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2289</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2350</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2600</v>
      </c>
      <c r="D167" s="1100" t="s">
        <v>2600</v>
      </c>
      <c r="E167" s="1100"/>
      <c r="F167" s="1132" t="s">
        <v>2968</v>
      </c>
      <c r="G167" s="988" t="s">
        <v>2847</v>
      </c>
      <c r="H167" s="1094" t="s">
        <v>2600</v>
      </c>
      <c r="I167" s="1100"/>
      <c r="J167" s="1100"/>
      <c r="K167" s="1100" t="s">
        <v>3771</v>
      </c>
      <c r="L167" s="1100"/>
      <c r="M167" s="1100"/>
      <c r="N167" s="1100"/>
      <c r="O167" s="1100" t="s">
        <v>2600</v>
      </c>
      <c r="P167" s="1102" t="s">
        <v>2968</v>
      </c>
      <c r="Q167" s="1100"/>
      <c r="R167" s="1100" t="s">
        <v>2600</v>
      </c>
      <c r="S167" s="1100" t="s">
        <v>2600</v>
      </c>
      <c r="T167" s="1100"/>
      <c r="U167" s="1100"/>
      <c r="V167" s="1100"/>
      <c r="W167" s="1100"/>
      <c r="X167" s="1100"/>
      <c r="Y167" s="1100"/>
      <c r="Z167" s="996"/>
      <c r="AA167" s="1100"/>
      <c r="AB167" s="988" t="s">
        <v>3584</v>
      </c>
      <c r="AC167" s="1100"/>
      <c r="AD167" s="1100"/>
      <c r="AE167" s="1100"/>
      <c r="AF167" s="1100" t="s">
        <v>2600</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2441</v>
      </c>
      <c r="D168" s="993" t="s">
        <v>1594</v>
      </c>
      <c r="E168" s="1094" t="s">
        <v>7784</v>
      </c>
      <c r="F168" s="1012" t="s">
        <v>7785</v>
      </c>
      <c r="G168" s="1004"/>
      <c r="H168" s="1094" t="s">
        <v>7786</v>
      </c>
      <c r="I168" s="1094"/>
      <c r="J168" s="1094" t="s">
        <v>519</v>
      </c>
      <c r="K168" s="1094" t="s">
        <v>3647</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2169</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5070</v>
      </c>
      <c r="D183" s="1163"/>
      <c r="E183" s="1163"/>
      <c r="F183" s="987"/>
      <c r="G183" s="1004"/>
      <c r="H183" s="1163"/>
      <c r="I183" s="1163"/>
      <c r="J183" s="1163" t="s">
        <v>5070</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2499</v>
      </c>
      <c r="O184" s="993" t="s">
        <v>7819</v>
      </c>
      <c r="P184" s="991"/>
      <c r="Q184" s="993"/>
      <c r="R184" s="993"/>
      <c r="S184" s="993" t="s">
        <v>2605</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2481</v>
      </c>
      <c r="G186" s="988" t="s">
        <v>1306</v>
      </c>
      <c r="H186" s="993" t="s">
        <v>3076</v>
      </c>
      <c r="I186" s="993" t="s">
        <v>1463</v>
      </c>
      <c r="J186" s="993" t="s">
        <v>3992</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3424</v>
      </c>
      <c r="D187" s="993"/>
      <c r="E187" s="993" t="s">
        <v>3424</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3290</v>
      </c>
      <c r="L189" s="993"/>
      <c r="M189" s="993"/>
      <c r="N189" s="993"/>
      <c r="O189" s="993"/>
      <c r="P189" s="991"/>
      <c r="Q189" s="993"/>
      <c r="R189" s="993"/>
      <c r="S189" s="993" t="s">
        <v>2067</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2607</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3460</v>
      </c>
      <c r="E193" s="1163"/>
      <c r="F193" s="1012" t="s">
        <v>2230</v>
      </c>
      <c r="G193" s="1004"/>
      <c r="H193" s="1163"/>
      <c r="I193" s="1163" t="s">
        <v>3590</v>
      </c>
      <c r="J193" s="1163"/>
      <c r="K193" s="1163" t="s">
        <v>3356</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2554</v>
      </c>
      <c r="G194" s="988" t="s">
        <v>632</v>
      </c>
      <c r="H194" s="1163" t="s">
        <v>784</v>
      </c>
      <c r="I194" s="1163"/>
      <c r="J194" s="1163" t="s">
        <v>5561</v>
      </c>
      <c r="K194" s="1163"/>
      <c r="L194" s="1163" t="s">
        <v>942</v>
      </c>
      <c r="M194" s="1163"/>
      <c r="N194" s="1163"/>
      <c r="O194" s="1163" t="s">
        <v>1028</v>
      </c>
      <c r="P194" s="1017"/>
      <c r="Q194" s="1163" t="s">
        <v>6422</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2054</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2169</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2169</v>
      </c>
      <c r="U198" s="1163"/>
      <c r="V198" s="1163"/>
      <c r="W198" s="1163"/>
      <c r="X198" s="1163"/>
      <c r="Y198" s="1163"/>
      <c r="Z198" s="1155"/>
      <c r="AA198" s="1163" t="s">
        <v>687</v>
      </c>
      <c r="AB198" s="1163"/>
      <c r="AC198" s="1094" t="s">
        <v>2169</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3426</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3531</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3822</v>
      </c>
      <c r="F205" s="1161" t="s">
        <v>4975</v>
      </c>
      <c r="G205" s="988" t="s">
        <v>6518</v>
      </c>
      <c r="H205" s="1035"/>
      <c r="I205" s="1035" t="s">
        <v>7859</v>
      </c>
      <c r="J205" s="1035"/>
      <c r="K205" s="1035"/>
      <c r="L205" s="1035" t="s">
        <v>3822</v>
      </c>
      <c r="M205" s="1035"/>
      <c r="N205" s="1035" t="s">
        <v>7860</v>
      </c>
      <c r="O205" s="1035"/>
      <c r="P205" s="1036" t="s">
        <v>3849</v>
      </c>
      <c r="Q205" s="1035"/>
      <c r="R205" s="1031" t="s">
        <v>7861</v>
      </c>
      <c r="S205" s="1035"/>
      <c r="T205" s="1035"/>
      <c r="U205" s="1035"/>
      <c r="V205" s="1035" t="s">
        <v>3159</v>
      </c>
      <c r="W205" s="1035"/>
      <c r="X205" s="1035" t="s">
        <v>3895</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4910</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4246</v>
      </c>
      <c r="L207" s="993"/>
      <c r="M207" s="993" t="s">
        <v>7865</v>
      </c>
      <c r="N207" s="993" t="s">
        <v>4490</v>
      </c>
      <c r="O207" s="993" t="s">
        <v>4831</v>
      </c>
      <c r="P207" s="989" t="s">
        <v>7866</v>
      </c>
      <c r="Q207" s="993"/>
      <c r="R207" s="989" t="s">
        <v>5871</v>
      </c>
      <c r="S207" s="993"/>
      <c r="T207" s="993"/>
      <c r="U207" s="993"/>
      <c r="V207" s="993"/>
      <c r="W207" s="993" t="s">
        <v>2527</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2137</v>
      </c>
      <c r="D208" s="993" t="s">
        <v>1598</v>
      </c>
      <c r="E208" s="990"/>
      <c r="F208" s="1018" t="s">
        <v>2555</v>
      </c>
      <c r="G208" s="1004"/>
      <c r="H208" s="989" t="s">
        <v>2137</v>
      </c>
      <c r="I208" s="990"/>
      <c r="J208" s="990"/>
      <c r="K208" s="990"/>
      <c r="L208" s="990"/>
      <c r="M208" s="990"/>
      <c r="N208" s="990"/>
      <c r="O208" s="990"/>
      <c r="P208" s="991"/>
      <c r="Q208" s="990"/>
      <c r="R208" s="990"/>
      <c r="S208" s="990"/>
      <c r="T208" s="989" t="s">
        <v>499</v>
      </c>
      <c r="U208" s="990"/>
      <c r="V208" s="990"/>
      <c r="W208" s="990"/>
      <c r="X208" s="990"/>
      <c r="Y208" s="990"/>
      <c r="Z208" s="1155"/>
      <c r="AA208" s="989" t="s">
        <v>2137</v>
      </c>
      <c r="AB208" s="990"/>
      <c r="AC208" s="990" t="s">
        <v>2137</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2167</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2556</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3388</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6453</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4154</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2558</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2422</v>
      </c>
      <c r="D221" s="1163"/>
      <c r="E221" s="1163"/>
      <c r="F221" s="987"/>
      <c r="G221" s="1004"/>
      <c r="H221" s="1163"/>
      <c r="I221" s="1163"/>
      <c r="J221" s="1163" t="s">
        <v>2422</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2559</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2560</v>
      </c>
      <c r="G227" s="988" t="s">
        <v>2813</v>
      </c>
      <c r="H227" s="1094" t="s">
        <v>2216</v>
      </c>
      <c r="I227" s="1094" t="s">
        <v>1606</v>
      </c>
      <c r="J227" s="1094" t="s">
        <v>7735</v>
      </c>
      <c r="K227" s="1094" t="s">
        <v>2216</v>
      </c>
      <c r="L227" s="1094" t="s">
        <v>953</v>
      </c>
      <c r="M227" s="1094" t="s">
        <v>1242</v>
      </c>
      <c r="N227" s="1094" t="s">
        <v>377</v>
      </c>
      <c r="O227" s="1094" t="s">
        <v>2922</v>
      </c>
      <c r="P227" s="1095" t="s">
        <v>2354</v>
      </c>
      <c r="Q227" s="1094" t="s">
        <v>847</v>
      </c>
      <c r="R227" s="1094"/>
      <c r="S227" s="1094"/>
      <c r="T227" s="1094"/>
      <c r="U227" s="1094"/>
      <c r="V227" s="1094" t="s">
        <v>2317</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6572</v>
      </c>
      <c r="L228" s="1094" t="s">
        <v>4495</v>
      </c>
      <c r="M228" s="1094" t="str">
        <f>HYPERLINK("https://www.youtube.com/watch?v=aWzlUqH0LaM","41.87")</f>
        <v>41.87</v>
      </c>
      <c r="N228" s="1100" t="s">
        <v>2197</v>
      </c>
      <c r="O228" s="1094" t="s">
        <v>1539</v>
      </c>
      <c r="P228" s="1102" t="s">
        <v>3287</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4188</v>
      </c>
      <c r="Q230" s="1100"/>
      <c r="R230" s="1100"/>
      <c r="S230" s="1100"/>
      <c r="T230" s="1094" t="s">
        <v>509</v>
      </c>
      <c r="U230" s="1100"/>
      <c r="V230" s="1100" t="s">
        <v>6316</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2562</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2563</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3584</v>
      </c>
      <c r="K237" s="1201"/>
      <c r="L237" s="1201"/>
      <c r="M237" s="1201"/>
      <c r="N237" s="1201"/>
      <c r="O237" s="1201"/>
      <c r="P237" s="1202"/>
      <c r="Q237" s="1201"/>
      <c r="R237" s="1207" t="s">
        <v>7768</v>
      </c>
      <c r="S237" s="1201"/>
      <c r="T237" s="1201"/>
      <c r="U237" s="1201"/>
      <c r="V237" s="1201"/>
      <c r="W237" s="1207" t="s">
        <v>2600</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4183</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2213</v>
      </c>
      <c r="D242" s="993" t="s">
        <v>1935</v>
      </c>
      <c r="E242" s="1100"/>
      <c r="F242" s="1018" t="s">
        <v>2213</v>
      </c>
      <c r="G242" s="988" t="s">
        <v>1317</v>
      </c>
      <c r="H242" s="1100"/>
      <c r="I242" s="1100" t="s">
        <v>4375</v>
      </c>
      <c r="J242" s="1094" t="s">
        <v>6157</v>
      </c>
      <c r="K242" s="1094" t="s">
        <v>3540</v>
      </c>
      <c r="L242" s="1100"/>
      <c r="M242" s="1100"/>
      <c r="N242" s="1100" t="s">
        <v>4358</v>
      </c>
      <c r="O242" s="1094" t="s">
        <v>1317</v>
      </c>
      <c r="P242" s="1102" t="s">
        <v>2145</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2564</v>
      </c>
      <c r="D243" s="1094"/>
      <c r="E243" s="1094" t="s">
        <v>404</v>
      </c>
      <c r="F243" s="999" t="s">
        <v>2564</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4242</v>
      </c>
      <c r="F245" s="1206" t="s">
        <v>2355</v>
      </c>
      <c r="G245" s="1004"/>
      <c r="H245" s="1094"/>
      <c r="I245" s="1094"/>
      <c r="J245" s="1094"/>
      <c r="K245" s="1094"/>
      <c r="L245" s="1094"/>
      <c r="M245" s="1094"/>
      <c r="N245" s="1094"/>
      <c r="O245" s="1094"/>
      <c r="P245" s="1095"/>
      <c r="Q245" s="1094"/>
      <c r="R245" s="1094" t="s">
        <v>2172</v>
      </c>
      <c r="S245" s="1094"/>
      <c r="T245" s="1094"/>
      <c r="U245" s="1094"/>
      <c r="V245" s="1094"/>
      <c r="W245" s="1094"/>
      <c r="X245" s="1094" t="s">
        <v>3261</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2413</v>
      </c>
      <c r="J246" s="1100"/>
      <c r="L246" s="1100"/>
      <c r="M246" s="1100"/>
      <c r="N246" s="1100" t="s">
        <v>3223</v>
      </c>
      <c r="O246" s="1100"/>
      <c r="P246" s="1102" t="s">
        <v>7943</v>
      </c>
      <c r="Q246" s="1100"/>
      <c r="R246" s="1100" t="s">
        <v>5357</v>
      </c>
      <c r="S246" s="1100"/>
      <c r="T246" s="1100"/>
      <c r="U246" s="988" t="s">
        <v>3029</v>
      </c>
      <c r="V246" s="1100" t="s">
        <v>3760</v>
      </c>
      <c r="W246" s="1100"/>
      <c r="X246" s="1100"/>
      <c r="Y246" s="1100"/>
      <c r="Z246" s="1191"/>
      <c r="AA246" s="1100"/>
      <c r="AB246" s="1100"/>
      <c r="AC246" s="1100"/>
      <c r="AD246" s="1100"/>
      <c r="AE246" s="1100"/>
      <c r="AH246" s="1100" t="s">
        <v>2469</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2324</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2518</v>
      </c>
      <c r="I248" s="1100"/>
      <c r="J248" s="1094" t="s">
        <v>1078</v>
      </c>
      <c r="K248" s="1100"/>
      <c r="L248" s="1094" t="s">
        <v>955</v>
      </c>
      <c r="M248" s="1094" t="s">
        <v>245</v>
      </c>
      <c r="N248" s="1100"/>
      <c r="O248" s="1094" t="s">
        <v>3118</v>
      </c>
      <c r="P248" s="1102"/>
      <c r="Q248" s="1100" t="s">
        <v>7947</v>
      </c>
      <c r="R248" s="988" t="s">
        <v>2146</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5004</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3239</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2591</v>
      </c>
      <c r="F252" s="1030" t="s">
        <v>3603</v>
      </c>
      <c r="G252" s="1004"/>
      <c r="H252" s="1094" t="s">
        <v>5457</v>
      </c>
      <c r="I252" s="1094"/>
      <c r="J252" s="1094"/>
      <c r="K252" s="1094" t="s">
        <v>5568</v>
      </c>
      <c r="L252" s="1094"/>
      <c r="M252" s="1094"/>
      <c r="N252" s="1094" t="s">
        <v>5234</v>
      </c>
      <c r="O252" s="1094" t="s">
        <v>3603</v>
      </c>
      <c r="P252" s="1095" t="s">
        <v>5496</v>
      </c>
      <c r="Q252" s="1094"/>
      <c r="R252" s="1094" t="s">
        <v>5457</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4263</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2417</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2242</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5033</v>
      </c>
      <c r="D256" s="1100"/>
      <c r="E256" s="1100"/>
      <c r="F256" s="1012" t="s">
        <v>2067</v>
      </c>
      <c r="G256" s="1004"/>
      <c r="H256" s="988" t="s">
        <v>5033</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3940</v>
      </c>
      <c r="D267" s="1100"/>
      <c r="E267" s="1100"/>
      <c r="F267" s="1232"/>
      <c r="G267" s="988" t="s">
        <v>6448</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2069</v>
      </c>
      <c r="I268" s="1094"/>
      <c r="J268" s="1094" t="s">
        <v>2204</v>
      </c>
      <c r="K268" s="1094"/>
      <c r="L268" s="1095" t="s">
        <v>7973</v>
      </c>
      <c r="M268" s="1094"/>
      <c r="N268" s="1094"/>
      <c r="O268" s="1094" t="s">
        <v>1399</v>
      </c>
      <c r="P268" s="1095" t="s">
        <v>7974</v>
      </c>
      <c r="Q268" s="1094"/>
      <c r="R268" s="1094"/>
      <c r="S268" s="1094"/>
      <c r="T268" s="1094" t="s">
        <v>2194</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2204</v>
      </c>
      <c r="D269" s="1094"/>
      <c r="E269" s="1094" t="s">
        <v>2204</v>
      </c>
      <c r="F269" s="1229" t="s">
        <v>7976</v>
      </c>
      <c r="G269" s="1004"/>
      <c r="H269" s="1095" t="s">
        <v>3120</v>
      </c>
      <c r="I269" s="1094"/>
      <c r="J269" s="1094"/>
      <c r="K269" s="1094"/>
      <c r="L269" s="1094"/>
      <c r="M269" s="1094"/>
      <c r="N269" s="1094"/>
      <c r="O269" s="1094"/>
      <c r="P269" s="1095"/>
      <c r="Q269" s="988" t="s">
        <v>3287</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2565</v>
      </c>
      <c r="D271" s="1094" t="s">
        <v>848</v>
      </c>
      <c r="E271" s="1094" t="s">
        <v>7980</v>
      </c>
      <c r="F271" s="1012" t="s">
        <v>2565</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4228</v>
      </c>
      <c r="H273" s="1100"/>
      <c r="I273" s="1094" t="str">
        <f>HYPERLINK("https://youtu.be/_GZXmZdCc5s","31.80")</f>
        <v>31.80</v>
      </c>
      <c r="J273" s="1100"/>
      <c r="K273" s="1094" t="s">
        <v>7984</v>
      </c>
      <c r="L273" s="1100"/>
      <c r="M273" s="1094" t="s">
        <v>1628</v>
      </c>
      <c r="N273" s="1094" t="str">
        <f>HYPERLINK("https://youtu.be/kUsh0nBBuMY","32.45")</f>
        <v>32.45</v>
      </c>
      <c r="O273" s="1100"/>
      <c r="P273" s="1102" t="s">
        <v>2258</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2320</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5008</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3641</v>
      </c>
      <c r="D276" s="1094" t="s">
        <v>245</v>
      </c>
      <c r="E276" s="1094" t="s">
        <v>3641</v>
      </c>
      <c r="F276" s="1018" t="s">
        <v>2521</v>
      </c>
      <c r="G276" s="988" t="s">
        <v>1325</v>
      </c>
      <c r="H276" s="1094" t="s">
        <v>1541</v>
      </c>
      <c r="I276" s="1094" t="s">
        <v>2188</v>
      </c>
      <c r="J276" s="1094" t="s">
        <v>2146</v>
      </c>
      <c r="K276" s="1094" t="s">
        <v>5245</v>
      </c>
      <c r="L276" s="1094" t="s">
        <v>914</v>
      </c>
      <c r="M276" s="1094" t="s">
        <v>280</v>
      </c>
      <c r="N276" s="1094" t="s">
        <v>5843</v>
      </c>
      <c r="O276" s="1094" t="s">
        <v>717</v>
      </c>
      <c r="P276" s="1095" t="s">
        <v>427</v>
      </c>
      <c r="Q276" s="1094" t="s">
        <v>4083</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4150</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3986</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3971</v>
      </c>
      <c r="D278" s="1094" t="s">
        <v>5176</v>
      </c>
      <c r="E278" s="1094" t="s">
        <v>3428</v>
      </c>
      <c r="F278" s="1030" t="s">
        <v>8000</v>
      </c>
      <c r="G278" s="988" t="s">
        <v>8001</v>
      </c>
      <c r="H278" s="1094"/>
      <c r="I278" s="1094" t="str">
        <f>HYPERLINK(" https://youtu.be/dsDcBzsPA5s","45.74")</f>
        <v>45.74</v>
      </c>
      <c r="J278" s="1094" t="s">
        <v>3971</v>
      </c>
      <c r="K278" s="1094" t="s">
        <v>8002</v>
      </c>
      <c r="L278" s="1094" t="s">
        <v>3865</v>
      </c>
      <c r="M278" s="1094" t="s">
        <v>1702</v>
      </c>
      <c r="N278" s="1094" t="s">
        <v>2070</v>
      </c>
      <c r="O278" s="1094" t="s">
        <v>4035</v>
      </c>
      <c r="P278" s="1095" t="s">
        <v>3551</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1989</v>
      </c>
      <c r="I279" s="1094" t="str">
        <f>HYPERLINK("https://youtu.be/9O9oqhlyCxY","45.20")</f>
        <v>45.20</v>
      </c>
      <c r="J279" s="1094" t="s">
        <v>8007</v>
      </c>
      <c r="K279" s="988" t="s">
        <v>3664</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2566</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3603</v>
      </c>
      <c r="X282" s="1094" t="s">
        <v>3590</v>
      </c>
      <c r="Y282" s="1094" t="s">
        <v>8012</v>
      </c>
      <c r="Z282" s="996"/>
      <c r="AA282" s="1094" t="s">
        <v>6221</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2092</v>
      </c>
      <c r="G283" s="988" t="s">
        <v>1329</v>
      </c>
      <c r="H283" s="1094" t="s">
        <v>8014</v>
      </c>
      <c r="I283" s="1094" t="s">
        <v>1483</v>
      </c>
      <c r="J283" s="1094" t="s">
        <v>3830</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4208</v>
      </c>
      <c r="D285" s="1004"/>
      <c r="E285" s="988" t="s">
        <v>4349</v>
      </c>
      <c r="F285" s="1232"/>
      <c r="G285" s="988" t="s">
        <v>3240</v>
      </c>
      <c r="H285" s="988" t="s">
        <v>4208</v>
      </c>
      <c r="I285" s="1004"/>
      <c r="J285" s="1004"/>
      <c r="K285" s="1004"/>
      <c r="L285" s="1004"/>
      <c r="M285" s="1004"/>
      <c r="N285" s="1004" t="s">
        <v>4329</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2775</v>
      </c>
      <c r="F286" s="1012" t="s">
        <v>4093</v>
      </c>
      <c r="G286" s="1004"/>
      <c r="H286" s="1095" t="s">
        <v>1368</v>
      </c>
      <c r="I286" s="1094"/>
      <c r="J286" s="1094"/>
      <c r="K286" s="1094"/>
      <c r="L286" s="1094"/>
      <c r="M286" s="1094"/>
      <c r="N286" s="1094"/>
      <c r="O286" s="1094"/>
      <c r="P286" s="1095" t="s">
        <v>5237</v>
      </c>
      <c r="Q286" s="1094" t="s">
        <v>2624</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2567</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7662</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2626</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3670</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2171</v>
      </c>
      <c r="D298" s="1094"/>
      <c r="E298" s="1094"/>
      <c r="F298" s="987"/>
      <c r="G298" s="1004"/>
      <c r="H298" s="1094"/>
      <c r="I298" s="1094"/>
      <c r="J298" s="1094"/>
      <c r="K298" s="1094"/>
      <c r="L298" s="1094"/>
      <c r="M298" s="1094"/>
      <c r="N298" s="1094"/>
      <c r="O298" s="1094"/>
      <c r="P298" s="1095"/>
      <c r="Q298" s="1094"/>
      <c r="R298" s="1094"/>
      <c r="S298" s="1094"/>
      <c r="T298" s="1094"/>
      <c r="U298" s="1027" t="s">
        <v>2594</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2221</v>
      </c>
      <c r="D300" s="1262" t="s">
        <v>8044</v>
      </c>
      <c r="E300" s="1094" t="s">
        <v>3581</v>
      </c>
      <c r="F300" s="1065" t="s">
        <v>683</v>
      </c>
      <c r="G300" s="988" t="s">
        <v>2827</v>
      </c>
      <c r="H300" s="1136" t="s">
        <v>4679</v>
      </c>
      <c r="I300" s="1094"/>
      <c r="J300" s="1094"/>
      <c r="K300" s="1094"/>
      <c r="L300" s="1094"/>
      <c r="M300" s="1094"/>
      <c r="N300" s="1094"/>
      <c r="O300" s="1094" t="s">
        <v>2221</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2569</v>
      </c>
      <c r="D301" s="1216" t="s">
        <v>1800</v>
      </c>
      <c r="E301" s="1094" t="s">
        <v>2569</v>
      </c>
      <c r="F301" s="987"/>
      <c r="G301" s="1004"/>
      <c r="H301" s="1094"/>
      <c r="I301" s="1094"/>
      <c r="J301" s="1094"/>
      <c r="K301" s="1094" t="s">
        <v>2337</v>
      </c>
      <c r="L301" s="1094"/>
      <c r="M301" s="1094"/>
      <c r="N301" s="1094"/>
      <c r="O301" s="1094"/>
      <c r="P301" s="1095" t="s">
        <v>8047</v>
      </c>
      <c r="Q301" s="1094"/>
      <c r="R301" s="1094"/>
      <c r="S301" s="1094" t="s">
        <v>2626</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2569</v>
      </c>
      <c r="G302" s="988" t="s">
        <v>1341</v>
      </c>
      <c r="H302" s="988" t="s">
        <v>2018</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6294</v>
      </c>
      <c r="D303" s="1094"/>
      <c r="E303" s="1094" t="s">
        <v>6294</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2600</v>
      </c>
      <c r="D306" s="1141"/>
      <c r="E306" s="1141"/>
      <c r="F306" s="1056"/>
      <c r="G306" s="1004"/>
      <c r="H306" s="1141"/>
      <c r="I306" s="1141" t="s">
        <v>2600</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3348</v>
      </c>
      <c r="D309" s="1094"/>
      <c r="E309" s="1094" t="s">
        <v>3760</v>
      </c>
      <c r="F309" s="987"/>
      <c r="G309" s="1004"/>
      <c r="H309" s="1094" t="s">
        <v>3348</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3904</v>
      </c>
      <c r="D312" s="1138"/>
      <c r="E312" s="1138" t="s">
        <v>4174</v>
      </c>
      <c r="F312" s="1056"/>
      <c r="G312" s="1004"/>
      <c r="H312" s="1138"/>
      <c r="I312" s="988" t="s">
        <v>3904</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6512</v>
      </c>
      <c r="D319" s="1100"/>
      <c r="E319" s="1100"/>
      <c r="F319" s="987"/>
      <c r="G319" s="1004"/>
      <c r="H319" s="1100"/>
      <c r="I319" s="988" t="s">
        <v>6512</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2146</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5103</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3556</v>
      </c>
      <c r="D326" s="1026"/>
      <c r="E326" s="1025" t="s">
        <v>1787</v>
      </c>
      <c r="F326" s="1065" t="s">
        <v>3556</v>
      </c>
      <c r="G326" s="1004"/>
      <c r="H326" s="1025" t="s">
        <v>2386</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3881</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3920</v>
      </c>
      <c r="K336" s="1100"/>
      <c r="L336" s="1100"/>
      <c r="M336" s="1100"/>
      <c r="N336" s="1100"/>
      <c r="O336" s="1100"/>
      <c r="P336" s="1102"/>
      <c r="Q336" s="1100"/>
      <c r="R336" s="1100" t="s">
        <v>2554</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4255</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2640</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2116</v>
      </c>
      <c r="V4" s="1290"/>
      <c r="W4" s="1290"/>
      <c r="X4" s="1291" t="s">
        <v>8137</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2456</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6415</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8142</v>
      </c>
      <c r="L8" s="1296" t="s">
        <v>6245</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4911</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2025</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2570</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4234</v>
      </c>
      <c r="D3" s="753" t="s">
        <v>548</v>
      </c>
      <c r="E3" s="754" t="s">
        <v>440</v>
      </c>
      <c r="F3" s="755" t="s">
        <v>3963</v>
      </c>
      <c r="G3" s="756" t="s">
        <v>3484</v>
      </c>
      <c r="H3" s="945" t="s">
        <v>8258</v>
      </c>
      <c r="I3" s="1296" t="s">
        <v>8259</v>
      </c>
      <c r="J3" s="945" t="s">
        <v>6506</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2356</v>
      </c>
      <c r="X3" s="1299" t="s">
        <v>1780</v>
      </c>
      <c r="Y3" s="945" t="s">
        <v>1953</v>
      </c>
      <c r="Z3" s="1299" t="s">
        <v>8272</v>
      </c>
      <c r="AA3" s="945" t="s">
        <v>4446</v>
      </c>
      <c r="AB3" s="1299"/>
      <c r="AC3" s="945" t="s">
        <v>3446</v>
      </c>
      <c r="AD3" s="945" t="s">
        <v>3942</v>
      </c>
      <c r="AE3" s="945" t="s">
        <v>8273</v>
      </c>
      <c r="AF3" s="1299" t="s">
        <v>8274</v>
      </c>
      <c r="AG3" s="945"/>
      <c r="AH3" s="1299" t="s">
        <v>8275</v>
      </c>
      <c r="AI3" s="1299" t="s">
        <v>8276</v>
      </c>
      <c r="AJ3" s="1290"/>
      <c r="AK3" s="945"/>
      <c r="AL3" s="945"/>
      <c r="AM3" s="948" t="s">
        <v>4354</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3188</v>
      </c>
      <c r="BA3" s="1291" t="s">
        <v>6661</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3925</v>
      </c>
      <c r="BY3" s="946"/>
      <c r="BZ3" s="946"/>
      <c r="CA3" s="1299" t="s">
        <v>3479</v>
      </c>
      <c r="CB3" s="1299" t="s">
        <v>373</v>
      </c>
      <c r="CC3" s="1299" t="s">
        <v>2385</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6250</v>
      </c>
      <c r="G4" s="756" t="s">
        <v>3564</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3405</v>
      </c>
      <c r="AD4" s="948" t="s">
        <v>4766</v>
      </c>
      <c r="AE4" s="1286"/>
      <c r="AF4" s="1296" t="s">
        <v>7297</v>
      </c>
      <c r="AG4" s="946"/>
      <c r="AH4" s="1297" t="s">
        <v>8314</v>
      </c>
      <c r="AI4" s="1297" t="s">
        <v>5049</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2418</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3283</v>
      </c>
      <c r="D6" s="753" t="s">
        <v>4234</v>
      </c>
      <c r="E6" s="754" t="s">
        <v>334</v>
      </c>
      <c r="F6" s="755" t="s">
        <v>6250</v>
      </c>
      <c r="G6" s="756" t="s">
        <v>4221</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6241</v>
      </c>
      <c r="Y6" s="1297" t="s">
        <v>2536</v>
      </c>
      <c r="Z6" s="946"/>
      <c r="AA6" s="946"/>
      <c r="AB6" s="946"/>
      <c r="AC6" s="946"/>
      <c r="AD6" s="945" t="s">
        <v>8363</v>
      </c>
      <c r="AE6" s="1286"/>
      <c r="AF6" s="948" t="s">
        <v>467</v>
      </c>
      <c r="AG6" s="1286"/>
      <c r="AH6" s="946"/>
      <c r="AI6" s="946"/>
      <c r="AJ6" s="1291" t="s">
        <v>2255</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2153</v>
      </c>
      <c r="CN6" s="1349" t="s">
        <v>3372</v>
      </c>
      <c r="CO6" s="1347"/>
      <c r="CP6" s="1347"/>
      <c r="CQ6" s="1347"/>
      <c r="CR6" s="1347"/>
      <c r="CS6" s="1349" t="s">
        <v>8379</v>
      </c>
      <c r="CT6" s="946"/>
      <c r="CU6" s="946"/>
    </row>
    <row r="7">
      <c r="A7" s="1350" t="s">
        <v>6724</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2131</v>
      </c>
      <c r="X7" s="948" t="s">
        <v>1823</v>
      </c>
      <c r="Y7" s="948" t="s">
        <v>2781</v>
      </c>
      <c r="Z7" s="1296" t="s">
        <v>8387</v>
      </c>
      <c r="AA7" s="1286"/>
      <c r="AB7" s="1286"/>
      <c r="AC7" s="1299" t="s">
        <v>8388</v>
      </c>
      <c r="AD7" s="948" t="s">
        <v>4469</v>
      </c>
      <c r="AE7" s="1286"/>
      <c r="AF7" s="948" t="s">
        <v>8389</v>
      </c>
      <c r="AG7" s="1286"/>
      <c r="AH7" s="1299" t="s">
        <v>8390</v>
      </c>
      <c r="AI7" s="1299" t="s">
        <v>1277</v>
      </c>
      <c r="AJ7" s="1299"/>
      <c r="AK7" s="945" t="s">
        <v>5936</v>
      </c>
      <c r="AL7" s="1299" t="s">
        <v>6393</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2464</v>
      </c>
      <c r="BW7" s="1297" t="s">
        <v>2474</v>
      </c>
      <c r="BX7" s="1296" t="s">
        <v>2486</v>
      </c>
      <c r="BY7" s="1291" t="s">
        <v>8402</v>
      </c>
      <c r="BZ7" s="1297" t="s">
        <v>8403</v>
      </c>
      <c r="CA7" s="1291" t="s">
        <v>1281</v>
      </c>
      <c r="CB7" s="1291" t="s">
        <v>8404</v>
      </c>
      <c r="CC7" s="1291" t="s">
        <v>479</v>
      </c>
      <c r="CD7" s="1354" t="s">
        <v>2514</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3767</v>
      </c>
      <c r="Y8" s="1356" t="s">
        <v>5046</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3632</v>
      </c>
      <c r="BX8" s="1297" t="s">
        <v>2315</v>
      </c>
      <c r="BY8" s="1352" t="s">
        <v>3268</v>
      </c>
      <c r="BZ8" s="1286"/>
      <c r="CA8" s="1297" t="s">
        <v>2042</v>
      </c>
      <c r="CB8" s="1352" t="s">
        <v>2845</v>
      </c>
      <c r="CC8" s="1358" t="s">
        <v>3537</v>
      </c>
      <c r="CD8" s="1301"/>
      <c r="CE8" s="1348"/>
      <c r="CF8" s="1348"/>
      <c r="CG8" s="1359"/>
      <c r="CH8" s="1359"/>
      <c r="CI8" s="1348"/>
      <c r="CJ8" s="1348"/>
      <c r="CK8" s="1359"/>
      <c r="CL8" s="1359"/>
      <c r="CM8" s="1360" t="s">
        <v>2154</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5116</v>
      </c>
      <c r="R9" s="948" t="s">
        <v>8431</v>
      </c>
      <c r="S9" s="1296" t="s">
        <v>8432</v>
      </c>
      <c r="T9" s="948" t="s">
        <v>8433</v>
      </c>
      <c r="U9" s="948" t="s">
        <v>6025</v>
      </c>
      <c r="V9" s="1290"/>
      <c r="W9" s="946"/>
      <c r="X9" s="948" t="s">
        <v>2499</v>
      </c>
      <c r="Y9" s="948" t="s">
        <v>4204</v>
      </c>
      <c r="Z9" s="946"/>
      <c r="AA9" s="1297" t="s">
        <v>6120</v>
      </c>
      <c r="AB9" s="1290"/>
      <c r="AC9" s="948" t="s">
        <v>2256</v>
      </c>
      <c r="AD9" s="948" t="s">
        <v>2298</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2189</v>
      </c>
      <c r="B10" s="756" t="s">
        <v>7107</v>
      </c>
      <c r="C10" s="752" t="s">
        <v>1259</v>
      </c>
      <c r="D10" s="753" t="s">
        <v>439</v>
      </c>
      <c r="E10" s="754" t="s">
        <v>548</v>
      </c>
      <c r="F10" s="755" t="s">
        <v>441</v>
      </c>
      <c r="G10" s="756" t="s">
        <v>4624</v>
      </c>
      <c r="H10" s="1368" t="s">
        <v>8445</v>
      </c>
      <c r="I10" s="1369" t="s">
        <v>2201</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3996</v>
      </c>
      <c r="X10" s="945" t="s">
        <v>8459</v>
      </c>
      <c r="Y10" s="1299" t="s">
        <v>2057</v>
      </c>
      <c r="Z10" s="946"/>
      <c r="AA10" s="946"/>
      <c r="AB10" s="1290"/>
      <c r="AC10" s="1299" t="s">
        <v>8460</v>
      </c>
      <c r="AD10" s="1299" t="s">
        <v>5291</v>
      </c>
      <c r="AE10" s="1297" t="s">
        <v>2524</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2218</v>
      </c>
      <c r="BY10" s="1299" t="s">
        <v>6070</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2674</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3997</v>
      </c>
      <c r="V11" s="1290"/>
      <c r="W11" s="945" t="s">
        <v>5020</v>
      </c>
      <c r="X11" s="948" t="s">
        <v>3662</v>
      </c>
      <c r="Y11" s="948" t="s">
        <v>8478</v>
      </c>
      <c r="Z11" s="946"/>
      <c r="AA11" s="1291" t="s">
        <v>5723</v>
      </c>
      <c r="AB11" s="1290"/>
      <c r="AC11" s="945" t="s">
        <v>5878</v>
      </c>
      <c r="AD11" s="945" t="s">
        <v>2057</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3188</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3861</v>
      </c>
      <c r="B12" s="756" t="s">
        <v>6427</v>
      </c>
      <c r="C12" s="752" t="s">
        <v>1259</v>
      </c>
      <c r="D12" s="753" t="s">
        <v>548</v>
      </c>
      <c r="E12" s="754" t="s">
        <v>1259</v>
      </c>
      <c r="F12" s="755" t="s">
        <v>548</v>
      </c>
      <c r="G12" s="756" t="s">
        <v>1963</v>
      </c>
      <c r="H12" s="1368"/>
      <c r="I12" s="1368" t="s">
        <v>3870</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4078</v>
      </c>
      <c r="W12" s="945" t="s">
        <v>4997</v>
      </c>
      <c r="X12" s="945" t="s">
        <v>8496</v>
      </c>
      <c r="Y12" s="945" t="s">
        <v>378</v>
      </c>
      <c r="Z12" s="1299" t="s">
        <v>3215</v>
      </c>
      <c r="AA12" s="945" t="s">
        <v>8497</v>
      </c>
      <c r="AB12" s="1299"/>
      <c r="AC12" s="1299" t="s">
        <v>2253</v>
      </c>
      <c r="AD12" s="1299" t="s">
        <v>8498</v>
      </c>
      <c r="AE12" s="945" t="s">
        <v>5183</v>
      </c>
      <c r="AF12" s="945" t="s">
        <v>4085</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6250</v>
      </c>
      <c r="CM12" s="1347" t="s">
        <v>8512</v>
      </c>
      <c r="CN12" s="1347" t="s">
        <v>6219</v>
      </c>
      <c r="CO12" s="1347" t="s">
        <v>2674</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4271</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4925</v>
      </c>
      <c r="B14" s="756" t="s">
        <v>8520</v>
      </c>
      <c r="C14" s="752" t="s">
        <v>334</v>
      </c>
      <c r="D14" s="753" t="s">
        <v>334</v>
      </c>
      <c r="E14" s="754" t="s">
        <v>1259</v>
      </c>
      <c r="F14" s="755" t="s">
        <v>986</v>
      </c>
      <c r="G14" s="756" t="s">
        <v>4044</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5131</v>
      </c>
      <c r="X14" s="948" t="s">
        <v>8528</v>
      </c>
      <c r="Y14" s="1299" t="s">
        <v>2740</v>
      </c>
      <c r="Z14" s="946"/>
      <c r="AA14" s="946"/>
      <c r="AB14" s="1290"/>
      <c r="AC14" s="945" t="s">
        <v>8529</v>
      </c>
      <c r="AD14" s="985" t="s">
        <v>4271</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3692</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3778</v>
      </c>
      <c r="V17" s="1299"/>
      <c r="W17" s="1299" t="s">
        <v>4437</v>
      </c>
      <c r="X17" s="945" t="s">
        <v>3811</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2229</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3337</v>
      </c>
      <c r="CS17" s="945" t="s">
        <v>8576</v>
      </c>
      <c r="CT17" s="946"/>
      <c r="CU17" s="946"/>
    </row>
    <row r="18">
      <c r="A18" s="1391" t="s">
        <v>8150</v>
      </c>
      <c r="B18" s="756" t="s">
        <v>8577</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2458</v>
      </c>
      <c r="AD18" s="948" t="s">
        <v>2760</v>
      </c>
      <c r="AE18" s="1286"/>
      <c r="AF18" s="1291" t="s">
        <v>8580</v>
      </c>
      <c r="AG18" s="946"/>
      <c r="AH18" s="1291" t="s">
        <v>1702</v>
      </c>
      <c r="AI18" s="1291" t="s">
        <v>3140</v>
      </c>
      <c r="AJ18" s="1290"/>
      <c r="AK18" s="945" t="s">
        <v>4273</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3372</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3491</v>
      </c>
      <c r="X19" s="945" t="s">
        <v>2613</v>
      </c>
      <c r="Y19" s="1299" t="s">
        <v>8587</v>
      </c>
      <c r="Z19" s="946"/>
      <c r="AA19" s="946"/>
      <c r="AB19" s="1290"/>
      <c r="AC19" s="948" t="s">
        <v>345</v>
      </c>
      <c r="AD19" s="1299" t="s">
        <v>3940</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2153</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3372</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4165</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3230</v>
      </c>
      <c r="Z21" s="945"/>
      <c r="AA21" s="945"/>
      <c r="AB21" s="1299"/>
      <c r="AC21" s="1299" t="s">
        <v>8614</v>
      </c>
      <c r="AD21" s="1299" t="s">
        <v>4905</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3188</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4108</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5078</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3188</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3323</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4963</v>
      </c>
      <c r="BZ25" s="1299" t="s">
        <v>2253</v>
      </c>
      <c r="CA25" s="1299" t="s">
        <v>5460</v>
      </c>
      <c r="CB25" s="1299" t="s">
        <v>2132</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4901</v>
      </c>
      <c r="CU25" s="1286"/>
    </row>
    <row r="26">
      <c r="A26" s="1355" t="s">
        <v>7433</v>
      </c>
      <c r="B26" s="756" t="s">
        <v>8680</v>
      </c>
      <c r="C26" s="752" t="s">
        <v>1259</v>
      </c>
      <c r="D26" s="753" t="s">
        <v>548</v>
      </c>
      <c r="E26" s="754" t="s">
        <v>1259</v>
      </c>
      <c r="F26" s="755" t="s">
        <v>441</v>
      </c>
      <c r="G26" s="756" t="s">
        <v>3372</v>
      </c>
      <c r="H26" s="1368"/>
      <c r="I26" s="1368" t="s">
        <v>8681</v>
      </c>
      <c r="J26" s="945"/>
      <c r="K26" s="945" t="s">
        <v>8682</v>
      </c>
      <c r="L26" s="1297" t="s">
        <v>3756</v>
      </c>
      <c r="M26" s="946"/>
      <c r="N26" s="946"/>
      <c r="O26" s="946"/>
      <c r="P26" s="945" t="s">
        <v>5794</v>
      </c>
      <c r="Q26" s="946"/>
      <c r="R26" s="948" t="s">
        <v>8683</v>
      </c>
      <c r="S26" s="946"/>
      <c r="T26" s="946"/>
      <c r="U26" s="945" t="s">
        <v>752</v>
      </c>
      <c r="V26" s="1299"/>
      <c r="W26" s="1299" t="s">
        <v>4322</v>
      </c>
      <c r="X26" s="945" t="s">
        <v>3496</v>
      </c>
      <c r="Y26" s="948" t="s">
        <v>5832</v>
      </c>
      <c r="Z26" s="946"/>
      <c r="AA26" s="946"/>
      <c r="AB26" s="1290"/>
      <c r="AC26" s="1299" t="s">
        <v>8684</v>
      </c>
      <c r="AD26" s="1299" t="s">
        <v>5679</v>
      </c>
      <c r="AE26" s="945"/>
      <c r="AF26" s="1299" t="s">
        <v>8685</v>
      </c>
      <c r="AG26" s="945"/>
      <c r="AH26" s="1299" t="s">
        <v>8686</v>
      </c>
      <c r="AI26" s="1290"/>
      <c r="AJ26" s="1290"/>
      <c r="AK26" s="1304" t="s">
        <v>3801</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5121</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8696</v>
      </c>
      <c r="CA28" s="1290"/>
      <c r="CB28" s="1290"/>
      <c r="CC28" s="1290"/>
      <c r="CD28" s="1363" t="s">
        <v>2068</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2641</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4946</v>
      </c>
      <c r="B31" s="756" t="s">
        <v>2153</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2374</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2374</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2126</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4879</v>
      </c>
      <c r="C33" s="752" t="s">
        <v>1259</v>
      </c>
      <c r="D33" s="753" t="s">
        <v>1259</v>
      </c>
      <c r="E33" s="754" t="s">
        <v>548</v>
      </c>
      <c r="F33" s="755" t="s">
        <v>334</v>
      </c>
      <c r="G33" s="756" t="s">
        <v>4234</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3564</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2315</v>
      </c>
      <c r="BY35" s="1352" t="s">
        <v>3747</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8718</v>
      </c>
      <c r="T38" s="946"/>
      <c r="U38" s="945" t="s">
        <v>8719</v>
      </c>
      <c r="V38" s="1290"/>
      <c r="W38" s="946"/>
      <c r="X38" s="945" t="s">
        <v>6405</v>
      </c>
      <c r="Y38" s="945" t="s">
        <v>1940</v>
      </c>
      <c r="Z38" s="946"/>
      <c r="AA38" s="945" t="s">
        <v>3137</v>
      </c>
      <c r="AB38" s="1290"/>
      <c r="AC38" s="945" t="s">
        <v>8720</v>
      </c>
      <c r="AD38" s="945" t="s">
        <v>2125</v>
      </c>
      <c r="AE38" s="945" t="s">
        <v>6482</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3283</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3882</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5141</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5077</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3299</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6291</v>
      </c>
      <c r="I2" s="1444" t="s">
        <v>8794</v>
      </c>
      <c r="J2" s="1445" t="s">
        <v>5202</v>
      </c>
      <c r="K2" s="1446" t="s">
        <v>8795</v>
      </c>
      <c r="L2" s="1446" t="s">
        <v>235</v>
      </c>
      <c r="M2" s="1446" t="s">
        <v>6265</v>
      </c>
      <c r="N2" s="1446" t="s">
        <v>4061</v>
      </c>
      <c r="O2" s="1446" t="s">
        <v>8796</v>
      </c>
      <c r="P2" s="1446" t="s">
        <v>8797</v>
      </c>
      <c r="Q2" s="1447" t="s">
        <v>8798</v>
      </c>
      <c r="R2" s="1448" t="s">
        <v>8799</v>
      </c>
      <c r="S2" s="1447" t="s">
        <v>6772</v>
      </c>
      <c r="T2" s="1448" t="s">
        <v>3266</v>
      </c>
      <c r="U2" s="1447" t="s">
        <v>6910</v>
      </c>
      <c r="V2" s="1447" t="s">
        <v>3766</v>
      </c>
      <c r="W2" s="1449" t="s">
        <v>8800</v>
      </c>
      <c r="X2" s="1450" t="s">
        <v>8801</v>
      </c>
      <c r="Y2" s="1450" t="s">
        <v>5857</v>
      </c>
      <c r="Z2" s="1451" t="s">
        <v>6833</v>
      </c>
      <c r="AA2" s="1450" t="s">
        <v>8802</v>
      </c>
      <c r="AB2" s="1450" t="s">
        <v>8803</v>
      </c>
      <c r="AC2" s="1451" t="s">
        <v>4087</v>
      </c>
      <c r="AD2" s="1452" t="s">
        <v>8804</v>
      </c>
      <c r="AE2" s="1453" t="s">
        <v>4795</v>
      </c>
      <c r="AF2" s="1454" t="s">
        <v>8805</v>
      </c>
      <c r="AG2" s="1454" t="s">
        <v>8806</v>
      </c>
      <c r="AH2" s="1454" t="s">
        <v>3842</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6667</v>
      </c>
      <c r="F3" s="1465" t="s">
        <v>8819</v>
      </c>
      <c r="G3" s="1465" t="s">
        <v>8820</v>
      </c>
      <c r="H3" s="1466" t="s">
        <v>8821</v>
      </c>
      <c r="I3" s="1466" t="s">
        <v>8822</v>
      </c>
      <c r="J3" s="1467" t="s">
        <v>1353</v>
      </c>
      <c r="K3" s="1467" t="s">
        <v>8823</v>
      </c>
      <c r="L3" s="1467" t="s">
        <v>2939</v>
      </c>
      <c r="M3" s="1467" t="s">
        <v>8824</v>
      </c>
      <c r="N3" s="1467" t="s">
        <v>2495</v>
      </c>
      <c r="O3" s="1467" t="s">
        <v>8825</v>
      </c>
      <c r="P3" s="1467" t="s">
        <v>5503</v>
      </c>
      <c r="Q3" s="1468" t="s">
        <v>5825</v>
      </c>
      <c r="R3" s="1468" t="s">
        <v>8826</v>
      </c>
      <c r="S3" s="1468" t="s">
        <v>337</v>
      </c>
      <c r="T3" s="1468" t="s">
        <v>8827</v>
      </c>
      <c r="U3" s="1469" t="s">
        <v>7369</v>
      </c>
      <c r="V3" s="1468" t="s">
        <v>8828</v>
      </c>
      <c r="W3" s="1470" t="s">
        <v>4143</v>
      </c>
      <c r="X3" s="1470" t="s">
        <v>6966</v>
      </c>
      <c r="Y3" s="1471" t="s">
        <v>8829</v>
      </c>
      <c r="Z3" s="1471" t="s">
        <v>1340</v>
      </c>
      <c r="AA3" s="1471" t="s">
        <v>5989</v>
      </c>
      <c r="AB3" s="1470" t="s">
        <v>2977</v>
      </c>
      <c r="AC3" s="1471" t="s">
        <v>8830</v>
      </c>
      <c r="AD3" s="1465" t="s">
        <v>8831</v>
      </c>
      <c r="AE3" s="1465" t="s">
        <v>7644</v>
      </c>
      <c r="AF3" s="1472" t="s">
        <v>8832</v>
      </c>
      <c r="AG3" s="1473" t="s">
        <v>4605</v>
      </c>
      <c r="AH3" s="1473" t="s">
        <v>8833</v>
      </c>
      <c r="AI3" s="1473" t="s">
        <v>8834</v>
      </c>
      <c r="AJ3" s="1472" t="s">
        <v>8835</v>
      </c>
      <c r="AK3" s="1473" t="s">
        <v>8836</v>
      </c>
      <c r="AL3" s="1473" t="s">
        <v>6233</v>
      </c>
      <c r="AM3" s="1474" t="s">
        <v>8837</v>
      </c>
      <c r="AN3" s="1474" t="s">
        <v>3208</v>
      </c>
      <c r="AO3" s="1475" t="s">
        <v>7257</v>
      </c>
      <c r="AP3" s="1475" t="s">
        <v>8838</v>
      </c>
      <c r="AQ3" s="1475" t="s">
        <v>8839</v>
      </c>
      <c r="AR3" s="1475" t="s">
        <v>4068</v>
      </c>
      <c r="AS3" s="1474" t="s">
        <v>4874</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6313</v>
      </c>
      <c r="L4" s="1483" t="s">
        <v>3800</v>
      </c>
      <c r="M4" s="1483" t="s">
        <v>8850</v>
      </c>
      <c r="N4" s="1483" t="s">
        <v>8809</v>
      </c>
      <c r="O4" s="1483" t="s">
        <v>8851</v>
      </c>
      <c r="P4" s="1483" t="s">
        <v>8852</v>
      </c>
      <c r="Q4" s="1484" t="s">
        <v>8853</v>
      </c>
      <c r="R4" s="1484" t="s">
        <v>8854</v>
      </c>
      <c r="S4" s="1484" t="s">
        <v>2267</v>
      </c>
      <c r="T4" s="1484" t="s">
        <v>8855</v>
      </c>
      <c r="U4" s="1484" t="s">
        <v>8856</v>
      </c>
      <c r="V4" s="1484" t="s">
        <v>4284</v>
      </c>
      <c r="W4" s="1485" t="s">
        <v>8857</v>
      </c>
      <c r="X4" s="1485" t="s">
        <v>8858</v>
      </c>
      <c r="Y4" s="1485">
        <v>47.93</v>
      </c>
      <c r="Z4" s="1485" t="s">
        <v>8859</v>
      </c>
      <c r="AA4" s="1485" t="s">
        <v>8860</v>
      </c>
      <c r="AB4" s="1485" t="s">
        <v>8861</v>
      </c>
      <c r="AC4" s="1485">
        <v>49.24</v>
      </c>
      <c r="AD4" s="1486" t="s">
        <v>8862</v>
      </c>
      <c r="AE4" s="1487" t="s">
        <v>5601</v>
      </c>
      <c r="AF4" s="1488" t="s">
        <v>2734</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6291</v>
      </c>
      <c r="I5" s="1497" t="s">
        <v>8794</v>
      </c>
      <c r="J5" s="1499" t="s">
        <v>5202</v>
      </c>
      <c r="K5" s="1500" t="s">
        <v>4365</v>
      </c>
      <c r="L5" s="1498" t="s">
        <v>2308</v>
      </c>
      <c r="M5" s="1500" t="s">
        <v>2563</v>
      </c>
      <c r="N5" s="1501" t="s">
        <v>4061</v>
      </c>
      <c r="O5" s="1502" t="s">
        <v>8874</v>
      </c>
      <c r="P5" s="1501" t="s">
        <v>8797</v>
      </c>
      <c r="Q5" s="1501" t="s">
        <v>8798</v>
      </c>
      <c r="R5" s="1499" t="s">
        <v>8799</v>
      </c>
      <c r="S5" s="1501" t="s">
        <v>6772</v>
      </c>
      <c r="T5" s="1499" t="s">
        <v>3266</v>
      </c>
      <c r="U5" s="1501" t="s">
        <v>6910</v>
      </c>
      <c r="V5" s="1503" t="s">
        <v>3766</v>
      </c>
      <c r="W5" s="1497" t="s">
        <v>8800</v>
      </c>
      <c r="X5" s="1499" t="s">
        <v>8801</v>
      </c>
      <c r="Y5" s="1499" t="s">
        <v>5857</v>
      </c>
      <c r="Z5" s="1502" t="s">
        <v>5061</v>
      </c>
      <c r="AA5" s="1499" t="s">
        <v>8802</v>
      </c>
      <c r="AB5" s="1498" t="s">
        <v>3286</v>
      </c>
      <c r="AC5" s="1501" t="s">
        <v>4087</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2563</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3694</v>
      </c>
      <c r="AA6" s="1508" t="s">
        <v>3707</v>
      </c>
      <c r="AB6" s="1513" t="s">
        <v>8803</v>
      </c>
      <c r="AC6" s="1508" t="s">
        <v>5484</v>
      </c>
      <c r="AD6" s="1508" t="s">
        <v>6929</v>
      </c>
      <c r="AE6" s="1514" t="s">
        <v>4795</v>
      </c>
      <c r="AF6" s="1512" t="s">
        <v>8895</v>
      </c>
      <c r="AG6" s="1511" t="s">
        <v>6154</v>
      </c>
      <c r="AH6" s="1513" t="s">
        <v>3842</v>
      </c>
      <c r="AI6" s="1508" t="s">
        <v>6049</v>
      </c>
      <c r="AJ6" s="1512" t="s">
        <v>8896</v>
      </c>
      <c r="AK6" s="1512" t="s">
        <v>5961</v>
      </c>
      <c r="AL6" s="1511" t="s">
        <v>6278</v>
      </c>
      <c r="AM6" s="1508" t="s">
        <v>8897</v>
      </c>
      <c r="AN6" s="1511" t="s">
        <v>4249</v>
      </c>
      <c r="AO6" s="1511" t="s">
        <v>2835</v>
      </c>
      <c r="AP6" s="1511" t="s">
        <v>8898</v>
      </c>
      <c r="AQ6" s="1414" t="s">
        <v>8899</v>
      </c>
      <c r="AR6" s="1511" t="s">
        <v>8900</v>
      </c>
      <c r="AS6" s="1511" t="s">
        <v>8901</v>
      </c>
      <c r="AT6" s="1511" t="s">
        <v>8902</v>
      </c>
      <c r="AU6" s="1515" t="s">
        <v>8903</v>
      </c>
      <c r="AV6" s="1414" t="str">
        <f t="shared" si="1"/>
        <v>2:15</v>
      </c>
      <c r="AW6" s="1505"/>
    </row>
    <row r="7">
      <c r="A7" s="1516" t="s">
        <v>2538</v>
      </c>
      <c r="B7" s="1517" t="s">
        <v>8789</v>
      </c>
      <c r="C7" s="1518">
        <v>0.04939673611111111</v>
      </c>
      <c r="D7" s="1519" t="s">
        <v>8904</v>
      </c>
      <c r="E7" s="1520" t="s">
        <v>2710</v>
      </c>
      <c r="F7" s="1519" t="s">
        <v>8905</v>
      </c>
      <c r="G7" s="1521" t="s">
        <v>8906</v>
      </c>
      <c r="H7" s="1519" t="s">
        <v>5946</v>
      </c>
      <c r="I7" s="1520" t="s">
        <v>2546</v>
      </c>
      <c r="J7" s="1519" t="s">
        <v>8907</v>
      </c>
      <c r="K7" s="1519" t="s">
        <v>8908</v>
      </c>
      <c r="L7" s="1519" t="s">
        <v>8909</v>
      </c>
      <c r="M7" s="1522" t="s">
        <v>8910</v>
      </c>
      <c r="N7" s="1520" t="s">
        <v>3848</v>
      </c>
      <c r="O7" s="1521" t="s">
        <v>8911</v>
      </c>
      <c r="P7" s="1522" t="s">
        <v>6585</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3259</v>
      </c>
      <c r="AI7" s="1519" t="s">
        <v>8922</v>
      </c>
      <c r="AJ7" s="1521" t="s">
        <v>8923</v>
      </c>
      <c r="AK7" s="1519" t="s">
        <v>8809</v>
      </c>
      <c r="AL7" s="1519" t="s">
        <v>8924</v>
      </c>
      <c r="AM7" s="1519" t="s">
        <v>5027</v>
      </c>
      <c r="AN7" s="1521" t="s">
        <v>6278</v>
      </c>
      <c r="AO7" s="1519" t="s">
        <v>8925</v>
      </c>
      <c r="AP7" s="1521" t="s">
        <v>8926</v>
      </c>
      <c r="AQ7" s="1519" t="s">
        <v>4737</v>
      </c>
      <c r="AR7" s="1520" t="s">
        <v>383</v>
      </c>
      <c r="AS7" s="1519" t="s">
        <v>2069</v>
      </c>
      <c r="AT7" s="1519" t="s">
        <v>8927</v>
      </c>
      <c r="AU7" s="1524" t="s">
        <v>8928</v>
      </c>
      <c r="AV7" s="1524" t="str">
        <f t="shared" si="1"/>
        <v>2:06</v>
      </c>
      <c r="AW7" s="1525"/>
    </row>
    <row r="8" ht="15.75" customHeight="1">
      <c r="A8" s="1494" t="s">
        <v>6685</v>
      </c>
      <c r="B8" s="1495" t="s">
        <v>8789</v>
      </c>
      <c r="C8" s="1496">
        <v>0.049444444444444444</v>
      </c>
      <c r="D8" s="1502" t="s">
        <v>8929</v>
      </c>
      <c r="E8" s="1502" t="s">
        <v>8930</v>
      </c>
      <c r="F8" s="1509" t="s">
        <v>8931</v>
      </c>
      <c r="G8" s="1500" t="s">
        <v>8932</v>
      </c>
      <c r="H8" s="1509" t="s">
        <v>8933</v>
      </c>
      <c r="I8" s="1509" t="s">
        <v>2945</v>
      </c>
      <c r="J8" s="1502" t="s">
        <v>8934</v>
      </c>
      <c r="K8" s="1509" t="s">
        <v>3558</v>
      </c>
      <c r="L8" s="1509" t="s">
        <v>4183</v>
      </c>
      <c r="M8" s="1509" t="s">
        <v>6581</v>
      </c>
      <c r="N8" s="1502" t="s">
        <v>8935</v>
      </c>
      <c r="O8" s="1509" t="s">
        <v>8936</v>
      </c>
      <c r="P8" s="1414" t="s">
        <v>7994</v>
      </c>
      <c r="Q8" s="1502" t="s">
        <v>8937</v>
      </c>
      <c r="R8" s="1509" t="s">
        <v>6763</v>
      </c>
      <c r="S8" s="1509" t="s">
        <v>3430</v>
      </c>
      <c r="T8" s="1414" t="s">
        <v>8938</v>
      </c>
      <c r="U8" s="1509" t="s">
        <v>8939</v>
      </c>
      <c r="V8" s="1509" t="s">
        <v>5210</v>
      </c>
      <c r="W8" s="1526" t="s">
        <v>8940</v>
      </c>
      <c r="X8" s="1414" t="s">
        <v>2562</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2714</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2134</v>
      </c>
      <c r="G9" s="1527" t="s">
        <v>8955</v>
      </c>
      <c r="H9" s="1502" t="s">
        <v>8956</v>
      </c>
      <c r="I9" s="1508">
        <v>47.34</v>
      </c>
      <c r="J9" s="1527" t="s">
        <v>1729</v>
      </c>
      <c r="K9" s="1527" t="s">
        <v>8957</v>
      </c>
      <c r="L9" s="1527">
        <v>55.97</v>
      </c>
      <c r="M9" s="1527" t="s">
        <v>2048</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2492</v>
      </c>
      <c r="AB9" s="1527" t="s">
        <v>8965</v>
      </c>
      <c r="AC9" s="1527">
        <v>47.89</v>
      </c>
      <c r="AD9" s="1527" t="s">
        <v>1832</v>
      </c>
      <c r="AE9" s="1527">
        <v>47.98</v>
      </c>
      <c r="AF9" s="1534" t="s">
        <v>8966</v>
      </c>
      <c r="AG9" s="1527" t="s">
        <v>8967</v>
      </c>
      <c r="AH9" s="1527">
        <v>57.45</v>
      </c>
      <c r="AI9" s="1512" t="s">
        <v>6690</v>
      </c>
      <c r="AJ9" s="1535" t="s">
        <v>8877</v>
      </c>
      <c r="AK9" s="1527" t="s">
        <v>5452</v>
      </c>
      <c r="AL9" s="1527">
        <v>56.23</v>
      </c>
      <c r="AM9" s="1531" t="s">
        <v>4016</v>
      </c>
      <c r="AN9" s="1531" t="s">
        <v>8968</v>
      </c>
      <c r="AO9" s="1527" t="s">
        <v>8969</v>
      </c>
      <c r="AP9" s="1527" t="s">
        <v>8970</v>
      </c>
      <c r="AQ9" s="1527" t="s">
        <v>8971</v>
      </c>
      <c r="AR9" s="1534" t="s">
        <v>3882</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6265</v>
      </c>
      <c r="N10" s="1511" t="s">
        <v>5902</v>
      </c>
      <c r="O10" s="1511" t="s">
        <v>8979</v>
      </c>
      <c r="P10" s="1511" t="s">
        <v>6183</v>
      </c>
      <c r="Q10" s="1511" t="s">
        <v>4790</v>
      </c>
      <c r="R10" s="1511" t="s">
        <v>5749</v>
      </c>
      <c r="S10" s="1502" t="s">
        <v>2893</v>
      </c>
      <c r="T10" s="1511" t="s">
        <v>8980</v>
      </c>
      <c r="U10" s="1511" t="s">
        <v>8981</v>
      </c>
      <c r="V10" s="1511" t="s">
        <v>8982</v>
      </c>
      <c r="W10" s="1511" t="s">
        <v>8983</v>
      </c>
      <c r="X10" s="1502" t="s">
        <v>8984</v>
      </c>
      <c r="Y10" s="1511" t="s">
        <v>6183</v>
      </c>
      <c r="Z10" s="1532" t="s">
        <v>6833</v>
      </c>
      <c r="AA10" s="1502" t="s">
        <v>8834</v>
      </c>
      <c r="AB10" s="1511" t="s">
        <v>417</v>
      </c>
      <c r="AC10" s="1511" t="s">
        <v>3788</v>
      </c>
      <c r="AD10" s="1539" t="s">
        <v>3720</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6572</v>
      </c>
      <c r="Q11" s="1511" t="s">
        <v>8959</v>
      </c>
      <c r="R11" s="1511" t="s">
        <v>5647</v>
      </c>
      <c r="S11" s="1511" t="s">
        <v>9003</v>
      </c>
      <c r="T11" s="1511" t="s">
        <v>4070</v>
      </c>
      <c r="U11" s="1511" t="s">
        <v>6262</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4070</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6576</v>
      </c>
      <c r="B12" s="1548" t="s">
        <v>8789</v>
      </c>
      <c r="C12" s="1496">
        <v>0.04958333333333333</v>
      </c>
      <c r="D12" s="945" t="s">
        <v>9020</v>
      </c>
      <c r="E12" s="1527" t="s">
        <v>6536</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5027</v>
      </c>
      <c r="U12" s="1531" t="s">
        <v>9029</v>
      </c>
      <c r="V12" s="1527">
        <v>59.45</v>
      </c>
      <c r="W12" s="1531" t="s">
        <v>9030</v>
      </c>
      <c r="X12" s="1531" t="s">
        <v>9031</v>
      </c>
      <c r="Y12" s="1531" t="s">
        <v>5136</v>
      </c>
      <c r="Z12" s="1527" t="s">
        <v>4177</v>
      </c>
      <c r="AA12" s="1527" t="s">
        <v>3207</v>
      </c>
      <c r="AB12" s="1527" t="s">
        <v>4593</v>
      </c>
      <c r="AC12" s="1531" t="s">
        <v>4904</v>
      </c>
      <c r="AD12" s="1531" t="s">
        <v>9032</v>
      </c>
      <c r="AE12" s="1527">
        <v>47.89</v>
      </c>
      <c r="AF12" s="1527" t="s">
        <v>9033</v>
      </c>
      <c r="AG12" s="1514" t="s">
        <v>8806</v>
      </c>
      <c r="AH12" s="1527">
        <v>57.71</v>
      </c>
      <c r="AI12" s="1531" t="s">
        <v>2228</v>
      </c>
      <c r="AJ12" s="1527" t="s">
        <v>9034</v>
      </c>
      <c r="AK12" s="1531" t="s">
        <v>6776</v>
      </c>
      <c r="AL12" s="1527">
        <v>56.69</v>
      </c>
      <c r="AM12" s="1531" t="s">
        <v>9035</v>
      </c>
      <c r="AN12" s="1531" t="s">
        <v>4138</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6495</v>
      </c>
      <c r="L13" s="1509" t="s">
        <v>4500</v>
      </c>
      <c r="M13" s="1509" t="s">
        <v>8588</v>
      </c>
      <c r="N13" s="1509" t="s">
        <v>2224</v>
      </c>
      <c r="O13" s="1509" t="s">
        <v>3326</v>
      </c>
      <c r="P13" s="1509" t="s">
        <v>9046</v>
      </c>
      <c r="Q13" s="1509" t="s">
        <v>9048</v>
      </c>
      <c r="R13" s="1509" t="s">
        <v>1227</v>
      </c>
      <c r="S13" s="1551" t="s">
        <v>9049</v>
      </c>
      <c r="T13" s="1509" t="s">
        <v>4918</v>
      </c>
      <c r="U13" s="1509" t="s">
        <v>9050</v>
      </c>
      <c r="V13" s="1509" t="s">
        <v>9051</v>
      </c>
      <c r="W13" s="1509" t="s">
        <v>9052</v>
      </c>
      <c r="X13" s="1509" t="s">
        <v>1051</v>
      </c>
      <c r="Y13" s="1509" t="s">
        <v>4386</v>
      </c>
      <c r="Z13" s="1509" t="s">
        <v>9053</v>
      </c>
      <c r="AA13" s="1509" t="s">
        <v>9054</v>
      </c>
      <c r="AB13" s="1509" t="s">
        <v>1841</v>
      </c>
      <c r="AC13" s="1509" t="s">
        <v>760</v>
      </c>
      <c r="AD13" s="1509" t="s">
        <v>9055</v>
      </c>
      <c r="AE13" s="1509" t="s">
        <v>6585</v>
      </c>
      <c r="AF13" s="1502" t="s">
        <v>9056</v>
      </c>
      <c r="AG13" s="1509" t="s">
        <v>9057</v>
      </c>
      <c r="AH13" s="1509" t="s">
        <v>4815</v>
      </c>
      <c r="AI13" s="1509" t="s">
        <v>3010</v>
      </c>
      <c r="AJ13" s="1509" t="s">
        <v>9058</v>
      </c>
      <c r="AK13" s="1509" t="s">
        <v>4185</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2151</v>
      </c>
      <c r="B14" s="1552" t="s">
        <v>8817</v>
      </c>
      <c r="C14" s="1553">
        <v>0.04967592592592593</v>
      </c>
      <c r="D14" s="1554" t="s">
        <v>9067</v>
      </c>
      <c r="E14" s="945" t="s">
        <v>3289</v>
      </c>
      <c r="F14" s="945" t="s">
        <v>9068</v>
      </c>
      <c r="G14" s="1554" t="s">
        <v>9069</v>
      </c>
      <c r="H14" s="1555" t="s">
        <v>8821</v>
      </c>
      <c r="I14" s="945" t="s">
        <v>9070</v>
      </c>
      <c r="J14" s="945" t="s">
        <v>9071</v>
      </c>
      <c r="K14" s="1556" t="s">
        <v>8823</v>
      </c>
      <c r="L14" s="1557" t="s">
        <v>4696</v>
      </c>
      <c r="M14" s="945" t="s">
        <v>6559</v>
      </c>
      <c r="N14" s="1558" t="s">
        <v>5241</v>
      </c>
      <c r="O14" s="945" t="s">
        <v>6900</v>
      </c>
      <c r="P14" s="1558" t="s">
        <v>5482</v>
      </c>
      <c r="Q14" s="945" t="s">
        <v>9072</v>
      </c>
      <c r="R14" s="1556" t="s">
        <v>8826</v>
      </c>
      <c r="S14" s="1559" t="s">
        <v>9073</v>
      </c>
      <c r="T14" s="1560" t="s">
        <v>4016</v>
      </c>
      <c r="U14" s="1561" t="s">
        <v>9074</v>
      </c>
      <c r="V14" s="1562" t="s">
        <v>9075</v>
      </c>
      <c r="W14" s="1563" t="s">
        <v>4143</v>
      </c>
      <c r="X14" s="1557" t="s">
        <v>5989</v>
      </c>
      <c r="Y14" s="1556" t="s">
        <v>8829</v>
      </c>
      <c r="Z14" s="1563" t="s">
        <v>1340</v>
      </c>
      <c r="AA14" s="1564" t="s">
        <v>5746</v>
      </c>
      <c r="AB14" s="1556" t="s">
        <v>6755</v>
      </c>
      <c r="AC14" s="1565" t="s">
        <v>8830</v>
      </c>
      <c r="AD14" s="945" t="s">
        <v>9076</v>
      </c>
      <c r="AE14" s="1566" t="s">
        <v>7644</v>
      </c>
      <c r="AF14" s="1286" t="s">
        <v>9077</v>
      </c>
      <c r="AG14" s="1563" t="s">
        <v>4605</v>
      </c>
      <c r="AH14" s="1567" t="s">
        <v>8833</v>
      </c>
      <c r="AI14" s="1567" t="s">
        <v>8834</v>
      </c>
      <c r="AJ14" s="945" t="s">
        <v>9078</v>
      </c>
      <c r="AK14" s="1557" t="s">
        <v>3369</v>
      </c>
      <c r="AL14" s="1557" t="s">
        <v>9079</v>
      </c>
      <c r="AM14" s="1556" t="s">
        <v>887</v>
      </c>
      <c r="AN14" s="1568" t="s">
        <v>4718</v>
      </c>
      <c r="AO14" s="1556" t="s">
        <v>7257</v>
      </c>
      <c r="AP14" s="1569" t="s">
        <v>8838</v>
      </c>
      <c r="AQ14" s="1570" t="s">
        <v>8839</v>
      </c>
      <c r="AR14" s="1570" t="s">
        <v>4068</v>
      </c>
      <c r="AS14" s="1571" t="s">
        <v>4874</v>
      </c>
      <c r="AT14" s="1556" t="s">
        <v>8840</v>
      </c>
      <c r="AU14" s="1540" t="s">
        <v>9080</v>
      </c>
      <c r="AV14" s="1414" t="str">
        <f t="shared" si="1"/>
        <v>4:01</v>
      </c>
      <c r="AW14" s="1541" t="s">
        <v>9081</v>
      </c>
    </row>
    <row r="15" ht="15.75" customHeight="1">
      <c r="A15" s="1572" t="s">
        <v>2702</v>
      </c>
      <c r="B15" s="1495" t="s">
        <v>8789</v>
      </c>
      <c r="C15" s="1573">
        <v>0.04971064814814815</v>
      </c>
      <c r="D15" s="1337" t="s">
        <v>9082</v>
      </c>
      <c r="E15" s="1574" t="s">
        <v>514</v>
      </c>
      <c r="F15" s="1574" t="s">
        <v>9083</v>
      </c>
      <c r="G15" s="1574" t="s">
        <v>9084</v>
      </c>
      <c r="H15" s="1502" t="s">
        <v>9085</v>
      </c>
      <c r="I15" s="873" t="s">
        <v>5747</v>
      </c>
      <c r="J15" s="1558" t="s">
        <v>2541</v>
      </c>
      <c r="K15" s="1558" t="s">
        <v>4341</v>
      </c>
      <c r="L15" s="1558" t="s">
        <v>4696</v>
      </c>
      <c r="M15" s="1575" t="s">
        <v>6265</v>
      </c>
      <c r="N15" s="1558" t="s">
        <v>2656</v>
      </c>
      <c r="O15" s="1558" t="s">
        <v>9086</v>
      </c>
      <c r="P15" s="1558" t="s">
        <v>9087</v>
      </c>
      <c r="Q15" s="1502" t="s">
        <v>9088</v>
      </c>
      <c r="R15" s="1561" t="s">
        <v>9089</v>
      </c>
      <c r="S15" s="1502" t="s">
        <v>1833</v>
      </c>
      <c r="T15" s="1561" t="s">
        <v>9090</v>
      </c>
      <c r="U15" s="1502" t="s">
        <v>9091</v>
      </c>
      <c r="V15" s="1561" t="s">
        <v>3446</v>
      </c>
      <c r="W15" s="1576" t="s">
        <v>9092</v>
      </c>
      <c r="X15" s="1576" t="s">
        <v>4099</v>
      </c>
      <c r="Y15" s="1576" t="s">
        <v>8005</v>
      </c>
      <c r="Z15" s="1576" t="s">
        <v>9093</v>
      </c>
      <c r="AA15" s="1576" t="s">
        <v>6154</v>
      </c>
      <c r="AB15" s="1576" t="s">
        <v>4426</v>
      </c>
      <c r="AC15" s="1576" t="s">
        <v>1147</v>
      </c>
      <c r="AD15" s="1574" t="s">
        <v>9094</v>
      </c>
      <c r="AE15" s="1574" t="s">
        <v>5379</v>
      </c>
      <c r="AF15" s="1577" t="s">
        <v>9095</v>
      </c>
      <c r="AG15" s="1577" t="s">
        <v>7338</v>
      </c>
      <c r="AH15" s="1577" t="s">
        <v>5389</v>
      </c>
      <c r="AI15" s="1577" t="s">
        <v>9096</v>
      </c>
      <c r="AJ15" s="1577" t="s">
        <v>9097</v>
      </c>
      <c r="AK15" s="1577" t="s">
        <v>9098</v>
      </c>
      <c r="AL15" s="1577" t="s">
        <v>3574</v>
      </c>
      <c r="AM15" s="1578" t="s">
        <v>9099</v>
      </c>
      <c r="AN15" s="1579" t="s">
        <v>4696</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3748</v>
      </c>
      <c r="J16" s="1531" t="s">
        <v>9112</v>
      </c>
      <c r="K16" s="1536" t="s">
        <v>8795</v>
      </c>
      <c r="L16" s="1531" t="s">
        <v>9113</v>
      </c>
      <c r="M16" s="1531" t="s">
        <v>9114</v>
      </c>
      <c r="N16" s="1531" t="s">
        <v>688</v>
      </c>
      <c r="O16" s="1531" t="s">
        <v>9115</v>
      </c>
      <c r="P16" s="1531" t="s">
        <v>6572</v>
      </c>
      <c r="Q16" s="1531" t="s">
        <v>9116</v>
      </c>
      <c r="R16" s="1531" t="s">
        <v>6872</v>
      </c>
      <c r="S16" s="1531" t="s">
        <v>9117</v>
      </c>
      <c r="T16" s="1531" t="s">
        <v>5866</v>
      </c>
      <c r="U16" s="1531" t="s">
        <v>9118</v>
      </c>
      <c r="V16" s="1531" t="s">
        <v>9119</v>
      </c>
      <c r="W16" s="1531" t="s">
        <v>9120</v>
      </c>
      <c r="X16" s="1531" t="s">
        <v>9121</v>
      </c>
      <c r="Y16" s="1531" t="s">
        <v>8941</v>
      </c>
      <c r="Z16" s="1531" t="s">
        <v>9122</v>
      </c>
      <c r="AA16" s="1531" t="s">
        <v>9123</v>
      </c>
      <c r="AB16" s="1531" t="s">
        <v>9124</v>
      </c>
      <c r="AC16" s="1531" t="s">
        <v>598</v>
      </c>
      <c r="AD16" s="1531" t="s">
        <v>3227</v>
      </c>
      <c r="AE16" s="1531" t="s">
        <v>5532</v>
      </c>
      <c r="AF16" s="1531" t="s">
        <v>9125</v>
      </c>
      <c r="AG16" s="1531" t="s">
        <v>311</v>
      </c>
      <c r="AH16" s="1531" t="s">
        <v>9126</v>
      </c>
      <c r="AI16" s="1531" t="s">
        <v>3207</v>
      </c>
      <c r="AJ16" s="1531" t="s">
        <v>9127</v>
      </c>
      <c r="AK16" s="1531" t="s">
        <v>9128</v>
      </c>
      <c r="AL16" s="1531" t="s">
        <v>345</v>
      </c>
      <c r="AM16" s="1531" t="s">
        <v>2226</v>
      </c>
      <c r="AN16" s="1531" t="s">
        <v>235</v>
      </c>
      <c r="AO16" s="1531" t="s">
        <v>9129</v>
      </c>
      <c r="AP16" s="1531" t="s">
        <v>9130</v>
      </c>
      <c r="AQ16" s="1582" t="s">
        <v>9131</v>
      </c>
      <c r="AR16" s="1531" t="s">
        <v>9132</v>
      </c>
      <c r="AS16" s="1531" t="s">
        <v>839</v>
      </c>
      <c r="AT16" s="1531" t="s">
        <v>2408</v>
      </c>
      <c r="AU16" s="1509" t="s">
        <v>9133</v>
      </c>
      <c r="AV16" s="1414" t="str">
        <f t="shared" si="1"/>
        <v>2:14</v>
      </c>
      <c r="AW16" s="1583"/>
    </row>
    <row r="17" ht="15.75" customHeight="1">
      <c r="A17" s="1494" t="s">
        <v>6377</v>
      </c>
      <c r="B17" s="1584"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2097</v>
      </c>
      <c r="O17" s="1337" t="s">
        <v>9142</v>
      </c>
      <c r="P17" s="945" t="s">
        <v>4474</v>
      </c>
      <c r="Q17" s="1337" t="s">
        <v>9143</v>
      </c>
      <c r="R17" s="1337" t="s">
        <v>1872</v>
      </c>
      <c r="S17" s="1337" t="s">
        <v>3430</v>
      </c>
      <c r="T17" s="1337" t="s">
        <v>9144</v>
      </c>
      <c r="U17" s="1337" t="s">
        <v>9145</v>
      </c>
      <c r="V17" s="1337" t="s">
        <v>7628</v>
      </c>
      <c r="W17" s="1337" t="s">
        <v>5470</v>
      </c>
      <c r="X17" s="1337" t="s">
        <v>8806</v>
      </c>
      <c r="Y17" s="1337" t="s">
        <v>8887</v>
      </c>
      <c r="Z17" s="1337" t="s">
        <v>7752</v>
      </c>
      <c r="AA17" s="1585" t="s">
        <v>9146</v>
      </c>
      <c r="AB17" s="1337" t="s">
        <v>5902</v>
      </c>
      <c r="AC17" s="1337" t="s">
        <v>1029</v>
      </c>
      <c r="AD17" s="1337" t="s">
        <v>6958</v>
      </c>
      <c r="AE17" s="1337" t="s">
        <v>4965</v>
      </c>
      <c r="AF17" s="1337" t="s">
        <v>9147</v>
      </c>
      <c r="AG17" s="1337" t="s">
        <v>1534</v>
      </c>
      <c r="AH17" s="945" t="s">
        <v>9148</v>
      </c>
      <c r="AI17" s="1337" t="s">
        <v>8468</v>
      </c>
      <c r="AJ17" s="1337" t="s">
        <v>9149</v>
      </c>
      <c r="AK17" s="1337" t="s">
        <v>9150</v>
      </c>
      <c r="AL17" s="1337" t="s">
        <v>4418</v>
      </c>
      <c r="AM17" s="1337" t="s">
        <v>3453</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2086</v>
      </c>
      <c r="B18" s="1495" t="s">
        <v>8789</v>
      </c>
      <c r="C18" s="1496">
        <v>0.049895833333333334</v>
      </c>
      <c r="D18" s="945" t="s">
        <v>9158</v>
      </c>
      <c r="E18" s="1587" t="s">
        <v>957</v>
      </c>
      <c r="F18" s="1574" t="s">
        <v>9159</v>
      </c>
      <c r="G18" s="1587" t="s">
        <v>9160</v>
      </c>
      <c r="H18" s="770" t="s">
        <v>9161</v>
      </c>
      <c r="I18" s="873" t="s">
        <v>5534</v>
      </c>
      <c r="J18" s="1558" t="s">
        <v>9162</v>
      </c>
      <c r="K18" s="1588" t="s">
        <v>9163</v>
      </c>
      <c r="L18" s="1558" t="s">
        <v>8909</v>
      </c>
      <c r="M18" s="1558" t="s">
        <v>5063</v>
      </c>
      <c r="N18" s="1558" t="s">
        <v>9164</v>
      </c>
      <c r="O18" s="1588" t="s">
        <v>9165</v>
      </c>
      <c r="P18" s="945" t="s">
        <v>1072</v>
      </c>
      <c r="Q18" s="1561" t="s">
        <v>3541</v>
      </c>
      <c r="R18" s="1589" t="s">
        <v>7749</v>
      </c>
      <c r="S18" s="1589" t="s">
        <v>9166</v>
      </c>
      <c r="T18" s="1589" t="s">
        <v>9167</v>
      </c>
      <c r="U18" s="1589" t="s">
        <v>1830</v>
      </c>
      <c r="V18" s="1561" t="s">
        <v>4453</v>
      </c>
      <c r="W18" s="1576" t="s">
        <v>9168</v>
      </c>
      <c r="X18" s="1590" t="s">
        <v>9169</v>
      </c>
      <c r="Y18" s="1576" t="s">
        <v>9170</v>
      </c>
      <c r="Z18" s="1576" t="s">
        <v>9171</v>
      </c>
      <c r="AA18" s="1576" t="s">
        <v>3313</v>
      </c>
      <c r="AB18" s="1590" t="s">
        <v>7309</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3154</v>
      </c>
      <c r="AO18" s="1579" t="s">
        <v>6905</v>
      </c>
      <c r="AP18" s="1578" t="s">
        <v>5654</v>
      </c>
      <c r="AQ18" s="1579" t="s">
        <v>9181</v>
      </c>
      <c r="AR18" s="1578" t="s">
        <v>1163</v>
      </c>
      <c r="AS18" s="1578" t="s">
        <v>3910</v>
      </c>
      <c r="AT18" s="1588" t="s">
        <v>6556</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6804</v>
      </c>
      <c r="S19" s="1594" t="s">
        <v>9193</v>
      </c>
      <c r="T19" s="1594" t="s">
        <v>4584</v>
      </c>
      <c r="U19" s="1594" t="s">
        <v>9194</v>
      </c>
      <c r="V19" s="1594">
        <v>59.79</v>
      </c>
      <c r="W19" s="1594" t="s">
        <v>9195</v>
      </c>
      <c r="X19" s="1594" t="s">
        <v>2004</v>
      </c>
      <c r="Y19" s="1594">
        <v>47.0</v>
      </c>
      <c r="Z19" s="1594" t="s">
        <v>9196</v>
      </c>
      <c r="AA19" s="1594" t="s">
        <v>9197</v>
      </c>
      <c r="AB19" s="1594" t="s">
        <v>6755</v>
      </c>
      <c r="AC19" s="1594">
        <v>47.56</v>
      </c>
      <c r="AD19" s="1594" t="s">
        <v>8831</v>
      </c>
      <c r="AE19" s="1594">
        <v>47.95</v>
      </c>
      <c r="AF19" s="1594" t="s">
        <v>9198</v>
      </c>
      <c r="AG19" s="1594" t="s">
        <v>9199</v>
      </c>
      <c r="AH19" s="1594">
        <v>57.67</v>
      </c>
      <c r="AI19" s="1594" t="s">
        <v>1051</v>
      </c>
      <c r="AJ19" s="1594" t="s">
        <v>9200</v>
      </c>
      <c r="AK19" s="1594" t="s">
        <v>7333</v>
      </c>
      <c r="AL19" s="1594">
        <v>56.37</v>
      </c>
      <c r="AM19" s="1594" t="s">
        <v>9201</v>
      </c>
      <c r="AN19" s="1594">
        <v>55.92</v>
      </c>
      <c r="AO19" s="1594" t="s">
        <v>4505</v>
      </c>
      <c r="AP19" s="1594" t="s">
        <v>8698</v>
      </c>
      <c r="AQ19" s="1594" t="s">
        <v>9202</v>
      </c>
      <c r="AR19" s="1594" t="s">
        <v>7451</v>
      </c>
      <c r="AS19" s="1594">
        <v>46.83</v>
      </c>
      <c r="AT19" s="1595" t="s">
        <v>9203</v>
      </c>
      <c r="AU19" s="1531" t="s">
        <v>9204</v>
      </c>
      <c r="AV19" s="1414" t="str">
        <f t="shared" si="1"/>
        <v>1:53</v>
      </c>
      <c r="AW19" s="1541" t="s">
        <v>9205</v>
      </c>
    </row>
    <row r="20">
      <c r="A20" s="1550" t="s">
        <v>2104</v>
      </c>
      <c r="B20" s="1538" t="s">
        <v>8789</v>
      </c>
      <c r="C20" s="1596">
        <v>0.049930555555555554</v>
      </c>
      <c r="D20" s="1597" t="s">
        <v>9206</v>
      </c>
      <c r="E20" s="1531" t="s">
        <v>9207</v>
      </c>
      <c r="F20" s="1531" t="s">
        <v>4227</v>
      </c>
      <c r="G20" s="1531" t="s">
        <v>9208</v>
      </c>
      <c r="H20" s="1531" t="s">
        <v>9209</v>
      </c>
      <c r="I20" s="1531" t="s">
        <v>5762</v>
      </c>
      <c r="J20" s="1531" t="s">
        <v>6405</v>
      </c>
      <c r="K20" s="1531" t="s">
        <v>9210</v>
      </c>
      <c r="L20" s="1531" t="s">
        <v>3574</v>
      </c>
      <c r="M20" s="1531" t="s">
        <v>1091</v>
      </c>
      <c r="N20" s="1531" t="s">
        <v>9211</v>
      </c>
      <c r="O20" s="1531" t="s">
        <v>799</v>
      </c>
      <c r="P20" s="1527">
        <v>47.54</v>
      </c>
      <c r="Q20" s="1598" t="s">
        <v>5769</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2916</v>
      </c>
      <c r="AJ20" s="1527" t="s">
        <v>9222</v>
      </c>
      <c r="AK20" s="1502" t="s">
        <v>9223</v>
      </c>
      <c r="AL20" s="1598">
        <v>55.92</v>
      </c>
      <c r="AM20" s="1598" t="s">
        <v>2957</v>
      </c>
      <c r="AN20" s="1502" t="s">
        <v>5751</v>
      </c>
      <c r="AO20" s="1598" t="s">
        <v>7739</v>
      </c>
      <c r="AP20" s="1598" t="s">
        <v>9224</v>
      </c>
      <c r="AQ20" s="1598" t="s">
        <v>6928</v>
      </c>
      <c r="AR20" s="1598" t="s">
        <v>6498</v>
      </c>
      <c r="AS20" s="1599">
        <v>42.83</v>
      </c>
      <c r="AT20" s="1527" t="s">
        <v>8269</v>
      </c>
      <c r="AU20" s="1540" t="s">
        <v>9225</v>
      </c>
      <c r="AV20" s="1414" t="str">
        <f t="shared" si="1"/>
        <v>4:29</v>
      </c>
      <c r="AW20" s="1541" t="s">
        <v>9226</v>
      </c>
    </row>
    <row r="21" ht="15.75" customHeight="1">
      <c r="A21" s="1550" t="s">
        <v>2264</v>
      </c>
      <c r="B21" s="1495" t="s">
        <v>8789</v>
      </c>
      <c r="C21" s="1496">
        <v>0.0499537037037037</v>
      </c>
      <c r="D21" s="1509" t="s">
        <v>9227</v>
      </c>
      <c r="E21" s="1509" t="s">
        <v>2870</v>
      </c>
      <c r="F21" s="1509" t="s">
        <v>9228</v>
      </c>
      <c r="G21" s="1502" t="s">
        <v>9229</v>
      </c>
      <c r="H21" s="1509" t="s">
        <v>9230</v>
      </c>
      <c r="I21" s="1600" t="s">
        <v>9173</v>
      </c>
      <c r="J21" s="1509" t="s">
        <v>1421</v>
      </c>
      <c r="K21" s="1509" t="s">
        <v>5200</v>
      </c>
      <c r="L21" s="1509" t="s">
        <v>9231</v>
      </c>
      <c r="M21" s="1509" t="s">
        <v>9232</v>
      </c>
      <c r="N21" s="1509" t="s">
        <v>9233</v>
      </c>
      <c r="O21" s="1509" t="s">
        <v>9234</v>
      </c>
      <c r="P21" s="1509" t="s">
        <v>7642</v>
      </c>
      <c r="Q21" s="1509" t="s">
        <v>4619</v>
      </c>
      <c r="R21" s="1561" t="s">
        <v>9235</v>
      </c>
      <c r="S21" s="1509" t="s">
        <v>4061</v>
      </c>
      <c r="T21" s="1509" t="s">
        <v>8984</v>
      </c>
      <c r="U21" s="1509" t="s">
        <v>9236</v>
      </c>
      <c r="V21" s="1509" t="s">
        <v>9237</v>
      </c>
      <c r="W21" s="1509" t="s">
        <v>9238</v>
      </c>
      <c r="X21" s="1509" t="s">
        <v>7310</v>
      </c>
      <c r="Y21" s="1509" t="s">
        <v>4346</v>
      </c>
      <c r="Z21" s="1509" t="s">
        <v>9239</v>
      </c>
      <c r="AA21" s="1509" t="s">
        <v>7310</v>
      </c>
      <c r="AB21" s="1509" t="s">
        <v>9240</v>
      </c>
      <c r="AC21" s="1509" t="s">
        <v>5616</v>
      </c>
      <c r="AD21" s="1509" t="s">
        <v>7350</v>
      </c>
      <c r="AE21" s="1509" t="s">
        <v>5942</v>
      </c>
      <c r="AF21" s="1509" t="s">
        <v>9241</v>
      </c>
      <c r="AG21" s="1509" t="s">
        <v>5068</v>
      </c>
      <c r="AH21" s="1509" t="s">
        <v>5218</v>
      </c>
      <c r="AI21" s="1509" t="s">
        <v>9242</v>
      </c>
      <c r="AJ21" s="1501" t="s">
        <v>8807</v>
      </c>
      <c r="AK21" s="1509" t="s">
        <v>2525</v>
      </c>
      <c r="AL21" s="1509" t="s">
        <v>9243</v>
      </c>
      <c r="AM21" s="1509" t="s">
        <v>8963</v>
      </c>
      <c r="AN21" s="1509" t="s">
        <v>559</v>
      </c>
      <c r="AO21" s="1509" t="s">
        <v>9244</v>
      </c>
      <c r="AP21" s="1509" t="s">
        <v>9245</v>
      </c>
      <c r="AQ21" s="1509" t="s">
        <v>4825</v>
      </c>
      <c r="AR21" s="1509" t="s">
        <v>7452</v>
      </c>
      <c r="AS21" s="1509" t="s">
        <v>9246</v>
      </c>
      <c r="AT21" s="1509" t="s">
        <v>3113</v>
      </c>
      <c r="AU21" s="1509" t="s">
        <v>9247</v>
      </c>
      <c r="AV21" s="1414" t="str">
        <f t="shared" si="1"/>
        <v>3:21</v>
      </c>
      <c r="AW21" s="1586" t="s">
        <v>9248</v>
      </c>
    </row>
    <row r="22" ht="15.75" customHeight="1">
      <c r="A22" s="1494" t="s">
        <v>9249</v>
      </c>
      <c r="B22" s="1495" t="s">
        <v>8789</v>
      </c>
      <c r="C22" s="1496">
        <v>0.049965277777777775</v>
      </c>
      <c r="D22" s="945" t="s">
        <v>9250</v>
      </c>
      <c r="E22" s="1509" t="s">
        <v>4368</v>
      </c>
      <c r="F22" s="1509" t="s">
        <v>9251</v>
      </c>
      <c r="G22" s="1509" t="s">
        <v>9252</v>
      </c>
      <c r="H22" s="1414" t="s">
        <v>2288</v>
      </c>
      <c r="I22" s="1509" t="s">
        <v>1389</v>
      </c>
      <c r="J22" s="1509" t="s">
        <v>383</v>
      </c>
      <c r="K22" s="1509" t="s">
        <v>9253</v>
      </c>
      <c r="L22" s="1509" t="s">
        <v>5426</v>
      </c>
      <c r="M22" s="1509" t="s">
        <v>6581</v>
      </c>
      <c r="N22" s="1509" t="s">
        <v>9254</v>
      </c>
      <c r="O22" s="1509" t="s">
        <v>2604</v>
      </c>
      <c r="P22" s="1414" t="s">
        <v>5244</v>
      </c>
      <c r="Q22" s="1509" t="s">
        <v>9255</v>
      </c>
      <c r="R22" s="1509" t="s">
        <v>3291</v>
      </c>
      <c r="S22" s="1509" t="s">
        <v>7215</v>
      </c>
      <c r="T22" s="1509" t="s">
        <v>8579</v>
      </c>
      <c r="U22" s="1509" t="s">
        <v>9256</v>
      </c>
      <c r="V22" s="1509" t="s">
        <v>5040</v>
      </c>
      <c r="W22" s="1509" t="s">
        <v>9257</v>
      </c>
      <c r="X22" s="1414" t="s">
        <v>6830</v>
      </c>
      <c r="Y22" s="1414" t="s">
        <v>5515</v>
      </c>
      <c r="Z22" s="1509" t="s">
        <v>8916</v>
      </c>
      <c r="AA22" s="1509" t="s">
        <v>2330</v>
      </c>
      <c r="AB22" s="1509" t="s">
        <v>9258</v>
      </c>
      <c r="AC22" s="1509" t="s">
        <v>785</v>
      </c>
      <c r="AD22" s="1509" t="s">
        <v>5255</v>
      </c>
      <c r="AE22" s="1509" t="s">
        <v>9259</v>
      </c>
      <c r="AF22" s="1509" t="s">
        <v>946</v>
      </c>
      <c r="AG22" s="1509" t="s">
        <v>9260</v>
      </c>
      <c r="AH22" s="1509" t="s">
        <v>6144</v>
      </c>
      <c r="AI22" s="1509" t="s">
        <v>690</v>
      </c>
      <c r="AJ22" s="1414" t="s">
        <v>9261</v>
      </c>
      <c r="AK22" s="1577" t="s">
        <v>7124</v>
      </c>
      <c r="AL22" s="1509" t="s">
        <v>4611</v>
      </c>
      <c r="AM22" s="1509" t="s">
        <v>3707</v>
      </c>
      <c r="AN22" s="1414" t="s">
        <v>6278</v>
      </c>
      <c r="AO22" s="1414" t="s">
        <v>7452</v>
      </c>
      <c r="AP22" s="1414" t="s">
        <v>9262</v>
      </c>
      <c r="AQ22" s="1414" t="s">
        <v>8899</v>
      </c>
      <c r="AR22" s="1414" t="s">
        <v>493</v>
      </c>
      <c r="AS22" s="1414" t="s">
        <v>5857</v>
      </c>
      <c r="AT22" s="1414" t="s">
        <v>9147</v>
      </c>
      <c r="AU22" s="1509" t="s">
        <v>9263</v>
      </c>
      <c r="AV22" s="1414" t="str">
        <f t="shared" si="1"/>
        <v>3:46</v>
      </c>
      <c r="AW22" s="1583" t="s">
        <v>8347</v>
      </c>
    </row>
    <row r="23" ht="15.75" customHeight="1">
      <c r="A23" s="1601" t="s">
        <v>6335</v>
      </c>
      <c r="B23" s="1495" t="s">
        <v>8789</v>
      </c>
      <c r="C23" s="1496">
        <v>0.05</v>
      </c>
      <c r="D23" s="945" t="s">
        <v>9264</v>
      </c>
      <c r="E23" s="1509" t="s">
        <v>8588</v>
      </c>
      <c r="F23" s="1509" t="s">
        <v>9228</v>
      </c>
      <c r="G23" s="1414" t="s">
        <v>9265</v>
      </c>
      <c r="H23" s="1509" t="s">
        <v>9266</v>
      </c>
      <c r="I23" s="1414" t="s">
        <v>1849</v>
      </c>
      <c r="J23" s="1509" t="s">
        <v>2858</v>
      </c>
      <c r="K23" s="1509" t="s">
        <v>9267</v>
      </c>
      <c r="L23" s="1509" t="s">
        <v>3311</v>
      </c>
      <c r="M23" s="1509" t="s">
        <v>9268</v>
      </c>
      <c r="N23" s="1509" t="s">
        <v>9269</v>
      </c>
      <c r="O23" s="1509" t="s">
        <v>9215</v>
      </c>
      <c r="P23" s="1414" t="s">
        <v>4010</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4984</v>
      </c>
      <c r="AD23" s="1509" t="s">
        <v>9277</v>
      </c>
      <c r="AE23" s="1414" t="s">
        <v>5503</v>
      </c>
      <c r="AF23" s="1602" t="s">
        <v>8805</v>
      </c>
      <c r="AG23" s="1509" t="s">
        <v>609</v>
      </c>
      <c r="AH23" s="1509" t="s">
        <v>7905</v>
      </c>
      <c r="AI23" s="1509" t="s">
        <v>311</v>
      </c>
      <c r="AJ23" s="1414" t="s">
        <v>9278</v>
      </c>
      <c r="AK23" s="1509" t="s">
        <v>9279</v>
      </c>
      <c r="AL23" s="1414" t="s">
        <v>3259</v>
      </c>
      <c r="AM23" s="1509" t="s">
        <v>2056</v>
      </c>
      <c r="AN23" s="1414" t="s">
        <v>2622</v>
      </c>
      <c r="AO23" s="1509" t="s">
        <v>3480</v>
      </c>
      <c r="AP23" s="1509" t="s">
        <v>9280</v>
      </c>
      <c r="AQ23" s="1414" t="s">
        <v>9281</v>
      </c>
      <c r="AR23" s="1509" t="s">
        <v>1672</v>
      </c>
      <c r="AS23" s="1414" t="s">
        <v>9154</v>
      </c>
      <c r="AT23" s="1509" t="s">
        <v>9282</v>
      </c>
      <c r="AU23" s="1509" t="s">
        <v>9283</v>
      </c>
      <c r="AV23" s="1414" t="str">
        <f t="shared" si="1"/>
        <v>1:53</v>
      </c>
      <c r="AW23" s="1583"/>
    </row>
    <row r="24" ht="15.75" customHeight="1">
      <c r="A24" s="1550" t="s">
        <v>2638</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2495</v>
      </c>
      <c r="O24" s="945" t="s">
        <v>9290</v>
      </c>
      <c r="P24" s="1556" t="s">
        <v>5503</v>
      </c>
      <c r="Q24" s="1556" t="s">
        <v>5825</v>
      </c>
      <c r="R24" s="945" t="s">
        <v>6729</v>
      </c>
      <c r="S24" s="1556" t="s">
        <v>337</v>
      </c>
      <c r="T24" s="1556" t="s">
        <v>8827</v>
      </c>
      <c r="U24" s="945" t="s">
        <v>9291</v>
      </c>
      <c r="V24" s="1556" t="s">
        <v>8828</v>
      </c>
      <c r="W24" s="945" t="s">
        <v>6696</v>
      </c>
      <c r="X24" s="945" t="s">
        <v>5866</v>
      </c>
      <c r="Y24" s="945" t="s">
        <v>5136</v>
      </c>
      <c r="Z24" s="945" t="s">
        <v>1132</v>
      </c>
      <c r="AA24" s="945" t="s">
        <v>9292</v>
      </c>
      <c r="AB24" s="945" t="s">
        <v>2513</v>
      </c>
      <c r="AC24" s="945" t="s">
        <v>1834</v>
      </c>
      <c r="AD24" s="945" t="s">
        <v>6291</v>
      </c>
      <c r="AE24" s="945" t="s">
        <v>3305</v>
      </c>
      <c r="AF24" s="945" t="s">
        <v>8835</v>
      </c>
      <c r="AG24" s="945" t="s">
        <v>9293</v>
      </c>
      <c r="AH24" s="945" t="s">
        <v>5023</v>
      </c>
      <c r="AI24" s="945" t="s">
        <v>3415</v>
      </c>
      <c r="AJ24" s="945" t="s">
        <v>9294</v>
      </c>
      <c r="AK24" s="945" t="s">
        <v>9295</v>
      </c>
      <c r="AL24" s="945" t="s">
        <v>9296</v>
      </c>
      <c r="AM24" s="945" t="s">
        <v>9297</v>
      </c>
      <c r="AN24" s="945" t="s">
        <v>4409</v>
      </c>
      <c r="AO24" s="945" t="s">
        <v>6859</v>
      </c>
      <c r="AP24" s="945" t="s">
        <v>9298</v>
      </c>
      <c r="AQ24" s="945" t="s">
        <v>9299</v>
      </c>
      <c r="AR24" s="945" t="s">
        <v>9300</v>
      </c>
      <c r="AS24" s="945" t="s">
        <v>4663</v>
      </c>
      <c r="AT24" s="945" t="s">
        <v>2769</v>
      </c>
      <c r="AU24" s="1577" t="s">
        <v>8841</v>
      </c>
      <c r="AV24" s="1414" t="str">
        <f t="shared" si="1"/>
        <v>2:51</v>
      </c>
      <c r="AW24" s="1603"/>
    </row>
    <row r="25">
      <c r="A25" s="1550" t="s">
        <v>7431</v>
      </c>
      <c r="B25" s="1548" t="s">
        <v>8817</v>
      </c>
      <c r="C25" s="1496">
        <v>0.05016203703703704</v>
      </c>
      <c r="D25" s="1527" t="s">
        <v>9301</v>
      </c>
      <c r="E25" s="1604" t="s">
        <v>6667</v>
      </c>
      <c r="F25" s="1527" t="s">
        <v>9302</v>
      </c>
      <c r="G25" s="1527" t="s">
        <v>9303</v>
      </c>
      <c r="H25" s="1527" t="s">
        <v>9304</v>
      </c>
      <c r="I25" s="1527" t="s">
        <v>5347</v>
      </c>
      <c r="J25" s="1527" t="s">
        <v>9305</v>
      </c>
      <c r="K25" s="1527" t="s">
        <v>9306</v>
      </c>
      <c r="L25" s="945" t="s">
        <v>5131</v>
      </c>
      <c r="M25" s="1556" t="s">
        <v>8824</v>
      </c>
      <c r="N25" s="1527" t="s">
        <v>9307</v>
      </c>
      <c r="O25" s="1527" t="s">
        <v>9308</v>
      </c>
      <c r="P25" s="1527" t="s">
        <v>5917</v>
      </c>
      <c r="Q25" s="1527" t="s">
        <v>2735</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4289</v>
      </c>
      <c r="AI25" s="1509" t="s">
        <v>4155</v>
      </c>
      <c r="AJ25" s="1527" t="s">
        <v>9318</v>
      </c>
      <c r="AK25" s="1527" t="s">
        <v>9319</v>
      </c>
      <c r="AL25" s="1527" t="s">
        <v>2508</v>
      </c>
      <c r="AM25" s="1527" t="s">
        <v>4066</v>
      </c>
      <c r="AN25" s="1527" t="s">
        <v>6054</v>
      </c>
      <c r="AO25" s="1527" t="s">
        <v>9320</v>
      </c>
      <c r="AP25" s="1527" t="s">
        <v>9321</v>
      </c>
      <c r="AQ25" s="1527" t="s">
        <v>4051</v>
      </c>
      <c r="AR25" s="1527" t="s">
        <v>2784</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5179</v>
      </c>
      <c r="M26" s="1605" t="str">
        <f>HYPERLINK("https://youtu.be/teAIifUZjFw","1:14.18")</f>
        <v>1:14.18</v>
      </c>
      <c r="N26" s="1588" t="s">
        <v>3769</v>
      </c>
      <c r="O26" s="1588" t="s">
        <v>9329</v>
      </c>
      <c r="P26" s="1588" t="s">
        <v>2095</v>
      </c>
      <c r="Q26" s="1589" t="s">
        <v>9330</v>
      </c>
      <c r="R26" s="1561" t="s">
        <v>9331</v>
      </c>
      <c r="S26" s="1561" t="s">
        <v>5461</v>
      </c>
      <c r="T26" s="1606" t="str">
        <f>HYPERLINK("https://youtu.be/AiXricVH5ss","1:24.99")</f>
        <v>1:24.99</v>
      </c>
      <c r="U26" s="1607" t="str">
        <f>HYPERLINK("https://www.twitch.tv/videos/450151935","2:00.31")</f>
        <v>2:00.31</v>
      </c>
      <c r="V26" s="1561" t="s">
        <v>9075</v>
      </c>
      <c r="W26" s="1608" t="str">
        <f>HYPERLINK("https://youtu.be/eafNhBoXVWA","1:46.09")</f>
        <v>1:46.09</v>
      </c>
      <c r="X26" s="1590" t="s">
        <v>4471</v>
      </c>
      <c r="Y26" s="1590" t="s">
        <v>9046</v>
      </c>
      <c r="Z26" s="1590" t="s">
        <v>9332</v>
      </c>
      <c r="AA26" s="1576" t="s">
        <v>9010</v>
      </c>
      <c r="AB26" s="1590" t="s">
        <v>7158</v>
      </c>
      <c r="AC26" s="1590" t="s">
        <v>7178</v>
      </c>
      <c r="AD26" s="1609" t="str">
        <f>HYPERLINK("https://youtu.be/8FEcTKESSh0","1:49.80")</f>
        <v>1:49.80</v>
      </c>
      <c r="AE26" s="1574" t="s">
        <v>6585</v>
      </c>
      <c r="AF26" s="1591" t="s">
        <v>9333</v>
      </c>
      <c r="AG26" s="1591" t="s">
        <v>9334</v>
      </c>
      <c r="AH26" s="1591" t="s">
        <v>9335</v>
      </c>
      <c r="AI26" s="1591" t="s">
        <v>4067</v>
      </c>
      <c r="AJ26" s="1591" t="s">
        <v>9336</v>
      </c>
      <c r="AK26" s="1577" t="s">
        <v>9213</v>
      </c>
      <c r="AL26" s="1591" t="s">
        <v>9337</v>
      </c>
      <c r="AM26" s="1579" t="s">
        <v>9180</v>
      </c>
      <c r="AN26" s="1579" t="s">
        <v>8580</v>
      </c>
      <c r="AO26" s="1579" t="s">
        <v>9300</v>
      </c>
      <c r="AP26" s="1578" t="s">
        <v>9338</v>
      </c>
      <c r="AQ26" s="1578" t="s">
        <v>9339</v>
      </c>
      <c r="AR26" s="1579" t="s">
        <v>9340</v>
      </c>
      <c r="AS26" s="1578" t="s">
        <v>5563</v>
      </c>
      <c r="AT26" s="1605" t="str">
        <f>HYPERLINK("https://youtu.be/xDirVtS1AZ4?t=4416","2:27.45")</f>
        <v>2:27.45</v>
      </c>
      <c r="AU26" s="1592" t="s">
        <v>9341</v>
      </c>
      <c r="AV26" s="1414" t="str">
        <f t="shared" si="1"/>
        <v>2:34</v>
      </c>
      <c r="AW26" s="1547" t="s">
        <v>9342</v>
      </c>
    </row>
    <row r="27">
      <c r="A27" s="1550" t="s">
        <v>6936</v>
      </c>
      <c r="B27" s="1548" t="s">
        <v>8789</v>
      </c>
      <c r="C27" s="1496">
        <v>0.0502662037037037</v>
      </c>
      <c r="D27" s="945" t="s">
        <v>9343</v>
      </c>
      <c r="E27" s="1509" t="s">
        <v>9000</v>
      </c>
      <c r="F27" s="1509" t="s">
        <v>9344</v>
      </c>
      <c r="G27" s="1509" t="s">
        <v>9345</v>
      </c>
      <c r="H27" s="1509" t="s">
        <v>9346</v>
      </c>
      <c r="I27" s="945" t="s">
        <v>265</v>
      </c>
      <c r="J27" s="945" t="s">
        <v>6158</v>
      </c>
      <c r="K27" s="1509" t="s">
        <v>9267</v>
      </c>
      <c r="L27" s="1509" t="s">
        <v>3574</v>
      </c>
      <c r="M27" s="945" t="s">
        <v>2718</v>
      </c>
      <c r="N27" s="1509" t="s">
        <v>9347</v>
      </c>
      <c r="O27" s="1509" t="s">
        <v>9348</v>
      </c>
      <c r="P27" s="945" t="s">
        <v>9349</v>
      </c>
      <c r="Q27" s="1509" t="s">
        <v>9350</v>
      </c>
      <c r="R27" s="945" t="s">
        <v>9351</v>
      </c>
      <c r="S27" s="1509" t="s">
        <v>9352</v>
      </c>
      <c r="T27" s="945" t="s">
        <v>9353</v>
      </c>
      <c r="U27" s="1509" t="s">
        <v>1031</v>
      </c>
      <c r="V27" s="945" t="s">
        <v>5040</v>
      </c>
      <c r="W27" s="945" t="s">
        <v>6698</v>
      </c>
      <c r="X27" s="945" t="s">
        <v>6830</v>
      </c>
      <c r="Y27" s="945" t="s">
        <v>883</v>
      </c>
      <c r="Z27" s="945" t="s">
        <v>9354</v>
      </c>
      <c r="AA27" s="1509" t="s">
        <v>9355</v>
      </c>
      <c r="AB27" s="945" t="s">
        <v>7177</v>
      </c>
      <c r="AC27" s="1509" t="s">
        <v>9288</v>
      </c>
      <c r="AD27" s="945" t="s">
        <v>6317</v>
      </c>
      <c r="AE27" s="1509" t="s">
        <v>8920</v>
      </c>
      <c r="AF27" s="1509" t="s">
        <v>9356</v>
      </c>
      <c r="AG27" s="945" t="s">
        <v>1992</v>
      </c>
      <c r="AH27" s="945" t="s">
        <v>2629</v>
      </c>
      <c r="AI27" s="1509" t="s">
        <v>9357</v>
      </c>
      <c r="AJ27" s="945" t="s">
        <v>9358</v>
      </c>
      <c r="AK27" s="945" t="s">
        <v>8894</v>
      </c>
      <c r="AL27" s="945" t="s">
        <v>4611</v>
      </c>
      <c r="AM27" s="945" t="s">
        <v>9359</v>
      </c>
      <c r="AN27" s="945" t="s">
        <v>4611</v>
      </c>
      <c r="AO27" s="945" t="s">
        <v>1846</v>
      </c>
      <c r="AP27" s="1509" t="s">
        <v>9360</v>
      </c>
      <c r="AQ27" s="945" t="s">
        <v>2227</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6074</v>
      </c>
      <c r="L28" s="1558" t="s">
        <v>3545</v>
      </c>
      <c r="M28" s="1558" t="s">
        <v>8910</v>
      </c>
      <c r="N28" s="1558" t="s">
        <v>7064</v>
      </c>
      <c r="O28" s="1558" t="s">
        <v>4143</v>
      </c>
      <c r="P28" s="1558" t="s">
        <v>4752</v>
      </c>
      <c r="Q28" s="1561" t="s">
        <v>9369</v>
      </c>
      <c r="R28" s="1561" t="s">
        <v>9370</v>
      </c>
      <c r="S28" s="1561" t="s">
        <v>551</v>
      </c>
      <c r="T28" s="1561" t="s">
        <v>9371</v>
      </c>
      <c r="U28" s="1561" t="s">
        <v>9372</v>
      </c>
      <c r="V28" s="1561" t="s">
        <v>9373</v>
      </c>
      <c r="W28" s="1576" t="s">
        <v>9374</v>
      </c>
      <c r="X28" s="1576" t="s">
        <v>4471</v>
      </c>
      <c r="Y28" s="1576" t="s">
        <v>1551</v>
      </c>
      <c r="Z28" s="1576" t="s">
        <v>2401</v>
      </c>
      <c r="AA28" s="1576" t="s">
        <v>9375</v>
      </c>
      <c r="AB28" s="1576" t="s">
        <v>3798</v>
      </c>
      <c r="AC28" s="1576" t="s">
        <v>9376</v>
      </c>
      <c r="AD28" s="1574" t="s">
        <v>9377</v>
      </c>
      <c r="AE28" s="1574" t="s">
        <v>5942</v>
      </c>
      <c r="AF28" s="1577" t="s">
        <v>9378</v>
      </c>
      <c r="AG28" s="1577" t="s">
        <v>7380</v>
      </c>
      <c r="AH28" s="1577" t="s">
        <v>9379</v>
      </c>
      <c r="AI28" s="1577" t="s">
        <v>5150</v>
      </c>
      <c r="AJ28" s="1577" t="s">
        <v>9380</v>
      </c>
      <c r="AK28" s="1577" t="s">
        <v>9381</v>
      </c>
      <c r="AL28" s="1577" t="s">
        <v>9382</v>
      </c>
      <c r="AM28" s="1579" t="s">
        <v>9096</v>
      </c>
      <c r="AN28" s="1579" t="s">
        <v>9383</v>
      </c>
      <c r="AO28" s="1579" t="s">
        <v>3206</v>
      </c>
      <c r="AP28" s="1579" t="s">
        <v>9384</v>
      </c>
      <c r="AQ28" s="1579" t="s">
        <v>9385</v>
      </c>
      <c r="AR28" s="1579" t="s">
        <v>3008</v>
      </c>
      <c r="AS28" s="1579" t="s">
        <v>304</v>
      </c>
      <c r="AT28" s="1558" t="s">
        <v>9386</v>
      </c>
      <c r="AU28" s="1540" t="s">
        <v>9387</v>
      </c>
      <c r="AV28" s="1414" t="str">
        <f t="shared" si="1"/>
        <v>2:59</v>
      </c>
      <c r="AW28" s="1541" t="s">
        <v>9388</v>
      </c>
    </row>
    <row r="29">
      <c r="A29" s="1611" t="s">
        <v>2672</v>
      </c>
      <c r="B29" s="1538" t="s">
        <v>8817</v>
      </c>
      <c r="C29" s="1612">
        <v>0.050373842592592595</v>
      </c>
      <c r="D29" s="945" t="s">
        <v>9389</v>
      </c>
      <c r="E29" s="1574" t="s">
        <v>7052</v>
      </c>
      <c r="F29" s="1574" t="s">
        <v>1149</v>
      </c>
      <c r="G29" s="1574" t="s">
        <v>9390</v>
      </c>
      <c r="H29" s="945" t="s">
        <v>1659</v>
      </c>
      <c r="I29" s="808" t="s">
        <v>1352</v>
      </c>
      <c r="J29" s="1558" t="s">
        <v>9391</v>
      </c>
      <c r="K29" s="1558" t="s">
        <v>9392</v>
      </c>
      <c r="L29" s="1558" t="s">
        <v>9393</v>
      </c>
      <c r="M29" s="1558" t="s">
        <v>9394</v>
      </c>
      <c r="N29" s="1558" t="s">
        <v>3645</v>
      </c>
      <c r="O29" s="1558" t="s">
        <v>9290</v>
      </c>
      <c r="P29" s="1558" t="s">
        <v>1863</v>
      </c>
      <c r="Q29" s="1561" t="s">
        <v>6264</v>
      </c>
      <c r="R29" s="1561" t="s">
        <v>2671</v>
      </c>
      <c r="S29" s="1561" t="s">
        <v>2642</v>
      </c>
      <c r="T29" s="1613" t="s">
        <v>9395</v>
      </c>
      <c r="U29" s="1613" t="s">
        <v>7311</v>
      </c>
      <c r="V29" s="1613" t="s">
        <v>6801</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2696</v>
      </c>
      <c r="AH29" s="1175" t="s">
        <v>9402</v>
      </c>
      <c r="AI29" s="1577" t="s">
        <v>509</v>
      </c>
      <c r="AJ29" s="1577" t="s">
        <v>9403</v>
      </c>
      <c r="AK29" s="1577" t="s">
        <v>9404</v>
      </c>
      <c r="AL29" s="1577" t="s">
        <v>4559</v>
      </c>
      <c r="AM29" s="1579" t="s">
        <v>9405</v>
      </c>
      <c r="AN29" s="1579" t="s">
        <v>4137</v>
      </c>
      <c r="AO29" s="1579" t="s">
        <v>9406</v>
      </c>
      <c r="AP29" s="1579" t="s">
        <v>9407</v>
      </c>
      <c r="AQ29" s="1579" t="s">
        <v>9299</v>
      </c>
      <c r="AR29" s="1579" t="s">
        <v>3008</v>
      </c>
      <c r="AS29" s="1579" t="s">
        <v>1143</v>
      </c>
      <c r="AT29" s="1558" t="s">
        <v>2662</v>
      </c>
      <c r="AU29" s="1614" t="s">
        <v>9408</v>
      </c>
      <c r="AV29" s="1615" t="str">
        <f t="shared" si="1"/>
        <v>2:15</v>
      </c>
      <c r="AW29" s="1616"/>
    </row>
    <row r="30" ht="15.75" customHeight="1">
      <c r="A30" s="1494" t="s">
        <v>9409</v>
      </c>
      <c r="B30" s="1584" t="s">
        <v>8817</v>
      </c>
      <c r="C30" s="1496">
        <v>0.05042824074074074</v>
      </c>
      <c r="D30" s="945" t="s">
        <v>9134</v>
      </c>
      <c r="E30" s="1574" t="s">
        <v>6349</v>
      </c>
      <c r="F30" s="1574" t="s">
        <v>9410</v>
      </c>
      <c r="G30" s="1587" t="s">
        <v>9411</v>
      </c>
      <c r="H30" s="873" t="s">
        <v>9412</v>
      </c>
      <c r="I30" s="808" t="s">
        <v>3357</v>
      </c>
      <c r="J30" s="1558" t="s">
        <v>4859</v>
      </c>
      <c r="K30" s="1558" t="s">
        <v>9306</v>
      </c>
      <c r="L30" s="1558" t="s">
        <v>2470</v>
      </c>
      <c r="M30" s="1558" t="s">
        <v>1980</v>
      </c>
      <c r="N30" s="1558" t="s">
        <v>4186</v>
      </c>
      <c r="O30" s="1558" t="s">
        <v>9413</v>
      </c>
      <c r="P30" s="1588" t="s">
        <v>760</v>
      </c>
      <c r="Q30" s="1561" t="s">
        <v>9414</v>
      </c>
      <c r="R30" s="1561" t="s">
        <v>3430</v>
      </c>
      <c r="S30" s="1561" t="s">
        <v>7135</v>
      </c>
      <c r="T30" s="1589" t="s">
        <v>3207</v>
      </c>
      <c r="U30" s="1561" t="s">
        <v>8961</v>
      </c>
      <c r="V30" s="1589" t="s">
        <v>5007</v>
      </c>
      <c r="W30" s="1590" t="s">
        <v>6892</v>
      </c>
      <c r="X30" s="1576" t="s">
        <v>2601</v>
      </c>
      <c r="Y30" s="1590" t="s">
        <v>9415</v>
      </c>
      <c r="Z30" s="1576" t="s">
        <v>9416</v>
      </c>
      <c r="AA30" s="1590" t="s">
        <v>9417</v>
      </c>
      <c r="AB30" s="945" t="s">
        <v>6971</v>
      </c>
      <c r="AC30" s="1590" t="s">
        <v>3684</v>
      </c>
      <c r="AD30" s="1566" t="s">
        <v>8831</v>
      </c>
      <c r="AE30" s="1574" t="s">
        <v>3305</v>
      </c>
      <c r="AF30" s="1577" t="s">
        <v>9418</v>
      </c>
      <c r="AG30" s="1591" t="s">
        <v>3990</v>
      </c>
      <c r="AH30" s="1591" t="s">
        <v>6140</v>
      </c>
      <c r="AI30" s="1414" t="s">
        <v>9355</v>
      </c>
      <c r="AJ30" s="1591" t="s">
        <v>9419</v>
      </c>
      <c r="AK30" s="1617" t="s">
        <v>8836</v>
      </c>
      <c r="AL30" s="1591" t="s">
        <v>3689</v>
      </c>
      <c r="AM30" s="1579" t="s">
        <v>9420</v>
      </c>
      <c r="AN30" s="1579" t="s">
        <v>5118</v>
      </c>
      <c r="AO30" s="1579" t="s">
        <v>2016</v>
      </c>
      <c r="AP30" s="1579" t="s">
        <v>9421</v>
      </c>
      <c r="AQ30" s="1578" t="s">
        <v>9422</v>
      </c>
      <c r="AR30" s="1578" t="s">
        <v>3734</v>
      </c>
      <c r="AS30" s="1578" t="s">
        <v>5216</v>
      </c>
      <c r="AT30" s="1558" t="s">
        <v>9423</v>
      </c>
      <c r="AU30" s="1540" t="s">
        <v>9424</v>
      </c>
      <c r="AV30" s="1414" t="str">
        <f t="shared" si="1"/>
        <v>2:55</v>
      </c>
      <c r="AW30" s="1616"/>
    </row>
    <row r="31" ht="15.75" customHeight="1">
      <c r="A31" s="1494" t="s">
        <v>4339</v>
      </c>
      <c r="B31" s="1495" t="s">
        <v>8789</v>
      </c>
      <c r="C31" s="1618">
        <v>0.05043981481481481</v>
      </c>
      <c r="D31" s="945" t="s">
        <v>9425</v>
      </c>
      <c r="E31" s="1414" t="s">
        <v>6864</v>
      </c>
      <c r="F31" s="1414" t="s">
        <v>1578</v>
      </c>
      <c r="G31" s="1414" t="s">
        <v>9426</v>
      </c>
      <c r="H31" s="1414" t="s">
        <v>9023</v>
      </c>
      <c r="I31" s="1414" t="s">
        <v>4716</v>
      </c>
      <c r="J31" s="1414" t="s">
        <v>4481</v>
      </c>
      <c r="K31" s="1414" t="s">
        <v>9253</v>
      </c>
      <c r="L31" s="1414" t="s">
        <v>3938</v>
      </c>
      <c r="M31" s="1414" t="s">
        <v>9427</v>
      </c>
      <c r="N31" s="1414" t="s">
        <v>8827</v>
      </c>
      <c r="O31" s="1414" t="s">
        <v>9428</v>
      </c>
      <c r="P31" s="1414" t="s">
        <v>5379</v>
      </c>
      <c r="Q31" s="1414" t="s">
        <v>9429</v>
      </c>
      <c r="R31" s="1414" t="s">
        <v>9430</v>
      </c>
      <c r="S31" s="1414" t="s">
        <v>9431</v>
      </c>
      <c r="T31" s="1414" t="s">
        <v>9432</v>
      </c>
      <c r="U31" s="1414" t="s">
        <v>9433</v>
      </c>
      <c r="V31" s="1414" t="s">
        <v>2284</v>
      </c>
      <c r="W31" s="1414" t="s">
        <v>9434</v>
      </c>
      <c r="X31" s="1414" t="s">
        <v>9435</v>
      </c>
      <c r="Y31" s="1414" t="s">
        <v>9274</v>
      </c>
      <c r="Z31" s="1414" t="s">
        <v>1132</v>
      </c>
      <c r="AA31" s="1414" t="s">
        <v>3415</v>
      </c>
      <c r="AB31" s="1414" t="s">
        <v>4859</v>
      </c>
      <c r="AC31" s="1414" t="s">
        <v>7178</v>
      </c>
      <c r="AD31" s="1414" t="s">
        <v>6291</v>
      </c>
      <c r="AE31" s="1414" t="s">
        <v>5532</v>
      </c>
      <c r="AF31" s="1414" t="s">
        <v>9436</v>
      </c>
      <c r="AG31" s="1414" t="s">
        <v>5932</v>
      </c>
      <c r="AH31" s="1414" t="s">
        <v>4095</v>
      </c>
      <c r="AI31" s="1414" t="s">
        <v>5150</v>
      </c>
      <c r="AJ31" s="1414" t="s">
        <v>9437</v>
      </c>
      <c r="AK31" s="1414" t="s">
        <v>9438</v>
      </c>
      <c r="AL31" s="1414" t="s">
        <v>6011</v>
      </c>
      <c r="AM31" s="1414" t="s">
        <v>1232</v>
      </c>
      <c r="AN31" s="1414" t="s">
        <v>4189</v>
      </c>
      <c r="AO31" s="1414" t="s">
        <v>9439</v>
      </c>
      <c r="AP31" s="1529" t="str">
        <f>HYPERLINK("https://www.twitch.tv/videos/511415405","2:00.79")</f>
        <v>2:00.79</v>
      </c>
      <c r="AQ31" s="1414" t="s">
        <v>3599</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4" t="s">
        <v>9443</v>
      </c>
      <c r="E32" s="1574" t="s">
        <v>4265</v>
      </c>
      <c r="F32" s="1574" t="s">
        <v>9444</v>
      </c>
      <c r="G32" s="1574" t="s">
        <v>9445</v>
      </c>
      <c r="H32" s="945" t="s">
        <v>9446</v>
      </c>
      <c r="I32" s="808" t="s">
        <v>928</v>
      </c>
      <c r="J32" s="1558" t="s">
        <v>5895</v>
      </c>
      <c r="K32" s="1558" t="s">
        <v>7399</v>
      </c>
      <c r="L32" s="1558" t="s">
        <v>6542</v>
      </c>
      <c r="M32" s="1558" t="s">
        <v>5031</v>
      </c>
      <c r="N32" s="1558" t="s">
        <v>9447</v>
      </c>
      <c r="O32" s="1558" t="s">
        <v>9448</v>
      </c>
      <c r="P32" s="1558" t="s">
        <v>9173</v>
      </c>
      <c r="Q32" s="1561" t="s">
        <v>171</v>
      </c>
      <c r="R32" s="1561" t="s">
        <v>4805</v>
      </c>
      <c r="S32" s="1561" t="s">
        <v>9319</v>
      </c>
      <c r="T32" s="1561" t="s">
        <v>9449</v>
      </c>
      <c r="U32" s="1561" t="s">
        <v>9450</v>
      </c>
      <c r="V32" s="1561" t="s">
        <v>9451</v>
      </c>
      <c r="W32" s="1576" t="s">
        <v>9452</v>
      </c>
      <c r="X32" s="1576" t="s">
        <v>9453</v>
      </c>
      <c r="Y32" s="1576" t="s">
        <v>7967</v>
      </c>
      <c r="Z32" s="1576" t="s">
        <v>9454</v>
      </c>
      <c r="AA32" s="1509" t="s">
        <v>9455</v>
      </c>
      <c r="AB32" s="1576" t="s">
        <v>3397</v>
      </c>
      <c r="AC32" s="1576" t="s">
        <v>1046</v>
      </c>
      <c r="AD32" s="1574" t="s">
        <v>9456</v>
      </c>
      <c r="AE32" s="1574" t="s">
        <v>2223</v>
      </c>
      <c r="AF32" s="1577" t="s">
        <v>9457</v>
      </c>
      <c r="AG32" s="1577" t="s">
        <v>530</v>
      </c>
      <c r="AH32" s="1577" t="s">
        <v>9458</v>
      </c>
      <c r="AI32" s="1577" t="s">
        <v>2666</v>
      </c>
      <c r="AJ32" s="1577" t="s">
        <v>9459</v>
      </c>
      <c r="AK32" s="1577" t="s">
        <v>6946</v>
      </c>
      <c r="AL32" s="1577" t="s">
        <v>2879</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6498</v>
      </c>
      <c r="K33" s="1558" t="s">
        <v>7450</v>
      </c>
      <c r="L33" s="1605" t="str">
        <f>HYPERLINK("https://www.youtube.com/watch?v=tJdjPKdAbw4","57.01")</f>
        <v>57.01</v>
      </c>
      <c r="M33" s="1588" t="s">
        <v>6763</v>
      </c>
      <c r="N33" s="1558" t="s">
        <v>2303</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3303</v>
      </c>
      <c r="X33" s="1590" t="s">
        <v>6946</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7178</v>
      </c>
      <c r="AD33" s="1609" t="str">
        <f>HYPERLINK("https://www.youtube.com/watch?v=ikF77QyREZg","1:50.30")</f>
        <v>1:50.30</v>
      </c>
      <c r="AE33" s="1587" t="s">
        <v>9173</v>
      </c>
      <c r="AF33" s="1591" t="s">
        <v>9472</v>
      </c>
      <c r="AG33" s="1620" t="str">
        <f>HYPERLINK("https://www.youtube.com/watch?v=KXwTRrVVluY","1:30.62")</f>
        <v>1:30.62</v>
      </c>
      <c r="AH33" s="1591" t="s">
        <v>3045</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5554</v>
      </c>
      <c r="AT33" s="1605" t="str">
        <f>HYPERLINK("https://www.youtube.com/watch?v=H67SXBLcISI","2:29.09")</f>
        <v>2:29.09</v>
      </c>
      <c r="AU33" s="1592" t="s">
        <v>9479</v>
      </c>
      <c r="AV33" s="1414" t="str">
        <f t="shared" si="1"/>
        <v>2:03</v>
      </c>
      <c r="AW33" s="1622" t="s">
        <v>9480</v>
      </c>
    </row>
    <row r="34">
      <c r="A34" s="1550" t="s">
        <v>3088</v>
      </c>
      <c r="B34" s="1538" t="s">
        <v>8817</v>
      </c>
      <c r="C34" s="1496">
        <v>0.050520833333333334</v>
      </c>
      <c r="D34" s="1574" t="s">
        <v>9481</v>
      </c>
      <c r="E34" s="1597" t="s">
        <v>4597</v>
      </c>
      <c r="F34" s="1597" t="s">
        <v>8838</v>
      </c>
      <c r="G34" s="1574" t="s">
        <v>9482</v>
      </c>
      <c r="H34" s="1597" t="s">
        <v>9483</v>
      </c>
      <c r="I34" s="1597" t="s">
        <v>3112</v>
      </c>
      <c r="J34" s="1558" t="s">
        <v>9484</v>
      </c>
      <c r="K34" s="1623" t="s">
        <v>9485</v>
      </c>
      <c r="L34" s="1558" t="s">
        <v>9486</v>
      </c>
      <c r="M34" s="1502" t="s">
        <v>5839</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4139</v>
      </c>
      <c r="AC34" s="1576" t="s">
        <v>943</v>
      </c>
      <c r="AD34" s="1574" t="s">
        <v>3917</v>
      </c>
      <c r="AE34" s="1574" t="s">
        <v>5917</v>
      </c>
      <c r="AF34" s="1577" t="s">
        <v>9493</v>
      </c>
      <c r="AG34" s="1597" t="s">
        <v>4633</v>
      </c>
      <c r="AH34" s="1577" t="s">
        <v>9494</v>
      </c>
      <c r="AI34" s="1577" t="s">
        <v>7740</v>
      </c>
      <c r="AJ34" s="1577" t="s">
        <v>9495</v>
      </c>
      <c r="AK34" s="1577" t="s">
        <v>9496</v>
      </c>
      <c r="AL34" s="1577" t="s">
        <v>9497</v>
      </c>
      <c r="AM34" s="1579" t="s">
        <v>3207</v>
      </c>
      <c r="AN34" s="1579" t="s">
        <v>9176</v>
      </c>
      <c r="AO34" s="1579" t="s">
        <v>3008</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3200</v>
      </c>
      <c r="N35" s="1558" t="s">
        <v>9513</v>
      </c>
      <c r="O35" s="1558" t="s">
        <v>9413</v>
      </c>
      <c r="P35" s="1558" t="s">
        <v>4904</v>
      </c>
      <c r="Q35" s="1561" t="s">
        <v>9514</v>
      </c>
      <c r="R35" s="1561" t="s">
        <v>2671</v>
      </c>
      <c r="S35" s="1561" t="s">
        <v>9515</v>
      </c>
      <c r="T35" s="1561" t="s">
        <v>9405</v>
      </c>
      <c r="U35" s="1561" t="s">
        <v>9516</v>
      </c>
      <c r="V35" s="1561" t="s">
        <v>9075</v>
      </c>
      <c r="W35" s="1576" t="s">
        <v>9517</v>
      </c>
      <c r="X35" s="1576" t="s">
        <v>9518</v>
      </c>
      <c r="Y35" s="1576" t="s">
        <v>9519</v>
      </c>
      <c r="Z35" s="1576" t="s">
        <v>1385</v>
      </c>
      <c r="AA35" s="1576" t="s">
        <v>9520</v>
      </c>
      <c r="AB35" s="1576" t="s">
        <v>7005</v>
      </c>
      <c r="AC35" s="1590" t="s">
        <v>2173</v>
      </c>
      <c r="AD35" s="1574" t="s">
        <v>9521</v>
      </c>
      <c r="AE35" s="1574" t="s">
        <v>9173</v>
      </c>
      <c r="AF35" s="1577" t="s">
        <v>9522</v>
      </c>
      <c r="AG35" s="1577" t="s">
        <v>9523</v>
      </c>
      <c r="AH35" s="1577" t="s">
        <v>5617</v>
      </c>
      <c r="AI35" s="1577" t="s">
        <v>9524</v>
      </c>
      <c r="AJ35" s="1577" t="s">
        <v>9525</v>
      </c>
      <c r="AK35" s="1577" t="s">
        <v>4471</v>
      </c>
      <c r="AL35" s="1577" t="s">
        <v>5722</v>
      </c>
      <c r="AM35" s="1579" t="s">
        <v>2004</v>
      </c>
      <c r="AN35" s="1579" t="s">
        <v>4618</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2550</v>
      </c>
      <c r="J36" s="945" t="s">
        <v>1303</v>
      </c>
      <c r="K36" s="945" t="s">
        <v>9536</v>
      </c>
      <c r="L36" s="945" t="s">
        <v>4259</v>
      </c>
      <c r="M36" s="945" t="s">
        <v>4166</v>
      </c>
      <c r="N36" s="945" t="s">
        <v>9537</v>
      </c>
      <c r="O36" s="945" t="s">
        <v>9538</v>
      </c>
      <c r="P36" s="945" t="s">
        <v>9400</v>
      </c>
      <c r="Q36" s="945" t="s">
        <v>9539</v>
      </c>
      <c r="R36" s="945" t="s">
        <v>2017</v>
      </c>
      <c r="S36" s="945" t="s">
        <v>9540</v>
      </c>
      <c r="T36" s="945" t="s">
        <v>9381</v>
      </c>
      <c r="U36" s="945" t="s">
        <v>9541</v>
      </c>
      <c r="V36" s="945" t="s">
        <v>9542</v>
      </c>
      <c r="W36" s="945" t="s">
        <v>4725</v>
      </c>
      <c r="X36" s="945" t="s">
        <v>9543</v>
      </c>
      <c r="Y36" s="945" t="s">
        <v>5136</v>
      </c>
      <c r="Z36" s="945" t="s">
        <v>9544</v>
      </c>
      <c r="AA36" s="945" t="s">
        <v>9545</v>
      </c>
      <c r="AB36" s="945" t="s">
        <v>9546</v>
      </c>
      <c r="AC36" s="945" t="s">
        <v>7178</v>
      </c>
      <c r="AD36" s="945" t="s">
        <v>9547</v>
      </c>
      <c r="AE36" s="945" t="s">
        <v>9008</v>
      </c>
      <c r="AF36" s="945" t="s">
        <v>9548</v>
      </c>
      <c r="AG36" s="945" t="s">
        <v>5132</v>
      </c>
      <c r="AH36" s="945" t="s">
        <v>4441</v>
      </c>
      <c r="AI36" s="945" t="s">
        <v>9549</v>
      </c>
      <c r="AJ36" s="945" t="s">
        <v>9550</v>
      </c>
      <c r="AK36" s="945" t="s">
        <v>1763</v>
      </c>
      <c r="AL36" s="945" t="s">
        <v>9551</v>
      </c>
      <c r="AM36" s="945" t="s">
        <v>4036</v>
      </c>
      <c r="AN36" s="945" t="s">
        <v>4073</v>
      </c>
      <c r="AO36" s="945" t="s">
        <v>6353</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4918</v>
      </c>
      <c r="L37" s="1509" t="s">
        <v>2290</v>
      </c>
      <c r="M37" s="1509" t="s">
        <v>2243</v>
      </c>
      <c r="N37" s="1509" t="s">
        <v>9279</v>
      </c>
      <c r="O37" s="1509" t="s">
        <v>9558</v>
      </c>
      <c r="P37" s="1509" t="s">
        <v>4010</v>
      </c>
      <c r="Q37" s="1509" t="s">
        <v>9559</v>
      </c>
      <c r="R37" s="1509" t="s">
        <v>3109</v>
      </c>
      <c r="S37" s="1509" t="s">
        <v>8925</v>
      </c>
      <c r="T37" s="1509" t="s">
        <v>2358</v>
      </c>
      <c r="U37" s="1509" t="s">
        <v>9043</v>
      </c>
      <c r="V37" s="1509" t="s">
        <v>2873</v>
      </c>
      <c r="W37" s="1509" t="s">
        <v>9560</v>
      </c>
      <c r="X37" s="1509" t="s">
        <v>9561</v>
      </c>
      <c r="Y37" s="1509" t="s">
        <v>863</v>
      </c>
      <c r="Z37" s="1509" t="s">
        <v>9196</v>
      </c>
      <c r="AA37" s="1509" t="s">
        <v>6946</v>
      </c>
      <c r="AB37" s="1509" t="s">
        <v>6153</v>
      </c>
      <c r="AC37" s="1414" t="s">
        <v>538</v>
      </c>
      <c r="AD37" s="1509" t="s">
        <v>9562</v>
      </c>
      <c r="AE37" s="1509" t="s">
        <v>9316</v>
      </c>
      <c r="AF37" s="1509" t="s">
        <v>9563</v>
      </c>
      <c r="AG37" s="1509" t="s">
        <v>9381</v>
      </c>
      <c r="AH37" s="1509" t="s">
        <v>2953</v>
      </c>
      <c r="AI37" s="1509" t="s">
        <v>9564</v>
      </c>
      <c r="AJ37" s="1509" t="s">
        <v>3217</v>
      </c>
      <c r="AK37" s="1509" t="s">
        <v>5279</v>
      </c>
      <c r="AL37" s="1509" t="s">
        <v>4189</v>
      </c>
      <c r="AM37" s="1509" t="s">
        <v>3313</v>
      </c>
      <c r="AN37" s="1509" t="s">
        <v>345</v>
      </c>
      <c r="AO37" s="1509" t="s">
        <v>9565</v>
      </c>
      <c r="AP37" s="1509" t="s">
        <v>9566</v>
      </c>
      <c r="AQ37" s="1509" t="s">
        <v>6876</v>
      </c>
      <c r="AR37" s="1509" t="s">
        <v>2656</v>
      </c>
      <c r="AS37" s="1509" t="s">
        <v>4087</v>
      </c>
      <c r="AT37" s="1509" t="s">
        <v>5579</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4444</v>
      </c>
      <c r="I38" s="1414" t="s">
        <v>1183</v>
      </c>
      <c r="J38" s="1509" t="s">
        <v>3467</v>
      </c>
      <c r="K38" s="1509" t="s">
        <v>3467</v>
      </c>
      <c r="L38" s="1414" t="s">
        <v>9571</v>
      </c>
      <c r="M38" s="1414" t="s">
        <v>9572</v>
      </c>
      <c r="N38" s="1414" t="s">
        <v>9201</v>
      </c>
      <c r="O38" s="1604" t="s">
        <v>8825</v>
      </c>
      <c r="P38" s="1414" t="s">
        <v>8001</v>
      </c>
      <c r="Q38" s="1414" t="s">
        <v>786</v>
      </c>
      <c r="R38" s="1509" t="s">
        <v>3467</v>
      </c>
      <c r="S38" s="1414" t="s">
        <v>9573</v>
      </c>
      <c r="T38" s="1414" t="s">
        <v>156</v>
      </c>
      <c r="U38" s="1414" t="s">
        <v>9574</v>
      </c>
      <c r="V38" s="1414" t="s">
        <v>9575</v>
      </c>
      <c r="W38" s="1414" t="s">
        <v>9576</v>
      </c>
      <c r="X38" s="1414" t="s">
        <v>9375</v>
      </c>
      <c r="Y38" s="1414" t="s">
        <v>9376</v>
      </c>
      <c r="Z38" s="1414" t="s">
        <v>151</v>
      </c>
      <c r="AA38" s="1414" t="s">
        <v>9577</v>
      </c>
      <c r="AB38" s="1414" t="s">
        <v>9061</v>
      </c>
      <c r="AC38" s="1414" t="s">
        <v>4474</v>
      </c>
      <c r="AD38" s="1414" t="s">
        <v>2322</v>
      </c>
      <c r="AE38" s="1414" t="s">
        <v>9519</v>
      </c>
      <c r="AF38" s="1414" t="s">
        <v>9578</v>
      </c>
      <c r="AG38" s="1414" t="s">
        <v>9579</v>
      </c>
      <c r="AH38" s="1414" t="s">
        <v>4461</v>
      </c>
      <c r="AI38" s="1414" t="s">
        <v>3795</v>
      </c>
      <c r="AJ38" s="1414" t="s">
        <v>9580</v>
      </c>
      <c r="AK38" s="1414" t="s">
        <v>1163</v>
      </c>
      <c r="AL38" s="1414" t="s">
        <v>9379</v>
      </c>
      <c r="AM38" s="1414" t="s">
        <v>874</v>
      </c>
      <c r="AN38" s="1509" t="s">
        <v>9393</v>
      </c>
      <c r="AO38" s="1509" t="s">
        <v>3467</v>
      </c>
      <c r="AP38" s="1414" t="s">
        <v>5400</v>
      </c>
      <c r="AQ38" s="1414" t="s">
        <v>254</v>
      </c>
      <c r="AR38" s="1414" t="s">
        <v>9581</v>
      </c>
      <c r="AS38" s="1414" t="s">
        <v>9582</v>
      </c>
      <c r="AT38" s="1414" t="s">
        <v>9583</v>
      </c>
      <c r="AU38" s="1509" t="s">
        <v>9584</v>
      </c>
      <c r="AV38" s="1414" t="str">
        <f t="shared" si="1"/>
        <v>3:07</v>
      </c>
      <c r="AW38" s="1583" t="s">
        <v>9585</v>
      </c>
    </row>
    <row r="39" ht="15.75" customHeight="1">
      <c r="A39" s="1494" t="s">
        <v>4255</v>
      </c>
      <c r="B39" s="1495" t="s">
        <v>8789</v>
      </c>
      <c r="C39" s="1618">
        <v>0.05060185185185185</v>
      </c>
      <c r="D39" s="945" t="s">
        <v>9586</v>
      </c>
      <c r="E39" s="1587" t="s">
        <v>3289</v>
      </c>
      <c r="F39" s="1587" t="s">
        <v>6092</v>
      </c>
      <c r="G39" s="1587" t="s">
        <v>9587</v>
      </c>
      <c r="H39" s="873" t="s">
        <v>9588</v>
      </c>
      <c r="I39" s="873" t="s">
        <v>4779</v>
      </c>
      <c r="J39" s="1588" t="s">
        <v>9024</v>
      </c>
      <c r="K39" s="1588" t="s">
        <v>7399</v>
      </c>
      <c r="L39" s="1588" t="s">
        <v>5533</v>
      </c>
      <c r="M39" s="1588" t="s">
        <v>9589</v>
      </c>
      <c r="N39" s="1588" t="s">
        <v>5318</v>
      </c>
      <c r="O39" s="1588" t="s">
        <v>9590</v>
      </c>
      <c r="P39" s="1588" t="s">
        <v>5942</v>
      </c>
      <c r="Q39" s="1589" t="s">
        <v>9591</v>
      </c>
      <c r="R39" s="1589" t="s">
        <v>5479</v>
      </c>
      <c r="S39" s="1589" t="s">
        <v>7005</v>
      </c>
      <c r="T39" s="1589" t="s">
        <v>9592</v>
      </c>
      <c r="U39" s="1589" t="s">
        <v>6226</v>
      </c>
      <c r="V39" s="1589" t="s">
        <v>3880</v>
      </c>
      <c r="W39" s="1590" t="s">
        <v>9593</v>
      </c>
      <c r="X39" s="1590" t="s">
        <v>7383</v>
      </c>
      <c r="Y39" s="1590" t="s">
        <v>1995</v>
      </c>
      <c r="Z39" s="1590" t="s">
        <v>1842</v>
      </c>
      <c r="AA39" s="1590" t="s">
        <v>9594</v>
      </c>
      <c r="AB39" s="1590" t="s">
        <v>9061</v>
      </c>
      <c r="AC39" s="1590" t="s">
        <v>5534</v>
      </c>
      <c r="AD39" s="1587" t="s">
        <v>6567</v>
      </c>
      <c r="AE39" s="1587" t="s">
        <v>7642</v>
      </c>
      <c r="AF39" s="1591" t="s">
        <v>9595</v>
      </c>
      <c r="AG39" s="1591" t="s">
        <v>9523</v>
      </c>
      <c r="AH39" s="1591" t="s">
        <v>8082</v>
      </c>
      <c r="AI39" s="1591" t="s">
        <v>5529</v>
      </c>
      <c r="AJ39" s="1591" t="s">
        <v>9596</v>
      </c>
      <c r="AK39" s="1591" t="s">
        <v>9597</v>
      </c>
      <c r="AL39" s="1591" t="s">
        <v>9598</v>
      </c>
      <c r="AM39" s="1578" t="s">
        <v>9599</v>
      </c>
      <c r="AN39" s="1578" t="s">
        <v>9600</v>
      </c>
      <c r="AO39" s="1578" t="s">
        <v>9601</v>
      </c>
      <c r="AP39" s="1578" t="s">
        <v>9602</v>
      </c>
      <c r="AQ39" s="1578" t="s">
        <v>9463</v>
      </c>
      <c r="AR39" s="1578" t="s">
        <v>9603</v>
      </c>
      <c r="AS39" s="1578" t="s">
        <v>4386</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5439</v>
      </c>
      <c r="G40" s="1414" t="s">
        <v>9607</v>
      </c>
      <c r="H40" s="1509" t="s">
        <v>9608</v>
      </c>
      <c r="I40" s="1509" t="s">
        <v>389</v>
      </c>
      <c r="J40" s="1509" t="s">
        <v>7742</v>
      </c>
      <c r="K40" s="1414" t="s">
        <v>9253</v>
      </c>
      <c r="L40" s="1509" t="s">
        <v>9609</v>
      </c>
      <c r="M40" s="1509" t="s">
        <v>9610</v>
      </c>
      <c r="N40" s="1509" t="s">
        <v>4393</v>
      </c>
      <c r="O40" s="1509" t="s">
        <v>9611</v>
      </c>
      <c r="P40" s="1509" t="s">
        <v>1590</v>
      </c>
      <c r="Q40" s="1500" t="s">
        <v>9612</v>
      </c>
      <c r="R40" s="1509" t="s">
        <v>9613</v>
      </c>
      <c r="S40" s="1414" t="s">
        <v>9614</v>
      </c>
      <c r="T40" s="1509" t="s">
        <v>9359</v>
      </c>
      <c r="U40" s="1509" t="s">
        <v>6670</v>
      </c>
      <c r="V40" s="1509" t="s">
        <v>2475</v>
      </c>
      <c r="W40" s="1528" t="str">
        <f>HYPERLINK("https://www.youtube.com/watch?v=nn1ub1z3NYM","1:45.96")</f>
        <v>1:45.96</v>
      </c>
      <c r="X40" s="1509" t="s">
        <v>5720</v>
      </c>
      <c r="Y40" s="1414" t="s">
        <v>5515</v>
      </c>
      <c r="Z40" s="1509" t="s">
        <v>1505</v>
      </c>
      <c r="AA40" s="1509" t="s">
        <v>9615</v>
      </c>
      <c r="AB40" s="1509" t="s">
        <v>9616</v>
      </c>
      <c r="AC40" s="1509" t="s">
        <v>1046</v>
      </c>
      <c r="AD40" s="1509" t="s">
        <v>9617</v>
      </c>
      <c r="AE40" s="1500" t="s">
        <v>4616</v>
      </c>
      <c r="AF40" s="1414" t="s">
        <v>9618</v>
      </c>
      <c r="AG40" s="1509" t="s">
        <v>2015</v>
      </c>
      <c r="AH40" s="1509" t="s">
        <v>3045</v>
      </c>
      <c r="AI40" s="1509" t="s">
        <v>9619</v>
      </c>
      <c r="AJ40" s="1414" t="s">
        <v>8356</v>
      </c>
      <c r="AK40" s="1509" t="s">
        <v>9620</v>
      </c>
      <c r="AL40" s="1414" t="s">
        <v>4347</v>
      </c>
      <c r="AM40" s="1414" t="s">
        <v>9621</v>
      </c>
      <c r="AN40" s="1414" t="s">
        <v>2508</v>
      </c>
      <c r="AO40" s="1509" t="s">
        <v>3600</v>
      </c>
      <c r="AP40" s="1509" t="s">
        <v>9622</v>
      </c>
      <c r="AQ40" s="1509" t="s">
        <v>9623</v>
      </c>
      <c r="AR40" s="1509" t="s">
        <v>1303</v>
      </c>
      <c r="AS40" s="1509" t="s">
        <v>4748</v>
      </c>
      <c r="AT40" s="1509" t="s">
        <v>9624</v>
      </c>
      <c r="AU40" s="1509" t="s">
        <v>9625</v>
      </c>
      <c r="AV40" s="1414" t="str">
        <f t="shared" si="1"/>
        <v>2:25</v>
      </c>
      <c r="AW40" s="1549"/>
    </row>
    <row r="41">
      <c r="A41" s="1506" t="s">
        <v>9626</v>
      </c>
      <c r="B41" s="1548" t="s">
        <v>8789</v>
      </c>
      <c r="C41" s="1496">
        <v>0.050625</v>
      </c>
      <c r="D41" s="1625" t="s">
        <v>9627</v>
      </c>
      <c r="E41" s="1509" t="s">
        <v>4702</v>
      </c>
      <c r="F41" s="1509" t="s">
        <v>9628</v>
      </c>
      <c r="G41" s="1509" t="s">
        <v>9629</v>
      </c>
      <c r="H41" s="1509" t="s">
        <v>1659</v>
      </c>
      <c r="I41" s="1509" t="s">
        <v>1834</v>
      </c>
      <c r="J41" s="1509" t="s">
        <v>9630</v>
      </c>
      <c r="K41" s="1509" t="s">
        <v>3621</v>
      </c>
      <c r="L41" s="1509" t="s">
        <v>9631</v>
      </c>
      <c r="M41" s="1509" t="s">
        <v>9632</v>
      </c>
      <c r="N41" s="1509" t="s">
        <v>9633</v>
      </c>
      <c r="O41" s="1509" t="s">
        <v>9634</v>
      </c>
      <c r="P41" s="1509" t="s">
        <v>9519</v>
      </c>
      <c r="Q41" s="1509" t="s">
        <v>4637</v>
      </c>
      <c r="R41" s="1509" t="s">
        <v>4007</v>
      </c>
      <c r="S41" s="1509" t="s">
        <v>2642</v>
      </c>
      <c r="T41" s="1509" t="s">
        <v>2358</v>
      </c>
      <c r="U41" s="1509" t="s">
        <v>9635</v>
      </c>
      <c r="V41" s="1509" t="s">
        <v>2214</v>
      </c>
      <c r="W41" s="1509" t="s">
        <v>7081</v>
      </c>
      <c r="X41" s="1509" t="s">
        <v>9636</v>
      </c>
      <c r="Y41" s="1509" t="s">
        <v>9637</v>
      </c>
      <c r="Z41" s="1509" t="s">
        <v>9638</v>
      </c>
      <c r="AA41" s="1509" t="s">
        <v>9639</v>
      </c>
      <c r="AB41" s="1509"/>
      <c r="AC41" s="1509" t="s">
        <v>1970</v>
      </c>
      <c r="AD41" s="1509" t="s">
        <v>9640</v>
      </c>
      <c r="AE41" s="1509" t="s">
        <v>4965</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7454</v>
      </c>
      <c r="AS41" s="1509" t="s">
        <v>5833</v>
      </c>
      <c r="AT41" s="1509" t="s">
        <v>8458</v>
      </c>
      <c r="AU41" s="1509" t="s">
        <v>9650</v>
      </c>
      <c r="AV41" s="1414" t="str">
        <f t="shared" si="1"/>
        <v>2:05</v>
      </c>
      <c r="AW41" s="1583"/>
    </row>
    <row r="42">
      <c r="A42" s="1506" t="s">
        <v>9651</v>
      </c>
      <c r="B42" s="1538" t="s">
        <v>8789</v>
      </c>
      <c r="C42" s="1496">
        <v>0.0506712962962963</v>
      </c>
      <c r="D42" s="1625" t="s">
        <v>9652</v>
      </c>
      <c r="E42" s="1574" t="s">
        <v>3289</v>
      </c>
      <c r="F42" s="1574" t="s">
        <v>9145</v>
      </c>
      <c r="G42" s="1574" t="s">
        <v>9653</v>
      </c>
      <c r="H42" s="808" t="s">
        <v>9654</v>
      </c>
      <c r="I42" s="808" t="s">
        <v>9655</v>
      </c>
      <c r="J42" s="1558" t="s">
        <v>9656</v>
      </c>
      <c r="K42" s="1558" t="s">
        <v>8040</v>
      </c>
      <c r="L42" s="1558" t="s">
        <v>4321</v>
      </c>
      <c r="M42" s="1558" t="s">
        <v>8041</v>
      </c>
      <c r="N42" s="1558" t="s">
        <v>9657</v>
      </c>
      <c r="O42" s="1558" t="s">
        <v>2247</v>
      </c>
      <c r="P42" s="1558" t="s">
        <v>8004</v>
      </c>
      <c r="Q42" s="1561" t="s">
        <v>7299</v>
      </c>
      <c r="R42" s="1561" t="s">
        <v>9658</v>
      </c>
      <c r="S42" s="1561" t="s">
        <v>9659</v>
      </c>
      <c r="T42" s="1561" t="s">
        <v>9660</v>
      </c>
      <c r="U42" s="1561" t="s">
        <v>9661</v>
      </c>
      <c r="V42" s="1561" t="s">
        <v>9662</v>
      </c>
      <c r="W42" s="1576" t="s">
        <v>9663</v>
      </c>
      <c r="X42" s="1576" t="s">
        <v>9664</v>
      </c>
      <c r="Y42" s="1576" t="s">
        <v>6282</v>
      </c>
      <c r="Z42" s="1576" t="s">
        <v>9665</v>
      </c>
      <c r="AA42" s="1509" t="s">
        <v>158</v>
      </c>
      <c r="AB42" s="1576" t="s">
        <v>9391</v>
      </c>
      <c r="AC42" s="1576" t="s">
        <v>7178</v>
      </c>
      <c r="AD42" s="1574" t="s">
        <v>9666</v>
      </c>
      <c r="AE42" s="1574" t="s">
        <v>538</v>
      </c>
      <c r="AF42" s="1577" t="s">
        <v>9667</v>
      </c>
      <c r="AG42" s="1577" t="s">
        <v>3990</v>
      </c>
      <c r="AH42" s="1577" t="s">
        <v>5218</v>
      </c>
      <c r="AI42" s="1577" t="s">
        <v>9668</v>
      </c>
      <c r="AJ42" s="1577" t="s">
        <v>9669</v>
      </c>
      <c r="AK42" s="1577" t="s">
        <v>402</v>
      </c>
      <c r="AL42" s="1577" t="s">
        <v>2613</v>
      </c>
      <c r="AM42" s="1579" t="s">
        <v>9146</v>
      </c>
      <c r="AN42" s="1579" t="s">
        <v>9382</v>
      </c>
      <c r="AO42" s="1579" t="s">
        <v>9320</v>
      </c>
      <c r="AP42" s="1579" t="s">
        <v>9670</v>
      </c>
      <c r="AQ42" s="1579" t="s">
        <v>9671</v>
      </c>
      <c r="AR42" s="1579" t="s">
        <v>4864</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3192</v>
      </c>
      <c r="F43" s="1587" t="s">
        <v>8991</v>
      </c>
      <c r="G43" s="1587" t="s">
        <v>9676</v>
      </c>
      <c r="H43" s="873" t="s">
        <v>9677</v>
      </c>
      <c r="I43" s="873" t="s">
        <v>389</v>
      </c>
      <c r="J43" s="1588" t="s">
        <v>2012</v>
      </c>
      <c r="K43" s="1588" t="s">
        <v>3497</v>
      </c>
      <c r="L43" s="1588" t="s">
        <v>5448</v>
      </c>
      <c r="M43" s="1588" t="s">
        <v>9678</v>
      </c>
      <c r="N43" s="1588" t="s">
        <v>9405</v>
      </c>
      <c r="O43" s="1588" t="s">
        <v>9679</v>
      </c>
      <c r="P43" s="1588" t="s">
        <v>5494</v>
      </c>
      <c r="Q43" s="1589" t="s">
        <v>9680</v>
      </c>
      <c r="R43" s="1589" t="s">
        <v>731</v>
      </c>
      <c r="S43" s="1589" t="s">
        <v>9647</v>
      </c>
      <c r="T43" s="1589" t="s">
        <v>9518</v>
      </c>
      <c r="U43" s="1589" t="s">
        <v>9681</v>
      </c>
      <c r="V43" s="1589" t="s">
        <v>2475</v>
      </c>
      <c r="W43" s="1590" t="s">
        <v>9682</v>
      </c>
      <c r="X43" s="1590" t="s">
        <v>6154</v>
      </c>
      <c r="Y43" s="1590" t="s">
        <v>8143</v>
      </c>
      <c r="Z43" s="1590" t="s">
        <v>8878</v>
      </c>
      <c r="AA43" s="1590" t="s">
        <v>9683</v>
      </c>
      <c r="AB43" s="1590" t="s">
        <v>2632</v>
      </c>
      <c r="AC43" s="1590" t="s">
        <v>3105</v>
      </c>
      <c r="AD43" s="1587" t="s">
        <v>9684</v>
      </c>
      <c r="AE43" s="1587" t="s">
        <v>6284</v>
      </c>
      <c r="AF43" s="1591" t="s">
        <v>8943</v>
      </c>
      <c r="AG43" s="1591" t="s">
        <v>9685</v>
      </c>
      <c r="AH43" s="1591" t="s">
        <v>2256</v>
      </c>
      <c r="AI43" s="1591" t="s">
        <v>9686</v>
      </c>
      <c r="AJ43" s="1591" t="s">
        <v>9687</v>
      </c>
      <c r="AK43" s="1591" t="s">
        <v>9688</v>
      </c>
      <c r="AL43" s="1591" t="s">
        <v>5417</v>
      </c>
      <c r="AM43" s="1578" t="s">
        <v>9543</v>
      </c>
      <c r="AN43" s="1578" t="s">
        <v>5417</v>
      </c>
      <c r="AO43" s="1578" t="s">
        <v>2303</v>
      </c>
      <c r="AP43" s="1578" t="s">
        <v>9689</v>
      </c>
      <c r="AQ43" s="1578" t="s">
        <v>9690</v>
      </c>
      <c r="AR43" s="1578" t="s">
        <v>4685</v>
      </c>
      <c r="AS43" s="1578" t="s">
        <v>4389</v>
      </c>
      <c r="AT43" s="1588" t="s">
        <v>9691</v>
      </c>
      <c r="AU43" s="1592" t="s">
        <v>9692</v>
      </c>
      <c r="AV43" s="1414" t="str">
        <f t="shared" si="1"/>
        <v>2:54</v>
      </c>
      <c r="AW43" s="1616"/>
    </row>
    <row r="44">
      <c r="A44" s="1550" t="s">
        <v>2814</v>
      </c>
      <c r="B44" s="1548" t="s">
        <v>8789</v>
      </c>
      <c r="C44" s="1496">
        <v>0.050826388888888886</v>
      </c>
      <c r="D44" s="1509" t="s">
        <v>9693</v>
      </c>
      <c r="E44" s="1509" t="s">
        <v>6907</v>
      </c>
      <c r="F44" s="1574" t="s">
        <v>9694</v>
      </c>
      <c r="G44" s="1509" t="s">
        <v>9695</v>
      </c>
      <c r="H44" s="1509" t="s">
        <v>6552</v>
      </c>
      <c r="I44" s="1509" t="s">
        <v>1293</v>
      </c>
      <c r="J44" s="1509" t="s">
        <v>9696</v>
      </c>
      <c r="K44" s="1509" t="s">
        <v>3964</v>
      </c>
      <c r="L44" s="1509" t="s">
        <v>5930</v>
      </c>
      <c r="M44" s="1509" t="s">
        <v>9697</v>
      </c>
      <c r="N44" s="1509" t="s">
        <v>6794</v>
      </c>
      <c r="O44" s="1509" t="s">
        <v>9698</v>
      </c>
      <c r="P44" s="1509" t="s">
        <v>9259</v>
      </c>
      <c r="Q44" s="1509" t="s">
        <v>9699</v>
      </c>
      <c r="R44" s="1509" t="s">
        <v>9700</v>
      </c>
      <c r="S44" s="1509" t="s">
        <v>9701</v>
      </c>
      <c r="T44" s="1509" t="s">
        <v>1795</v>
      </c>
      <c r="U44" s="1509" t="s">
        <v>9702</v>
      </c>
      <c r="V44" s="1509" t="s">
        <v>8084</v>
      </c>
      <c r="W44" s="1509" t="s">
        <v>5478</v>
      </c>
      <c r="X44" s="1509" t="s">
        <v>9703</v>
      </c>
      <c r="Y44" s="1509" t="s">
        <v>7995</v>
      </c>
      <c r="Z44" s="1509" t="s">
        <v>9704</v>
      </c>
      <c r="AA44" s="1576" t="s">
        <v>9705</v>
      </c>
      <c r="AB44" s="1509" t="s">
        <v>1842</v>
      </c>
      <c r="AC44" s="1509" t="s">
        <v>7178</v>
      </c>
      <c r="AD44" s="1509" t="s">
        <v>9706</v>
      </c>
      <c r="AE44" s="1509" t="s">
        <v>4965</v>
      </c>
      <c r="AF44" s="1509" t="s">
        <v>9707</v>
      </c>
      <c r="AG44" s="1509" t="s">
        <v>1177</v>
      </c>
      <c r="AH44" s="1509" t="s">
        <v>3955</v>
      </c>
      <c r="AI44" s="1509" t="s">
        <v>9708</v>
      </c>
      <c r="AJ44" s="1509" t="s">
        <v>9709</v>
      </c>
      <c r="AK44" s="1509" t="s">
        <v>9620</v>
      </c>
      <c r="AL44" s="1509" t="s">
        <v>4352</v>
      </c>
      <c r="AM44" s="1509" t="s">
        <v>9620</v>
      </c>
      <c r="AN44" s="1509" t="s">
        <v>8867</v>
      </c>
      <c r="AO44" s="1509" t="s">
        <v>6859</v>
      </c>
      <c r="AP44" s="1509" t="s">
        <v>9710</v>
      </c>
      <c r="AQ44" s="1509" t="s">
        <v>9711</v>
      </c>
      <c r="AR44" s="1509" t="s">
        <v>5157</v>
      </c>
      <c r="AS44" s="1509" t="s">
        <v>6122</v>
      </c>
      <c r="AT44" s="1509" t="s">
        <v>9712</v>
      </c>
      <c r="AU44" s="1509" t="s">
        <v>9713</v>
      </c>
      <c r="AV44" s="1414" t="str">
        <f t="shared" si="1"/>
        <v>2:25</v>
      </c>
      <c r="AW44" s="1583"/>
    </row>
    <row r="45" ht="15.75" customHeight="1">
      <c r="A45" s="1550" t="s">
        <v>4638</v>
      </c>
      <c r="B45" s="1495" t="s">
        <v>8789</v>
      </c>
      <c r="C45" s="1618">
        <v>0.050868055555555555</v>
      </c>
      <c r="D45" s="945" t="s">
        <v>9714</v>
      </c>
      <c r="E45" s="1414" t="s">
        <v>7127</v>
      </c>
      <c r="F45" s="1414" t="s">
        <v>9715</v>
      </c>
      <c r="G45" s="1414" t="s">
        <v>9716</v>
      </c>
      <c r="H45" s="1414" t="s">
        <v>9557</v>
      </c>
      <c r="I45" s="1414" t="s">
        <v>1293</v>
      </c>
      <c r="J45" s="1414" t="s">
        <v>4864</v>
      </c>
      <c r="K45" s="1414" t="s">
        <v>9267</v>
      </c>
      <c r="L45" s="1414" t="s">
        <v>9148</v>
      </c>
      <c r="M45" s="1414" t="s">
        <v>5377</v>
      </c>
      <c r="N45" s="1414" t="s">
        <v>8313</v>
      </c>
      <c r="O45" s="1414" t="s">
        <v>9717</v>
      </c>
      <c r="P45" s="1414" t="s">
        <v>2546</v>
      </c>
      <c r="Q45" s="1414" t="s">
        <v>9718</v>
      </c>
      <c r="R45" s="1414" t="s">
        <v>6812</v>
      </c>
      <c r="S45" s="1414" t="s">
        <v>9103</v>
      </c>
      <c r="T45" s="1414" t="s">
        <v>4605</v>
      </c>
      <c r="U45" s="1414" t="s">
        <v>9719</v>
      </c>
      <c r="V45" s="1414" t="s">
        <v>9311</v>
      </c>
      <c r="W45" s="1414" t="s">
        <v>9720</v>
      </c>
      <c r="X45" s="1414" t="s">
        <v>9317</v>
      </c>
      <c r="Y45" s="1414" t="s">
        <v>3628</v>
      </c>
      <c r="Z45" s="1414" t="s">
        <v>9721</v>
      </c>
      <c r="AA45" s="1414" t="s">
        <v>9722</v>
      </c>
      <c r="AB45" s="1414" t="s">
        <v>195</v>
      </c>
      <c r="AC45" s="1414" t="s">
        <v>3007</v>
      </c>
      <c r="AD45" s="1414" t="s">
        <v>9723</v>
      </c>
      <c r="AE45" s="1414" t="s">
        <v>620</v>
      </c>
      <c r="AF45" s="1414" t="s">
        <v>9724</v>
      </c>
      <c r="AG45" s="1414" t="s">
        <v>6019</v>
      </c>
      <c r="AH45" s="1414" t="s">
        <v>9725</v>
      </c>
      <c r="AI45" s="1414" t="s">
        <v>6967</v>
      </c>
      <c r="AJ45" s="1414" t="s">
        <v>9726</v>
      </c>
      <c r="AK45" s="1414" t="s">
        <v>5405</v>
      </c>
      <c r="AL45" s="1414" t="s">
        <v>9727</v>
      </c>
      <c r="AM45" s="1414" t="s">
        <v>9728</v>
      </c>
      <c r="AN45" s="1414" t="s">
        <v>3333</v>
      </c>
      <c r="AO45" s="1414" t="s">
        <v>9253</v>
      </c>
      <c r="AP45" s="1414" t="s">
        <v>9729</v>
      </c>
      <c r="AQ45" s="1414" t="s">
        <v>9730</v>
      </c>
      <c r="AR45" s="1414" t="s">
        <v>9139</v>
      </c>
      <c r="AS45" s="1414" t="s">
        <v>5121</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2328</v>
      </c>
      <c r="M46" s="1414" t="s">
        <v>2671</v>
      </c>
      <c r="N46" s="1628" t="s">
        <v>8809</v>
      </c>
      <c r="O46" s="1414" t="s">
        <v>9735</v>
      </c>
      <c r="P46" s="1587" t="s">
        <v>638</v>
      </c>
      <c r="Q46" s="1629" t="s">
        <v>8853</v>
      </c>
      <c r="R46" s="1628" t="s">
        <v>8854</v>
      </c>
      <c r="S46" s="1414" t="s">
        <v>1163</v>
      </c>
      <c r="T46" s="1587" t="s">
        <v>7219</v>
      </c>
      <c r="U46" s="1629" t="s">
        <v>8856</v>
      </c>
      <c r="V46" s="1628" t="s">
        <v>4284</v>
      </c>
      <c r="W46" s="1414" t="s">
        <v>9736</v>
      </c>
      <c r="X46" s="1628" t="s">
        <v>8858</v>
      </c>
      <c r="Y46" s="1414" t="s">
        <v>5651</v>
      </c>
      <c r="Z46" s="1574" t="s">
        <v>9737</v>
      </c>
      <c r="AA46" s="1414" t="s">
        <v>2305</v>
      </c>
      <c r="AB46" s="1587" t="s">
        <v>9738</v>
      </c>
      <c r="AC46" s="1509" t="s">
        <v>9739</v>
      </c>
      <c r="AD46" s="1587" t="s">
        <v>9740</v>
      </c>
      <c r="AE46" s="1509" t="s">
        <v>9741</v>
      </c>
      <c r="AF46" s="1587" t="s">
        <v>9742</v>
      </c>
      <c r="AG46" s="1414" t="s">
        <v>7911</v>
      </c>
      <c r="AH46" s="1574" t="s">
        <v>9631</v>
      </c>
      <c r="AI46" s="1629" t="s">
        <v>8863</v>
      </c>
      <c r="AJ46" s="1587" t="s">
        <v>9743</v>
      </c>
      <c r="AK46" s="1414" t="s">
        <v>5902</v>
      </c>
      <c r="AL46" s="1628" t="s">
        <v>8865</v>
      </c>
      <c r="AM46" s="1414" t="s">
        <v>9218</v>
      </c>
      <c r="AN46" s="1587" t="s">
        <v>3875</v>
      </c>
      <c r="AO46" s="1509" t="s">
        <v>4880</v>
      </c>
      <c r="AP46" s="1574" t="s">
        <v>9744</v>
      </c>
      <c r="AQ46" s="1509" t="s">
        <v>9745</v>
      </c>
      <c r="AR46" s="1574" t="s">
        <v>9746</v>
      </c>
      <c r="AS46" s="1414" t="s">
        <v>975</v>
      </c>
      <c r="AT46" s="1628" t="s">
        <v>8871</v>
      </c>
      <c r="AU46" s="1629" t="s">
        <v>8872</v>
      </c>
      <c r="AV46" s="1414" t="str">
        <f t="shared" si="1"/>
        <v>2:24</v>
      </c>
      <c r="AW46" s="1549"/>
    </row>
    <row r="47">
      <c r="A47" s="1550" t="s">
        <v>2570</v>
      </c>
      <c r="B47" s="1552" t="s">
        <v>8817</v>
      </c>
      <c r="C47" s="1496">
        <v>0.05092592592592592</v>
      </c>
      <c r="D47" s="945" t="s">
        <v>9747</v>
      </c>
      <c r="E47" s="1574" t="s">
        <v>9748</v>
      </c>
      <c r="F47" s="1574" t="s">
        <v>9749</v>
      </c>
      <c r="G47" s="1574" t="s">
        <v>9750</v>
      </c>
      <c r="H47" s="808" t="s">
        <v>9751</v>
      </c>
      <c r="I47" s="808" t="s">
        <v>2951</v>
      </c>
      <c r="J47" s="1558" t="s">
        <v>8960</v>
      </c>
      <c r="K47" s="1558" t="s">
        <v>3586</v>
      </c>
      <c r="L47" s="1558" t="s">
        <v>5784</v>
      </c>
      <c r="M47" s="1558" t="s">
        <v>3123</v>
      </c>
      <c r="N47" s="1558" t="s">
        <v>874</v>
      </c>
      <c r="O47" s="1558" t="s">
        <v>9752</v>
      </c>
      <c r="P47" s="1558" t="s">
        <v>773</v>
      </c>
      <c r="Q47" s="1561" t="s">
        <v>7207</v>
      </c>
      <c r="R47" s="1561" t="s">
        <v>6885</v>
      </c>
      <c r="S47" s="1561" t="s">
        <v>7450</v>
      </c>
      <c r="T47" s="1561" t="s">
        <v>9753</v>
      </c>
      <c r="U47" s="1630" t="s">
        <v>7369</v>
      </c>
      <c r="V47" s="1561" t="s">
        <v>9754</v>
      </c>
      <c r="W47" s="1576" t="s">
        <v>6832</v>
      </c>
      <c r="X47" s="1576" t="s">
        <v>9755</v>
      </c>
      <c r="Y47" s="1576" t="s">
        <v>9756</v>
      </c>
      <c r="Z47" s="1576" t="s">
        <v>7135</v>
      </c>
      <c r="AA47" s="1576" t="s">
        <v>1869</v>
      </c>
      <c r="AB47" s="1576" t="s">
        <v>9757</v>
      </c>
      <c r="AC47" s="1576" t="s">
        <v>2444</v>
      </c>
      <c r="AD47" s="1574" t="s">
        <v>9758</v>
      </c>
      <c r="AE47" s="1574" t="s">
        <v>5224</v>
      </c>
      <c r="AF47" s="1577" t="s">
        <v>9759</v>
      </c>
      <c r="AG47" s="1577" t="s">
        <v>5277</v>
      </c>
      <c r="AH47" s="1577" t="s">
        <v>4461</v>
      </c>
      <c r="AI47" s="1577" t="s">
        <v>9760</v>
      </c>
      <c r="AJ47" s="1567" t="s">
        <v>8835</v>
      </c>
      <c r="AK47" s="1577" t="s">
        <v>195</v>
      </c>
      <c r="AL47" s="1577" t="s">
        <v>5903</v>
      </c>
      <c r="AM47" s="1579" t="s">
        <v>4067</v>
      </c>
      <c r="AN47" s="1579" t="s">
        <v>3725</v>
      </c>
      <c r="AO47" s="1579" t="s">
        <v>2399</v>
      </c>
      <c r="AP47" s="1579" t="s">
        <v>9761</v>
      </c>
      <c r="AQ47" s="1579" t="s">
        <v>4304</v>
      </c>
      <c r="AR47" s="1579" t="s">
        <v>7196</v>
      </c>
      <c r="AS47" s="1579" t="s">
        <v>6572</v>
      </c>
      <c r="AT47" s="1558" t="s">
        <v>9762</v>
      </c>
      <c r="AU47" s="985" t="s">
        <v>9763</v>
      </c>
      <c r="AV47" s="1414" t="str">
        <f t="shared" si="1"/>
        <v>4:25</v>
      </c>
      <c r="AW47" s="1547"/>
    </row>
    <row r="48" ht="15.75" customHeight="1">
      <c r="A48" s="1494" t="s">
        <v>4491</v>
      </c>
      <c r="B48" s="1584" t="s">
        <v>8817</v>
      </c>
      <c r="C48" s="1496">
        <v>0.05100810185185185</v>
      </c>
      <c r="D48" s="945" t="s">
        <v>9764</v>
      </c>
      <c r="E48" s="1574" t="s">
        <v>9765</v>
      </c>
      <c r="F48" s="1574" t="s">
        <v>9766</v>
      </c>
      <c r="G48" s="1587" t="s">
        <v>9767</v>
      </c>
      <c r="H48" s="808" t="s">
        <v>9768</v>
      </c>
      <c r="I48" s="808" t="s">
        <v>1412</v>
      </c>
      <c r="J48" s="1558" t="s">
        <v>5157</v>
      </c>
      <c r="K48" s="1558" t="s">
        <v>9513</v>
      </c>
      <c r="L48" s="1558" t="s">
        <v>4405</v>
      </c>
      <c r="M48" s="1558" t="s">
        <v>1455</v>
      </c>
      <c r="N48" s="1558" t="s">
        <v>9769</v>
      </c>
      <c r="O48" s="1558" t="s">
        <v>9004</v>
      </c>
      <c r="P48" s="1558" t="s">
        <v>9770</v>
      </c>
      <c r="Q48" s="1561" t="s">
        <v>9771</v>
      </c>
      <c r="R48" s="1561" t="s">
        <v>3430</v>
      </c>
      <c r="S48" s="1561" t="s">
        <v>7158</v>
      </c>
      <c r="T48" s="1561" t="s">
        <v>9772</v>
      </c>
      <c r="U48" s="1561" t="s">
        <v>9773</v>
      </c>
      <c r="V48" s="1589" t="s">
        <v>1365</v>
      </c>
      <c r="W48" s="1576" t="s">
        <v>9774</v>
      </c>
      <c r="X48" s="1576" t="s">
        <v>9564</v>
      </c>
      <c r="Y48" s="1576" t="s">
        <v>4010</v>
      </c>
      <c r="Z48" s="1576" t="s">
        <v>7080</v>
      </c>
      <c r="AA48" s="1576" t="s">
        <v>1024</v>
      </c>
      <c r="AB48" s="1576" t="s">
        <v>3905</v>
      </c>
      <c r="AC48" s="1590" t="s">
        <v>7609</v>
      </c>
      <c r="AD48" s="1574" t="s">
        <v>9775</v>
      </c>
      <c r="AE48" s="1587" t="s">
        <v>4953</v>
      </c>
      <c r="AF48" s="1577" t="s">
        <v>9776</v>
      </c>
      <c r="AG48" s="1577" t="s">
        <v>9777</v>
      </c>
      <c r="AH48" s="1577" t="s">
        <v>9778</v>
      </c>
      <c r="AI48" s="1577" t="s">
        <v>9199</v>
      </c>
      <c r="AJ48" s="1577" t="s">
        <v>9779</v>
      </c>
      <c r="AK48" s="1577" t="s">
        <v>9780</v>
      </c>
      <c r="AL48" s="1577" t="s">
        <v>4524</v>
      </c>
      <c r="AM48" s="1579" t="s">
        <v>9781</v>
      </c>
      <c r="AN48" s="1579" t="s">
        <v>3405</v>
      </c>
      <c r="AO48" s="1579" t="s">
        <v>9782</v>
      </c>
      <c r="AP48" s="1579" t="s">
        <v>9783</v>
      </c>
      <c r="AQ48" s="1579" t="s">
        <v>4304</v>
      </c>
      <c r="AR48" s="1579" t="s">
        <v>9784</v>
      </c>
      <c r="AS48" s="1579" t="s">
        <v>4546</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4650</v>
      </c>
      <c r="F49" s="1574" t="s">
        <v>9789</v>
      </c>
      <c r="G49" s="1574" t="s">
        <v>9790</v>
      </c>
      <c r="H49" s="945" t="s">
        <v>9791</v>
      </c>
      <c r="I49" s="808" t="s">
        <v>5347</v>
      </c>
      <c r="J49" s="1558" t="s">
        <v>4070</v>
      </c>
      <c r="K49" s="1558" t="s">
        <v>9792</v>
      </c>
      <c r="L49" s="1502" t="s">
        <v>3643</v>
      </c>
      <c r="M49" s="1558" t="s">
        <v>4445</v>
      </c>
      <c r="N49" s="1558" t="s">
        <v>9543</v>
      </c>
      <c r="O49" s="1558" t="s">
        <v>9793</v>
      </c>
      <c r="P49" s="1558" t="s">
        <v>1529</v>
      </c>
      <c r="Q49" s="1561" t="s">
        <v>9794</v>
      </c>
      <c r="R49" s="1631" t="s">
        <v>9795</v>
      </c>
      <c r="S49" s="1561" t="s">
        <v>417</v>
      </c>
      <c r="T49" s="1561" t="s">
        <v>9796</v>
      </c>
      <c r="U49" s="1561" t="s">
        <v>9797</v>
      </c>
      <c r="V49" s="1561" t="s">
        <v>9798</v>
      </c>
      <c r="W49" s="1576" t="s">
        <v>9799</v>
      </c>
      <c r="X49" s="1576" t="s">
        <v>9800</v>
      </c>
      <c r="Y49" s="1632" t="s">
        <v>975</v>
      </c>
      <c r="Z49" s="1576" t="s">
        <v>9801</v>
      </c>
      <c r="AA49" s="1509" t="s">
        <v>9802</v>
      </c>
      <c r="AB49" s="1576" t="s">
        <v>2835</v>
      </c>
      <c r="AC49" s="1576" t="s">
        <v>5059</v>
      </c>
      <c r="AD49" s="1574" t="s">
        <v>9803</v>
      </c>
      <c r="AE49" s="1574" t="s">
        <v>5601</v>
      </c>
      <c r="AF49" s="1577" t="s">
        <v>9022</v>
      </c>
      <c r="AG49" s="1577" t="s">
        <v>276</v>
      </c>
      <c r="AH49" s="1577" t="s">
        <v>466</v>
      </c>
      <c r="AI49" s="1577" t="s">
        <v>9804</v>
      </c>
      <c r="AJ49" s="1577" t="s">
        <v>9805</v>
      </c>
      <c r="AK49" s="1577" t="s">
        <v>4142</v>
      </c>
      <c r="AL49" s="1577" t="s">
        <v>9806</v>
      </c>
      <c r="AM49" s="1579" t="s">
        <v>9807</v>
      </c>
      <c r="AN49" s="1570" t="s">
        <v>3208</v>
      </c>
      <c r="AO49" s="1579" t="s">
        <v>8040</v>
      </c>
      <c r="AP49" s="1579" t="s">
        <v>9808</v>
      </c>
      <c r="AQ49" s="1579" t="s">
        <v>9809</v>
      </c>
      <c r="AR49" s="1579" t="s">
        <v>9810</v>
      </c>
      <c r="AS49" s="1579" t="s">
        <v>8747</v>
      </c>
      <c r="AT49" s="1558" t="s">
        <v>9811</v>
      </c>
      <c r="AU49" s="1540" t="s">
        <v>9812</v>
      </c>
      <c r="AV49" s="1414" t="str">
        <f t="shared" si="1"/>
        <v>4:57</v>
      </c>
      <c r="AW49" s="1616"/>
    </row>
    <row r="50">
      <c r="A50" s="1550" t="s">
        <v>2372</v>
      </c>
      <c r="B50" s="1548" t="s">
        <v>8817</v>
      </c>
      <c r="C50" s="1496">
        <v>0.05112268518518519</v>
      </c>
      <c r="D50" s="1509" t="s">
        <v>9813</v>
      </c>
      <c r="E50" s="1509" t="s">
        <v>4511</v>
      </c>
      <c r="F50" s="1509" t="s">
        <v>6133</v>
      </c>
      <c r="G50" s="1604" t="s">
        <v>8820</v>
      </c>
      <c r="H50" s="945" t="s">
        <v>9814</v>
      </c>
      <c r="I50" s="1509" t="s">
        <v>766</v>
      </c>
      <c r="J50" s="1509" t="s">
        <v>7453</v>
      </c>
      <c r="K50" s="1509" t="s">
        <v>2496</v>
      </c>
      <c r="L50" s="1509" t="s">
        <v>1365</v>
      </c>
      <c r="M50" s="1509" t="s">
        <v>9815</v>
      </c>
      <c r="N50" s="1509" t="s">
        <v>9297</v>
      </c>
      <c r="O50" s="1509" t="s">
        <v>9816</v>
      </c>
      <c r="P50" s="1509" t="s">
        <v>3628</v>
      </c>
      <c r="Q50" s="1509" t="s">
        <v>9817</v>
      </c>
      <c r="R50" s="1509" t="s">
        <v>9818</v>
      </c>
      <c r="S50" s="1509" t="s">
        <v>3772</v>
      </c>
      <c r="T50" s="1509" t="s">
        <v>7383</v>
      </c>
      <c r="U50" s="1561" t="s">
        <v>9224</v>
      </c>
      <c r="V50" s="1509" t="s">
        <v>9819</v>
      </c>
      <c r="W50" s="1509" t="s">
        <v>9820</v>
      </c>
      <c r="X50" s="1509" t="s">
        <v>1489</v>
      </c>
      <c r="Y50" s="1509" t="s">
        <v>8001</v>
      </c>
      <c r="Z50" s="1509" t="s">
        <v>9047</v>
      </c>
      <c r="AA50" s="1576" t="s">
        <v>615</v>
      </c>
      <c r="AB50" s="1509" t="s">
        <v>9821</v>
      </c>
      <c r="AC50" s="1509" t="s">
        <v>5224</v>
      </c>
      <c r="AD50" s="1509" t="s">
        <v>9822</v>
      </c>
      <c r="AE50" s="1509" t="s">
        <v>3628</v>
      </c>
      <c r="AF50" s="1509" t="s">
        <v>9823</v>
      </c>
      <c r="AG50" s="1509" t="s">
        <v>9824</v>
      </c>
      <c r="AH50" s="1509" t="s">
        <v>2520</v>
      </c>
      <c r="AI50" s="1509" t="s">
        <v>6166</v>
      </c>
      <c r="AJ50" s="1509" t="s">
        <v>9825</v>
      </c>
      <c r="AK50" s="1509" t="s">
        <v>9320</v>
      </c>
      <c r="AL50" s="1509" t="s">
        <v>9826</v>
      </c>
      <c r="AM50" s="1509" t="s">
        <v>2666</v>
      </c>
      <c r="AN50" s="1509" t="s">
        <v>9827</v>
      </c>
      <c r="AO50" s="1509" t="s">
        <v>8957</v>
      </c>
      <c r="AP50" s="1509" t="s">
        <v>9828</v>
      </c>
      <c r="AQ50" s="1509" t="s">
        <v>9829</v>
      </c>
      <c r="AR50" s="1509" t="s">
        <v>2255</v>
      </c>
      <c r="AS50" s="1509" t="s">
        <v>7995</v>
      </c>
      <c r="AT50" s="1509" t="s">
        <v>9830</v>
      </c>
      <c r="AU50" s="1509" t="s">
        <v>9831</v>
      </c>
      <c r="AV50" s="1414" t="str">
        <f t="shared" si="1"/>
        <v>3:15</v>
      </c>
      <c r="AW50" s="996"/>
    </row>
    <row r="51">
      <c r="A51" s="1550" t="s">
        <v>2753</v>
      </c>
      <c r="B51" s="1548" t="s">
        <v>8789</v>
      </c>
      <c r="C51" s="1496">
        <v>0.051145833333333335</v>
      </c>
      <c r="D51" s="945" t="s">
        <v>9832</v>
      </c>
      <c r="E51" s="1600" t="s">
        <v>4128</v>
      </c>
      <c r="F51" s="1600" t="s">
        <v>1772</v>
      </c>
      <c r="G51" s="1600" t="s">
        <v>9833</v>
      </c>
      <c r="H51" s="945" t="s">
        <v>9834</v>
      </c>
      <c r="I51" s="1600" t="s">
        <v>9739</v>
      </c>
      <c r="J51" s="1600" t="s">
        <v>9835</v>
      </c>
      <c r="K51" s="1600" t="s">
        <v>9835</v>
      </c>
      <c r="L51" s="1600" t="s">
        <v>4132</v>
      </c>
      <c r="M51" s="1600" t="s">
        <v>3455</v>
      </c>
      <c r="N51" s="1600" t="s">
        <v>9836</v>
      </c>
      <c r="O51" s="1600" t="s">
        <v>9837</v>
      </c>
      <c r="P51" s="1600" t="s">
        <v>7644</v>
      </c>
      <c r="Q51" s="1600" t="s">
        <v>9838</v>
      </c>
      <c r="R51" s="1600" t="s">
        <v>9839</v>
      </c>
      <c r="S51" s="1498" t="s">
        <v>6736</v>
      </c>
      <c r="T51" s="1600" t="s">
        <v>9840</v>
      </c>
      <c r="U51" s="1600" t="s">
        <v>231</v>
      </c>
      <c r="V51" s="1600" t="s">
        <v>9841</v>
      </c>
      <c r="W51" s="1600" t="s">
        <v>9842</v>
      </c>
      <c r="X51" s="1600" t="s">
        <v>9843</v>
      </c>
      <c r="Y51" s="1600" t="s">
        <v>598</v>
      </c>
      <c r="Z51" s="1600" t="s">
        <v>9844</v>
      </c>
      <c r="AA51" s="1600" t="s">
        <v>9577</v>
      </c>
      <c r="AB51" s="1600" t="s">
        <v>5895</v>
      </c>
      <c r="AC51" s="1600" t="s">
        <v>1234</v>
      </c>
      <c r="AD51" s="1600" t="s">
        <v>9845</v>
      </c>
      <c r="AE51" s="1600" t="s">
        <v>9259</v>
      </c>
      <c r="AF51" s="1600" t="s">
        <v>9846</v>
      </c>
      <c r="AG51" s="1600" t="s">
        <v>9847</v>
      </c>
      <c r="AH51" s="1600" t="s">
        <v>3753</v>
      </c>
      <c r="AI51" s="1600" t="s">
        <v>9848</v>
      </c>
      <c r="AJ51" s="1600" t="s">
        <v>9849</v>
      </c>
      <c r="AK51" s="1600" t="s">
        <v>9850</v>
      </c>
      <c r="AL51" s="1600" t="s">
        <v>4974</v>
      </c>
      <c r="AM51" s="1600" t="s">
        <v>3611</v>
      </c>
      <c r="AN51" s="1600" t="s">
        <v>5559</v>
      </c>
      <c r="AO51" s="1600" t="s">
        <v>5157</v>
      </c>
      <c r="AP51" s="1600" t="s">
        <v>9851</v>
      </c>
      <c r="AQ51" s="1600" t="s">
        <v>3361</v>
      </c>
      <c r="AR51" s="1600" t="s">
        <v>9392</v>
      </c>
      <c r="AS51" s="1600" t="s">
        <v>1400</v>
      </c>
      <c r="AT51" s="1600" t="s">
        <v>699</v>
      </c>
      <c r="AU51" s="1600" t="s">
        <v>9852</v>
      </c>
      <c r="AV51" s="1414" t="str">
        <f t="shared" si="1"/>
        <v>3:47</v>
      </c>
      <c r="AW51" s="1633" t="s">
        <v>9853</v>
      </c>
    </row>
    <row r="52" ht="15.75" customHeight="1">
      <c r="A52" s="1494" t="s">
        <v>9854</v>
      </c>
      <c r="B52" s="1634" t="s">
        <v>8789</v>
      </c>
      <c r="C52" s="1496">
        <v>0.051180555555555556</v>
      </c>
      <c r="D52" s="945" t="s">
        <v>9855</v>
      </c>
      <c r="E52" s="1509" t="s">
        <v>9856</v>
      </c>
      <c r="F52" s="1509" t="s">
        <v>164</v>
      </c>
      <c r="G52" s="1509" t="s">
        <v>9857</v>
      </c>
      <c r="H52" s="1509" t="s">
        <v>9858</v>
      </c>
      <c r="I52" s="1509" t="s">
        <v>162</v>
      </c>
      <c r="J52" s="1509" t="s">
        <v>887</v>
      </c>
      <c r="K52" s="1509" t="s">
        <v>7064</v>
      </c>
      <c r="L52" s="1509" t="s">
        <v>9011</v>
      </c>
      <c r="M52" s="1509" t="s">
        <v>5944</v>
      </c>
      <c r="N52" s="1509" t="s">
        <v>9859</v>
      </c>
      <c r="O52" s="1509" t="s">
        <v>9860</v>
      </c>
      <c r="P52" s="1509" t="s">
        <v>5514</v>
      </c>
      <c r="Q52" s="1509" t="s">
        <v>6781</v>
      </c>
      <c r="R52" s="1509" t="s">
        <v>9861</v>
      </c>
      <c r="S52" s="1509" t="s">
        <v>8696</v>
      </c>
      <c r="T52" s="1414" t="s">
        <v>4187</v>
      </c>
      <c r="U52" s="1414" t="s">
        <v>9862</v>
      </c>
      <c r="V52" s="1509" t="s">
        <v>1899</v>
      </c>
      <c r="W52" s="1509" t="s">
        <v>9863</v>
      </c>
      <c r="X52" s="1509" t="s">
        <v>9864</v>
      </c>
      <c r="Y52" s="1509" t="s">
        <v>9259</v>
      </c>
      <c r="Z52" s="1509" t="s">
        <v>9865</v>
      </c>
      <c r="AA52" s="1509" t="s">
        <v>9866</v>
      </c>
      <c r="AB52" s="1509" t="s">
        <v>9867</v>
      </c>
      <c r="AC52" s="1509" t="s">
        <v>849</v>
      </c>
      <c r="AD52" s="1509" t="s">
        <v>9775</v>
      </c>
      <c r="AE52" s="1509" t="s">
        <v>3205</v>
      </c>
      <c r="AF52" s="1414" t="s">
        <v>9868</v>
      </c>
      <c r="AG52" s="1509" t="s">
        <v>388</v>
      </c>
      <c r="AH52" s="1509" t="s">
        <v>9869</v>
      </c>
      <c r="AI52" s="1509" t="s">
        <v>9870</v>
      </c>
      <c r="AJ52" s="1509" t="s">
        <v>9871</v>
      </c>
      <c r="AK52" s="1509" t="s">
        <v>9872</v>
      </c>
      <c r="AL52" s="1509" t="s">
        <v>4875</v>
      </c>
      <c r="AM52" s="1509" t="s">
        <v>6856</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3" t="s">
        <v>9878</v>
      </c>
    </row>
    <row r="53" ht="15.75" customHeight="1">
      <c r="A53" s="1550" t="s">
        <v>3741</v>
      </c>
      <c r="B53" s="1626" t="s">
        <v>8789</v>
      </c>
      <c r="C53" s="1635">
        <v>0.05123738425925926</v>
      </c>
      <c r="D53" s="1574" t="s">
        <v>9879</v>
      </c>
      <c r="E53" s="1574" t="s">
        <v>3866</v>
      </c>
      <c r="F53" s="1574" t="s">
        <v>9880</v>
      </c>
      <c r="G53" s="1574" t="s">
        <v>9278</v>
      </c>
      <c r="H53" s="808" t="s">
        <v>9881</v>
      </c>
      <c r="I53" s="808" t="s">
        <v>2550</v>
      </c>
      <c r="J53" s="1558" t="s">
        <v>9513</v>
      </c>
      <c r="K53" s="1558" t="s">
        <v>6800</v>
      </c>
      <c r="L53" s="1558" t="s">
        <v>9882</v>
      </c>
      <c r="M53" s="1558" t="s">
        <v>9235</v>
      </c>
      <c r="N53" s="1636" t="s">
        <v>1162</v>
      </c>
      <c r="O53" s="1558" t="s">
        <v>3448</v>
      </c>
      <c r="P53" s="1558" t="s">
        <v>8942</v>
      </c>
      <c r="Q53" s="1561" t="s">
        <v>9883</v>
      </c>
      <c r="R53" s="1561" t="s">
        <v>9470</v>
      </c>
      <c r="S53" s="1561" t="s">
        <v>9884</v>
      </c>
      <c r="T53" s="1561" t="s">
        <v>9885</v>
      </c>
      <c r="U53" s="1561" t="s">
        <v>9886</v>
      </c>
      <c r="V53" s="1561" t="s">
        <v>4214</v>
      </c>
      <c r="W53" s="1576" t="s">
        <v>9887</v>
      </c>
      <c r="X53" s="1576" t="s">
        <v>9888</v>
      </c>
      <c r="Y53" s="1576" t="s">
        <v>9889</v>
      </c>
      <c r="Z53" s="1576" t="s">
        <v>1353</v>
      </c>
      <c r="AA53" s="1576" t="s">
        <v>9199</v>
      </c>
      <c r="AB53" s="1576" t="s">
        <v>9614</v>
      </c>
      <c r="AC53" s="1576" t="s">
        <v>485</v>
      </c>
      <c r="AD53" s="1574" t="s">
        <v>9890</v>
      </c>
      <c r="AE53" s="1574" t="s">
        <v>6585</v>
      </c>
      <c r="AF53" s="1577" t="s">
        <v>9891</v>
      </c>
      <c r="AG53" s="1577" t="s">
        <v>9892</v>
      </c>
      <c r="AH53" s="1577" t="s">
        <v>9893</v>
      </c>
      <c r="AI53" s="1577" t="s">
        <v>314</v>
      </c>
      <c r="AJ53" s="1577" t="s">
        <v>9894</v>
      </c>
      <c r="AK53" s="1546" t="s">
        <v>9357</v>
      </c>
      <c r="AL53" s="1577" t="s">
        <v>9289</v>
      </c>
      <c r="AM53" s="1579" t="s">
        <v>9895</v>
      </c>
      <c r="AN53" s="1579" t="s">
        <v>572</v>
      </c>
      <c r="AO53" s="1579" t="s">
        <v>9896</v>
      </c>
      <c r="AP53" s="1579" t="s">
        <v>9897</v>
      </c>
      <c r="AQ53" s="945" t="s">
        <v>9898</v>
      </c>
      <c r="AR53" s="1637" t="s">
        <v>9899</v>
      </c>
      <c r="AS53" s="1579" t="s">
        <v>9900</v>
      </c>
      <c r="AT53" s="1558" t="s">
        <v>9901</v>
      </c>
      <c r="AU53" s="1540" t="s">
        <v>9902</v>
      </c>
      <c r="AV53" s="1414" t="str">
        <f t="shared" si="1"/>
        <v>4:25</v>
      </c>
      <c r="AW53" s="1541" t="s">
        <v>9903</v>
      </c>
    </row>
    <row r="54" ht="15.75" customHeight="1">
      <c r="A54" s="1550" t="s">
        <v>1636</v>
      </c>
      <c r="B54" s="1638" t="s">
        <v>8843</v>
      </c>
      <c r="C54" s="1618">
        <v>0.051319444444444445</v>
      </c>
      <c r="D54" s="945" t="s">
        <v>9904</v>
      </c>
      <c r="E54" s="1414" t="s">
        <v>9905</v>
      </c>
      <c r="F54" s="1414" t="s">
        <v>9906</v>
      </c>
      <c r="G54" s="1414" t="s">
        <v>9907</v>
      </c>
      <c r="H54" s="1414" t="s">
        <v>5073</v>
      </c>
      <c r="I54" s="1414" t="s">
        <v>6584</v>
      </c>
      <c r="J54" s="1414" t="s">
        <v>9908</v>
      </c>
      <c r="K54" s="1414" t="s">
        <v>8963</v>
      </c>
      <c r="L54" s="1414" t="s">
        <v>3956</v>
      </c>
      <c r="M54" s="1414" t="s">
        <v>9658</v>
      </c>
      <c r="N54" s="1414" t="s">
        <v>9453</v>
      </c>
      <c r="O54" s="1414" t="s">
        <v>9909</v>
      </c>
      <c r="P54" s="1639" t="s">
        <v>8852</v>
      </c>
      <c r="Q54" s="1414" t="s">
        <v>9910</v>
      </c>
      <c r="R54" s="1414" t="s">
        <v>5933</v>
      </c>
      <c r="S54" s="1414" t="s">
        <v>1160</v>
      </c>
      <c r="T54" s="1414" t="s">
        <v>9911</v>
      </c>
      <c r="U54" s="1414" t="s">
        <v>1006</v>
      </c>
      <c r="V54" s="1414" t="s">
        <v>454</v>
      </c>
      <c r="W54" s="1414" t="s">
        <v>9912</v>
      </c>
      <c r="X54" s="1414" t="s">
        <v>311</v>
      </c>
      <c r="Y54" s="1414" t="s">
        <v>9913</v>
      </c>
      <c r="Z54" s="1414" t="s">
        <v>6861</v>
      </c>
      <c r="AA54" s="1414" t="s">
        <v>9686</v>
      </c>
      <c r="AB54" s="1414" t="s">
        <v>4505</v>
      </c>
      <c r="AC54" s="1414" t="s">
        <v>6123</v>
      </c>
      <c r="AD54" s="1414" t="s">
        <v>9914</v>
      </c>
      <c r="AE54" s="1639" t="s">
        <v>5601</v>
      </c>
      <c r="AF54" s="1639" t="s">
        <v>2734</v>
      </c>
      <c r="AG54" s="1414" t="s">
        <v>4587</v>
      </c>
      <c r="AH54" s="1414" t="s">
        <v>9915</v>
      </c>
      <c r="AI54" s="1414" t="s">
        <v>9916</v>
      </c>
      <c r="AJ54" s="1414" t="s">
        <v>9917</v>
      </c>
      <c r="AK54" s="1414" t="s">
        <v>6074</v>
      </c>
      <c r="AL54" s="1414" t="s">
        <v>6304</v>
      </c>
      <c r="AM54" s="1639" t="s">
        <v>8866</v>
      </c>
      <c r="AN54" s="1509" t="s">
        <v>2470</v>
      </c>
      <c r="AO54" s="1414" t="s">
        <v>4950</v>
      </c>
      <c r="AP54" s="1414" t="s">
        <v>9918</v>
      </c>
      <c r="AQ54" s="1414" t="s">
        <v>9919</v>
      </c>
      <c r="AR54" s="1414" t="s">
        <v>8033</v>
      </c>
      <c r="AS54" s="1414" t="s">
        <v>4434</v>
      </c>
      <c r="AT54" s="1414" t="s">
        <v>9920</v>
      </c>
      <c r="AU54" s="1414" t="s">
        <v>9921</v>
      </c>
      <c r="AV54" s="1414" t="str">
        <f t="shared" si="1"/>
        <v>3:15</v>
      </c>
      <c r="AW54" s="1583" t="s">
        <v>9922</v>
      </c>
    </row>
    <row r="55">
      <c r="A55" s="1550" t="s">
        <v>1880</v>
      </c>
      <c r="B55" s="1538" t="s">
        <v>8789</v>
      </c>
      <c r="C55" s="1496">
        <v>0.05133101851851852</v>
      </c>
      <c r="D55" s="1625" t="s">
        <v>9923</v>
      </c>
      <c r="E55" s="1574" t="s">
        <v>9924</v>
      </c>
      <c r="F55" s="1574" t="s">
        <v>9925</v>
      </c>
      <c r="G55" s="1574" t="s">
        <v>9926</v>
      </c>
      <c r="H55" s="808" t="s">
        <v>9927</v>
      </c>
      <c r="I55" s="808" t="s">
        <v>3105</v>
      </c>
      <c r="J55" s="1558" t="s">
        <v>1867</v>
      </c>
      <c r="K55" s="1558" t="s">
        <v>9928</v>
      </c>
      <c r="L55" s="1558" t="s">
        <v>4175</v>
      </c>
      <c r="M55" s="1558" t="s">
        <v>9929</v>
      </c>
      <c r="N55" s="1558" t="s">
        <v>9054</v>
      </c>
      <c r="O55" s="1558" t="s">
        <v>9930</v>
      </c>
      <c r="P55" s="1558" t="s">
        <v>9008</v>
      </c>
      <c r="Q55" s="1561" t="s">
        <v>9931</v>
      </c>
      <c r="R55" s="1561" t="s">
        <v>9700</v>
      </c>
      <c r="S55" s="1561" t="s">
        <v>7403</v>
      </c>
      <c r="T55" s="1561" t="s">
        <v>9705</v>
      </c>
      <c r="U55" s="1561" t="s">
        <v>9932</v>
      </c>
      <c r="V55" s="1561" t="s">
        <v>9490</v>
      </c>
      <c r="W55" s="1576" t="s">
        <v>9933</v>
      </c>
      <c r="X55" s="1576" t="s">
        <v>9934</v>
      </c>
      <c r="Y55" s="1576" t="s">
        <v>5482</v>
      </c>
      <c r="Z55" s="1576" t="s">
        <v>1505</v>
      </c>
      <c r="AA55" s="1576" t="s">
        <v>9935</v>
      </c>
      <c r="AB55" s="1576" t="s">
        <v>6370</v>
      </c>
      <c r="AC55" s="1576" t="s">
        <v>265</v>
      </c>
      <c r="AD55" s="1574" t="s">
        <v>9266</v>
      </c>
      <c r="AE55" s="1574" t="s">
        <v>5482</v>
      </c>
      <c r="AF55" s="1577" t="s">
        <v>9936</v>
      </c>
      <c r="AG55" s="1577" t="s">
        <v>5864</v>
      </c>
      <c r="AH55" s="1577" t="s">
        <v>4057</v>
      </c>
      <c r="AI55" s="1577" t="s">
        <v>9937</v>
      </c>
      <c r="AJ55" s="1577" t="s">
        <v>9938</v>
      </c>
      <c r="AK55" s="1577" t="s">
        <v>9864</v>
      </c>
      <c r="AL55" s="1577" t="s">
        <v>3222</v>
      </c>
      <c r="AM55" s="1579" t="s">
        <v>9293</v>
      </c>
      <c r="AN55" s="1579" t="s">
        <v>4065</v>
      </c>
      <c r="AO55" s="1579" t="s">
        <v>9939</v>
      </c>
      <c r="AP55" s="1579" t="s">
        <v>9940</v>
      </c>
      <c r="AQ55" s="1579" t="s">
        <v>9528</v>
      </c>
      <c r="AR55" s="1579" t="s">
        <v>9941</v>
      </c>
      <c r="AS55" s="1579" t="s">
        <v>8797</v>
      </c>
      <c r="AT55" s="1558" t="s">
        <v>9942</v>
      </c>
      <c r="AU55" s="1540" t="s">
        <v>9943</v>
      </c>
      <c r="AV55" s="1414" t="str">
        <f t="shared" si="1"/>
        <v>1:34</v>
      </c>
      <c r="AW55" s="1616"/>
    </row>
    <row r="56">
      <c r="A56" s="1550" t="s">
        <v>2983</v>
      </c>
      <c r="B56" s="1538" t="s">
        <v>8789</v>
      </c>
      <c r="C56" s="1496">
        <v>0.05134259259259259</v>
      </c>
      <c r="D56" s="1574" t="s">
        <v>9944</v>
      </c>
      <c r="E56" s="1574" t="s">
        <v>6581</v>
      </c>
      <c r="F56" s="1574" t="s">
        <v>9945</v>
      </c>
      <c r="G56" s="1574" t="s">
        <v>9946</v>
      </c>
      <c r="H56" s="1574" t="s">
        <v>9947</v>
      </c>
      <c r="I56" s="1574" t="s">
        <v>1293</v>
      </c>
      <c r="J56" s="1558" t="s">
        <v>5027</v>
      </c>
      <c r="K56" s="1558" t="s">
        <v>6776</v>
      </c>
      <c r="L56" s="1558" t="s">
        <v>4885</v>
      </c>
      <c r="M56" s="1558" t="s">
        <v>3635</v>
      </c>
      <c r="N56" s="1558" t="s">
        <v>2074</v>
      </c>
      <c r="O56" s="1558" t="s">
        <v>9948</v>
      </c>
      <c r="P56" s="1558" t="s">
        <v>4544</v>
      </c>
      <c r="Q56" s="1561" t="s">
        <v>9949</v>
      </c>
      <c r="R56" s="1561" t="s">
        <v>2588</v>
      </c>
      <c r="S56" s="1561" t="s">
        <v>9950</v>
      </c>
      <c r="T56" s="1561" t="s">
        <v>9951</v>
      </c>
      <c r="U56" s="1561" t="s">
        <v>9797</v>
      </c>
      <c r="V56" s="1561" t="s">
        <v>9952</v>
      </c>
      <c r="W56" s="1576" t="s">
        <v>9953</v>
      </c>
      <c r="X56" s="1576" t="s">
        <v>8863</v>
      </c>
      <c r="Y56" s="1576" t="s">
        <v>9400</v>
      </c>
      <c r="Z56" s="1576" t="s">
        <v>3028</v>
      </c>
      <c r="AA56" s="1509" t="s">
        <v>593</v>
      </c>
      <c r="AB56" s="1576" t="s">
        <v>9129</v>
      </c>
      <c r="AC56" s="1576" t="s">
        <v>9415</v>
      </c>
      <c r="AD56" s="1574" t="s">
        <v>9954</v>
      </c>
      <c r="AE56" s="1574" t="s">
        <v>9955</v>
      </c>
      <c r="AF56" s="1577" t="s">
        <v>9956</v>
      </c>
      <c r="AG56" s="1577" t="s">
        <v>9957</v>
      </c>
      <c r="AH56" s="1577" t="s">
        <v>1906</v>
      </c>
      <c r="AI56" s="1577" t="s">
        <v>421</v>
      </c>
      <c r="AJ56" s="1577" t="s">
        <v>9958</v>
      </c>
      <c r="AK56" s="1577" t="s">
        <v>9959</v>
      </c>
      <c r="AL56" s="1577" t="s">
        <v>5690</v>
      </c>
      <c r="AM56" s="1579" t="s">
        <v>9960</v>
      </c>
      <c r="AN56" s="1579" t="s">
        <v>6542</v>
      </c>
      <c r="AO56" s="1579" t="s">
        <v>9961</v>
      </c>
      <c r="AP56" s="1579" t="s">
        <v>9962</v>
      </c>
      <c r="AQ56" s="1579" t="s">
        <v>9528</v>
      </c>
      <c r="AR56" s="1579" t="s">
        <v>9963</v>
      </c>
      <c r="AS56" s="1579" t="s">
        <v>1905</v>
      </c>
      <c r="AT56" s="1558" t="s">
        <v>9964</v>
      </c>
      <c r="AU56" s="1540" t="s">
        <v>9831</v>
      </c>
      <c r="AV56" s="1414" t="str">
        <f t="shared" si="1"/>
        <v>2:56</v>
      </c>
      <c r="AW56" s="1541" t="s">
        <v>9965</v>
      </c>
    </row>
    <row r="57" ht="15.75" customHeight="1">
      <c r="A57" s="1506" t="s">
        <v>1417</v>
      </c>
      <c r="B57" s="1638" t="s">
        <v>8843</v>
      </c>
      <c r="C57" s="1618">
        <v>0.05134259259259259</v>
      </c>
      <c r="D57" s="945" t="s">
        <v>9966</v>
      </c>
      <c r="E57" s="1587" t="s">
        <v>5999</v>
      </c>
      <c r="F57" s="1587" t="s">
        <v>9945</v>
      </c>
      <c r="G57" s="1587" t="s">
        <v>9967</v>
      </c>
      <c r="H57" s="873" t="s">
        <v>9968</v>
      </c>
      <c r="I57" s="1640" t="s">
        <v>351</v>
      </c>
      <c r="J57" s="1588" t="s">
        <v>9969</v>
      </c>
      <c r="K57" s="1588" t="s">
        <v>4036</v>
      </c>
      <c r="L57" s="1641" t="s">
        <v>3800</v>
      </c>
      <c r="M57" s="1588" t="s">
        <v>5647</v>
      </c>
      <c r="N57" s="1588" t="s">
        <v>9970</v>
      </c>
      <c r="O57" s="1641" t="s">
        <v>8851</v>
      </c>
      <c r="P57" s="1588" t="s">
        <v>389</v>
      </c>
      <c r="Q57" s="1589" t="s">
        <v>9971</v>
      </c>
      <c r="R57" s="1589" t="s">
        <v>1627</v>
      </c>
      <c r="S57" s="1589" t="s">
        <v>9972</v>
      </c>
      <c r="T57" s="1642" t="s">
        <v>8855</v>
      </c>
      <c r="U57" s="1589" t="s">
        <v>9973</v>
      </c>
      <c r="V57" s="1589" t="s">
        <v>4059</v>
      </c>
      <c r="W57" s="1643" t="s">
        <v>8857</v>
      </c>
      <c r="X57" s="1590" t="s">
        <v>4360</v>
      </c>
      <c r="Y57" s="1590" t="s">
        <v>6584</v>
      </c>
      <c r="Z57" s="1590" t="s">
        <v>7161</v>
      </c>
      <c r="AA57" s="1590" t="s">
        <v>9357</v>
      </c>
      <c r="AB57" s="1643" t="s">
        <v>8861</v>
      </c>
      <c r="AC57" s="1590" t="s">
        <v>7466</v>
      </c>
      <c r="AD57" s="1579" t="s">
        <v>9974</v>
      </c>
      <c r="AE57" s="1587" t="s">
        <v>9975</v>
      </c>
      <c r="AF57" s="1591" t="s">
        <v>9976</v>
      </c>
      <c r="AG57" s="1591" t="s">
        <v>9977</v>
      </c>
      <c r="AH57" s="1591" t="s">
        <v>9978</v>
      </c>
      <c r="AI57" s="1591" t="s">
        <v>9979</v>
      </c>
      <c r="AJ57" s="1591" t="s">
        <v>9980</v>
      </c>
      <c r="AK57" s="1644" t="s">
        <v>886</v>
      </c>
      <c r="AL57" s="1591" t="s">
        <v>1568</v>
      </c>
      <c r="AM57" s="1578" t="s">
        <v>9824</v>
      </c>
      <c r="AN57" s="1579" t="s">
        <v>4677</v>
      </c>
      <c r="AO57" s="1578" t="s">
        <v>9981</v>
      </c>
      <c r="AP57" s="1578" t="s">
        <v>9982</v>
      </c>
      <c r="AQ57" s="1578" t="s">
        <v>9983</v>
      </c>
      <c r="AR57" s="1578" t="s">
        <v>9984</v>
      </c>
      <c r="AS57" s="1578" t="s">
        <v>4616</v>
      </c>
      <c r="AT57" s="1588" t="s">
        <v>9985</v>
      </c>
      <c r="AU57" s="1592" t="s">
        <v>9986</v>
      </c>
      <c r="AV57" s="1414" t="str">
        <f t="shared" si="1"/>
        <v>1:58</v>
      </c>
      <c r="AW57" s="1616"/>
    </row>
    <row r="58" ht="15.75" customHeight="1">
      <c r="A58" s="1494" t="s">
        <v>3370</v>
      </c>
      <c r="B58" s="1495" t="s">
        <v>8789</v>
      </c>
      <c r="C58" s="1618">
        <v>0.05134259259259259</v>
      </c>
      <c r="D58" s="945" t="s">
        <v>9987</v>
      </c>
      <c r="E58" s="1414" t="s">
        <v>9988</v>
      </c>
      <c r="F58" s="1414" t="s">
        <v>9989</v>
      </c>
      <c r="G58" s="1414" t="s">
        <v>7192</v>
      </c>
      <c r="H58" s="1414" t="s">
        <v>9043</v>
      </c>
      <c r="I58" s="1414" t="s">
        <v>6307</v>
      </c>
      <c r="J58" s="1414" t="s">
        <v>9990</v>
      </c>
      <c r="K58" s="1414" t="s">
        <v>3964</v>
      </c>
      <c r="L58" s="1414" t="s">
        <v>9991</v>
      </c>
      <c r="M58" s="1414" t="s">
        <v>9992</v>
      </c>
      <c r="N58" s="1414" t="s">
        <v>2916</v>
      </c>
      <c r="O58" s="1414" t="s">
        <v>9993</v>
      </c>
      <c r="P58" s="1414" t="s">
        <v>1085</v>
      </c>
      <c r="Q58" s="1414" t="s">
        <v>2461</v>
      </c>
      <c r="R58" s="1414" t="s">
        <v>9700</v>
      </c>
      <c r="S58" s="1414" t="s">
        <v>9573</v>
      </c>
      <c r="T58" s="1414" t="s">
        <v>9994</v>
      </c>
      <c r="U58" s="1414" t="s">
        <v>9995</v>
      </c>
      <c r="V58" s="1414" t="s">
        <v>8828</v>
      </c>
      <c r="W58" s="1414" t="s">
        <v>9996</v>
      </c>
      <c r="X58" s="1414" t="s">
        <v>9997</v>
      </c>
      <c r="Y58" s="1414" t="s">
        <v>389</v>
      </c>
      <c r="Z58" s="1414" t="s">
        <v>7158</v>
      </c>
      <c r="AA58" s="1414" t="s">
        <v>9523</v>
      </c>
      <c r="AB58" s="1414" t="s">
        <v>8900</v>
      </c>
      <c r="AC58" s="1414" t="s">
        <v>849</v>
      </c>
      <c r="AD58" s="1414" t="s">
        <v>9998</v>
      </c>
      <c r="AE58" s="1414" t="s">
        <v>389</v>
      </c>
      <c r="AF58" s="1414" t="s">
        <v>9999</v>
      </c>
      <c r="AG58" s="1414" t="s">
        <v>10000</v>
      </c>
      <c r="AH58" s="1414" t="s">
        <v>5211</v>
      </c>
      <c r="AI58" s="1414" t="s">
        <v>10001</v>
      </c>
      <c r="AJ58" s="1414" t="s">
        <v>9938</v>
      </c>
      <c r="AK58" s="1414" t="s">
        <v>6882</v>
      </c>
      <c r="AL58" s="1414" t="s">
        <v>3307</v>
      </c>
      <c r="AM58" s="1414" t="s">
        <v>4140</v>
      </c>
      <c r="AN58" s="1414" t="s">
        <v>5795</v>
      </c>
      <c r="AO58" s="1414" t="s">
        <v>6495</v>
      </c>
      <c r="AP58" s="1414" t="s">
        <v>10002</v>
      </c>
      <c r="AQ58" s="1414" t="s">
        <v>10003</v>
      </c>
      <c r="AR58" s="1414" t="s">
        <v>10004</v>
      </c>
      <c r="AS58" s="1578" t="s">
        <v>4422</v>
      </c>
      <c r="AT58" s="1414" t="s">
        <v>10005</v>
      </c>
      <c r="AU58" s="1414" t="s">
        <v>9225</v>
      </c>
      <c r="AV58" s="1414" t="str">
        <f t="shared" si="1"/>
        <v>2:27</v>
      </c>
      <c r="AW58" s="1583"/>
    </row>
    <row r="59" ht="15.75" customHeight="1">
      <c r="A59" s="1550" t="s">
        <v>1348</v>
      </c>
      <c r="B59" s="1548" t="s">
        <v>8843</v>
      </c>
      <c r="C59" s="1496">
        <v>0.05140046296296296</v>
      </c>
      <c r="D59" s="1509" t="s">
        <v>10006</v>
      </c>
      <c r="E59" s="1509" t="s">
        <v>1660</v>
      </c>
      <c r="F59" s="1509" t="s">
        <v>10007</v>
      </c>
      <c r="G59" s="1629" t="s">
        <v>8847</v>
      </c>
      <c r="H59" s="945" t="s">
        <v>10008</v>
      </c>
      <c r="I59" s="1509" t="s">
        <v>1760</v>
      </c>
      <c r="J59" s="1629" t="s">
        <v>8849</v>
      </c>
      <c r="K59" s="1509" t="s">
        <v>7085</v>
      </c>
      <c r="L59" s="1509" t="s">
        <v>10009</v>
      </c>
      <c r="M59" s="1629" t="s">
        <v>8850</v>
      </c>
      <c r="N59" s="1509" t="s">
        <v>10010</v>
      </c>
      <c r="O59" s="1509" t="s">
        <v>10011</v>
      </c>
      <c r="P59" s="1509" t="s">
        <v>1046</v>
      </c>
      <c r="Q59" s="1509" t="s">
        <v>9794</v>
      </c>
      <c r="R59" s="1509" t="s">
        <v>10012</v>
      </c>
      <c r="S59" s="1509" t="s">
        <v>8912</v>
      </c>
      <c r="T59" s="1509" t="s">
        <v>10013</v>
      </c>
      <c r="U59" s="1509" t="s">
        <v>9715</v>
      </c>
      <c r="V59" s="1509" t="s">
        <v>5956</v>
      </c>
      <c r="W59" s="1509" t="s">
        <v>10014</v>
      </c>
      <c r="X59" s="1509" t="s">
        <v>630</v>
      </c>
      <c r="Y59" s="1509" t="s">
        <v>10015</v>
      </c>
      <c r="Z59" s="1509" t="s">
        <v>10016</v>
      </c>
      <c r="AA59" s="1645" t="s">
        <v>8860</v>
      </c>
      <c r="AB59" s="1509" t="s">
        <v>6048</v>
      </c>
      <c r="AC59" s="1509" t="s">
        <v>10017</v>
      </c>
      <c r="AD59" s="1509" t="s">
        <v>9209</v>
      </c>
      <c r="AE59" s="1509" t="s">
        <v>2594</v>
      </c>
      <c r="AF59" s="1509" t="s">
        <v>10018</v>
      </c>
      <c r="AG59" s="1629" t="s">
        <v>4600</v>
      </c>
      <c r="AH59" s="1629" t="s">
        <v>5231</v>
      </c>
      <c r="AI59" s="1509" t="s">
        <v>10019</v>
      </c>
      <c r="AJ59" s="1509" t="s">
        <v>10020</v>
      </c>
      <c r="AK59" s="1509" t="s">
        <v>7124</v>
      </c>
      <c r="AL59" s="1509" t="s">
        <v>3955</v>
      </c>
      <c r="AM59" s="1509" t="s">
        <v>10021</v>
      </c>
      <c r="AN59" s="1509" t="s">
        <v>3811</v>
      </c>
      <c r="AO59" s="1629" t="s">
        <v>8868</v>
      </c>
      <c r="AP59" s="1646" t="s">
        <v>8869</v>
      </c>
      <c r="AQ59" s="1509" t="s">
        <v>3233</v>
      </c>
      <c r="AR59" s="1509" t="s">
        <v>1623</v>
      </c>
      <c r="AS59" s="1509" t="s">
        <v>4752</v>
      </c>
      <c r="AT59" s="1509" t="s">
        <v>10022</v>
      </c>
      <c r="AU59" s="1509" t="s">
        <v>9225</v>
      </c>
      <c r="AV59" s="1414" t="str">
        <f t="shared" si="1"/>
        <v>2:22</v>
      </c>
      <c r="AW59" s="1549" t="s">
        <v>10023</v>
      </c>
    </row>
    <row r="60" ht="15.75" customHeight="1">
      <c r="A60" s="1550" t="s">
        <v>4042</v>
      </c>
      <c r="B60" s="1538" t="s">
        <v>8789</v>
      </c>
      <c r="C60" s="1496">
        <v>0.05153935185185185</v>
      </c>
      <c r="D60" s="1600" t="s">
        <v>10024</v>
      </c>
      <c r="E60" s="1600" t="s">
        <v>7668</v>
      </c>
      <c r="F60" s="1600" t="s">
        <v>10025</v>
      </c>
      <c r="G60" s="1600" t="s">
        <v>4958</v>
      </c>
      <c r="H60" s="945" t="s">
        <v>10026</v>
      </c>
      <c r="I60" s="1600" t="s">
        <v>1293</v>
      </c>
      <c r="J60" s="1600" t="s">
        <v>10027</v>
      </c>
      <c r="K60" s="1600" t="s">
        <v>3670</v>
      </c>
      <c r="L60" s="1600" t="s">
        <v>4214</v>
      </c>
      <c r="M60" s="1600" t="s">
        <v>6688</v>
      </c>
      <c r="N60" s="1600" t="s">
        <v>10028</v>
      </c>
      <c r="O60" s="1600" t="s">
        <v>3793</v>
      </c>
      <c r="P60" s="1600" t="s">
        <v>8001</v>
      </c>
      <c r="Q60" s="1600" t="s">
        <v>10029</v>
      </c>
      <c r="R60" s="1600" t="s">
        <v>3430</v>
      </c>
      <c r="S60" s="1647" t="s">
        <v>9656</v>
      </c>
      <c r="T60" s="1600" t="s">
        <v>9474</v>
      </c>
      <c r="U60" s="1600" t="s">
        <v>10030</v>
      </c>
      <c r="V60" s="1600" t="s">
        <v>1792</v>
      </c>
      <c r="W60" s="1600" t="s">
        <v>10031</v>
      </c>
      <c r="X60" s="1600" t="s">
        <v>1677</v>
      </c>
      <c r="Y60" s="1600" t="s">
        <v>3684</v>
      </c>
      <c r="Z60" s="1600" t="s">
        <v>6852</v>
      </c>
      <c r="AA60" s="1600" t="s">
        <v>965</v>
      </c>
      <c r="AB60" s="1600" t="s">
        <v>10032</v>
      </c>
      <c r="AC60" s="1600" t="s">
        <v>10017</v>
      </c>
      <c r="AD60" s="1600" t="s">
        <v>10033</v>
      </c>
      <c r="AE60" s="1600" t="s">
        <v>4965</v>
      </c>
      <c r="AF60" s="1502" t="s">
        <v>10034</v>
      </c>
      <c r="AG60" s="1600" t="s">
        <v>10035</v>
      </c>
      <c r="AH60" s="1600" t="s">
        <v>10036</v>
      </c>
      <c r="AI60" s="1600" t="s">
        <v>10037</v>
      </c>
      <c r="AJ60" s="1600" t="s">
        <v>10038</v>
      </c>
      <c r="AK60" s="1600" t="s">
        <v>5132</v>
      </c>
      <c r="AL60" s="1600" t="s">
        <v>9826</v>
      </c>
      <c r="AM60" s="1600" t="s">
        <v>10019</v>
      </c>
      <c r="AN60" s="1600" t="s">
        <v>2583</v>
      </c>
      <c r="AO60" s="1600" t="s">
        <v>5761</v>
      </c>
      <c r="AP60" s="1647" t="s">
        <v>9761</v>
      </c>
      <c r="AQ60" s="1600" t="s">
        <v>10039</v>
      </c>
      <c r="AR60" s="1600" t="s">
        <v>5027</v>
      </c>
      <c r="AS60" s="1600" t="s">
        <v>9440</v>
      </c>
      <c r="AT60" s="1600" t="s">
        <v>10040</v>
      </c>
      <c r="AU60" s="1600" t="s">
        <v>10041</v>
      </c>
      <c r="AV60" s="1414" t="str">
        <f t="shared" si="1"/>
        <v>2:41</v>
      </c>
      <c r="AW60" s="1648" t="s">
        <v>10042</v>
      </c>
    </row>
    <row r="61" ht="15.75" customHeight="1">
      <c r="A61" s="1494" t="s">
        <v>2025</v>
      </c>
      <c r="B61" s="1495" t="s">
        <v>8789</v>
      </c>
      <c r="C61" s="1496">
        <v>0.05157407407407407</v>
      </c>
      <c r="D61" s="945" t="s">
        <v>10043</v>
      </c>
      <c r="E61" s="1574" t="s">
        <v>10044</v>
      </c>
      <c r="F61" s="1574" t="s">
        <v>10045</v>
      </c>
      <c r="G61" s="1587" t="s">
        <v>9534</v>
      </c>
      <c r="H61" s="873" t="s">
        <v>10046</v>
      </c>
      <c r="I61" s="873" t="s">
        <v>2098</v>
      </c>
      <c r="J61" s="1588" t="s">
        <v>5452</v>
      </c>
      <c r="K61" s="1588" t="s">
        <v>3497</v>
      </c>
      <c r="L61" s="1588" t="s">
        <v>10047</v>
      </c>
      <c r="M61" s="1588" t="s">
        <v>9697</v>
      </c>
      <c r="N61" s="1588" t="s">
        <v>1230</v>
      </c>
      <c r="O61" s="1588" t="s">
        <v>10014</v>
      </c>
      <c r="P61" s="1588" t="s">
        <v>10048</v>
      </c>
      <c r="Q61" s="1589" t="s">
        <v>10049</v>
      </c>
      <c r="R61" s="1589" t="s">
        <v>10050</v>
      </c>
      <c r="S61" s="1589" t="s">
        <v>10051</v>
      </c>
      <c r="T61" s="1589" t="s">
        <v>6856</v>
      </c>
      <c r="U61" s="1589" t="s">
        <v>2791</v>
      </c>
      <c r="V61" s="1589" t="s">
        <v>5101</v>
      </c>
      <c r="W61" s="1590" t="s">
        <v>10052</v>
      </c>
      <c r="X61" s="1590" t="s">
        <v>10053</v>
      </c>
      <c r="Y61" s="1590" t="s">
        <v>9913</v>
      </c>
      <c r="Z61" s="1590" t="s">
        <v>8861</v>
      </c>
      <c r="AA61" s="1590" t="s">
        <v>6166</v>
      </c>
      <c r="AB61" s="1590" t="s">
        <v>5895</v>
      </c>
      <c r="AC61" s="1590" t="s">
        <v>6453</v>
      </c>
      <c r="AD61" s="1574" t="s">
        <v>10054</v>
      </c>
      <c r="AE61" s="1587" t="s">
        <v>5503</v>
      </c>
      <c r="AF61" s="1591" t="s">
        <v>10055</v>
      </c>
      <c r="AG61" s="1591" t="s">
        <v>10056</v>
      </c>
      <c r="AH61" s="1591" t="s">
        <v>10057</v>
      </c>
      <c r="AI61" s="1591" t="s">
        <v>1037</v>
      </c>
      <c r="AJ61" s="1591" t="s">
        <v>10058</v>
      </c>
      <c r="AK61" s="1577" t="s">
        <v>630</v>
      </c>
      <c r="AL61" s="1577" t="s">
        <v>10059</v>
      </c>
      <c r="AM61" s="1578" t="s">
        <v>3724</v>
      </c>
      <c r="AN61" s="1578" t="s">
        <v>10060</v>
      </c>
      <c r="AO61" s="1578" t="s">
        <v>10061</v>
      </c>
      <c r="AP61" s="1578" t="s">
        <v>10062</v>
      </c>
      <c r="AQ61" s="1578" t="s">
        <v>10063</v>
      </c>
      <c r="AR61" s="1579" t="s">
        <v>7399</v>
      </c>
      <c r="AS61" s="1578" t="s">
        <v>4422</v>
      </c>
      <c r="AT61" s="1588" t="s">
        <v>10064</v>
      </c>
      <c r="AU61" s="1592" t="s">
        <v>10065</v>
      </c>
      <c r="AV61" s="1414" t="str">
        <f t="shared" si="1"/>
        <v>4:40</v>
      </c>
      <c r="AW61" s="1616" t="s">
        <v>10066</v>
      </c>
    </row>
    <row r="62" ht="15.75" customHeight="1">
      <c r="A62" s="1550" t="s">
        <v>10067</v>
      </c>
      <c r="B62" s="1538" t="s">
        <v>8789</v>
      </c>
      <c r="C62" s="1496">
        <v>0.051631944444444446</v>
      </c>
      <c r="D62" s="1574" t="s">
        <v>10068</v>
      </c>
      <c r="E62" s="1574" t="s">
        <v>7518</v>
      </c>
      <c r="F62" s="1574" t="s">
        <v>8991</v>
      </c>
      <c r="G62" s="1574" t="s">
        <v>10069</v>
      </c>
      <c r="H62" s="808" t="s">
        <v>10070</v>
      </c>
      <c r="I62" s="808" t="s">
        <v>10071</v>
      </c>
      <c r="J62" s="1558" t="s">
        <v>10072</v>
      </c>
      <c r="K62" s="1558" t="s">
        <v>7124</v>
      </c>
      <c r="L62" s="1558" t="s">
        <v>4453</v>
      </c>
      <c r="M62" s="1558" t="s">
        <v>2700</v>
      </c>
      <c r="N62" s="1558" t="s">
        <v>9471</v>
      </c>
      <c r="O62" s="1558" t="s">
        <v>10073</v>
      </c>
      <c r="P62" s="1558" t="s">
        <v>2173</v>
      </c>
      <c r="Q62" s="1561" t="s">
        <v>10074</v>
      </c>
      <c r="R62" s="1561" t="s">
        <v>5933</v>
      </c>
      <c r="S62" s="1561" t="s">
        <v>5610</v>
      </c>
      <c r="T62" s="1561" t="s">
        <v>6288</v>
      </c>
      <c r="U62" s="1561" t="s">
        <v>10075</v>
      </c>
      <c r="V62" s="1561" t="s">
        <v>10076</v>
      </c>
      <c r="W62" s="1576" t="s">
        <v>10077</v>
      </c>
      <c r="X62" s="1576" t="s">
        <v>630</v>
      </c>
      <c r="Y62" s="1576" t="s">
        <v>5092</v>
      </c>
      <c r="Z62" s="1576" t="s">
        <v>10078</v>
      </c>
      <c r="AA62" s="1509" t="s">
        <v>10079</v>
      </c>
      <c r="AB62" s="1576" t="s">
        <v>9391</v>
      </c>
      <c r="AC62" s="1576" t="s">
        <v>4716</v>
      </c>
      <c r="AD62" s="1574" t="s">
        <v>10080</v>
      </c>
      <c r="AE62" s="1574" t="s">
        <v>9349</v>
      </c>
      <c r="AF62" s="1649" t="s">
        <v>10081</v>
      </c>
      <c r="AG62" s="1577" t="s">
        <v>7639</v>
      </c>
      <c r="AH62" s="1577" t="s">
        <v>10057</v>
      </c>
      <c r="AI62" s="1577" t="s">
        <v>4114</v>
      </c>
      <c r="AJ62" s="1577" t="s">
        <v>10082</v>
      </c>
      <c r="AK62" s="1577" t="s">
        <v>1526</v>
      </c>
      <c r="AL62" s="1577" t="s">
        <v>3476</v>
      </c>
      <c r="AM62" s="1579" t="s">
        <v>6166</v>
      </c>
      <c r="AN62" s="1579" t="s">
        <v>5690</v>
      </c>
      <c r="AO62" s="1579" t="s">
        <v>7452</v>
      </c>
      <c r="AP62" s="1579" t="s">
        <v>10083</v>
      </c>
      <c r="AQ62" s="1579" t="s">
        <v>3505</v>
      </c>
      <c r="AR62" s="1579" t="s">
        <v>9633</v>
      </c>
      <c r="AS62" s="1579" t="s">
        <v>4087</v>
      </c>
      <c r="AT62" s="1558" t="s">
        <v>10084</v>
      </c>
      <c r="AU62" s="1540" t="s">
        <v>10085</v>
      </c>
      <c r="AV62" s="1414" t="str">
        <f t="shared" si="1"/>
        <v>2:25</v>
      </c>
      <c r="AW62" s="1603" t="s">
        <v>10086</v>
      </c>
    </row>
    <row r="63" ht="15.75" customHeight="1">
      <c r="A63" s="1601" t="s">
        <v>10087</v>
      </c>
      <c r="B63" s="1495" t="s">
        <v>8789</v>
      </c>
      <c r="C63" s="1618">
        <v>0.051631944444444446</v>
      </c>
      <c r="D63" s="945" t="s">
        <v>10088</v>
      </c>
      <c r="E63" s="335" t="s">
        <v>10089</v>
      </c>
      <c r="F63" s="335" t="s">
        <v>8869</v>
      </c>
      <c r="G63" s="335" t="s">
        <v>10090</v>
      </c>
      <c r="H63" s="335" t="s">
        <v>10091</v>
      </c>
      <c r="I63" s="335" t="s">
        <v>10017</v>
      </c>
      <c r="J63" s="335" t="s">
        <v>3498</v>
      </c>
      <c r="K63" s="335" t="s">
        <v>10092</v>
      </c>
      <c r="L63" s="335" t="s">
        <v>5276</v>
      </c>
      <c r="M63" s="335" t="s">
        <v>712</v>
      </c>
      <c r="N63" s="335" t="s">
        <v>10093</v>
      </c>
      <c r="O63" s="335" t="s">
        <v>4725</v>
      </c>
      <c r="P63" s="335" t="s">
        <v>8822</v>
      </c>
      <c r="Q63" s="335" t="s">
        <v>2805</v>
      </c>
      <c r="R63" s="335" t="s">
        <v>10094</v>
      </c>
      <c r="S63" s="335" t="s">
        <v>9875</v>
      </c>
      <c r="T63" s="335" t="s">
        <v>9293</v>
      </c>
      <c r="U63" s="335" t="s">
        <v>10095</v>
      </c>
      <c r="V63" s="335" t="s">
        <v>10096</v>
      </c>
      <c r="W63" s="335" t="s">
        <v>10097</v>
      </c>
      <c r="X63" s="335" t="s">
        <v>10019</v>
      </c>
      <c r="Y63" s="335" t="s">
        <v>4716</v>
      </c>
      <c r="Z63" s="335" t="s">
        <v>6737</v>
      </c>
      <c r="AA63" s="335" t="s">
        <v>5932</v>
      </c>
      <c r="AB63" s="335" t="s">
        <v>10098</v>
      </c>
      <c r="AC63" s="335" t="s">
        <v>389</v>
      </c>
      <c r="AD63" s="335" t="s">
        <v>6113</v>
      </c>
      <c r="AE63" s="335" t="s">
        <v>3105</v>
      </c>
      <c r="AF63" s="335" t="s">
        <v>9767</v>
      </c>
      <c r="AG63" s="335" t="s">
        <v>10099</v>
      </c>
      <c r="AH63" s="335" t="s">
        <v>5419</v>
      </c>
      <c r="AI63" s="335" t="s">
        <v>3575</v>
      </c>
      <c r="AJ63" s="335" t="s">
        <v>10100</v>
      </c>
      <c r="AK63" s="335" t="s">
        <v>9935</v>
      </c>
      <c r="AL63" s="335" t="s">
        <v>5204</v>
      </c>
      <c r="AM63" s="335" t="s">
        <v>10101</v>
      </c>
      <c r="AN63" s="335" t="s">
        <v>8652</v>
      </c>
      <c r="AO63" s="335" t="s">
        <v>5143</v>
      </c>
      <c r="AP63" s="335" t="s">
        <v>10102</v>
      </c>
      <c r="AQ63" s="335" t="s">
        <v>3690</v>
      </c>
      <c r="AR63" s="335" t="s">
        <v>9455</v>
      </c>
      <c r="AS63" s="335" t="s">
        <v>4703</v>
      </c>
      <c r="AT63" s="335" t="s">
        <v>10103</v>
      </c>
      <c r="AU63" s="1650" t="str">
        <f>HYPERLINK("https://splits.io/pc9","1:16:48")</f>
        <v>1:16:48</v>
      </c>
      <c r="AV63" s="1414" t="str">
        <f t="shared" si="1"/>
        <v>2:27</v>
      </c>
      <c r="AW63" s="1651" t="s">
        <v>10104</v>
      </c>
    </row>
    <row r="64" ht="15.75" customHeight="1">
      <c r="A64" s="1494" t="s">
        <v>5892</v>
      </c>
      <c r="B64" s="1495" t="s">
        <v>8789</v>
      </c>
      <c r="C64" s="1618">
        <v>0.051631944444444446</v>
      </c>
      <c r="D64" s="945" t="s">
        <v>10105</v>
      </c>
      <c r="E64" s="335" t="s">
        <v>7668</v>
      </c>
      <c r="F64" s="335" t="s">
        <v>10106</v>
      </c>
      <c r="G64" s="335" t="s">
        <v>5351</v>
      </c>
      <c r="H64" s="335" t="s">
        <v>9677</v>
      </c>
      <c r="I64" s="335" t="s">
        <v>4716</v>
      </c>
      <c r="J64" s="335" t="s">
        <v>8980</v>
      </c>
      <c r="K64" s="335" t="s">
        <v>8685</v>
      </c>
      <c r="L64" s="335" t="s">
        <v>5878</v>
      </c>
      <c r="M64" s="335" t="s">
        <v>938</v>
      </c>
      <c r="N64" s="335" t="s">
        <v>10107</v>
      </c>
      <c r="O64" s="335" t="s">
        <v>9909</v>
      </c>
      <c r="P64" s="335" t="s">
        <v>9770</v>
      </c>
      <c r="Q64" s="335" t="s">
        <v>10108</v>
      </c>
      <c r="R64" s="335" t="s">
        <v>10050</v>
      </c>
      <c r="S64" s="335" t="s">
        <v>6765</v>
      </c>
      <c r="T64" s="335" t="s">
        <v>10109</v>
      </c>
      <c r="U64" s="335" t="s">
        <v>10110</v>
      </c>
      <c r="V64" s="335" t="s">
        <v>10111</v>
      </c>
      <c r="W64" s="335" t="s">
        <v>10112</v>
      </c>
      <c r="X64" s="335" t="s">
        <v>10113</v>
      </c>
      <c r="Y64" s="335" t="s">
        <v>1165</v>
      </c>
      <c r="Z64" s="335" t="s">
        <v>4859</v>
      </c>
      <c r="AA64" s="335" t="s">
        <v>10114</v>
      </c>
      <c r="AB64" s="335" t="s">
        <v>6827</v>
      </c>
      <c r="AC64" s="335" t="s">
        <v>10115</v>
      </c>
      <c r="AD64" s="335" t="s">
        <v>10116</v>
      </c>
      <c r="AE64" s="1600" t="s">
        <v>5482</v>
      </c>
      <c r="AF64" s="335" t="s">
        <v>10117</v>
      </c>
      <c r="AG64" s="335" t="s">
        <v>10118</v>
      </c>
      <c r="AH64" s="335" t="s">
        <v>2253</v>
      </c>
      <c r="AI64" s="335" t="s">
        <v>5232</v>
      </c>
      <c r="AJ64" s="335" t="s">
        <v>8453</v>
      </c>
      <c r="AK64" s="335" t="s">
        <v>1708</v>
      </c>
      <c r="AL64" s="335" t="s">
        <v>5690</v>
      </c>
      <c r="AM64" s="335" t="s">
        <v>10119</v>
      </c>
      <c r="AN64" s="335" t="s">
        <v>10120</v>
      </c>
      <c r="AO64" s="335" t="s">
        <v>9090</v>
      </c>
      <c r="AP64" s="335" t="s">
        <v>4870</v>
      </c>
      <c r="AQ64" s="335" t="s">
        <v>10121</v>
      </c>
      <c r="AR64" s="335" t="s">
        <v>4846</v>
      </c>
      <c r="AS64" s="335" t="s">
        <v>3032</v>
      </c>
      <c r="AT64" s="335" t="s">
        <v>10122</v>
      </c>
      <c r="AU64" s="335" t="s">
        <v>10123</v>
      </c>
      <c r="AV64" s="1414" t="str">
        <f t="shared" si="1"/>
        <v>3:33</v>
      </c>
      <c r="AW64" s="1651"/>
    </row>
    <row r="65" ht="15.75" customHeight="1">
      <c r="A65" s="1494" t="s">
        <v>4232</v>
      </c>
      <c r="B65" s="1495" t="s">
        <v>8789</v>
      </c>
      <c r="C65" s="1618">
        <v>0.05164351851851852</v>
      </c>
      <c r="D65" s="945" t="s">
        <v>10124</v>
      </c>
      <c r="E65" s="335" t="s">
        <v>9000</v>
      </c>
      <c r="F65" s="335" t="s">
        <v>10125</v>
      </c>
      <c r="G65" s="335" t="s">
        <v>8847</v>
      </c>
      <c r="H65" s="335" t="s">
        <v>10126</v>
      </c>
      <c r="I65" s="335" t="s">
        <v>1293</v>
      </c>
      <c r="J65" s="335" t="s">
        <v>805</v>
      </c>
      <c r="K65" s="335" t="s">
        <v>6714</v>
      </c>
      <c r="L65" s="335" t="s">
        <v>3725</v>
      </c>
      <c r="M65" s="335" t="s">
        <v>2700</v>
      </c>
      <c r="N65" s="335" t="s">
        <v>9169</v>
      </c>
      <c r="O65" s="335" t="s">
        <v>9774</v>
      </c>
      <c r="P65" s="335" t="s">
        <v>5189</v>
      </c>
      <c r="Q65" s="335" t="s">
        <v>10127</v>
      </c>
      <c r="R65" s="335" t="s">
        <v>8726</v>
      </c>
      <c r="S65" s="335" t="s">
        <v>10128</v>
      </c>
      <c r="T65" s="335" t="s">
        <v>10129</v>
      </c>
      <c r="U65" s="335" t="s">
        <v>10130</v>
      </c>
      <c r="V65" s="335" t="s">
        <v>10131</v>
      </c>
      <c r="W65" s="335" t="s">
        <v>10132</v>
      </c>
      <c r="X65" s="335" t="s">
        <v>609</v>
      </c>
      <c r="Y65" s="335" t="s">
        <v>10133</v>
      </c>
      <c r="Z65" s="335" t="s">
        <v>7161</v>
      </c>
      <c r="AA65" s="335" t="s">
        <v>5614</v>
      </c>
      <c r="AB65" s="335" t="s">
        <v>7453</v>
      </c>
      <c r="AC65" s="335" t="s">
        <v>7609</v>
      </c>
      <c r="AD65" s="335" t="s">
        <v>10134</v>
      </c>
      <c r="AE65" s="335" t="s">
        <v>1849</v>
      </c>
      <c r="AF65" s="335" t="s">
        <v>10135</v>
      </c>
      <c r="AG65" s="335" t="s">
        <v>529</v>
      </c>
      <c r="AH65" s="335" t="s">
        <v>5419</v>
      </c>
      <c r="AI65" s="335" t="s">
        <v>10136</v>
      </c>
      <c r="AJ65" s="335" t="s">
        <v>10137</v>
      </c>
      <c r="AK65" s="335" t="s">
        <v>10138</v>
      </c>
      <c r="AL65" s="335" t="s">
        <v>5186</v>
      </c>
      <c r="AM65" s="335" t="s">
        <v>9577</v>
      </c>
      <c r="AN65" s="335" t="s">
        <v>9231</v>
      </c>
      <c r="AO65" s="335" t="s">
        <v>9984</v>
      </c>
      <c r="AP65" s="335" t="s">
        <v>10139</v>
      </c>
      <c r="AQ65" s="335" t="s">
        <v>10140</v>
      </c>
      <c r="AR65" s="335" t="s">
        <v>3621</v>
      </c>
      <c r="AS65" s="335" t="s">
        <v>10141</v>
      </c>
      <c r="AT65" s="335" t="s">
        <v>9936</v>
      </c>
      <c r="AU65" s="335" t="s">
        <v>10142</v>
      </c>
      <c r="AV65" s="1414" t="str">
        <f t="shared" si="1"/>
        <v>3:13</v>
      </c>
      <c r="AW65" s="1651" t="s">
        <v>10143</v>
      </c>
    </row>
    <row r="66" ht="15.75" customHeight="1">
      <c r="A66" s="1506" t="s">
        <v>900</v>
      </c>
      <c r="B66" s="1638" t="s">
        <v>8843</v>
      </c>
      <c r="C66" s="1618">
        <v>0.05167824074074074</v>
      </c>
      <c r="D66" s="945" t="s">
        <v>10144</v>
      </c>
      <c r="E66" s="335" t="s">
        <v>10145</v>
      </c>
      <c r="F66" s="335" t="s">
        <v>5938</v>
      </c>
      <c r="G66" s="335" t="s">
        <v>10146</v>
      </c>
      <c r="H66" s="335" t="s">
        <v>10147</v>
      </c>
      <c r="I66" s="335" t="s">
        <v>1838</v>
      </c>
      <c r="J66" s="335" t="s">
        <v>10010</v>
      </c>
      <c r="K66" s="335" t="s">
        <v>9150</v>
      </c>
      <c r="L66" s="335" t="s">
        <v>1899</v>
      </c>
      <c r="M66" s="335" t="s">
        <v>6812</v>
      </c>
      <c r="N66" s="335" t="s">
        <v>10148</v>
      </c>
      <c r="O66" s="335" t="s">
        <v>10149</v>
      </c>
      <c r="P66" s="335" t="s">
        <v>2382</v>
      </c>
      <c r="Q66" s="335" t="s">
        <v>720</v>
      </c>
      <c r="R66" s="335" t="s">
        <v>10150</v>
      </c>
      <c r="S66" s="335" t="s">
        <v>10151</v>
      </c>
      <c r="T66" s="335" t="s">
        <v>10152</v>
      </c>
      <c r="U66" s="335" t="s">
        <v>9729</v>
      </c>
      <c r="V66" s="335" t="s">
        <v>490</v>
      </c>
      <c r="W66" s="335" t="s">
        <v>5972</v>
      </c>
      <c r="X66" s="335" t="s">
        <v>10153</v>
      </c>
      <c r="Y66" s="335" t="s">
        <v>943</v>
      </c>
      <c r="Z66" s="335" t="s">
        <v>3905</v>
      </c>
      <c r="AA66" s="335" t="s">
        <v>1624</v>
      </c>
      <c r="AB66" s="335" t="s">
        <v>10154</v>
      </c>
      <c r="AC66" s="335" t="s">
        <v>9070</v>
      </c>
      <c r="AD66" s="1600" t="s">
        <v>10155</v>
      </c>
      <c r="AE66" s="335" t="s">
        <v>1863</v>
      </c>
      <c r="AF66" s="335" t="s">
        <v>9618</v>
      </c>
      <c r="AG66" s="335" t="s">
        <v>7747</v>
      </c>
      <c r="AH66" s="335" t="s">
        <v>4453</v>
      </c>
      <c r="AI66" s="335" t="s">
        <v>6410</v>
      </c>
      <c r="AJ66" s="335" t="s">
        <v>10156</v>
      </c>
      <c r="AK66" s="335" t="s">
        <v>8938</v>
      </c>
      <c r="AL66" s="335" t="s">
        <v>5231</v>
      </c>
      <c r="AM66" s="335" t="s">
        <v>10157</v>
      </c>
      <c r="AN66" s="335" t="s">
        <v>10158</v>
      </c>
      <c r="AO66" s="335" t="s">
        <v>10159</v>
      </c>
      <c r="AP66" s="335" t="s">
        <v>10160</v>
      </c>
      <c r="AQ66" s="335" t="s">
        <v>10161</v>
      </c>
      <c r="AR66" s="335" t="s">
        <v>10162</v>
      </c>
      <c r="AS66" s="335" t="s">
        <v>2566</v>
      </c>
      <c r="AT66" s="335" t="s">
        <v>10163</v>
      </c>
      <c r="AU66" s="335" t="s">
        <v>10164</v>
      </c>
      <c r="AV66" s="1414" t="str">
        <f t="shared" si="1"/>
        <v>2:51</v>
      </c>
      <c r="AW66" s="1652"/>
    </row>
    <row r="67" ht="15.75" customHeight="1">
      <c r="A67" s="1550" t="s">
        <v>4638</v>
      </c>
      <c r="B67" s="1584" t="s">
        <v>8817</v>
      </c>
      <c r="C67" s="1618">
        <v>0.05170138888888889</v>
      </c>
      <c r="D67" s="945" t="s">
        <v>10165</v>
      </c>
      <c r="E67" s="335" t="s">
        <v>4270</v>
      </c>
      <c r="F67" s="335" t="s">
        <v>9719</v>
      </c>
      <c r="G67" s="335" t="s">
        <v>9629</v>
      </c>
      <c r="H67" s="335" t="s">
        <v>10166</v>
      </c>
      <c r="I67" s="335" t="s">
        <v>10167</v>
      </c>
      <c r="J67" s="335" t="s">
        <v>9734</v>
      </c>
      <c r="K67" s="335" t="s">
        <v>9090</v>
      </c>
      <c r="L67" s="335" t="s">
        <v>4090</v>
      </c>
      <c r="M67" s="335" t="s">
        <v>7055</v>
      </c>
      <c r="N67" s="335" t="s">
        <v>6182</v>
      </c>
      <c r="O67" s="335" t="s">
        <v>9860</v>
      </c>
      <c r="P67" s="335" t="s">
        <v>485</v>
      </c>
      <c r="Q67" s="335" t="s">
        <v>2819</v>
      </c>
      <c r="R67" s="335" t="s">
        <v>8907</v>
      </c>
      <c r="S67" s="335" t="s">
        <v>10061</v>
      </c>
      <c r="T67" s="335" t="s">
        <v>2916</v>
      </c>
      <c r="U67" s="335" t="s">
        <v>10168</v>
      </c>
      <c r="V67" s="335" t="s">
        <v>10169</v>
      </c>
      <c r="W67" s="335" t="s">
        <v>10097</v>
      </c>
      <c r="X67" s="335" t="s">
        <v>3724</v>
      </c>
      <c r="Y67" s="335" t="s">
        <v>2444</v>
      </c>
      <c r="Z67" s="335" t="s">
        <v>493</v>
      </c>
      <c r="AA67" s="335" t="s">
        <v>630</v>
      </c>
      <c r="AB67" s="335" t="s">
        <v>10170</v>
      </c>
      <c r="AC67" s="335" t="s">
        <v>5775</v>
      </c>
      <c r="AD67" s="335" t="s">
        <v>9791</v>
      </c>
      <c r="AE67" s="335" t="s">
        <v>143</v>
      </c>
      <c r="AF67" s="335" t="s">
        <v>10171</v>
      </c>
      <c r="AG67" s="335" t="s">
        <v>10172</v>
      </c>
      <c r="AH67" s="335" t="s">
        <v>10173</v>
      </c>
      <c r="AI67" s="335" t="s">
        <v>10174</v>
      </c>
      <c r="AJ67" s="335" t="s">
        <v>10175</v>
      </c>
      <c r="AK67" s="335" t="s">
        <v>9738</v>
      </c>
      <c r="AL67" s="335" t="s">
        <v>4527</v>
      </c>
      <c r="AM67" s="335" t="s">
        <v>10037</v>
      </c>
      <c r="AN67" s="335" t="s">
        <v>10176</v>
      </c>
      <c r="AO67" s="335" t="s">
        <v>9782</v>
      </c>
      <c r="AP67" s="335" t="s">
        <v>3320</v>
      </c>
      <c r="AQ67" s="335" t="s">
        <v>10177</v>
      </c>
      <c r="AR67" s="335" t="s">
        <v>10178</v>
      </c>
      <c r="AS67" s="335" t="s">
        <v>6572</v>
      </c>
      <c r="AT67" s="335" t="s">
        <v>10179</v>
      </c>
      <c r="AU67" s="335" t="s">
        <v>10180</v>
      </c>
      <c r="AV67" s="1414" t="str">
        <f t="shared" si="1"/>
        <v>2:37</v>
      </c>
      <c r="AW67" s="1652" t="s">
        <v>10181</v>
      </c>
    </row>
    <row r="68" ht="15.75" customHeight="1">
      <c r="A68" s="1550" t="s">
        <v>5106</v>
      </c>
      <c r="B68" s="1548" t="s">
        <v>8817</v>
      </c>
      <c r="C68" s="1496">
        <v>0.05171296296296296</v>
      </c>
      <c r="D68" s="1625" t="s">
        <v>10182</v>
      </c>
      <c r="E68" s="1600" t="s">
        <v>10183</v>
      </c>
      <c r="F68" s="1600" t="s">
        <v>1471</v>
      </c>
      <c r="G68" s="1600" t="s">
        <v>10184</v>
      </c>
      <c r="H68" s="1600" t="s">
        <v>8913</v>
      </c>
      <c r="I68" s="1600" t="s">
        <v>10185</v>
      </c>
      <c r="J68" s="1600" t="s">
        <v>887</v>
      </c>
      <c r="K68" s="1600" t="s">
        <v>4918</v>
      </c>
      <c r="L68" s="1600" t="s">
        <v>1889</v>
      </c>
      <c r="M68" s="1653" t="s">
        <v>10186</v>
      </c>
      <c r="N68" s="1600" t="s">
        <v>10187</v>
      </c>
      <c r="O68" s="1600" t="s">
        <v>1785</v>
      </c>
      <c r="P68" s="1600" t="s">
        <v>5092</v>
      </c>
      <c r="Q68" s="1600" t="s">
        <v>2699</v>
      </c>
      <c r="R68" s="1600" t="s">
        <v>10188</v>
      </c>
      <c r="S68" s="1600" t="s">
        <v>8897</v>
      </c>
      <c r="T68" s="1600" t="s">
        <v>10189</v>
      </c>
      <c r="U68" s="1600" t="s">
        <v>9989</v>
      </c>
      <c r="V68" s="1653" t="s">
        <v>10190</v>
      </c>
      <c r="W68" s="1653" t="s">
        <v>10191</v>
      </c>
      <c r="X68" s="1600" t="s">
        <v>9866</v>
      </c>
      <c r="Y68" s="945" t="s">
        <v>2550</v>
      </c>
      <c r="Z68" s="1600" t="s">
        <v>1524</v>
      </c>
      <c r="AA68" s="1600" t="s">
        <v>201</v>
      </c>
      <c r="AB68" s="1653" t="s">
        <v>10192</v>
      </c>
      <c r="AC68" s="1600" t="s">
        <v>1849</v>
      </c>
      <c r="AD68" s="1600" t="s">
        <v>10193</v>
      </c>
      <c r="AE68" s="1600" t="s">
        <v>3845</v>
      </c>
      <c r="AF68" s="1600" t="s">
        <v>10194</v>
      </c>
      <c r="AG68" s="1600" t="s">
        <v>529</v>
      </c>
      <c r="AH68" s="1600" t="s">
        <v>10195</v>
      </c>
      <c r="AI68" s="1600" t="s">
        <v>5445</v>
      </c>
      <c r="AJ68" s="1600" t="s">
        <v>10196</v>
      </c>
      <c r="AK68" s="1600" t="s">
        <v>10197</v>
      </c>
      <c r="AL68" s="1600" t="s">
        <v>1663</v>
      </c>
      <c r="AM68" s="1600" t="s">
        <v>10028</v>
      </c>
      <c r="AN68" s="1600" t="s">
        <v>10198</v>
      </c>
      <c r="AO68" s="1600" t="s">
        <v>2891</v>
      </c>
      <c r="AP68" s="1600" t="s">
        <v>2072</v>
      </c>
      <c r="AQ68" s="1600" t="s">
        <v>758</v>
      </c>
      <c r="AR68" s="1600" t="s">
        <v>9810</v>
      </c>
      <c r="AS68" s="1600" t="s">
        <v>8005</v>
      </c>
      <c r="AT68" s="1600" t="s">
        <v>10199</v>
      </c>
      <c r="AU68" s="1600" t="s">
        <v>10200</v>
      </c>
      <c r="AV68" s="1414" t="str">
        <f t="shared" si="1"/>
        <v>4:14</v>
      </c>
      <c r="AW68" s="1648" t="s">
        <v>10201</v>
      </c>
    </row>
    <row r="69" ht="15.75" customHeight="1">
      <c r="A69" s="1550" t="s">
        <v>2189</v>
      </c>
      <c r="B69" s="1634" t="s">
        <v>8817</v>
      </c>
      <c r="C69" s="1496">
        <v>0.05173611111111111</v>
      </c>
      <c r="D69" s="945" t="s">
        <v>10202</v>
      </c>
      <c r="E69" s="1600" t="s">
        <v>10203</v>
      </c>
      <c r="F69" s="1600" t="s">
        <v>10204</v>
      </c>
      <c r="G69" s="1600" t="s">
        <v>10205</v>
      </c>
      <c r="H69" s="1600" t="s">
        <v>6986</v>
      </c>
      <c r="I69" s="1600" t="s">
        <v>498</v>
      </c>
      <c r="J69" s="1600" t="s">
        <v>9213</v>
      </c>
      <c r="K69" s="1600" t="s">
        <v>8802</v>
      </c>
      <c r="L69" s="1600" t="s">
        <v>8080</v>
      </c>
      <c r="M69" s="1600" t="s">
        <v>3638</v>
      </c>
      <c r="N69" s="1600" t="s">
        <v>10206</v>
      </c>
      <c r="O69" s="1600" t="s">
        <v>10207</v>
      </c>
      <c r="P69" s="1600" t="s">
        <v>3748</v>
      </c>
      <c r="Q69" s="1600" t="s">
        <v>10208</v>
      </c>
      <c r="R69" s="1600" t="s">
        <v>10150</v>
      </c>
      <c r="S69" s="1600" t="s">
        <v>5552</v>
      </c>
      <c r="T69" s="1600" t="s">
        <v>10209</v>
      </c>
      <c r="U69" s="1600" t="s">
        <v>10210</v>
      </c>
      <c r="V69" s="1600" t="s">
        <v>361</v>
      </c>
      <c r="W69" s="1600" t="s">
        <v>5618</v>
      </c>
      <c r="X69" s="1600" t="s">
        <v>10056</v>
      </c>
      <c r="Y69" s="1600" t="s">
        <v>1165</v>
      </c>
      <c r="Z69" s="1600" t="s">
        <v>10211</v>
      </c>
      <c r="AA69" s="1600" t="s">
        <v>5932</v>
      </c>
      <c r="AB69" s="1600" t="s">
        <v>7451</v>
      </c>
      <c r="AC69" s="1600" t="s">
        <v>162</v>
      </c>
      <c r="AD69" s="1600" t="s">
        <v>10080</v>
      </c>
      <c r="AE69" s="1600" t="s">
        <v>9509</v>
      </c>
      <c r="AF69" s="1600" t="s">
        <v>9522</v>
      </c>
      <c r="AG69" s="1600" t="s">
        <v>10212</v>
      </c>
      <c r="AH69" s="1600" t="s">
        <v>10213</v>
      </c>
      <c r="AI69" s="1600" t="s">
        <v>10214</v>
      </c>
      <c r="AJ69" s="1600" t="s">
        <v>6138</v>
      </c>
      <c r="AK69" s="1600" t="s">
        <v>6905</v>
      </c>
      <c r="AL69" s="1600" t="s">
        <v>10215</v>
      </c>
      <c r="AM69" s="1600" t="s">
        <v>2972</v>
      </c>
      <c r="AN69" s="1600" t="s">
        <v>5186</v>
      </c>
      <c r="AO69" s="1600" t="s">
        <v>9981</v>
      </c>
      <c r="AP69" s="1600" t="s">
        <v>10216</v>
      </c>
      <c r="AQ69" s="1600" t="s">
        <v>10217</v>
      </c>
      <c r="AR69" s="1600" t="s">
        <v>198</v>
      </c>
      <c r="AS69" s="1600" t="s">
        <v>10218</v>
      </c>
      <c r="AT69" s="1600" t="s">
        <v>10219</v>
      </c>
      <c r="AU69" s="1600" t="s">
        <v>10220</v>
      </c>
      <c r="AV69" s="1414" t="str">
        <f t="shared" si="1"/>
        <v>3:51</v>
      </c>
      <c r="AW69" s="1648" t="s">
        <v>10221</v>
      </c>
    </row>
    <row r="70" ht="15.75" customHeight="1">
      <c r="A70" s="1550" t="s">
        <v>8150</v>
      </c>
      <c r="B70" s="1538" t="s">
        <v>8843</v>
      </c>
      <c r="C70" s="1496">
        <v>0.051805555555555556</v>
      </c>
      <c r="D70" s="1600" t="s">
        <v>10222</v>
      </c>
      <c r="E70" s="1600" t="s">
        <v>10223</v>
      </c>
      <c r="F70" s="945" t="s">
        <v>10224</v>
      </c>
      <c r="G70" s="1600" t="s">
        <v>10225</v>
      </c>
      <c r="H70" s="1512" t="s">
        <v>10226</v>
      </c>
      <c r="I70" s="1512">
        <v>49.81</v>
      </c>
      <c r="J70" s="1512" t="s">
        <v>10227</v>
      </c>
      <c r="K70" s="1512" t="s">
        <v>6306</v>
      </c>
      <c r="L70" s="1512">
        <v>59.57</v>
      </c>
      <c r="M70" s="1512" t="s">
        <v>10228</v>
      </c>
      <c r="N70" s="1512" t="s">
        <v>10229</v>
      </c>
      <c r="O70" s="1511" t="s">
        <v>6892</v>
      </c>
      <c r="P70" s="1511" t="s">
        <v>10230</v>
      </c>
      <c r="Q70" s="1511" t="s">
        <v>10231</v>
      </c>
      <c r="R70" s="1512" t="s">
        <v>10232</v>
      </c>
      <c r="S70" s="1512" t="s">
        <v>9875</v>
      </c>
      <c r="T70" s="1512" t="s">
        <v>10233</v>
      </c>
      <c r="U70" s="1512" t="s">
        <v>10234</v>
      </c>
      <c r="V70" s="1512" t="s">
        <v>4317</v>
      </c>
      <c r="W70" s="1512" t="s">
        <v>10235</v>
      </c>
      <c r="X70" s="1512" t="s">
        <v>10236</v>
      </c>
      <c r="Y70" s="1511" t="s">
        <v>9739</v>
      </c>
      <c r="Z70" s="1654" t="s">
        <v>8859</v>
      </c>
      <c r="AA70" s="1512" t="s">
        <v>968</v>
      </c>
      <c r="AB70" s="1511" t="s">
        <v>4341</v>
      </c>
      <c r="AC70" s="1512">
        <v>49.53</v>
      </c>
      <c r="AD70" s="1512" t="s">
        <v>1939</v>
      </c>
      <c r="AE70" s="1511" t="s">
        <v>10237</v>
      </c>
      <c r="AF70" s="1512" t="s">
        <v>8988</v>
      </c>
      <c r="AG70" s="1512" t="s">
        <v>10238</v>
      </c>
      <c r="AH70" s="1512">
        <v>59.93</v>
      </c>
      <c r="AI70" s="1512" t="s">
        <v>10239</v>
      </c>
      <c r="AJ70" s="1512" t="s">
        <v>10240</v>
      </c>
      <c r="AK70" s="1512" t="s">
        <v>5961</v>
      </c>
      <c r="AL70" s="1512">
        <v>59.13</v>
      </c>
      <c r="AM70" s="1512" t="s">
        <v>10178</v>
      </c>
      <c r="AN70" s="1512">
        <v>57.86</v>
      </c>
      <c r="AO70" s="1512" t="s">
        <v>7218</v>
      </c>
      <c r="AP70" s="1512" t="s">
        <v>4869</v>
      </c>
      <c r="AQ70" s="1512" t="s">
        <v>9745</v>
      </c>
      <c r="AR70" s="1512" t="s">
        <v>6239</v>
      </c>
      <c r="AS70" s="1512">
        <v>47.67</v>
      </c>
      <c r="AT70" s="1600" t="s">
        <v>10241</v>
      </c>
      <c r="AU70" s="1600" t="s">
        <v>10242</v>
      </c>
      <c r="AV70" s="1414" t="str">
        <f t="shared" si="1"/>
        <v>2:57</v>
      </c>
      <c r="AW70" s="1633" t="s">
        <v>10243</v>
      </c>
    </row>
    <row r="71">
      <c r="A71" s="927" t="s">
        <v>1257</v>
      </c>
      <c r="B71" s="1548" t="s">
        <v>8817</v>
      </c>
      <c r="C71" s="1655">
        <v>0.05181712962962963</v>
      </c>
      <c r="D71" s="1502" t="s">
        <v>10244</v>
      </c>
      <c r="E71" s="1502" t="s">
        <v>7523</v>
      </c>
      <c r="F71" s="1502" t="s">
        <v>10245</v>
      </c>
      <c r="G71" s="1502" t="s">
        <v>10246</v>
      </c>
      <c r="H71" s="1502" t="s">
        <v>10247</v>
      </c>
      <c r="I71" s="1502" t="s">
        <v>5049</v>
      </c>
      <c r="J71" s="1502" t="s">
        <v>9197</v>
      </c>
      <c r="K71" s="1502" t="s">
        <v>8827</v>
      </c>
      <c r="L71" s="1502" t="s">
        <v>10213</v>
      </c>
      <c r="M71" s="1502" t="s">
        <v>1456</v>
      </c>
      <c r="N71" s="1502" t="s">
        <v>9708</v>
      </c>
      <c r="O71" s="1502" t="s">
        <v>6958</v>
      </c>
      <c r="P71" s="1502" t="s">
        <v>9288</v>
      </c>
      <c r="Q71" s="1502" t="s">
        <v>10248</v>
      </c>
      <c r="R71" s="1502" t="s">
        <v>6833</v>
      </c>
      <c r="S71" s="1502" t="s">
        <v>3645</v>
      </c>
      <c r="T71" s="1502" t="s">
        <v>10249</v>
      </c>
      <c r="U71" s="1502" t="s">
        <v>10250</v>
      </c>
      <c r="V71" s="1502" t="s">
        <v>10169</v>
      </c>
      <c r="W71" s="1502" t="s">
        <v>8919</v>
      </c>
      <c r="X71" s="1502" t="s">
        <v>9800</v>
      </c>
      <c r="Y71" s="1502" t="s">
        <v>10251</v>
      </c>
      <c r="Z71" s="1502" t="s">
        <v>6391</v>
      </c>
      <c r="AA71" s="1502" t="s">
        <v>958</v>
      </c>
      <c r="AB71" s="1502" t="s">
        <v>10252</v>
      </c>
      <c r="AC71" s="1502" t="s">
        <v>2098</v>
      </c>
      <c r="AD71" s="1502" t="s">
        <v>10253</v>
      </c>
      <c r="AE71" s="1502" t="s">
        <v>2173</v>
      </c>
      <c r="AF71" s="1502" t="s">
        <v>9936</v>
      </c>
      <c r="AG71" s="1502" t="s">
        <v>402</v>
      </c>
      <c r="AH71" s="1502" t="s">
        <v>10254</v>
      </c>
      <c r="AI71" s="1502" t="s">
        <v>248</v>
      </c>
      <c r="AJ71" s="1502" t="s">
        <v>10255</v>
      </c>
      <c r="AK71" s="1502" t="s">
        <v>9526</v>
      </c>
      <c r="AL71" s="1502" t="s">
        <v>4730</v>
      </c>
      <c r="AM71" s="1502" t="s">
        <v>10256</v>
      </c>
      <c r="AN71" s="1502" t="s">
        <v>9571</v>
      </c>
      <c r="AO71" s="1502" t="s">
        <v>10257</v>
      </c>
      <c r="AP71" s="1502" t="s">
        <v>10258</v>
      </c>
      <c r="AQ71" s="1502" t="s">
        <v>10259</v>
      </c>
      <c r="AR71" s="1502" t="s">
        <v>10260</v>
      </c>
      <c r="AS71" s="1502" t="s">
        <v>354</v>
      </c>
      <c r="AT71" s="1502" t="s">
        <v>10261</v>
      </c>
      <c r="AU71" s="1509" t="s">
        <v>10262</v>
      </c>
      <c r="AV71" s="1414" t="str">
        <f t="shared" si="1"/>
        <v>3:49</v>
      </c>
      <c r="AW71" s="1656" t="s">
        <v>10263</v>
      </c>
    </row>
    <row r="72" ht="15.75" customHeight="1">
      <c r="A72" s="1494" t="s">
        <v>3124</v>
      </c>
      <c r="B72" s="1584" t="s">
        <v>8817</v>
      </c>
      <c r="C72" s="1618">
        <v>0.051863425925925924</v>
      </c>
      <c r="D72" s="945" t="s">
        <v>10264</v>
      </c>
      <c r="E72" s="335" t="s">
        <v>6559</v>
      </c>
      <c r="F72" s="335" t="s">
        <v>10265</v>
      </c>
      <c r="G72" s="335" t="s">
        <v>10266</v>
      </c>
      <c r="H72" s="335" t="s">
        <v>10267</v>
      </c>
      <c r="I72" s="335" t="s">
        <v>10268</v>
      </c>
      <c r="J72" s="335" t="s">
        <v>1763</v>
      </c>
      <c r="K72" s="335" t="s">
        <v>1595</v>
      </c>
      <c r="L72" s="335" t="s">
        <v>3132</v>
      </c>
      <c r="M72" s="335" t="s">
        <v>10050</v>
      </c>
      <c r="N72" s="335" t="s">
        <v>5132</v>
      </c>
      <c r="O72" s="335" t="s">
        <v>10269</v>
      </c>
      <c r="P72" s="335" t="s">
        <v>1234</v>
      </c>
      <c r="Q72" s="335" t="s">
        <v>10270</v>
      </c>
      <c r="R72" s="335" t="s">
        <v>5818</v>
      </c>
      <c r="S72" s="335" t="s">
        <v>10271</v>
      </c>
      <c r="T72" s="335" t="s">
        <v>10272</v>
      </c>
      <c r="U72" s="335" t="s">
        <v>10273</v>
      </c>
      <c r="V72" s="335" t="s">
        <v>9819</v>
      </c>
      <c r="W72" s="335" t="s">
        <v>10274</v>
      </c>
      <c r="X72" s="335" t="s">
        <v>10174</v>
      </c>
      <c r="Y72" s="335" t="s">
        <v>3357</v>
      </c>
      <c r="Z72" s="335" t="s">
        <v>10275</v>
      </c>
      <c r="AA72" s="335" t="s">
        <v>10276</v>
      </c>
      <c r="AB72" s="335" t="s">
        <v>8696</v>
      </c>
      <c r="AC72" s="335" t="s">
        <v>5775</v>
      </c>
      <c r="AD72" s="335" t="s">
        <v>10277</v>
      </c>
      <c r="AE72" s="335" t="s">
        <v>1183</v>
      </c>
      <c r="AF72" s="335" t="s">
        <v>10278</v>
      </c>
      <c r="AG72" s="335" t="s">
        <v>10279</v>
      </c>
      <c r="AH72" s="335" t="s">
        <v>5276</v>
      </c>
      <c r="AI72" s="335" t="s">
        <v>10214</v>
      </c>
      <c r="AJ72" s="335" t="s">
        <v>10280</v>
      </c>
      <c r="AK72" s="335" t="s">
        <v>1842</v>
      </c>
      <c r="AL72" s="335" t="s">
        <v>10254</v>
      </c>
      <c r="AM72" s="335" t="s">
        <v>10281</v>
      </c>
      <c r="AN72" s="335" t="s">
        <v>9727</v>
      </c>
      <c r="AO72" s="335" t="s">
        <v>8984</v>
      </c>
      <c r="AP72" s="335" t="s">
        <v>10282</v>
      </c>
      <c r="AQ72" s="335" t="s">
        <v>10283</v>
      </c>
      <c r="AR72" s="335" t="s">
        <v>2228</v>
      </c>
      <c r="AS72" s="335" t="s">
        <v>4837</v>
      </c>
      <c r="AT72" s="335" t="s">
        <v>10284</v>
      </c>
      <c r="AU72" s="335" t="s">
        <v>10285</v>
      </c>
      <c r="AV72" s="1414" t="str">
        <f t="shared" si="1"/>
        <v>2:06</v>
      </c>
      <c r="AW72" s="1648" t="s">
        <v>10286</v>
      </c>
    </row>
    <row r="73" ht="15.75" customHeight="1">
      <c r="A73" s="1494" t="s">
        <v>1128</v>
      </c>
      <c r="B73" s="1495" t="s">
        <v>8789</v>
      </c>
      <c r="C73" s="1618">
        <v>0.051875</v>
      </c>
      <c r="D73" s="945" t="s">
        <v>10287</v>
      </c>
      <c r="E73" s="335" t="s">
        <v>3201</v>
      </c>
      <c r="F73" s="335" t="s">
        <v>10288</v>
      </c>
      <c r="G73" s="335" t="s">
        <v>10289</v>
      </c>
      <c r="H73" s="335" t="s">
        <v>10290</v>
      </c>
      <c r="I73" s="335" t="s">
        <v>10291</v>
      </c>
      <c r="J73" s="335" t="s">
        <v>2525</v>
      </c>
      <c r="K73" s="335" t="s">
        <v>10292</v>
      </c>
      <c r="L73" s="335" t="s">
        <v>9051</v>
      </c>
      <c r="M73" s="335" t="s">
        <v>7103</v>
      </c>
      <c r="N73" s="335" t="s">
        <v>9293</v>
      </c>
      <c r="O73" s="335" t="s">
        <v>4467</v>
      </c>
      <c r="P73" s="335" t="s">
        <v>1529</v>
      </c>
      <c r="Q73" s="335" t="s">
        <v>10293</v>
      </c>
      <c r="R73" s="335" t="s">
        <v>2017</v>
      </c>
      <c r="S73" s="335" t="s">
        <v>4432</v>
      </c>
      <c r="T73" s="335" t="s">
        <v>10294</v>
      </c>
      <c r="U73" s="335" t="s">
        <v>10095</v>
      </c>
      <c r="V73" s="335" t="s">
        <v>6568</v>
      </c>
      <c r="W73" s="335" t="s">
        <v>4467</v>
      </c>
      <c r="X73" s="335" t="s">
        <v>9708</v>
      </c>
      <c r="Y73" s="335" t="s">
        <v>9741</v>
      </c>
      <c r="Z73" s="335" t="s">
        <v>6514</v>
      </c>
      <c r="AA73" s="335" t="s">
        <v>421</v>
      </c>
      <c r="AB73" s="335" t="s">
        <v>624</v>
      </c>
      <c r="AC73" s="335" t="s">
        <v>10295</v>
      </c>
      <c r="AD73" s="335" t="s">
        <v>10134</v>
      </c>
      <c r="AE73" s="335" t="s">
        <v>849</v>
      </c>
      <c r="AF73" s="335" t="s">
        <v>10296</v>
      </c>
      <c r="AG73" s="335" t="s">
        <v>10297</v>
      </c>
      <c r="AH73" s="335" t="s">
        <v>10047</v>
      </c>
      <c r="AI73" s="335" t="s">
        <v>10298</v>
      </c>
      <c r="AJ73" s="335" t="s">
        <v>10299</v>
      </c>
      <c r="AK73" s="335" t="s">
        <v>10300</v>
      </c>
      <c r="AL73" s="335" t="s">
        <v>5617</v>
      </c>
      <c r="AM73" s="335" t="s">
        <v>10301</v>
      </c>
      <c r="AN73" s="335" t="s">
        <v>6375</v>
      </c>
      <c r="AO73" s="1600" t="s">
        <v>9899</v>
      </c>
      <c r="AP73" s="335" t="s">
        <v>10302</v>
      </c>
      <c r="AQ73" s="335" t="s">
        <v>10303</v>
      </c>
      <c r="AR73" s="335" t="s">
        <v>9561</v>
      </c>
      <c r="AS73" s="335" t="s">
        <v>4748</v>
      </c>
      <c r="AT73" s="335" t="s">
        <v>10304</v>
      </c>
      <c r="AU73" s="1600" t="s">
        <v>10305</v>
      </c>
      <c r="AV73" s="1414" t="str">
        <f t="shared" si="1"/>
        <v>0:37</v>
      </c>
      <c r="AW73" s="1652" t="s">
        <v>10306</v>
      </c>
    </row>
    <row r="74">
      <c r="A74" s="1550" t="s">
        <v>7409</v>
      </c>
      <c r="B74" s="1548" t="s">
        <v>8789</v>
      </c>
      <c r="C74" s="1496">
        <v>0.05188657407407407</v>
      </c>
      <c r="D74" s="1600" t="s">
        <v>10307</v>
      </c>
      <c r="E74" s="945" t="s">
        <v>176</v>
      </c>
      <c r="F74" s="945" t="s">
        <v>10308</v>
      </c>
      <c r="G74" s="945" t="s">
        <v>10309</v>
      </c>
      <c r="H74" s="945" t="s">
        <v>10310</v>
      </c>
      <c r="I74" s="945" t="s">
        <v>143</v>
      </c>
      <c r="J74" s="945" t="s">
        <v>4142</v>
      </c>
      <c r="K74" s="945" t="s">
        <v>9536</v>
      </c>
      <c r="L74" s="945" t="s">
        <v>2872</v>
      </c>
      <c r="M74" s="945" t="s">
        <v>10311</v>
      </c>
      <c r="N74" s="945" t="s">
        <v>4067</v>
      </c>
      <c r="O74" s="945" t="s">
        <v>10312</v>
      </c>
      <c r="P74" s="945" t="s">
        <v>5190</v>
      </c>
      <c r="Q74" s="945" t="s">
        <v>10313</v>
      </c>
      <c r="R74" s="945" t="s">
        <v>5535</v>
      </c>
      <c r="S74" s="945" t="s">
        <v>10314</v>
      </c>
      <c r="T74" s="945" t="s">
        <v>8863</v>
      </c>
      <c r="U74" s="945" t="s">
        <v>10315</v>
      </c>
      <c r="V74" s="945" t="s">
        <v>5260</v>
      </c>
      <c r="W74" s="945" t="s">
        <v>10316</v>
      </c>
      <c r="X74" s="945" t="s">
        <v>10317</v>
      </c>
      <c r="Y74" s="945" t="s">
        <v>10318</v>
      </c>
      <c r="Z74" s="945" t="s">
        <v>9546</v>
      </c>
      <c r="AA74" s="945" t="s">
        <v>5150</v>
      </c>
      <c r="AB74" s="945" t="s">
        <v>688</v>
      </c>
      <c r="AC74" s="945" t="s">
        <v>10319</v>
      </c>
      <c r="AD74" s="945" t="s">
        <v>2771</v>
      </c>
      <c r="AE74" s="945" t="s">
        <v>5917</v>
      </c>
      <c r="AF74" s="945" t="s">
        <v>10320</v>
      </c>
      <c r="AG74" s="945" t="s">
        <v>2412</v>
      </c>
      <c r="AH74" s="945" t="s">
        <v>2872</v>
      </c>
      <c r="AI74" s="945" t="s">
        <v>200</v>
      </c>
      <c r="AJ74" s="945" t="s">
        <v>10321</v>
      </c>
      <c r="AK74" s="945" t="s">
        <v>9553</v>
      </c>
      <c r="AL74" s="945" t="s">
        <v>10009</v>
      </c>
      <c r="AM74" s="945" t="s">
        <v>9524</v>
      </c>
      <c r="AN74" s="945" t="s">
        <v>3632</v>
      </c>
      <c r="AO74" s="945" t="s">
        <v>10322</v>
      </c>
      <c r="AP74" s="945" t="s">
        <v>9962</v>
      </c>
      <c r="AQ74" s="945" t="s">
        <v>10303</v>
      </c>
      <c r="AR74" s="945" t="s">
        <v>10323</v>
      </c>
      <c r="AS74" s="945" t="s">
        <v>6572</v>
      </c>
      <c r="AT74" s="945" t="s">
        <v>9069</v>
      </c>
      <c r="AU74" s="1600" t="s">
        <v>10324</v>
      </c>
      <c r="AV74" s="1414" t="str">
        <f t="shared" si="1"/>
        <v>4:21</v>
      </c>
      <c r="AW74" s="1648" t="s">
        <v>10325</v>
      </c>
    </row>
    <row r="75">
      <c r="A75" s="1550" t="s">
        <v>8734</v>
      </c>
      <c r="B75" s="1538" t="s">
        <v>8789</v>
      </c>
      <c r="C75" s="1496">
        <v>0.05193287037037037</v>
      </c>
      <c r="D75" s="1625" t="s">
        <v>10326</v>
      </c>
      <c r="E75" s="1600" t="s">
        <v>7127</v>
      </c>
      <c r="F75" s="1600" t="s">
        <v>10327</v>
      </c>
      <c r="G75" s="1600" t="s">
        <v>10328</v>
      </c>
      <c r="H75" s="1600" t="s">
        <v>10329</v>
      </c>
      <c r="I75" s="1600" t="s">
        <v>2382</v>
      </c>
      <c r="J75" s="1600" t="s">
        <v>4254</v>
      </c>
      <c r="K75" s="1600" t="s">
        <v>9476</v>
      </c>
      <c r="L75" s="1600"/>
      <c r="M75" s="1600" t="s">
        <v>6720</v>
      </c>
      <c r="N75" s="1600" t="s">
        <v>4685</v>
      </c>
      <c r="O75" s="1600" t="s">
        <v>8857</v>
      </c>
      <c r="P75" s="1600" t="s">
        <v>9955</v>
      </c>
      <c r="Q75" s="1600" t="s">
        <v>10330</v>
      </c>
      <c r="R75" s="1600" t="s">
        <v>10331</v>
      </c>
      <c r="S75" s="1600" t="s">
        <v>9129</v>
      </c>
      <c r="T75" s="1600" t="s">
        <v>9492</v>
      </c>
      <c r="U75" s="1600" t="s">
        <v>2269</v>
      </c>
      <c r="V75" s="1600" t="s">
        <v>9311</v>
      </c>
      <c r="W75" s="1600" t="s">
        <v>5966</v>
      </c>
      <c r="X75" s="1600" t="s">
        <v>630</v>
      </c>
      <c r="Y75" s="1600" t="s">
        <v>9274</v>
      </c>
      <c r="Z75" s="1600" t="s">
        <v>8878</v>
      </c>
      <c r="AA75" s="1600" t="s">
        <v>7230</v>
      </c>
      <c r="AB75" s="1600" t="s">
        <v>9963</v>
      </c>
      <c r="AC75" s="1600" t="s">
        <v>3007</v>
      </c>
      <c r="AD75" s="1600" t="s">
        <v>10332</v>
      </c>
      <c r="AE75" s="1600" t="s">
        <v>10333</v>
      </c>
      <c r="AF75" s="1600" t="s">
        <v>10334</v>
      </c>
      <c r="AG75" s="1600" t="s">
        <v>10099</v>
      </c>
      <c r="AH75" s="1600" t="s">
        <v>10335</v>
      </c>
      <c r="AI75" s="1600" t="s">
        <v>10336</v>
      </c>
      <c r="AJ75" s="1600" t="s">
        <v>10337</v>
      </c>
      <c r="AK75" s="1600" t="s">
        <v>10338</v>
      </c>
      <c r="AL75" s="1600" t="s">
        <v>3353</v>
      </c>
      <c r="AM75" s="1600" t="s">
        <v>10339</v>
      </c>
      <c r="AN75" s="1600" t="s">
        <v>3643</v>
      </c>
      <c r="AO75" s="1600" t="s">
        <v>10340</v>
      </c>
      <c r="AP75" s="1600" t="s">
        <v>10341</v>
      </c>
      <c r="AQ75" s="1600" t="s">
        <v>10342</v>
      </c>
      <c r="AR75" s="1600" t="s">
        <v>10343</v>
      </c>
      <c r="AS75" s="1600" t="s">
        <v>3788</v>
      </c>
      <c r="AT75" s="1600" t="s">
        <v>10344</v>
      </c>
      <c r="AU75" s="1600" t="s">
        <v>10345</v>
      </c>
      <c r="AV75" s="1414" t="str">
        <f t="shared" si="1"/>
        <v>4:12</v>
      </c>
      <c r="AW75" s="1652"/>
    </row>
    <row r="76" ht="15.75" customHeight="1">
      <c r="A76" s="1601" t="s">
        <v>10346</v>
      </c>
      <c r="B76" s="1495" t="s">
        <v>8789</v>
      </c>
      <c r="C76" s="1618">
        <v>0.05199074074074074</v>
      </c>
      <c r="D76" s="945" t="s">
        <v>10347</v>
      </c>
      <c r="E76" s="335" t="s">
        <v>10348</v>
      </c>
      <c r="F76" s="335" t="s">
        <v>10349</v>
      </c>
      <c r="G76" s="335" t="s">
        <v>10350</v>
      </c>
      <c r="H76" s="335" t="s">
        <v>7013</v>
      </c>
      <c r="I76" s="335" t="s">
        <v>9913</v>
      </c>
      <c r="J76" s="335" t="s">
        <v>10351</v>
      </c>
      <c r="K76" s="335" t="s">
        <v>10352</v>
      </c>
      <c r="L76" s="335" t="s">
        <v>3132</v>
      </c>
      <c r="M76" s="335" t="s">
        <v>10353</v>
      </c>
      <c r="N76" s="335" t="s">
        <v>9620</v>
      </c>
      <c r="O76" s="335" t="s">
        <v>10354</v>
      </c>
      <c r="P76" s="335" t="s">
        <v>2434</v>
      </c>
      <c r="Q76" s="335" t="s">
        <v>5109</v>
      </c>
      <c r="R76" s="335" t="s">
        <v>5342</v>
      </c>
      <c r="S76" s="335" t="s">
        <v>10355</v>
      </c>
      <c r="T76" s="335" t="s">
        <v>5864</v>
      </c>
      <c r="U76" s="335" t="s">
        <v>10356</v>
      </c>
      <c r="V76" s="335" t="s">
        <v>6568</v>
      </c>
      <c r="W76" s="335" t="s">
        <v>7415</v>
      </c>
      <c r="X76" s="335" t="s">
        <v>10357</v>
      </c>
      <c r="Y76" s="335" t="s">
        <v>2098</v>
      </c>
      <c r="Z76" s="335" t="s">
        <v>10358</v>
      </c>
      <c r="AA76" s="335" t="s">
        <v>10053</v>
      </c>
      <c r="AB76" s="335" t="s">
        <v>10359</v>
      </c>
      <c r="AC76" s="335" t="s">
        <v>5601</v>
      </c>
      <c r="AD76" s="335" t="s">
        <v>10360</v>
      </c>
      <c r="AE76" s="335" t="s">
        <v>7609</v>
      </c>
      <c r="AF76" s="335" t="s">
        <v>10361</v>
      </c>
      <c r="AG76" s="335" t="s">
        <v>10300</v>
      </c>
      <c r="AH76" s="335" t="s">
        <v>10362</v>
      </c>
      <c r="AI76" s="335" t="s">
        <v>10363</v>
      </c>
      <c r="AJ76" s="335" t="s">
        <v>10364</v>
      </c>
      <c r="AK76" s="335" t="s">
        <v>810</v>
      </c>
      <c r="AL76" s="335" t="s">
        <v>3333</v>
      </c>
      <c r="AM76" s="335" t="s">
        <v>9804</v>
      </c>
      <c r="AN76" s="335" t="s">
        <v>10365</v>
      </c>
      <c r="AO76" s="1600" t="s">
        <v>6972</v>
      </c>
      <c r="AP76" s="1600" t="s">
        <v>10366</v>
      </c>
      <c r="AQ76" s="335" t="s">
        <v>5381</v>
      </c>
      <c r="AR76" s="335" t="s">
        <v>9840</v>
      </c>
      <c r="AS76" s="335" t="s">
        <v>1089</v>
      </c>
      <c r="AT76" s="335" t="s">
        <v>9956</v>
      </c>
      <c r="AU76" s="1650" t="str">
        <f>HYPERLINK("https://splits.io/m3t","1:18:40")</f>
        <v>1:18:40</v>
      </c>
      <c r="AV76" s="1414" t="str">
        <f t="shared" si="1"/>
        <v>3:48</v>
      </c>
      <c r="AW76" s="1651" t="s">
        <v>10367</v>
      </c>
    </row>
    <row r="77" ht="15.75" customHeight="1">
      <c r="A77" s="1601" t="s">
        <v>10368</v>
      </c>
      <c r="B77" s="1495" t="s">
        <v>8789</v>
      </c>
      <c r="C77" s="1618">
        <v>0.052002314814814814</v>
      </c>
      <c r="D77" s="945" t="s">
        <v>10369</v>
      </c>
      <c r="E77" s="335" t="s">
        <v>9141</v>
      </c>
      <c r="F77" s="335" t="s">
        <v>10370</v>
      </c>
      <c r="G77" s="335" t="s">
        <v>10371</v>
      </c>
      <c r="H77" s="335" t="s">
        <v>10372</v>
      </c>
      <c r="I77" s="335" t="s">
        <v>3644</v>
      </c>
      <c r="J77" s="335" t="s">
        <v>9513</v>
      </c>
      <c r="K77" s="335" t="s">
        <v>4432</v>
      </c>
      <c r="L77" s="335" t="s">
        <v>3491</v>
      </c>
      <c r="M77" s="335" t="s">
        <v>10094</v>
      </c>
      <c r="N77" s="335" t="s">
        <v>4471</v>
      </c>
      <c r="O77" s="335" t="s">
        <v>10373</v>
      </c>
      <c r="P77" s="335" t="s">
        <v>10374</v>
      </c>
      <c r="Q77" s="335" t="s">
        <v>4931</v>
      </c>
      <c r="R77" s="335" t="s">
        <v>1456</v>
      </c>
      <c r="S77" s="335" t="s">
        <v>9592</v>
      </c>
      <c r="T77" s="335" t="s">
        <v>530</v>
      </c>
      <c r="U77" s="335" t="s">
        <v>1925</v>
      </c>
      <c r="V77" s="335" t="s">
        <v>467</v>
      </c>
      <c r="W77" s="335" t="s">
        <v>5766</v>
      </c>
      <c r="X77" s="335" t="s">
        <v>9870</v>
      </c>
      <c r="Y77" s="335" t="s">
        <v>2444</v>
      </c>
      <c r="Z77" s="335" t="s">
        <v>5241</v>
      </c>
      <c r="AA77" s="335" t="s">
        <v>9620</v>
      </c>
      <c r="AB77" s="335" t="s">
        <v>10375</v>
      </c>
      <c r="AC77" s="335" t="s">
        <v>3105</v>
      </c>
      <c r="AD77" s="335" t="s">
        <v>10376</v>
      </c>
      <c r="AE77" s="335" t="s">
        <v>5190</v>
      </c>
      <c r="AF77" s="335" t="s">
        <v>10377</v>
      </c>
      <c r="AG77" s="335" t="s">
        <v>10378</v>
      </c>
      <c r="AH77" s="335" t="s">
        <v>2253</v>
      </c>
      <c r="AI77" s="335" t="s">
        <v>10379</v>
      </c>
      <c r="AJ77" s="335" t="s">
        <v>10380</v>
      </c>
      <c r="AK77" s="335" t="s">
        <v>4633</v>
      </c>
      <c r="AL77" s="335" t="s">
        <v>6144</v>
      </c>
      <c r="AM77" s="335" t="s">
        <v>1461</v>
      </c>
      <c r="AN77" s="335" t="s">
        <v>5581</v>
      </c>
      <c r="AO77" s="335" t="s">
        <v>9306</v>
      </c>
      <c r="AP77" s="335" t="s">
        <v>4680</v>
      </c>
      <c r="AQ77" s="335" t="s">
        <v>10381</v>
      </c>
      <c r="AR77" s="335" t="s">
        <v>10382</v>
      </c>
      <c r="AS77" s="335" t="s">
        <v>10383</v>
      </c>
      <c r="AT77" s="335" t="s">
        <v>10384</v>
      </c>
      <c r="AU77" s="335" t="s">
        <v>10385</v>
      </c>
      <c r="AV77" s="1414" t="str">
        <f t="shared" si="1"/>
        <v>3:32</v>
      </c>
      <c r="AW77" s="1651" t="s">
        <v>10386</v>
      </c>
    </row>
    <row r="78" ht="15.75" customHeight="1">
      <c r="A78" s="1601" t="s">
        <v>10387</v>
      </c>
      <c r="B78" s="1584" t="s">
        <v>8817</v>
      </c>
      <c r="C78" s="1618">
        <v>0.05201388888888889</v>
      </c>
      <c r="D78" s="945" t="s">
        <v>10388</v>
      </c>
      <c r="E78" s="1600" t="s">
        <v>10389</v>
      </c>
      <c r="F78" s="335" t="s">
        <v>10390</v>
      </c>
      <c r="G78" s="335" t="s">
        <v>10391</v>
      </c>
      <c r="H78" s="335" t="s">
        <v>129</v>
      </c>
      <c r="I78" s="335" t="s">
        <v>10392</v>
      </c>
      <c r="J78" s="335" t="s">
        <v>10393</v>
      </c>
      <c r="K78" s="335" t="s">
        <v>4209</v>
      </c>
      <c r="L78" s="335" t="s">
        <v>10394</v>
      </c>
      <c r="M78" s="335" t="s">
        <v>10395</v>
      </c>
      <c r="N78" s="335" t="s">
        <v>10396</v>
      </c>
      <c r="O78" s="335" t="s">
        <v>10397</v>
      </c>
      <c r="P78" s="335" t="s">
        <v>162</v>
      </c>
      <c r="Q78" s="335" t="s">
        <v>10398</v>
      </c>
      <c r="R78" s="335" t="s">
        <v>6885</v>
      </c>
      <c r="S78" s="335" t="s">
        <v>10399</v>
      </c>
      <c r="T78" s="335" t="s">
        <v>10400</v>
      </c>
      <c r="U78" s="335" t="s">
        <v>10401</v>
      </c>
      <c r="V78" s="335" t="s">
        <v>8389</v>
      </c>
      <c r="W78" s="335" t="s">
        <v>10402</v>
      </c>
      <c r="X78" s="335" t="s">
        <v>9870</v>
      </c>
      <c r="Y78" s="335" t="s">
        <v>210</v>
      </c>
      <c r="Z78" s="335" t="s">
        <v>2376</v>
      </c>
      <c r="AA78" s="335" t="s">
        <v>5905</v>
      </c>
      <c r="AB78" s="335" t="s">
        <v>9164</v>
      </c>
      <c r="AC78" s="335" t="s">
        <v>928</v>
      </c>
      <c r="AD78" s="335" t="s">
        <v>10403</v>
      </c>
      <c r="AE78" s="335" t="s">
        <v>1165</v>
      </c>
      <c r="AF78" s="335" t="s">
        <v>10404</v>
      </c>
      <c r="AG78" s="335" t="s">
        <v>2972</v>
      </c>
      <c r="AH78" s="335" t="s">
        <v>6185</v>
      </c>
      <c r="AI78" s="335" t="s">
        <v>1574</v>
      </c>
      <c r="AJ78" s="335" t="s">
        <v>10405</v>
      </c>
      <c r="AK78" s="335" t="s">
        <v>3621</v>
      </c>
      <c r="AL78" s="335" t="s">
        <v>3956</v>
      </c>
      <c r="AM78" s="335" t="s">
        <v>841</v>
      </c>
      <c r="AN78" s="335" t="s">
        <v>4527</v>
      </c>
      <c r="AO78" s="335" t="s">
        <v>2255</v>
      </c>
      <c r="AP78" s="335" t="s">
        <v>10406</v>
      </c>
      <c r="AQ78" s="335" t="s">
        <v>1003</v>
      </c>
      <c r="AR78" s="335" t="s">
        <v>8858</v>
      </c>
      <c r="AS78" s="335" t="s">
        <v>8797</v>
      </c>
      <c r="AT78" s="335" t="s">
        <v>10407</v>
      </c>
      <c r="AU78" s="335" t="s">
        <v>10408</v>
      </c>
      <c r="AV78" s="1414" t="str">
        <f t="shared" si="1"/>
        <v>2:58</v>
      </c>
      <c r="AW78" s="1652" t="s">
        <v>10409</v>
      </c>
    </row>
    <row r="79" ht="15.75" customHeight="1">
      <c r="A79" s="1494" t="s">
        <v>7088</v>
      </c>
      <c r="B79" s="1584" t="s">
        <v>8817</v>
      </c>
      <c r="C79" s="1618">
        <v>0.05207175925925926</v>
      </c>
      <c r="D79" s="945" t="s">
        <v>10410</v>
      </c>
      <c r="E79" s="335" t="s">
        <v>10411</v>
      </c>
      <c r="F79" s="335" t="s">
        <v>10412</v>
      </c>
      <c r="G79" s="335" t="s">
        <v>10413</v>
      </c>
      <c r="H79" s="335" t="s">
        <v>9068</v>
      </c>
      <c r="I79" s="335" t="s">
        <v>4916</v>
      </c>
      <c r="J79" s="335" t="s">
        <v>9420</v>
      </c>
      <c r="K79" s="335" t="s">
        <v>10061</v>
      </c>
      <c r="L79" s="335" t="s">
        <v>10414</v>
      </c>
      <c r="M79" s="335" t="s">
        <v>2749</v>
      </c>
      <c r="N79" s="335" t="s">
        <v>10415</v>
      </c>
      <c r="O79" s="335" t="s">
        <v>10416</v>
      </c>
      <c r="P79" s="335" t="s">
        <v>766</v>
      </c>
      <c r="Q79" s="335" t="s">
        <v>10417</v>
      </c>
      <c r="R79" s="335" t="s">
        <v>4949</v>
      </c>
      <c r="S79" s="335" t="s">
        <v>6162</v>
      </c>
      <c r="T79" s="335" t="s">
        <v>5864</v>
      </c>
      <c r="U79" s="335" t="s">
        <v>10418</v>
      </c>
      <c r="V79" s="335" t="s">
        <v>2418</v>
      </c>
      <c r="W79" s="335" t="s">
        <v>8862</v>
      </c>
      <c r="X79" s="335" t="s">
        <v>10419</v>
      </c>
      <c r="Y79" s="335" t="s">
        <v>1412</v>
      </c>
      <c r="Z79" s="335" t="s">
        <v>6803</v>
      </c>
      <c r="AA79" s="335" t="s">
        <v>1488</v>
      </c>
      <c r="AB79" s="335" t="s">
        <v>10420</v>
      </c>
      <c r="AC79" s="335" t="s">
        <v>241</v>
      </c>
      <c r="AD79" s="335" t="s">
        <v>4261</v>
      </c>
      <c r="AE79" s="335" t="s">
        <v>6123</v>
      </c>
      <c r="AF79" s="335" t="s">
        <v>10421</v>
      </c>
      <c r="AG79" s="335" t="s">
        <v>9870</v>
      </c>
      <c r="AH79" s="335" t="s">
        <v>8083</v>
      </c>
      <c r="AI79" s="335" t="s">
        <v>10214</v>
      </c>
      <c r="AJ79" s="335" t="s">
        <v>10422</v>
      </c>
      <c r="AK79" s="335" t="s">
        <v>10423</v>
      </c>
      <c r="AL79" s="335" t="s">
        <v>4353</v>
      </c>
      <c r="AM79" s="335" t="s">
        <v>9979</v>
      </c>
      <c r="AN79" s="335" t="s">
        <v>3956</v>
      </c>
      <c r="AO79" s="335" t="s">
        <v>4209</v>
      </c>
      <c r="AP79" s="335" t="s">
        <v>9699</v>
      </c>
      <c r="AQ79" s="335" t="s">
        <v>10424</v>
      </c>
      <c r="AR79" s="335" t="s">
        <v>1487</v>
      </c>
      <c r="AS79" s="335" t="s">
        <v>6282</v>
      </c>
      <c r="AT79" s="335" t="s">
        <v>7192</v>
      </c>
      <c r="AU79" s="335" t="s">
        <v>10425</v>
      </c>
      <c r="AV79" s="1414" t="str">
        <f t="shared" si="1"/>
        <v>3:10</v>
      </c>
      <c r="AW79" s="1652" t="s">
        <v>10426</v>
      </c>
    </row>
    <row r="80">
      <c r="A80" s="927" t="s">
        <v>3861</v>
      </c>
      <c r="B80" s="1638" t="s">
        <v>8843</v>
      </c>
      <c r="C80" s="1657">
        <v>0.052141203703703703</v>
      </c>
      <c r="D80" s="945" t="s">
        <v>10427</v>
      </c>
      <c r="E80" s="1574" t="s">
        <v>2999</v>
      </c>
      <c r="F80" s="1574" t="s">
        <v>10428</v>
      </c>
      <c r="G80" s="1597" t="s">
        <v>10429</v>
      </c>
      <c r="H80" s="1597" t="s">
        <v>10430</v>
      </c>
      <c r="I80" s="1597" t="s">
        <v>2429</v>
      </c>
      <c r="J80" s="1597" t="s">
        <v>7918</v>
      </c>
      <c r="K80" s="1658" t="s">
        <v>6313</v>
      </c>
      <c r="L80" s="1659" t="s">
        <v>8080</v>
      </c>
      <c r="M80" s="1597" t="s">
        <v>5731</v>
      </c>
      <c r="N80" s="1597" t="s">
        <v>5864</v>
      </c>
      <c r="O80" s="1597" t="s">
        <v>5538</v>
      </c>
      <c r="P80" s="1597" t="s">
        <v>1849</v>
      </c>
      <c r="Q80" s="1597" t="s">
        <v>10431</v>
      </c>
      <c r="R80" s="1597" t="s">
        <v>10432</v>
      </c>
      <c r="S80" s="1660" t="s">
        <v>2267</v>
      </c>
      <c r="T80" s="1597" t="s">
        <v>9121</v>
      </c>
      <c r="U80" s="1597" t="s">
        <v>3541</v>
      </c>
      <c r="V80" s="1597" t="s">
        <v>10433</v>
      </c>
      <c r="W80" s="1597" t="s">
        <v>10434</v>
      </c>
      <c r="X80" s="1597" t="s">
        <v>4456</v>
      </c>
      <c r="Y80" s="1597" t="s">
        <v>3684</v>
      </c>
      <c r="Z80" s="1597" t="s">
        <v>4178</v>
      </c>
      <c r="AA80" s="1597" t="s">
        <v>402</v>
      </c>
      <c r="AB80" s="1597" t="s">
        <v>627</v>
      </c>
      <c r="AC80" s="1597" t="s">
        <v>6123</v>
      </c>
      <c r="AD80" s="1502" t="s">
        <v>9230</v>
      </c>
      <c r="AE80" s="1597" t="s">
        <v>481</v>
      </c>
      <c r="AF80" s="1597" t="s">
        <v>10435</v>
      </c>
      <c r="AG80" s="1597" t="s">
        <v>10436</v>
      </c>
      <c r="AH80" s="1597" t="s">
        <v>4574</v>
      </c>
      <c r="AI80" s="1597" t="s">
        <v>10437</v>
      </c>
      <c r="AJ80" s="1597" t="s">
        <v>10438</v>
      </c>
      <c r="AK80" s="1597" t="s">
        <v>10439</v>
      </c>
      <c r="AL80" s="1597" t="s">
        <v>5111</v>
      </c>
      <c r="AM80" s="1597" t="s">
        <v>10101</v>
      </c>
      <c r="AN80" s="1597" t="s">
        <v>4321</v>
      </c>
      <c r="AO80" s="1597" t="s">
        <v>9213</v>
      </c>
      <c r="AP80" s="1597" t="s">
        <v>10440</v>
      </c>
      <c r="AQ80" s="1658" t="s">
        <v>8870</v>
      </c>
      <c r="AR80" s="1597" t="s">
        <v>10441</v>
      </c>
      <c r="AS80" s="1661" t="s">
        <v>755</v>
      </c>
      <c r="AT80" s="1597" t="s">
        <v>10442</v>
      </c>
      <c r="AU80" s="1540" t="s">
        <v>10443</v>
      </c>
      <c r="AV80" s="1414" t="str">
        <f t="shared" si="1"/>
        <v>4:08</v>
      </c>
      <c r="AW80" s="1614" t="s">
        <v>10444</v>
      </c>
    </row>
    <row r="81">
      <c r="A81" s="1550" t="s">
        <v>3961</v>
      </c>
      <c r="B81" s="1538" t="s">
        <v>8789</v>
      </c>
      <c r="C81" s="1496">
        <v>0.0522337962962963</v>
      </c>
      <c r="D81" s="1625" t="s">
        <v>10445</v>
      </c>
      <c r="E81" s="1600" t="s">
        <v>10446</v>
      </c>
      <c r="F81" s="1600" t="s">
        <v>10447</v>
      </c>
      <c r="G81" s="1600" t="s">
        <v>10448</v>
      </c>
      <c r="H81" s="1600" t="s">
        <v>10449</v>
      </c>
      <c r="I81" s="1600" t="s">
        <v>1910</v>
      </c>
      <c r="J81" s="1600" t="s">
        <v>8468</v>
      </c>
      <c r="K81" s="1600" t="s">
        <v>4432</v>
      </c>
      <c r="L81" s="1600" t="s">
        <v>5834</v>
      </c>
      <c r="M81" s="1600" t="s">
        <v>10450</v>
      </c>
      <c r="N81" s="1600" t="s">
        <v>9848</v>
      </c>
      <c r="O81" s="1600" t="s">
        <v>10451</v>
      </c>
      <c r="P81" s="1600" t="s">
        <v>5190</v>
      </c>
      <c r="Q81" s="1600" t="s">
        <v>10452</v>
      </c>
      <c r="R81" s="1600" t="s">
        <v>6311</v>
      </c>
      <c r="S81" s="1600" t="s">
        <v>609</v>
      </c>
      <c r="T81" s="1600" t="s">
        <v>10256</v>
      </c>
      <c r="U81" s="1600" t="s">
        <v>9255</v>
      </c>
      <c r="V81" s="1600" t="s">
        <v>10453</v>
      </c>
      <c r="W81" s="1600" t="s">
        <v>10454</v>
      </c>
      <c r="X81" s="1600" t="s">
        <v>10455</v>
      </c>
      <c r="Y81" s="1600" t="s">
        <v>760</v>
      </c>
      <c r="Z81" s="1600" t="s">
        <v>10456</v>
      </c>
      <c r="AA81" s="945" t="s">
        <v>10457</v>
      </c>
      <c r="AB81" s="1600" t="s">
        <v>6800</v>
      </c>
      <c r="AC81" s="1600" t="s">
        <v>10237</v>
      </c>
      <c r="AD81" s="1600" t="s">
        <v>7010</v>
      </c>
      <c r="AE81" s="1600" t="s">
        <v>4953</v>
      </c>
      <c r="AF81" s="1286" t="s">
        <v>10458</v>
      </c>
      <c r="AG81" s="1600" t="s">
        <v>10459</v>
      </c>
      <c r="AH81" s="1600" t="s">
        <v>5067</v>
      </c>
      <c r="AI81" s="1600" t="s">
        <v>7633</v>
      </c>
      <c r="AJ81" s="1600" t="s">
        <v>10460</v>
      </c>
      <c r="AK81" s="1600" t="s">
        <v>10461</v>
      </c>
      <c r="AL81" s="1600" t="s">
        <v>10176</v>
      </c>
      <c r="AM81" s="1600" t="s">
        <v>9850</v>
      </c>
      <c r="AN81" s="1600" t="s">
        <v>1079</v>
      </c>
      <c r="AO81" s="1600" t="s">
        <v>6481</v>
      </c>
      <c r="AP81" s="1600" t="s">
        <v>5620</v>
      </c>
      <c r="AQ81" s="1600" t="s">
        <v>10462</v>
      </c>
      <c r="AR81" s="1600" t="s">
        <v>691</v>
      </c>
      <c r="AS81" s="1286" t="s">
        <v>2818</v>
      </c>
      <c r="AT81" s="1600" t="s">
        <v>10463</v>
      </c>
      <c r="AU81" s="1600" t="s">
        <v>10464</v>
      </c>
      <c r="AV81" s="1414" t="str">
        <f t="shared" si="1"/>
        <v>4:32</v>
      </c>
      <c r="AW81" s="1648" t="s">
        <v>10465</v>
      </c>
    </row>
    <row r="82">
      <c r="A82" s="1550" t="s">
        <v>5198</v>
      </c>
      <c r="B82" s="1548" t="s">
        <v>8817</v>
      </c>
      <c r="C82" s="1496">
        <v>0.05232638888888889</v>
      </c>
      <c r="D82" s="1625" t="s">
        <v>10466</v>
      </c>
      <c r="E82" s="1600" t="s">
        <v>1231</v>
      </c>
      <c r="F82" s="1600" t="s">
        <v>10467</v>
      </c>
      <c r="G82" s="1600" t="s">
        <v>10468</v>
      </c>
      <c r="H82" s="1600" t="s">
        <v>10469</v>
      </c>
      <c r="I82" s="1600" t="s">
        <v>1352</v>
      </c>
      <c r="J82" s="1600" t="s">
        <v>7333</v>
      </c>
      <c r="K82" s="1600" t="s">
        <v>10072</v>
      </c>
      <c r="L82" s="1600" t="s">
        <v>10470</v>
      </c>
      <c r="M82" s="1600" t="s">
        <v>7040</v>
      </c>
      <c r="N82" s="1600" t="s">
        <v>10471</v>
      </c>
      <c r="O82" s="1600" t="s">
        <v>10472</v>
      </c>
      <c r="P82" s="1600" t="s">
        <v>522</v>
      </c>
      <c r="Q82" s="1600" t="s">
        <v>9910</v>
      </c>
      <c r="R82" s="1600" t="s">
        <v>5273</v>
      </c>
      <c r="S82" s="1600" t="s">
        <v>9708</v>
      </c>
      <c r="T82" s="1600" t="s">
        <v>10473</v>
      </c>
      <c r="U82" s="1600" t="s">
        <v>10474</v>
      </c>
      <c r="V82" s="1600" t="s">
        <v>10475</v>
      </c>
      <c r="W82" s="1600" t="s">
        <v>6399</v>
      </c>
      <c r="X82" s="1600" t="s">
        <v>314</v>
      </c>
      <c r="Y82" s="1600" t="s">
        <v>7467</v>
      </c>
      <c r="Z82" s="1600" t="s">
        <v>781</v>
      </c>
      <c r="AA82" s="335" t="s">
        <v>9708</v>
      </c>
      <c r="AB82" s="1600" t="s">
        <v>10476</v>
      </c>
      <c r="AC82" s="1600" t="s">
        <v>6307</v>
      </c>
      <c r="AD82" s="1600" t="s">
        <v>10477</v>
      </c>
      <c r="AE82" s="1600" t="s">
        <v>226</v>
      </c>
      <c r="AF82" s="1600" t="s">
        <v>8382</v>
      </c>
      <c r="AG82" s="1600" t="s">
        <v>4072</v>
      </c>
      <c r="AH82" s="1600" t="s">
        <v>1889</v>
      </c>
      <c r="AI82" s="1600" t="s">
        <v>420</v>
      </c>
      <c r="AJ82" s="1600" t="s">
        <v>10478</v>
      </c>
      <c r="AK82" s="1600" t="s">
        <v>10479</v>
      </c>
      <c r="AL82" s="1600" t="s">
        <v>10215</v>
      </c>
      <c r="AM82" s="1600" t="s">
        <v>2972</v>
      </c>
      <c r="AN82" s="1600" t="s">
        <v>6035</v>
      </c>
      <c r="AO82" s="1600" t="s">
        <v>3718</v>
      </c>
      <c r="AP82" s="1600" t="s">
        <v>10480</v>
      </c>
      <c r="AQ82" s="1600" t="s">
        <v>7039</v>
      </c>
      <c r="AR82" s="1600" t="s">
        <v>6306</v>
      </c>
      <c r="AS82" s="1600" t="s">
        <v>10481</v>
      </c>
      <c r="AT82" s="1600" t="s">
        <v>10482</v>
      </c>
      <c r="AU82" s="1600" t="s">
        <v>10483</v>
      </c>
      <c r="AV82" s="1414" t="str">
        <f t="shared" si="1"/>
        <v>3:48</v>
      </c>
      <c r="AW82" s="1652"/>
    </row>
    <row r="83" ht="15.75" customHeight="1">
      <c r="A83" s="1494" t="s">
        <v>10484</v>
      </c>
      <c r="B83" s="1495" t="s">
        <v>8789</v>
      </c>
      <c r="C83" s="1618">
        <v>0.05240740740740741</v>
      </c>
      <c r="D83" s="945" t="s">
        <v>10485</v>
      </c>
      <c r="E83" s="335" t="s">
        <v>1660</v>
      </c>
      <c r="F83" s="335" t="s">
        <v>7323</v>
      </c>
      <c r="G83" s="335" t="s">
        <v>10196</v>
      </c>
      <c r="H83" s="335" t="s">
        <v>10486</v>
      </c>
      <c r="I83" s="335" t="s">
        <v>10487</v>
      </c>
      <c r="J83" s="335" t="s">
        <v>10488</v>
      </c>
      <c r="K83" s="335" t="s">
        <v>10489</v>
      </c>
      <c r="L83" s="335" t="s">
        <v>4461</v>
      </c>
      <c r="M83" s="335" t="s">
        <v>3291</v>
      </c>
      <c r="N83" s="335" t="s">
        <v>4856</v>
      </c>
      <c r="O83" s="335" t="s">
        <v>10490</v>
      </c>
      <c r="P83" s="335" t="s">
        <v>10491</v>
      </c>
      <c r="Q83" s="335" t="s">
        <v>4236</v>
      </c>
      <c r="R83" s="335" t="s">
        <v>9818</v>
      </c>
      <c r="S83" s="335" t="s">
        <v>9981</v>
      </c>
      <c r="T83" s="335" t="s">
        <v>5068</v>
      </c>
      <c r="U83" s="335" t="s">
        <v>10492</v>
      </c>
      <c r="V83" s="335" t="s">
        <v>10493</v>
      </c>
      <c r="W83" s="335" t="s">
        <v>10494</v>
      </c>
      <c r="X83" s="335" t="s">
        <v>10495</v>
      </c>
      <c r="Y83" s="335" t="s">
        <v>6584</v>
      </c>
      <c r="Z83" s="335" t="s">
        <v>10358</v>
      </c>
      <c r="AA83" s="335" t="s">
        <v>1869</v>
      </c>
      <c r="AB83" s="335" t="s">
        <v>10496</v>
      </c>
      <c r="AC83" s="335" t="s">
        <v>1543</v>
      </c>
      <c r="AD83" s="335" t="s">
        <v>10497</v>
      </c>
      <c r="AE83" s="335" t="s">
        <v>1543</v>
      </c>
      <c r="AF83" s="335" t="s">
        <v>10498</v>
      </c>
      <c r="AG83" s="335" t="s">
        <v>10136</v>
      </c>
      <c r="AH83" s="335" t="s">
        <v>2113</v>
      </c>
      <c r="AI83" s="335" t="s">
        <v>3361</v>
      </c>
      <c r="AJ83" s="335" t="s">
        <v>10499</v>
      </c>
      <c r="AK83" s="335" t="s">
        <v>8029</v>
      </c>
      <c r="AL83" s="335" t="s">
        <v>10500</v>
      </c>
      <c r="AM83" s="335" t="s">
        <v>1190</v>
      </c>
      <c r="AN83" s="335" t="s">
        <v>3000</v>
      </c>
      <c r="AO83" s="335" t="s">
        <v>10501</v>
      </c>
      <c r="AP83" s="335" t="s">
        <v>3653</v>
      </c>
      <c r="AQ83" s="335" t="s">
        <v>10502</v>
      </c>
      <c r="AR83" s="335" t="s">
        <v>5697</v>
      </c>
      <c r="AS83" s="335" t="s">
        <v>9440</v>
      </c>
      <c r="AT83" s="335" t="s">
        <v>9525</v>
      </c>
      <c r="AU83" s="335" t="s">
        <v>10503</v>
      </c>
      <c r="AV83" s="1414" t="str">
        <f t="shared" si="1"/>
        <v>3:40</v>
      </c>
      <c r="AW83" s="1651" t="s">
        <v>10504</v>
      </c>
    </row>
    <row r="84" ht="15.75" customHeight="1">
      <c r="A84" s="1601" t="s">
        <v>10505</v>
      </c>
      <c r="B84" s="1495" t="s">
        <v>8789</v>
      </c>
      <c r="C84" s="1618">
        <v>0.05263888888888889</v>
      </c>
      <c r="D84" s="945" t="s">
        <v>10506</v>
      </c>
      <c r="E84" s="335" t="s">
        <v>7523</v>
      </c>
      <c r="F84" s="335" t="s">
        <v>10507</v>
      </c>
      <c r="G84" s="335" t="s">
        <v>10508</v>
      </c>
      <c r="H84" s="335" t="s">
        <v>10509</v>
      </c>
      <c r="I84" s="335" t="s">
        <v>10510</v>
      </c>
      <c r="J84" s="335" t="s">
        <v>9395</v>
      </c>
      <c r="K84" s="335" t="s">
        <v>4142</v>
      </c>
      <c r="L84" s="335" t="s">
        <v>4214</v>
      </c>
      <c r="M84" s="335" t="s">
        <v>9544</v>
      </c>
      <c r="N84" s="335" t="s">
        <v>10511</v>
      </c>
      <c r="O84" s="335" t="s">
        <v>8831</v>
      </c>
      <c r="P84" s="335" t="s">
        <v>485</v>
      </c>
      <c r="Q84" s="335" t="s">
        <v>10512</v>
      </c>
      <c r="R84" s="335" t="s">
        <v>5535</v>
      </c>
      <c r="S84" s="335" t="s">
        <v>6537</v>
      </c>
      <c r="T84" s="335" t="s">
        <v>10513</v>
      </c>
      <c r="U84" s="335" t="s">
        <v>10514</v>
      </c>
      <c r="V84" s="335" t="s">
        <v>10515</v>
      </c>
      <c r="W84" s="335" t="s">
        <v>10516</v>
      </c>
      <c r="X84" s="335" t="s">
        <v>5859</v>
      </c>
      <c r="Y84" s="335" t="s">
        <v>1543</v>
      </c>
      <c r="Z84" s="335" t="s">
        <v>7453</v>
      </c>
      <c r="AA84" s="1600" t="s">
        <v>6477</v>
      </c>
      <c r="AB84" s="335" t="s">
        <v>9439</v>
      </c>
      <c r="AC84" s="335" t="s">
        <v>10251</v>
      </c>
      <c r="AD84" s="335" t="s">
        <v>3037</v>
      </c>
      <c r="AE84" s="335" t="s">
        <v>4779</v>
      </c>
      <c r="AF84" s="335" t="s">
        <v>10517</v>
      </c>
      <c r="AG84" s="335" t="s">
        <v>2880</v>
      </c>
      <c r="AH84" s="335" t="s">
        <v>7628</v>
      </c>
      <c r="AI84" s="335" t="s">
        <v>10518</v>
      </c>
      <c r="AJ84" s="335" t="s">
        <v>10519</v>
      </c>
      <c r="AK84" s="335" t="s">
        <v>9866</v>
      </c>
      <c r="AL84" s="335" t="s">
        <v>10520</v>
      </c>
      <c r="AM84" s="335" t="s">
        <v>10521</v>
      </c>
      <c r="AN84" s="335" t="s">
        <v>3955</v>
      </c>
      <c r="AO84" s="335" t="s">
        <v>9213</v>
      </c>
      <c r="AP84" s="335" t="s">
        <v>10522</v>
      </c>
      <c r="AQ84" s="335" t="s">
        <v>10523</v>
      </c>
      <c r="AR84" s="335" t="s">
        <v>1384</v>
      </c>
      <c r="AS84" s="335" t="s">
        <v>1089</v>
      </c>
      <c r="AT84" s="335" t="s">
        <v>10524</v>
      </c>
      <c r="AU84" s="335" t="s">
        <v>10525</v>
      </c>
      <c r="AV84" s="1414" t="str">
        <f t="shared" si="1"/>
        <v>4:28</v>
      </c>
      <c r="AW84" s="1651" t="s">
        <v>10526</v>
      </c>
    </row>
    <row r="85">
      <c r="A85" s="1550" t="s">
        <v>3617</v>
      </c>
      <c r="B85" s="1626" t="s">
        <v>8843</v>
      </c>
      <c r="C85" s="1496">
        <v>0.052662037037037035</v>
      </c>
      <c r="D85" s="945" t="s">
        <v>10527</v>
      </c>
      <c r="E85" s="945" t="s">
        <v>534</v>
      </c>
      <c r="F85" s="945" t="s">
        <v>10528</v>
      </c>
      <c r="G85" s="945" t="s">
        <v>10529</v>
      </c>
      <c r="H85" s="945" t="s">
        <v>9050</v>
      </c>
      <c r="I85" s="945" t="s">
        <v>10530</v>
      </c>
      <c r="J85" s="945" t="s">
        <v>1597</v>
      </c>
      <c r="K85" s="945" t="s">
        <v>10531</v>
      </c>
      <c r="L85" s="945" t="s">
        <v>2873</v>
      </c>
      <c r="M85" s="945" t="s">
        <v>272</v>
      </c>
      <c r="N85" s="945" t="s">
        <v>9339</v>
      </c>
      <c r="O85" s="945" t="s">
        <v>10532</v>
      </c>
      <c r="P85" s="945" t="s">
        <v>10533</v>
      </c>
      <c r="Q85" s="945" t="s">
        <v>3464</v>
      </c>
      <c r="R85" s="945" t="s">
        <v>10534</v>
      </c>
      <c r="S85" s="945" t="s">
        <v>6121</v>
      </c>
      <c r="T85" s="945" t="s">
        <v>10535</v>
      </c>
      <c r="U85" s="945" t="s">
        <v>10536</v>
      </c>
      <c r="V85" s="945" t="s">
        <v>10537</v>
      </c>
      <c r="W85" s="945" t="s">
        <v>10538</v>
      </c>
      <c r="X85" s="945" t="s">
        <v>2737</v>
      </c>
      <c r="Y85" s="945" t="s">
        <v>2831</v>
      </c>
      <c r="Z85" s="945" t="s">
        <v>6405</v>
      </c>
      <c r="AA85" s="1600" t="s">
        <v>10539</v>
      </c>
      <c r="AB85" s="945" t="s">
        <v>10540</v>
      </c>
      <c r="AC85" s="945" t="s">
        <v>7466</v>
      </c>
      <c r="AD85" s="1662" t="s">
        <v>8862</v>
      </c>
      <c r="AE85" s="945" t="s">
        <v>336</v>
      </c>
      <c r="AF85" s="945" t="s">
        <v>10541</v>
      </c>
      <c r="AG85" s="945" t="s">
        <v>6960</v>
      </c>
      <c r="AH85" s="945" t="s">
        <v>3821</v>
      </c>
      <c r="AI85" s="945" t="s">
        <v>10542</v>
      </c>
      <c r="AJ85" s="945" t="s">
        <v>10543</v>
      </c>
      <c r="AK85" s="945" t="s">
        <v>10544</v>
      </c>
      <c r="AL85" s="945" t="s">
        <v>4599</v>
      </c>
      <c r="AM85" s="945" t="s">
        <v>5765</v>
      </c>
      <c r="AN85" s="1662" t="s">
        <v>8867</v>
      </c>
      <c r="AO85" s="945" t="s">
        <v>10545</v>
      </c>
      <c r="AP85" s="945" t="s">
        <v>10546</v>
      </c>
      <c r="AQ85" s="945" t="s">
        <v>10547</v>
      </c>
      <c r="AR85" s="945" t="s">
        <v>6074</v>
      </c>
      <c r="AS85" s="945" t="s">
        <v>7967</v>
      </c>
      <c r="AT85" s="945" t="s">
        <v>10548</v>
      </c>
      <c r="AU85" s="1663" t="s">
        <v>10549</v>
      </c>
      <c r="AV85" s="1414" t="str">
        <f t="shared" si="1"/>
        <v>4:43</v>
      </c>
      <c r="AW85" s="1633" t="s">
        <v>10550</v>
      </c>
    </row>
    <row r="86" ht="15.75" customHeight="1">
      <c r="A86" s="1550" t="s">
        <v>10551</v>
      </c>
      <c r="B86" s="1548" t="s">
        <v>8789</v>
      </c>
      <c r="C86" s="1496">
        <v>0.05267361111111111</v>
      </c>
      <c r="D86" s="1625" t="s">
        <v>9944</v>
      </c>
      <c r="E86" s="1600" t="s">
        <v>176</v>
      </c>
      <c r="F86" s="1600" t="s">
        <v>6985</v>
      </c>
      <c r="G86" s="1600" t="s">
        <v>10552</v>
      </c>
      <c r="H86" s="1600" t="s">
        <v>10553</v>
      </c>
      <c r="I86" s="1600" t="s">
        <v>5613</v>
      </c>
      <c r="J86" s="945" t="s">
        <v>10554</v>
      </c>
      <c r="K86" s="1600" t="s">
        <v>10555</v>
      </c>
      <c r="L86" s="1600" t="s">
        <v>3821</v>
      </c>
      <c r="M86" s="1600" t="s">
        <v>6942</v>
      </c>
      <c r="N86" s="1600" t="s">
        <v>10556</v>
      </c>
      <c r="O86" s="1600" t="s">
        <v>10557</v>
      </c>
      <c r="P86" s="1600" t="s">
        <v>9913</v>
      </c>
      <c r="Q86" s="1600" t="s">
        <v>10558</v>
      </c>
      <c r="R86" s="1600" t="s">
        <v>5630</v>
      </c>
      <c r="S86" s="1600" t="s">
        <v>6978</v>
      </c>
      <c r="T86" s="1600" t="s">
        <v>10559</v>
      </c>
      <c r="U86" s="1600" t="s">
        <v>10560</v>
      </c>
      <c r="V86" s="1600" t="s">
        <v>3880</v>
      </c>
      <c r="W86" s="1600" t="s">
        <v>10561</v>
      </c>
      <c r="X86" s="1600" t="s">
        <v>2412</v>
      </c>
      <c r="Y86" s="1600" t="s">
        <v>9509</v>
      </c>
      <c r="Z86" s="1600" t="s">
        <v>9024</v>
      </c>
      <c r="AA86" s="1600" t="s">
        <v>10562</v>
      </c>
      <c r="AB86" s="1600" t="s">
        <v>10128</v>
      </c>
      <c r="AC86" s="1600" t="s">
        <v>9376</v>
      </c>
      <c r="AD86" s="1600" t="s">
        <v>10563</v>
      </c>
      <c r="AE86" s="1600" t="s">
        <v>2382</v>
      </c>
      <c r="AF86" s="1600" t="s">
        <v>10564</v>
      </c>
      <c r="AG86" s="1600" t="s">
        <v>10565</v>
      </c>
      <c r="AH86" s="1600" t="s">
        <v>4214</v>
      </c>
      <c r="AI86" s="1600" t="s">
        <v>10566</v>
      </c>
      <c r="AJ86" s="1600" t="s">
        <v>10567</v>
      </c>
      <c r="AK86" s="1600" t="s">
        <v>1690</v>
      </c>
      <c r="AL86" s="1600" t="s">
        <v>2598</v>
      </c>
      <c r="AM86" s="1600" t="s">
        <v>1690</v>
      </c>
      <c r="AN86" s="1600" t="s">
        <v>2598</v>
      </c>
      <c r="AO86" s="1600" t="s">
        <v>6239</v>
      </c>
      <c r="AP86" s="1600" t="s">
        <v>10568</v>
      </c>
      <c r="AQ86" s="1600" t="s">
        <v>2206</v>
      </c>
      <c r="AR86" s="1600" t="s">
        <v>10381</v>
      </c>
      <c r="AS86" s="1600" t="s">
        <v>10569</v>
      </c>
      <c r="AT86" s="1600" t="s">
        <v>10570</v>
      </c>
      <c r="AU86" s="1600" t="s">
        <v>10571</v>
      </c>
      <c r="AV86" s="1414" t="str">
        <f t="shared" si="1"/>
        <v>5:58</v>
      </c>
      <c r="AW86" s="1648" t="s">
        <v>10572</v>
      </c>
    </row>
    <row r="87" ht="15.75" customHeight="1">
      <c r="A87" s="1494" t="s">
        <v>6094</v>
      </c>
      <c r="B87" s="1584" t="s">
        <v>8817</v>
      </c>
      <c r="C87" s="1618">
        <v>0.05275462962962963</v>
      </c>
      <c r="D87" s="945" t="s">
        <v>10573</v>
      </c>
      <c r="E87" s="335" t="s">
        <v>5999</v>
      </c>
      <c r="F87" s="335" t="s">
        <v>10574</v>
      </c>
      <c r="G87" s="335" t="s">
        <v>8988</v>
      </c>
      <c r="H87" s="335" t="s">
        <v>6759</v>
      </c>
      <c r="I87" s="335" t="s">
        <v>2283</v>
      </c>
      <c r="J87" s="335" t="s">
        <v>4155</v>
      </c>
      <c r="K87" s="335" t="s">
        <v>10271</v>
      </c>
      <c r="L87" s="335" t="s">
        <v>5321</v>
      </c>
      <c r="M87" s="335" t="s">
        <v>4141</v>
      </c>
      <c r="N87" s="335" t="s">
        <v>10575</v>
      </c>
      <c r="O87" s="335" t="s">
        <v>10576</v>
      </c>
      <c r="P87" s="335" t="s">
        <v>6357</v>
      </c>
      <c r="Q87" s="335" t="s">
        <v>10577</v>
      </c>
      <c r="R87" s="335" t="s">
        <v>10578</v>
      </c>
      <c r="S87" s="335" t="s">
        <v>8806</v>
      </c>
      <c r="T87" s="335" t="s">
        <v>2603</v>
      </c>
      <c r="U87" s="335" t="s">
        <v>500</v>
      </c>
      <c r="V87" s="335" t="s">
        <v>10579</v>
      </c>
      <c r="W87" s="335" t="s">
        <v>10580</v>
      </c>
      <c r="X87" s="335" t="s">
        <v>8992</v>
      </c>
      <c r="Y87" s="335" t="s">
        <v>5778</v>
      </c>
      <c r="Z87" s="335" t="s">
        <v>9164</v>
      </c>
      <c r="AA87" s="335" t="s">
        <v>10581</v>
      </c>
      <c r="AB87" s="335" t="s">
        <v>493</v>
      </c>
      <c r="AC87" s="335" t="s">
        <v>9070</v>
      </c>
      <c r="AD87" s="335" t="s">
        <v>10582</v>
      </c>
      <c r="AE87" s="335" t="s">
        <v>10583</v>
      </c>
      <c r="AF87" s="335" t="s">
        <v>9669</v>
      </c>
      <c r="AG87" s="335" t="s">
        <v>7912</v>
      </c>
      <c r="AH87" s="335" t="s">
        <v>723</v>
      </c>
      <c r="AI87" s="335" t="s">
        <v>5350</v>
      </c>
      <c r="AJ87" s="335" t="s">
        <v>10584</v>
      </c>
      <c r="AK87" s="335" t="s">
        <v>9128</v>
      </c>
      <c r="AL87" s="335" t="s">
        <v>5282</v>
      </c>
      <c r="AM87" s="335" t="s">
        <v>2766</v>
      </c>
      <c r="AN87" s="335" t="s">
        <v>6550</v>
      </c>
      <c r="AO87" s="335" t="s">
        <v>6258</v>
      </c>
      <c r="AP87" s="335" t="s">
        <v>10585</v>
      </c>
      <c r="AQ87" s="335" t="s">
        <v>10586</v>
      </c>
      <c r="AR87" s="335" t="s">
        <v>10209</v>
      </c>
      <c r="AS87" s="335" t="s">
        <v>9173</v>
      </c>
      <c r="AT87" s="335" t="s">
        <v>10587</v>
      </c>
      <c r="AU87" s="335" t="s">
        <v>10588</v>
      </c>
      <c r="AV87" s="1414" t="str">
        <f t="shared" si="1"/>
        <v>3:59</v>
      </c>
      <c r="AW87" s="1652" t="s">
        <v>10589</v>
      </c>
    </row>
    <row r="88" ht="15.75" customHeight="1">
      <c r="A88" s="1601" t="s">
        <v>10590</v>
      </c>
      <c r="B88" s="1638" t="s">
        <v>8843</v>
      </c>
      <c r="C88" s="1618">
        <v>0.05291666666666667</v>
      </c>
      <c r="D88" s="945" t="s">
        <v>10591</v>
      </c>
      <c r="E88" s="335" t="s">
        <v>10592</v>
      </c>
      <c r="F88" s="335" t="s">
        <v>5908</v>
      </c>
      <c r="G88" s="335" t="s">
        <v>9805</v>
      </c>
      <c r="H88" s="335" t="s">
        <v>10147</v>
      </c>
      <c r="I88" s="335" t="s">
        <v>3112</v>
      </c>
      <c r="J88" s="335" t="s">
        <v>10593</v>
      </c>
      <c r="K88" s="335" t="s">
        <v>5447</v>
      </c>
      <c r="L88" s="335" t="s">
        <v>7297</v>
      </c>
      <c r="M88" s="335" t="s">
        <v>10594</v>
      </c>
      <c r="N88" s="335" t="s">
        <v>10595</v>
      </c>
      <c r="O88" s="335" t="s">
        <v>10596</v>
      </c>
      <c r="P88" s="335" t="s">
        <v>10017</v>
      </c>
      <c r="Q88" s="335" t="s">
        <v>10597</v>
      </c>
      <c r="R88" s="335" t="s">
        <v>5933</v>
      </c>
      <c r="S88" s="335" t="s">
        <v>4584</v>
      </c>
      <c r="T88" s="335" t="s">
        <v>9177</v>
      </c>
      <c r="U88" s="335" t="s">
        <v>5522</v>
      </c>
      <c r="V88" s="335" t="s">
        <v>1148</v>
      </c>
      <c r="W88" s="335" t="s">
        <v>1832</v>
      </c>
      <c r="X88" s="335" t="s">
        <v>3354</v>
      </c>
      <c r="Y88" s="335" t="s">
        <v>660</v>
      </c>
      <c r="Z88" s="335" t="s">
        <v>10598</v>
      </c>
      <c r="AA88" s="1600" t="s">
        <v>7225</v>
      </c>
      <c r="AB88" s="335" t="s">
        <v>3670</v>
      </c>
      <c r="AC88" s="335" t="s">
        <v>2444</v>
      </c>
      <c r="AD88" s="335" t="s">
        <v>10599</v>
      </c>
      <c r="AE88" s="335" t="s">
        <v>10600</v>
      </c>
      <c r="AF88" s="335" t="s">
        <v>10601</v>
      </c>
      <c r="AG88" s="335" t="s">
        <v>2798</v>
      </c>
      <c r="AH88" s="335" t="s">
        <v>9841</v>
      </c>
      <c r="AI88" s="335" t="s">
        <v>10602</v>
      </c>
      <c r="AJ88" s="335" t="s">
        <v>10603</v>
      </c>
      <c r="AK88" s="335" t="s">
        <v>10604</v>
      </c>
      <c r="AL88" s="335" t="s">
        <v>1663</v>
      </c>
      <c r="AM88" s="335" t="s">
        <v>2548</v>
      </c>
      <c r="AN88" s="335" t="s">
        <v>8914</v>
      </c>
      <c r="AO88" s="335" t="s">
        <v>10605</v>
      </c>
      <c r="AP88" s="335" t="s">
        <v>8625</v>
      </c>
      <c r="AQ88" s="335" t="s">
        <v>10606</v>
      </c>
      <c r="AR88" s="335" t="s">
        <v>10513</v>
      </c>
      <c r="AS88" s="335" t="s">
        <v>4361</v>
      </c>
      <c r="AT88" s="335" t="s">
        <v>10607</v>
      </c>
      <c r="AU88" s="335" t="s">
        <v>10608</v>
      </c>
      <c r="AV88" s="1414" t="str">
        <f t="shared" si="1"/>
        <v>2:38</v>
      </c>
      <c r="AW88" s="1652"/>
    </row>
    <row r="89" ht="15.75" customHeight="1">
      <c r="A89" s="1550" t="s">
        <v>6424</v>
      </c>
      <c r="B89" s="1538" t="s">
        <v>8789</v>
      </c>
      <c r="C89" s="1496">
        <v>0.05324074074074074</v>
      </c>
      <c r="D89" s="945" t="s">
        <v>10609</v>
      </c>
      <c r="E89" s="945" t="s">
        <v>10610</v>
      </c>
      <c r="F89" s="945" t="s">
        <v>10611</v>
      </c>
      <c r="G89" s="945" t="s">
        <v>9550</v>
      </c>
      <c r="H89" s="945" t="s">
        <v>10612</v>
      </c>
      <c r="I89" s="945" t="s">
        <v>6123</v>
      </c>
      <c r="J89" s="945" t="s">
        <v>1795</v>
      </c>
      <c r="K89" s="945" t="s">
        <v>4278</v>
      </c>
      <c r="L89" s="945" t="s">
        <v>10613</v>
      </c>
      <c r="M89" s="945" t="s">
        <v>10614</v>
      </c>
      <c r="N89" s="945" t="s">
        <v>10615</v>
      </c>
      <c r="O89" s="945" t="s">
        <v>10616</v>
      </c>
      <c r="P89" s="945" t="s">
        <v>10617</v>
      </c>
      <c r="Q89" s="945" t="s">
        <v>10618</v>
      </c>
      <c r="R89" s="945" t="s">
        <v>10619</v>
      </c>
      <c r="S89" s="945" t="s">
        <v>10495</v>
      </c>
      <c r="T89" s="945" t="s">
        <v>10620</v>
      </c>
      <c r="U89" s="945" t="s">
        <v>10621</v>
      </c>
      <c r="V89" s="945" t="s">
        <v>2892</v>
      </c>
      <c r="W89" s="945" t="s">
        <v>10622</v>
      </c>
      <c r="X89" s="945" t="s">
        <v>10623</v>
      </c>
      <c r="Y89" s="945" t="s">
        <v>5613</v>
      </c>
      <c r="Z89" s="945" t="s">
        <v>3566</v>
      </c>
      <c r="AA89" s="1600" t="s">
        <v>10624</v>
      </c>
      <c r="AB89" s="945" t="s">
        <v>9950</v>
      </c>
      <c r="AC89" s="945" t="s">
        <v>5534</v>
      </c>
      <c r="AD89" s="945" t="s">
        <v>10625</v>
      </c>
      <c r="AE89" s="945" t="s">
        <v>9741</v>
      </c>
      <c r="AF89" s="945" t="s">
        <v>10626</v>
      </c>
      <c r="AG89" s="945" t="s">
        <v>10436</v>
      </c>
      <c r="AH89" s="945" t="s">
        <v>5768</v>
      </c>
      <c r="AI89" s="945" t="s">
        <v>10627</v>
      </c>
      <c r="AJ89" s="945" t="s">
        <v>10628</v>
      </c>
      <c r="AK89" s="1600" t="s">
        <v>10629</v>
      </c>
      <c r="AL89" s="945" t="s">
        <v>10254</v>
      </c>
      <c r="AM89" s="945" t="s">
        <v>10630</v>
      </c>
      <c r="AN89" s="945" t="s">
        <v>10096</v>
      </c>
      <c r="AO89" s="945" t="s">
        <v>4533</v>
      </c>
      <c r="AP89" s="945" t="s">
        <v>10631</v>
      </c>
      <c r="AQ89" s="945" t="s">
        <v>10632</v>
      </c>
      <c r="AR89" s="1600" t="s">
        <v>3820</v>
      </c>
      <c r="AS89" s="945" t="s">
        <v>10633</v>
      </c>
      <c r="AT89" s="945" t="s">
        <v>10634</v>
      </c>
      <c r="AU89" s="1600" t="s">
        <v>10549</v>
      </c>
      <c r="AV89" s="1414" t="str">
        <f t="shared" si="1"/>
        <v>3:53</v>
      </c>
      <c r="AW89" s="1648" t="s">
        <v>10635</v>
      </c>
    </row>
    <row r="90">
      <c r="A90" s="1550" t="s">
        <v>4792</v>
      </c>
      <c r="B90" s="1548" t="s">
        <v>8843</v>
      </c>
      <c r="C90" s="1496">
        <v>0.05331018518518518</v>
      </c>
      <c r="D90" s="1600" t="s">
        <v>10636</v>
      </c>
      <c r="E90" s="1600" t="s">
        <v>7400</v>
      </c>
      <c r="F90" s="1600" t="s">
        <v>10412</v>
      </c>
      <c r="G90" s="1600" t="s">
        <v>10637</v>
      </c>
      <c r="H90" s="945" t="s">
        <v>10638</v>
      </c>
      <c r="I90" s="1600" t="s">
        <v>10639</v>
      </c>
      <c r="J90" s="1600" t="s">
        <v>10187</v>
      </c>
      <c r="K90" s="1600" t="s">
        <v>8984</v>
      </c>
      <c r="L90" s="1600" t="s">
        <v>4468</v>
      </c>
      <c r="M90" s="1600" t="s">
        <v>10640</v>
      </c>
      <c r="N90" s="1600" t="s">
        <v>9979</v>
      </c>
      <c r="O90" s="1600" t="s">
        <v>10641</v>
      </c>
      <c r="P90" s="1600" t="s">
        <v>6307</v>
      </c>
      <c r="Q90" s="1600" t="s">
        <v>10642</v>
      </c>
      <c r="R90" s="1600" t="s">
        <v>2149</v>
      </c>
      <c r="S90" s="1600" t="s">
        <v>7260</v>
      </c>
      <c r="T90" s="1600" t="s">
        <v>6741</v>
      </c>
      <c r="U90" s="1600" t="s">
        <v>10643</v>
      </c>
      <c r="V90" s="1600" t="s">
        <v>10169</v>
      </c>
      <c r="W90" s="1600" t="s">
        <v>10644</v>
      </c>
      <c r="X90" s="1600" t="s">
        <v>7913</v>
      </c>
      <c r="Y90" s="1600" t="s">
        <v>5462</v>
      </c>
      <c r="Z90" s="1600" t="s">
        <v>9981</v>
      </c>
      <c r="AA90" s="1600" t="s">
        <v>10645</v>
      </c>
      <c r="AB90" s="1600" t="s">
        <v>3558</v>
      </c>
      <c r="AC90" s="1600" t="s">
        <v>10646</v>
      </c>
      <c r="AD90" s="1600" t="s">
        <v>10647</v>
      </c>
      <c r="AE90" s="1600" t="s">
        <v>5778</v>
      </c>
      <c r="AF90" s="1600" t="s">
        <v>10648</v>
      </c>
      <c r="AG90" s="1600" t="s">
        <v>9299</v>
      </c>
      <c r="AH90" s="1600" t="s">
        <v>10649</v>
      </c>
      <c r="AI90" s="1600" t="s">
        <v>10650</v>
      </c>
      <c r="AJ90" s="1600" t="s">
        <v>10651</v>
      </c>
      <c r="AK90" s="1600" t="s">
        <v>2228</v>
      </c>
      <c r="AL90" s="1600" t="s">
        <v>2197</v>
      </c>
      <c r="AM90" s="1600" t="s">
        <v>10652</v>
      </c>
      <c r="AN90" s="1600" t="s">
        <v>4674</v>
      </c>
      <c r="AO90" s="1600" t="s">
        <v>10653</v>
      </c>
      <c r="AP90" s="1600" t="s">
        <v>2743</v>
      </c>
      <c r="AQ90" s="1600" t="s">
        <v>10654</v>
      </c>
      <c r="AR90" s="1600" t="s">
        <v>1676</v>
      </c>
      <c r="AS90" s="1600" t="s">
        <v>975</v>
      </c>
      <c r="AT90" s="1600" t="s">
        <v>10655</v>
      </c>
      <c r="AU90" s="1600" t="s">
        <v>10656</v>
      </c>
      <c r="AV90" s="1414" t="str">
        <f t="shared" si="1"/>
        <v>4:18</v>
      </c>
      <c r="AW90" s="1652"/>
    </row>
    <row r="91" ht="15.75" customHeight="1">
      <c r="A91" s="1601" t="s">
        <v>10657</v>
      </c>
      <c r="B91" s="1638" t="s">
        <v>8843</v>
      </c>
      <c r="C91" s="1496">
        <v>0.05348379629629629</v>
      </c>
      <c r="D91" s="945" t="s">
        <v>10658</v>
      </c>
      <c r="E91" s="335" t="s">
        <v>10446</v>
      </c>
      <c r="F91" s="335" t="s">
        <v>6549</v>
      </c>
      <c r="G91" s="335" t="s">
        <v>10659</v>
      </c>
      <c r="H91" s="335" t="s">
        <v>10660</v>
      </c>
      <c r="I91" s="335" t="s">
        <v>2349</v>
      </c>
      <c r="J91" s="335" t="s">
        <v>9353</v>
      </c>
      <c r="K91" s="335" t="s">
        <v>8855</v>
      </c>
      <c r="L91" s="335" t="s">
        <v>4854</v>
      </c>
      <c r="M91" s="335" t="s">
        <v>10661</v>
      </c>
      <c r="N91" s="335" t="s">
        <v>10662</v>
      </c>
      <c r="O91" s="335" t="s">
        <v>4323</v>
      </c>
      <c r="P91" s="335" t="s">
        <v>928</v>
      </c>
      <c r="Q91" s="1600" t="s">
        <v>10663</v>
      </c>
      <c r="R91" s="335" t="s">
        <v>10232</v>
      </c>
      <c r="S91" s="335" t="s">
        <v>9579</v>
      </c>
      <c r="T91" s="335" t="s">
        <v>10419</v>
      </c>
      <c r="U91" s="335" t="s">
        <v>10664</v>
      </c>
      <c r="V91" s="335" t="s">
        <v>3218</v>
      </c>
      <c r="W91" s="335" t="s">
        <v>2807</v>
      </c>
      <c r="X91" s="335" t="s">
        <v>3137</v>
      </c>
      <c r="Y91" s="335" t="s">
        <v>1430</v>
      </c>
      <c r="Z91" s="335" t="s">
        <v>9253</v>
      </c>
      <c r="AA91" s="1600" t="s">
        <v>10665</v>
      </c>
      <c r="AB91" s="335" t="s">
        <v>9990</v>
      </c>
      <c r="AC91" s="335" t="s">
        <v>1155</v>
      </c>
      <c r="AD91" s="335" t="s">
        <v>10666</v>
      </c>
      <c r="AE91" s="335" t="s">
        <v>587</v>
      </c>
      <c r="AF91" s="1600" t="s">
        <v>10667</v>
      </c>
      <c r="AG91" s="335" t="s">
        <v>5844</v>
      </c>
      <c r="AH91" s="335" t="s">
        <v>9451</v>
      </c>
      <c r="AI91" s="335" t="s">
        <v>2628</v>
      </c>
      <c r="AJ91" s="335" t="s">
        <v>10668</v>
      </c>
      <c r="AK91" s="335" t="s">
        <v>9267</v>
      </c>
      <c r="AL91" s="335" t="s">
        <v>10669</v>
      </c>
      <c r="AM91" s="335" t="s">
        <v>9037</v>
      </c>
      <c r="AN91" s="335" t="s">
        <v>10254</v>
      </c>
      <c r="AO91" s="335" t="s">
        <v>8963</v>
      </c>
      <c r="AP91" s="335" t="s">
        <v>10670</v>
      </c>
      <c r="AQ91" s="335" t="s">
        <v>4458</v>
      </c>
      <c r="AR91" s="335" t="s">
        <v>1384</v>
      </c>
      <c r="AS91" s="335" t="s">
        <v>9046</v>
      </c>
      <c r="AT91" s="335" t="s">
        <v>4704</v>
      </c>
      <c r="AU91" s="335" t="s">
        <v>10671</v>
      </c>
      <c r="AV91" s="1414" t="str">
        <f t="shared" si="1"/>
        <v>3:27</v>
      </c>
      <c r="AW91" s="1648" t="s">
        <v>10672</v>
      </c>
    </row>
    <row r="92">
      <c r="A92" s="1550" t="s">
        <v>5402</v>
      </c>
      <c r="B92" s="1538" t="s">
        <v>8789</v>
      </c>
      <c r="C92" s="1496">
        <v>0.05376157407407407</v>
      </c>
      <c r="D92" s="1600" t="s">
        <v>10673</v>
      </c>
      <c r="E92" s="1600" t="s">
        <v>5699</v>
      </c>
      <c r="F92" s="1600" t="s">
        <v>10674</v>
      </c>
      <c r="G92" s="1600" t="s">
        <v>10675</v>
      </c>
      <c r="H92" s="1664" t="s">
        <v>10676</v>
      </c>
      <c r="I92" s="945" t="s">
        <v>241</v>
      </c>
      <c r="J92" s="1600" t="s">
        <v>9866</v>
      </c>
      <c r="K92" s="1600" t="s">
        <v>10677</v>
      </c>
      <c r="L92" s="1600" t="s">
        <v>2514</v>
      </c>
      <c r="M92" s="1600" t="s">
        <v>1261</v>
      </c>
      <c r="N92" s="1600" t="s">
        <v>10678</v>
      </c>
      <c r="O92" s="1600" t="s">
        <v>10679</v>
      </c>
      <c r="P92" s="1600" t="s">
        <v>863</v>
      </c>
      <c r="Q92" s="1600" t="s">
        <v>4398</v>
      </c>
      <c r="R92" s="1600" t="s">
        <v>10680</v>
      </c>
      <c r="S92" s="1665" t="s">
        <v>10681</v>
      </c>
      <c r="T92" s="1665" t="s">
        <v>9417</v>
      </c>
      <c r="U92" s="1600" t="s">
        <v>10682</v>
      </c>
      <c r="V92" s="1600" t="s">
        <v>10683</v>
      </c>
      <c r="W92" s="1600" t="s">
        <v>7073</v>
      </c>
      <c r="X92" s="1600" t="s">
        <v>10684</v>
      </c>
      <c r="Y92" s="1600" t="s">
        <v>2124</v>
      </c>
      <c r="Z92" s="1600" t="s">
        <v>9990</v>
      </c>
      <c r="AA92" s="1600" t="s">
        <v>10685</v>
      </c>
      <c r="AB92" s="1600" t="s">
        <v>10686</v>
      </c>
      <c r="AC92" s="1600" t="s">
        <v>7178</v>
      </c>
      <c r="AD92" s="1600" t="s">
        <v>6065</v>
      </c>
      <c r="AE92" s="1600" t="s">
        <v>2444</v>
      </c>
      <c r="AF92" s="1600" t="s">
        <v>10687</v>
      </c>
      <c r="AG92" s="1600" t="s">
        <v>10688</v>
      </c>
      <c r="AH92" s="1600" t="s">
        <v>5007</v>
      </c>
      <c r="AI92" s="1600" t="s">
        <v>7031</v>
      </c>
      <c r="AJ92" s="1600" t="s">
        <v>10689</v>
      </c>
      <c r="AK92" s="1600" t="s">
        <v>4846</v>
      </c>
      <c r="AL92" s="1600" t="s">
        <v>10690</v>
      </c>
      <c r="AM92" s="1600" t="s">
        <v>4857</v>
      </c>
      <c r="AN92" s="1600" t="s">
        <v>10691</v>
      </c>
      <c r="AO92" s="1600" t="s">
        <v>8894</v>
      </c>
      <c r="AP92" s="1600" t="s">
        <v>10692</v>
      </c>
      <c r="AQ92" s="1600" t="s">
        <v>10693</v>
      </c>
      <c r="AR92" s="1600" t="s">
        <v>5187</v>
      </c>
      <c r="AS92" s="1600" t="s">
        <v>9017</v>
      </c>
      <c r="AT92" s="1600" t="s">
        <v>10694</v>
      </c>
      <c r="AU92" s="1600" t="s">
        <v>10695</v>
      </c>
      <c r="AV92" s="1414" t="str">
        <f t="shared" si="1"/>
        <v>4:58</v>
      </c>
      <c r="AW92" s="1666"/>
    </row>
    <row r="93" ht="15.75" customHeight="1">
      <c r="A93" s="1601" t="s">
        <v>6586</v>
      </c>
      <c r="B93" s="1638" t="s">
        <v>8843</v>
      </c>
      <c r="C93" s="1618">
        <v>0.05386574074074074</v>
      </c>
      <c r="D93" s="335" t="s">
        <v>10696</v>
      </c>
      <c r="E93" s="335" t="s">
        <v>6799</v>
      </c>
      <c r="F93" s="335" t="s">
        <v>10697</v>
      </c>
      <c r="G93" s="335" t="s">
        <v>4286</v>
      </c>
      <c r="H93" s="335" t="s">
        <v>10698</v>
      </c>
      <c r="I93" s="335" t="s">
        <v>10639</v>
      </c>
      <c r="J93" s="335" t="s">
        <v>10699</v>
      </c>
      <c r="K93" s="335" t="s">
        <v>10700</v>
      </c>
      <c r="L93" s="335" t="s">
        <v>1437</v>
      </c>
      <c r="M93" s="335" t="s">
        <v>4554</v>
      </c>
      <c r="N93" s="335" t="s">
        <v>6935</v>
      </c>
      <c r="O93" s="335" t="s">
        <v>10701</v>
      </c>
      <c r="P93" s="335" t="s">
        <v>6307</v>
      </c>
      <c r="Q93" s="335" t="s">
        <v>10702</v>
      </c>
      <c r="R93" s="335" t="s">
        <v>10703</v>
      </c>
      <c r="S93" s="335" t="s">
        <v>10704</v>
      </c>
      <c r="T93" s="335" t="s">
        <v>9970</v>
      </c>
      <c r="U93" s="335" t="s">
        <v>10705</v>
      </c>
      <c r="V93" s="335" t="s">
        <v>10706</v>
      </c>
      <c r="W93" s="335" t="s">
        <v>10707</v>
      </c>
      <c r="X93" s="335" t="s">
        <v>1333</v>
      </c>
      <c r="Y93" s="335" t="s">
        <v>1884</v>
      </c>
      <c r="Z93" s="335" t="s">
        <v>8827</v>
      </c>
      <c r="AA93" s="945" t="s">
        <v>10708</v>
      </c>
      <c r="AB93" s="335" t="s">
        <v>10709</v>
      </c>
      <c r="AC93" s="335" t="s">
        <v>7996</v>
      </c>
      <c r="AD93" s="335" t="s">
        <v>10710</v>
      </c>
      <c r="AE93" s="335" t="s">
        <v>10711</v>
      </c>
      <c r="AF93" s="335" t="s">
        <v>10299</v>
      </c>
      <c r="AG93" s="335" t="s">
        <v>10712</v>
      </c>
      <c r="AH93" s="335" t="s">
        <v>10713</v>
      </c>
      <c r="AI93" s="335" t="s">
        <v>3646</v>
      </c>
      <c r="AJ93" s="335" t="s">
        <v>10714</v>
      </c>
      <c r="AK93" s="335" t="s">
        <v>10715</v>
      </c>
      <c r="AL93" s="335" t="s">
        <v>10716</v>
      </c>
      <c r="AM93" s="335" t="s">
        <v>9959</v>
      </c>
      <c r="AN93" s="335" t="s">
        <v>9490</v>
      </c>
      <c r="AO93" s="1600" t="s">
        <v>9660</v>
      </c>
      <c r="AP93" s="335" t="s">
        <v>10717</v>
      </c>
      <c r="AQ93" s="335" t="s">
        <v>10718</v>
      </c>
      <c r="AR93" s="335" t="s">
        <v>10719</v>
      </c>
      <c r="AS93" s="335" t="s">
        <v>9259</v>
      </c>
      <c r="AT93" s="335" t="s">
        <v>10720</v>
      </c>
      <c r="AU93" s="335" t="s">
        <v>10656</v>
      </c>
      <c r="AV93" s="1414" t="str">
        <f t="shared" si="1"/>
        <v>3:30</v>
      </c>
      <c r="AW93" s="1652"/>
    </row>
    <row r="94">
      <c r="A94" s="1550" t="s">
        <v>5301</v>
      </c>
      <c r="B94" s="1538" t="s">
        <v>8843</v>
      </c>
      <c r="C94" s="1496">
        <v>0.05482638888888889</v>
      </c>
      <c r="D94" s="1625" t="s">
        <v>10721</v>
      </c>
      <c r="E94" s="1600" t="s">
        <v>9572</v>
      </c>
      <c r="F94" s="1600" t="s">
        <v>10722</v>
      </c>
      <c r="G94" s="1600" t="s">
        <v>10723</v>
      </c>
      <c r="H94" s="1600" t="s">
        <v>10724</v>
      </c>
      <c r="I94" s="1600" t="s">
        <v>10725</v>
      </c>
      <c r="J94" s="1600" t="s">
        <v>10726</v>
      </c>
      <c r="K94" s="1600" t="s">
        <v>9994</v>
      </c>
      <c r="L94" s="1600" t="s">
        <v>10727</v>
      </c>
      <c r="M94" s="1600" t="s">
        <v>1674</v>
      </c>
      <c r="N94" s="1600" t="s">
        <v>6486</v>
      </c>
      <c r="O94" s="1600" t="s">
        <v>10728</v>
      </c>
      <c r="P94" s="1600" t="s">
        <v>6584</v>
      </c>
      <c r="Q94" s="1600" t="s">
        <v>10729</v>
      </c>
      <c r="R94" s="1600" t="s">
        <v>8916</v>
      </c>
      <c r="S94" s="1600" t="s">
        <v>10730</v>
      </c>
      <c r="T94" s="1600" t="s">
        <v>10645</v>
      </c>
      <c r="U94" s="1600" t="s">
        <v>10731</v>
      </c>
      <c r="V94" s="1600" t="s">
        <v>842</v>
      </c>
      <c r="W94" s="1600" t="s">
        <v>6507</v>
      </c>
      <c r="X94" s="1600" t="s">
        <v>10732</v>
      </c>
      <c r="Y94" s="1600" t="s">
        <v>1768</v>
      </c>
      <c r="Z94" s="1600" t="s">
        <v>10010</v>
      </c>
      <c r="AA94" s="1600" t="s">
        <v>2388</v>
      </c>
      <c r="AB94" s="1600" t="s">
        <v>6912</v>
      </c>
      <c r="AC94" s="1600" t="s">
        <v>10733</v>
      </c>
      <c r="AD94" s="1600" t="s">
        <v>10734</v>
      </c>
      <c r="AE94" s="1600" t="s">
        <v>1543</v>
      </c>
      <c r="AF94" s="1600" t="s">
        <v>10735</v>
      </c>
      <c r="AG94" s="1600" t="s">
        <v>10736</v>
      </c>
      <c r="AH94" s="1600" t="s">
        <v>10737</v>
      </c>
      <c r="AI94" s="1600" t="s">
        <v>5822</v>
      </c>
      <c r="AJ94" s="1600" t="s">
        <v>10738</v>
      </c>
      <c r="AK94" s="1600" t="s">
        <v>248</v>
      </c>
      <c r="AL94" s="1600" t="s">
        <v>8080</v>
      </c>
      <c r="AM94" s="1600" t="s">
        <v>4290</v>
      </c>
      <c r="AN94" s="1600" t="s">
        <v>10739</v>
      </c>
      <c r="AO94" s="1600" t="s">
        <v>1795</v>
      </c>
      <c r="AP94" s="1600" t="s">
        <v>885</v>
      </c>
      <c r="AQ94" s="1600" t="s">
        <v>10740</v>
      </c>
      <c r="AR94" s="1600" t="s">
        <v>10741</v>
      </c>
      <c r="AS94" s="1600" t="s">
        <v>2223</v>
      </c>
      <c r="AT94" s="1600" t="s">
        <v>10742</v>
      </c>
      <c r="AU94" s="1600" t="s">
        <v>10743</v>
      </c>
      <c r="AV94" s="1414" t="str">
        <f t="shared" si="1"/>
        <v>3:40</v>
      </c>
      <c r="AW94" s="1648" t="s">
        <v>10744</v>
      </c>
    </row>
    <row r="95">
      <c r="A95" s="1550" t="s">
        <v>5238</v>
      </c>
      <c r="B95" s="1538" t="s">
        <v>8789</v>
      </c>
      <c r="C95" s="1496">
        <v>0.05482638888888889</v>
      </c>
      <c r="D95" s="1527" t="s">
        <v>10745</v>
      </c>
      <c r="E95" s="1527" t="s">
        <v>9427</v>
      </c>
      <c r="F95" s="1527" t="s">
        <v>10746</v>
      </c>
      <c r="G95" s="1527" t="s">
        <v>10747</v>
      </c>
      <c r="H95" s="1527" t="s">
        <v>10748</v>
      </c>
      <c r="I95" s="1527">
        <v>50.26</v>
      </c>
      <c r="J95" s="1527" t="s">
        <v>10726</v>
      </c>
      <c r="K95" s="1527" t="s">
        <v>10749</v>
      </c>
      <c r="L95" s="1527" t="s">
        <v>10750</v>
      </c>
      <c r="M95" s="1527" t="s">
        <v>2252</v>
      </c>
      <c r="N95" s="1527" t="s">
        <v>10751</v>
      </c>
      <c r="O95" s="1527" t="s">
        <v>10752</v>
      </c>
      <c r="P95" s="1527">
        <v>49.15</v>
      </c>
      <c r="Q95" s="1527" t="s">
        <v>10753</v>
      </c>
      <c r="R95" s="1527" t="s">
        <v>3393</v>
      </c>
      <c r="S95" s="1527" t="s">
        <v>10754</v>
      </c>
      <c r="T95" s="1527" t="s">
        <v>5068</v>
      </c>
      <c r="U95" s="1527" t="s">
        <v>3252</v>
      </c>
      <c r="V95" s="1527" t="s">
        <v>10755</v>
      </c>
      <c r="W95" s="1527" t="s">
        <v>10756</v>
      </c>
      <c r="X95" s="1527" t="s">
        <v>10757</v>
      </c>
      <c r="Y95" s="1527">
        <v>51.87</v>
      </c>
      <c r="Z95" s="1527" t="s">
        <v>6306</v>
      </c>
      <c r="AA95" s="1527" t="s">
        <v>6561</v>
      </c>
      <c r="AB95" s="1527" t="s">
        <v>6537</v>
      </c>
      <c r="AC95" s="1527">
        <v>49.75</v>
      </c>
      <c r="AD95" s="1527" t="s">
        <v>10758</v>
      </c>
      <c r="AE95" s="1527">
        <v>50.16</v>
      </c>
      <c r="AF95" s="1527" t="s">
        <v>10759</v>
      </c>
      <c r="AG95" s="1527" t="s">
        <v>10760</v>
      </c>
      <c r="AH95" s="1527" t="s">
        <v>6396</v>
      </c>
      <c r="AI95" s="1527" t="s">
        <v>6783</v>
      </c>
      <c r="AJ95" s="1527" t="s">
        <v>10761</v>
      </c>
      <c r="AK95" s="1527" t="s">
        <v>10678</v>
      </c>
      <c r="AL95" s="1527">
        <v>59.29</v>
      </c>
      <c r="AM95" s="1527" t="s">
        <v>4458</v>
      </c>
      <c r="AN95" s="1527" t="s">
        <v>625</v>
      </c>
      <c r="AO95" s="1527" t="s">
        <v>10762</v>
      </c>
      <c r="AP95" s="1527" t="s">
        <v>10763</v>
      </c>
      <c r="AQ95" s="1527" t="s">
        <v>10764</v>
      </c>
      <c r="AR95" s="1527" t="s">
        <v>6847</v>
      </c>
      <c r="AS95" s="1527">
        <v>47.7</v>
      </c>
      <c r="AT95" s="1527" t="s">
        <v>10765</v>
      </c>
      <c r="AU95" s="1531" t="s">
        <v>10766</v>
      </c>
      <c r="AV95" s="1414" t="str">
        <f t="shared" si="1"/>
        <v>5:51</v>
      </c>
      <c r="AW95" s="1633" t="s">
        <v>10767</v>
      </c>
    </row>
    <row r="96">
      <c r="A96" s="1550" t="s">
        <v>5491</v>
      </c>
      <c r="B96" s="1548" t="s">
        <v>8789</v>
      </c>
      <c r="C96" s="1496">
        <v>0.05559027777777778</v>
      </c>
      <c r="D96" s="1625" t="s">
        <v>10768</v>
      </c>
      <c r="E96" s="1600" t="s">
        <v>10769</v>
      </c>
      <c r="F96" s="1600" t="s">
        <v>10770</v>
      </c>
      <c r="G96" s="1600" t="s">
        <v>10771</v>
      </c>
      <c r="H96" s="1600" t="s">
        <v>5919</v>
      </c>
      <c r="I96" s="1600" t="s">
        <v>1847</v>
      </c>
      <c r="J96" s="1600" t="s">
        <v>10772</v>
      </c>
      <c r="K96" s="1600" t="s">
        <v>6310</v>
      </c>
      <c r="L96" s="1600" t="s">
        <v>8614</v>
      </c>
      <c r="M96" s="1600" t="s">
        <v>6803</v>
      </c>
      <c r="N96" s="1600" t="s">
        <v>10773</v>
      </c>
      <c r="O96" s="1600" t="s">
        <v>10774</v>
      </c>
      <c r="P96" s="1600" t="s">
        <v>191</v>
      </c>
      <c r="Q96" s="1600" t="s">
        <v>1759</v>
      </c>
      <c r="R96" s="1600" t="s">
        <v>10775</v>
      </c>
      <c r="S96" s="1600" t="s">
        <v>5219</v>
      </c>
      <c r="T96" s="1600" t="s">
        <v>10776</v>
      </c>
      <c r="U96" s="1600" t="s">
        <v>10777</v>
      </c>
      <c r="V96" s="1600" t="s">
        <v>6582</v>
      </c>
      <c r="W96" s="1600" t="s">
        <v>9557</v>
      </c>
      <c r="X96" s="1600" t="s">
        <v>5009</v>
      </c>
      <c r="Y96" s="1600" t="s">
        <v>101</v>
      </c>
      <c r="Z96" s="1600" t="s">
        <v>10778</v>
      </c>
      <c r="AA96" s="1600" t="s">
        <v>10542</v>
      </c>
      <c r="AB96" s="1600" t="s">
        <v>3497</v>
      </c>
      <c r="AC96" s="1600" t="s">
        <v>4716</v>
      </c>
      <c r="AD96" s="1600" t="s">
        <v>6133</v>
      </c>
      <c r="AE96" s="1600" t="s">
        <v>860</v>
      </c>
      <c r="AF96" s="1600" t="s">
        <v>10779</v>
      </c>
      <c r="AG96" s="1600" t="s">
        <v>10780</v>
      </c>
      <c r="AH96" s="1600" t="s">
        <v>4085</v>
      </c>
      <c r="AI96" s="1600" t="s">
        <v>10781</v>
      </c>
      <c r="AJ96" s="1600" t="s">
        <v>10782</v>
      </c>
      <c r="AK96" s="1600" t="s">
        <v>4548</v>
      </c>
      <c r="AL96" s="1600" t="s">
        <v>128</v>
      </c>
      <c r="AM96" s="1600" t="s">
        <v>10783</v>
      </c>
      <c r="AN96" s="1600" t="s">
        <v>10784</v>
      </c>
      <c r="AO96" s="1600" t="s">
        <v>1037</v>
      </c>
      <c r="AP96" s="1600" t="s">
        <v>10785</v>
      </c>
      <c r="AQ96" s="1600" t="s">
        <v>10786</v>
      </c>
      <c r="AR96" s="1600" t="s">
        <v>10787</v>
      </c>
      <c r="AS96" s="1600" t="s">
        <v>830</v>
      </c>
      <c r="AT96" s="1600" t="s">
        <v>10788</v>
      </c>
      <c r="AU96" s="1600" t="s">
        <v>10789</v>
      </c>
      <c r="AV96" s="1414" t="str">
        <f t="shared" si="1"/>
        <v>5:05</v>
      </c>
      <c r="AW96" s="1648" t="s">
        <v>10790</v>
      </c>
    </row>
    <row r="97">
      <c r="A97" s="1550" t="s">
        <v>4946</v>
      </c>
      <c r="B97" s="1548" t="s">
        <v>8817</v>
      </c>
      <c r="C97" s="1581">
        <v>0.05565972222222222</v>
      </c>
      <c r="D97" s="1600" t="s">
        <v>10791</v>
      </c>
      <c r="E97" s="1600" t="s">
        <v>3200</v>
      </c>
      <c r="F97" s="1600" t="s">
        <v>10792</v>
      </c>
      <c r="G97" s="1600" t="s">
        <v>10793</v>
      </c>
      <c r="H97" s="945" t="s">
        <v>9321</v>
      </c>
      <c r="I97" s="1600" t="s">
        <v>3494</v>
      </c>
      <c r="J97" s="1600" t="s">
        <v>9564</v>
      </c>
      <c r="K97" s="1600" t="s">
        <v>805</v>
      </c>
      <c r="L97" s="1600" t="s">
        <v>10794</v>
      </c>
      <c r="M97" s="1600" t="s">
        <v>10795</v>
      </c>
      <c r="N97" s="1600" t="s">
        <v>6416</v>
      </c>
      <c r="O97" s="1600" t="s">
        <v>10796</v>
      </c>
      <c r="P97" s="1600" t="s">
        <v>10237</v>
      </c>
      <c r="Q97" s="1600" t="s">
        <v>10797</v>
      </c>
      <c r="R97" s="1600" t="s">
        <v>10012</v>
      </c>
      <c r="S97" s="1600" t="s">
        <v>420</v>
      </c>
      <c r="T97" s="1600" t="s">
        <v>10798</v>
      </c>
      <c r="U97" s="1600" t="s">
        <v>10799</v>
      </c>
      <c r="V97" s="1600" t="s">
        <v>10800</v>
      </c>
      <c r="W97" s="1600" t="s">
        <v>10801</v>
      </c>
      <c r="X97" s="1600" t="s">
        <v>10802</v>
      </c>
      <c r="Y97" s="1600" t="s">
        <v>2444</v>
      </c>
      <c r="Z97" s="1600" t="s">
        <v>5368</v>
      </c>
      <c r="AA97" s="1600" t="s">
        <v>10174</v>
      </c>
      <c r="AB97" s="1600" t="s">
        <v>10489</v>
      </c>
      <c r="AC97" s="1600" t="s">
        <v>10017</v>
      </c>
      <c r="AD97" s="1600" t="s">
        <v>10803</v>
      </c>
      <c r="AE97" s="1600" t="s">
        <v>5583</v>
      </c>
      <c r="AF97" s="1600" t="s">
        <v>10804</v>
      </c>
      <c r="AG97" s="1600" t="s">
        <v>10805</v>
      </c>
      <c r="AH97" s="1600" t="s">
        <v>10806</v>
      </c>
      <c r="AI97" s="1600" t="s">
        <v>10807</v>
      </c>
      <c r="AJ97" s="1600" t="s">
        <v>10808</v>
      </c>
      <c r="AK97" s="1600" t="s">
        <v>6741</v>
      </c>
      <c r="AL97" s="1600" t="s">
        <v>3753</v>
      </c>
      <c r="AM97" s="1600" t="s">
        <v>4857</v>
      </c>
      <c r="AN97" s="1600" t="s">
        <v>10809</v>
      </c>
      <c r="AO97" s="1600" t="s">
        <v>2056</v>
      </c>
      <c r="AP97" s="1600" t="s">
        <v>10810</v>
      </c>
      <c r="AQ97" s="1600" t="s">
        <v>10811</v>
      </c>
      <c r="AR97" s="1600" t="s">
        <v>10812</v>
      </c>
      <c r="AS97" s="1600" t="s">
        <v>2171</v>
      </c>
      <c r="AT97" s="1600" t="s">
        <v>10813</v>
      </c>
      <c r="AU97" s="1600" t="s">
        <v>10814</v>
      </c>
      <c r="AV97" s="1414" t="str">
        <f t="shared" si="1"/>
        <v>8:24</v>
      </c>
      <c r="AW97" s="1648" t="s">
        <v>9878</v>
      </c>
    </row>
    <row r="98">
      <c r="A98" s="927" t="s">
        <v>5788</v>
      </c>
      <c r="B98" s="1667" t="s">
        <v>10815</v>
      </c>
      <c r="C98" s="1668">
        <v>0.05614583333333333</v>
      </c>
      <c r="D98" s="945" t="s">
        <v>10816</v>
      </c>
      <c r="E98" s="1020" t="s">
        <v>10044</v>
      </c>
      <c r="F98" s="1020" t="s">
        <v>10817</v>
      </c>
      <c r="G98" s="1020" t="s">
        <v>10818</v>
      </c>
      <c r="H98" s="1669" t="s">
        <v>1366</v>
      </c>
      <c r="I98" s="1020" t="s">
        <v>9519</v>
      </c>
      <c r="J98" s="1020" t="s">
        <v>10819</v>
      </c>
      <c r="K98" s="1020" t="s">
        <v>10820</v>
      </c>
      <c r="L98" s="1020" t="s">
        <v>4760</v>
      </c>
      <c r="M98" s="1020" t="s">
        <v>7161</v>
      </c>
      <c r="N98" s="1020" t="s">
        <v>10070</v>
      </c>
      <c r="O98" s="1020" t="s">
        <v>10821</v>
      </c>
      <c r="P98" s="1020" t="s">
        <v>8942</v>
      </c>
      <c r="Q98" s="1020" t="s">
        <v>10822</v>
      </c>
      <c r="R98" s="1020" t="s">
        <v>4007</v>
      </c>
      <c r="S98" s="1020" t="s">
        <v>5373</v>
      </c>
      <c r="T98" s="1020" t="s">
        <v>1742</v>
      </c>
      <c r="U98" s="1020" t="s">
        <v>9084</v>
      </c>
      <c r="V98" s="1020" t="s">
        <v>2794</v>
      </c>
      <c r="W98" s="1020" t="s">
        <v>10823</v>
      </c>
      <c r="X98" s="1020" t="s">
        <v>10824</v>
      </c>
      <c r="Y98" s="1020" t="s">
        <v>10825</v>
      </c>
      <c r="Z98" s="1020" t="s">
        <v>10826</v>
      </c>
      <c r="AA98" s="1079" t="s">
        <v>2130</v>
      </c>
      <c r="AB98" s="1020" t="s">
        <v>10545</v>
      </c>
      <c r="AC98" s="1020" t="s">
        <v>785</v>
      </c>
      <c r="AD98" s="1020" t="s">
        <v>9026</v>
      </c>
      <c r="AE98" s="1020" t="s">
        <v>538</v>
      </c>
      <c r="AF98" s="1020" t="s">
        <v>10827</v>
      </c>
      <c r="AG98" s="1020" t="s">
        <v>10828</v>
      </c>
      <c r="AH98" s="1020" t="s">
        <v>9575</v>
      </c>
      <c r="AI98" s="1020" t="s">
        <v>10829</v>
      </c>
      <c r="AJ98" s="1020" t="s">
        <v>10830</v>
      </c>
      <c r="AK98" s="1020" t="s">
        <v>10831</v>
      </c>
      <c r="AL98" s="1020" t="s">
        <v>10335</v>
      </c>
      <c r="AM98" s="1020" t="s">
        <v>9611</v>
      </c>
      <c r="AN98" s="1020" t="s">
        <v>10832</v>
      </c>
      <c r="AO98" s="1020" t="s">
        <v>10833</v>
      </c>
      <c r="AP98" s="1020" t="s">
        <v>10834</v>
      </c>
      <c r="AQ98" s="1020" t="s">
        <v>2746</v>
      </c>
      <c r="AR98" s="1020" t="s">
        <v>10277</v>
      </c>
      <c r="AS98" s="1020" t="s">
        <v>10835</v>
      </c>
      <c r="AT98" s="1020" t="s">
        <v>10836</v>
      </c>
      <c r="AU98" s="1020" t="s">
        <v>10837</v>
      </c>
      <c r="AV98" s="996" t="str">
        <f t="shared" si="1"/>
        <v>8:47</v>
      </c>
      <c r="AW98" s="1549" t="s">
        <v>10838</v>
      </c>
    </row>
    <row r="99">
      <c r="A99" s="1601" t="s">
        <v>10839</v>
      </c>
      <c r="B99" s="1584" t="s">
        <v>8817</v>
      </c>
      <c r="C99" s="1618">
        <v>0.057881944444444444</v>
      </c>
      <c r="D99" s="1600" t="s">
        <v>10840</v>
      </c>
      <c r="E99" s="335" t="s">
        <v>10841</v>
      </c>
      <c r="F99" s="1600" t="s">
        <v>10842</v>
      </c>
      <c r="G99" s="1600" t="s">
        <v>10843</v>
      </c>
      <c r="H99" s="335" t="s">
        <v>10844</v>
      </c>
      <c r="I99" s="335" t="s">
        <v>1026</v>
      </c>
      <c r="J99" s="335" t="s">
        <v>10845</v>
      </c>
      <c r="K99" s="335" t="s">
        <v>3707</v>
      </c>
      <c r="L99" s="335" t="s">
        <v>10846</v>
      </c>
      <c r="M99" s="335" t="s">
        <v>7742</v>
      </c>
      <c r="N99" s="335" t="s">
        <v>10847</v>
      </c>
      <c r="O99" s="335" t="s">
        <v>10848</v>
      </c>
      <c r="P99" s="335" t="s">
        <v>3807</v>
      </c>
      <c r="Q99" s="335" t="s">
        <v>10849</v>
      </c>
      <c r="R99" s="335" t="s">
        <v>10850</v>
      </c>
      <c r="S99" s="335" t="s">
        <v>10851</v>
      </c>
      <c r="T99" s="335" t="s">
        <v>1767</v>
      </c>
      <c r="U99" s="335" t="s">
        <v>10852</v>
      </c>
      <c r="V99" s="335" t="s">
        <v>10853</v>
      </c>
      <c r="W99" s="335" t="s">
        <v>10854</v>
      </c>
      <c r="X99" s="335" t="s">
        <v>10855</v>
      </c>
      <c r="Y99" s="335" t="s">
        <v>2969</v>
      </c>
      <c r="Z99" s="335" t="s">
        <v>10856</v>
      </c>
      <c r="AA99" s="1600" t="s">
        <v>10857</v>
      </c>
      <c r="AB99" s="335" t="s">
        <v>9353</v>
      </c>
      <c r="AC99" s="335" t="s">
        <v>3461</v>
      </c>
      <c r="AD99" s="335" t="s">
        <v>5330</v>
      </c>
      <c r="AE99" s="335" t="s">
        <v>2605</v>
      </c>
      <c r="AF99" s="335" t="s">
        <v>10858</v>
      </c>
      <c r="AG99" s="335" t="s">
        <v>5847</v>
      </c>
      <c r="AH99" s="335" t="s">
        <v>10859</v>
      </c>
      <c r="AI99" s="335" t="s">
        <v>4893</v>
      </c>
      <c r="AJ99" s="335" t="s">
        <v>10860</v>
      </c>
      <c r="AK99" s="335" t="s">
        <v>10861</v>
      </c>
      <c r="AL99" s="335" t="s">
        <v>4022</v>
      </c>
      <c r="AM99" s="335" t="s">
        <v>4901</v>
      </c>
      <c r="AN99" s="335" t="s">
        <v>10862</v>
      </c>
      <c r="AO99" s="335" t="s">
        <v>10238</v>
      </c>
      <c r="AP99" s="335" t="s">
        <v>10863</v>
      </c>
      <c r="AQ99" s="335" t="s">
        <v>6758</v>
      </c>
      <c r="AR99" s="335" t="s">
        <v>10864</v>
      </c>
      <c r="AS99" s="335" t="s">
        <v>620</v>
      </c>
      <c r="AT99" s="335" t="s">
        <v>10865</v>
      </c>
      <c r="AU99" s="335" t="s">
        <v>10866</v>
      </c>
      <c r="AV99" s="1414" t="str">
        <f t="shared" si="1"/>
        <v>2:11</v>
      </c>
      <c r="AW99" s="1652" t="s">
        <v>10867</v>
      </c>
    </row>
    <row r="100">
      <c r="A100" s="1611" t="s">
        <v>6508</v>
      </c>
      <c r="B100" s="1670" t="s">
        <v>10815</v>
      </c>
      <c r="C100" s="1671">
        <v>0.0609375</v>
      </c>
      <c r="D100" s="1672" t="s">
        <v>10868</v>
      </c>
      <c r="E100" s="1673" t="s">
        <v>3578</v>
      </c>
      <c r="F100" s="1673" t="s">
        <v>10869</v>
      </c>
      <c r="G100" s="1673" t="s">
        <v>10870</v>
      </c>
      <c r="H100" s="1672" t="s">
        <v>10871</v>
      </c>
      <c r="I100" s="1674" t="s">
        <v>9070</v>
      </c>
      <c r="J100" s="1675" t="s">
        <v>10872</v>
      </c>
      <c r="K100" s="1675" t="s">
        <v>1763</v>
      </c>
      <c r="L100" s="1675" t="s">
        <v>6901</v>
      </c>
      <c r="M100" s="1675" t="s">
        <v>10873</v>
      </c>
      <c r="N100" s="1675" t="s">
        <v>6891</v>
      </c>
      <c r="O100" s="1675" t="s">
        <v>10874</v>
      </c>
      <c r="P100" s="1675" t="s">
        <v>5435</v>
      </c>
      <c r="Q100" s="1676" t="s">
        <v>10875</v>
      </c>
      <c r="R100" s="1676" t="s">
        <v>10876</v>
      </c>
      <c r="S100" s="1676" t="s">
        <v>10877</v>
      </c>
      <c r="T100" s="1676" t="s">
        <v>10878</v>
      </c>
      <c r="U100" s="1676" t="s">
        <v>10879</v>
      </c>
      <c r="V100" s="1676" t="s">
        <v>10880</v>
      </c>
      <c r="W100" s="1677" t="s">
        <v>10881</v>
      </c>
      <c r="X100" s="1677" t="s">
        <v>10857</v>
      </c>
      <c r="Y100" s="1677" t="s">
        <v>10583</v>
      </c>
      <c r="Z100" s="1677" t="s">
        <v>6922</v>
      </c>
      <c r="AA100" s="1678" t="s">
        <v>10787</v>
      </c>
      <c r="AB100" s="1677" t="s">
        <v>10882</v>
      </c>
      <c r="AC100" s="1677" t="s">
        <v>9148</v>
      </c>
      <c r="AD100" s="1673" t="s">
        <v>10883</v>
      </c>
      <c r="AE100" s="1673" t="s">
        <v>1375</v>
      </c>
      <c r="AF100" s="1679" t="s">
        <v>10884</v>
      </c>
      <c r="AG100" s="1679" t="s">
        <v>10885</v>
      </c>
      <c r="AH100" s="1679" t="s">
        <v>10886</v>
      </c>
      <c r="AI100" s="1679" t="s">
        <v>6779</v>
      </c>
      <c r="AJ100" s="1679" t="s">
        <v>10887</v>
      </c>
      <c r="AK100" s="1679" t="s">
        <v>10317</v>
      </c>
      <c r="AL100" s="1679" t="s">
        <v>1821</v>
      </c>
      <c r="AM100" s="1680" t="s">
        <v>8625</v>
      </c>
      <c r="AN100" s="1680" t="s">
        <v>10888</v>
      </c>
      <c r="AO100" s="1680" t="s">
        <v>4479</v>
      </c>
      <c r="AP100" s="1680" t="s">
        <v>10889</v>
      </c>
      <c r="AQ100" s="1680" t="s">
        <v>6413</v>
      </c>
      <c r="AR100" s="1680" t="s">
        <v>10890</v>
      </c>
      <c r="AS100" s="1680" t="s">
        <v>9575</v>
      </c>
      <c r="AT100" s="1675" t="s">
        <v>10891</v>
      </c>
      <c r="AU100" s="1681" t="s">
        <v>10892</v>
      </c>
      <c r="AV100" s="1414" t="str">
        <f t="shared" si="1"/>
        <v>7:58</v>
      </c>
      <c r="AW100" s="1541" t="s">
        <v>10893</v>
      </c>
    </row>
    <row r="101" ht="15.75" customHeight="1">
      <c r="A101" s="1550" t="s">
        <v>6381</v>
      </c>
      <c r="B101" s="1584" t="s">
        <v>8817</v>
      </c>
      <c r="C101" s="1496">
        <v>0.06635416666666667</v>
      </c>
      <c r="D101" s="945" t="s">
        <v>10894</v>
      </c>
      <c r="E101" s="945" t="s">
        <v>8685</v>
      </c>
      <c r="F101" s="945" t="s">
        <v>10895</v>
      </c>
      <c r="G101" s="945" t="s">
        <v>10896</v>
      </c>
      <c r="H101" s="945" t="s">
        <v>10897</v>
      </c>
      <c r="I101" s="945" t="s">
        <v>3470</v>
      </c>
      <c r="J101" s="945" t="s">
        <v>10898</v>
      </c>
      <c r="K101" s="945" t="s">
        <v>3991</v>
      </c>
      <c r="L101" s="945" t="s">
        <v>6804</v>
      </c>
      <c r="M101" s="945" t="s">
        <v>937</v>
      </c>
      <c r="N101" s="945" t="s">
        <v>10899</v>
      </c>
      <c r="O101" s="945" t="s">
        <v>10900</v>
      </c>
      <c r="P101" s="945" t="s">
        <v>10901</v>
      </c>
      <c r="Q101" s="945" t="s">
        <v>10902</v>
      </c>
      <c r="R101" s="945" t="s">
        <v>4564</v>
      </c>
      <c r="S101" s="945" t="s">
        <v>10903</v>
      </c>
      <c r="T101" s="945" t="s">
        <v>6507</v>
      </c>
      <c r="U101" s="945" t="s">
        <v>10904</v>
      </c>
      <c r="V101" s="945" t="s">
        <v>7400</v>
      </c>
      <c r="W101" s="945" t="s">
        <v>10905</v>
      </c>
      <c r="X101" s="945" t="s">
        <v>10906</v>
      </c>
      <c r="Y101" s="945" t="s">
        <v>757</v>
      </c>
      <c r="Z101" s="945" t="s">
        <v>10907</v>
      </c>
      <c r="AA101" s="335"/>
      <c r="AB101" s="945" t="s">
        <v>10908</v>
      </c>
      <c r="AC101" s="945" t="s">
        <v>178</v>
      </c>
      <c r="AD101" s="945" t="s">
        <v>10909</v>
      </c>
      <c r="AE101" s="945" t="s">
        <v>10910</v>
      </c>
      <c r="AF101" s="945" t="s">
        <v>10911</v>
      </c>
      <c r="AG101" s="945" t="s">
        <v>10912</v>
      </c>
      <c r="AH101" s="945" t="s">
        <v>10913</v>
      </c>
      <c r="AI101" s="945" t="s">
        <v>10914</v>
      </c>
      <c r="AJ101" s="945" t="s">
        <v>10915</v>
      </c>
      <c r="AK101" s="945" t="s">
        <v>10916</v>
      </c>
      <c r="AL101" s="945" t="s">
        <v>10917</v>
      </c>
      <c r="AM101" s="945" t="s">
        <v>10918</v>
      </c>
      <c r="AN101" s="945" t="s">
        <v>9432</v>
      </c>
      <c r="AO101" s="945" t="s">
        <v>2329</v>
      </c>
      <c r="AP101" s="945" t="s">
        <v>10919</v>
      </c>
      <c r="AQ101" s="945" t="s">
        <v>132</v>
      </c>
      <c r="AR101" s="945" t="s">
        <v>10920</v>
      </c>
      <c r="AS101" s="945" t="s">
        <v>4073</v>
      </c>
      <c r="AT101" s="945" t="s">
        <v>10921</v>
      </c>
      <c r="AU101" s="1344" t="s">
        <v>10922</v>
      </c>
      <c r="AV101" s="1414" t="str">
        <f t="shared" si="1"/>
        <v>9:53</v>
      </c>
      <c r="AW101" s="1633" t="s">
        <v>10923</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2399</v>
      </c>
      <c r="AN102" s="1527"/>
      <c r="AO102" s="1527"/>
      <c r="AP102" s="1527"/>
      <c r="AQ102" s="1527"/>
      <c r="AR102" s="1527"/>
      <c r="AS102" s="1527"/>
      <c r="AT102" s="1527"/>
      <c r="AU102" s="1414"/>
      <c r="AV102" s="1414"/>
      <c r="AW102" s="1583"/>
    </row>
    <row r="103">
      <c r="A103" s="1550" t="s">
        <v>4645</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10924</v>
      </c>
      <c r="E1" s="1691" t="s">
        <v>7660</v>
      </c>
      <c r="F1" s="1692" t="s">
        <v>7964</v>
      </c>
      <c r="G1" s="1693" t="s">
        <v>38</v>
      </c>
      <c r="H1" s="1694" t="s">
        <v>36</v>
      </c>
      <c r="I1" s="1690" t="s">
        <v>10925</v>
      </c>
      <c r="J1" s="1695" t="s">
        <v>39</v>
      </c>
      <c r="K1" s="1696" t="s">
        <v>7900</v>
      </c>
      <c r="L1" s="1435" t="s">
        <v>8784</v>
      </c>
      <c r="M1" s="1436" t="s">
        <v>8785</v>
      </c>
      <c r="N1" s="1697" t="s">
        <v>8786</v>
      </c>
      <c r="O1" s="1698" t="s">
        <v>8787</v>
      </c>
    </row>
    <row r="2" ht="15.75" customHeight="1">
      <c r="A2" s="1699" t="s">
        <v>8788</v>
      </c>
      <c r="B2" s="1700" t="s">
        <v>8789</v>
      </c>
      <c r="C2" s="1701">
        <v>0.0496875</v>
      </c>
      <c r="D2" s="1702" t="s">
        <v>10926</v>
      </c>
      <c r="E2" s="1703" t="s">
        <v>10927</v>
      </c>
      <c r="F2" s="1704" t="s">
        <v>10928</v>
      </c>
      <c r="G2" s="1705" t="s">
        <v>10929</v>
      </c>
      <c r="H2" s="1706" t="s">
        <v>10930</v>
      </c>
      <c r="I2" s="1707" t="s">
        <v>10931</v>
      </c>
      <c r="J2" s="1708" t="s">
        <v>10932</v>
      </c>
      <c r="K2" s="1709" t="s">
        <v>10933</v>
      </c>
      <c r="L2" s="1710" t="s">
        <v>8814</v>
      </c>
      <c r="M2" s="1701">
        <v>0.05042824074074074</v>
      </c>
      <c r="N2" s="1711" t="str">
        <f t="shared" ref="N2:N40" si="1">TEXT(M2-C2, "m:ss")</f>
        <v>1:04</v>
      </c>
      <c r="O2" s="1712"/>
    </row>
    <row r="3" ht="15.75" customHeight="1">
      <c r="A3" s="1713" t="s">
        <v>8816</v>
      </c>
      <c r="B3" s="1714" t="s">
        <v>8817</v>
      </c>
      <c r="C3" s="1715">
        <v>0.051458333333333335</v>
      </c>
      <c r="D3" s="1465" t="s">
        <v>10934</v>
      </c>
      <c r="E3" s="1466" t="s">
        <v>10935</v>
      </c>
      <c r="F3" s="1467" t="s">
        <v>10936</v>
      </c>
      <c r="G3" s="1468" t="s">
        <v>10937</v>
      </c>
      <c r="H3" s="1470" t="s">
        <v>10938</v>
      </c>
      <c r="I3" s="1465" t="s">
        <v>10939</v>
      </c>
      <c r="J3" s="1472" t="s">
        <v>10940</v>
      </c>
      <c r="K3" s="1475" t="s">
        <v>10941</v>
      </c>
      <c r="L3" s="1467" t="s">
        <v>8840</v>
      </c>
      <c r="M3" s="1715">
        <v>0.05236111111111111</v>
      </c>
      <c r="N3" s="1716" t="str">
        <f t="shared" si="1"/>
        <v>1:18</v>
      </c>
      <c r="O3" s="1717"/>
    </row>
    <row r="4" ht="15.75" customHeight="1">
      <c r="A4" s="1718" t="s">
        <v>8842</v>
      </c>
      <c r="B4" s="1719" t="s">
        <v>8843</v>
      </c>
      <c r="C4" s="1720">
        <f>C25</f>
        <v>0.05158564815</v>
      </c>
      <c r="D4" s="1721" t="s">
        <v>10942</v>
      </c>
      <c r="E4" s="1722" t="s">
        <v>10943</v>
      </c>
      <c r="F4" s="1723" t="s">
        <v>10944</v>
      </c>
      <c r="G4" s="1724" t="s">
        <v>10945</v>
      </c>
      <c r="H4" s="1725" t="s">
        <v>10946</v>
      </c>
      <c r="I4" s="1721" t="s">
        <v>10947</v>
      </c>
      <c r="J4" s="1726" t="s">
        <v>10948</v>
      </c>
      <c r="K4" s="1727" t="s">
        <v>10949</v>
      </c>
      <c r="L4" s="1728" t="s">
        <v>8871</v>
      </c>
      <c r="M4" s="1729">
        <f>M25</f>
        <v>0.0521412037</v>
      </c>
      <c r="N4" s="1729" t="str">
        <f t="shared" si="1"/>
        <v>0:48</v>
      </c>
      <c r="O4" s="1712"/>
    </row>
    <row r="5" ht="15.75" customHeight="1">
      <c r="A5" s="927" t="s">
        <v>1059</v>
      </c>
      <c r="B5" s="1634" t="s">
        <v>8789</v>
      </c>
      <c r="C5" s="1730">
        <v>0.04981481481481481</v>
      </c>
      <c r="D5" s="1731" t="s">
        <v>10926</v>
      </c>
      <c r="E5" s="1528" t="s">
        <v>10950</v>
      </c>
      <c r="F5" s="1731" t="s">
        <v>10928</v>
      </c>
      <c r="G5" s="1731" t="s">
        <v>10929</v>
      </c>
      <c r="H5" s="1731" t="s">
        <v>10930</v>
      </c>
      <c r="I5" s="1731" t="s">
        <v>10931</v>
      </c>
      <c r="J5" s="1732" t="s">
        <v>10951</v>
      </c>
      <c r="K5" s="1731" t="s">
        <v>10933</v>
      </c>
      <c r="L5" s="1498" t="s">
        <v>10952</v>
      </c>
      <c r="M5" s="1733">
        <v>0.05042824074074074</v>
      </c>
      <c r="N5" s="1734" t="str">
        <f t="shared" si="1"/>
        <v>0:53</v>
      </c>
      <c r="O5" s="1580" t="s">
        <v>10953</v>
      </c>
    </row>
    <row r="6" ht="15.75" customHeight="1">
      <c r="A6" s="1683" t="s">
        <v>1810</v>
      </c>
      <c r="B6" s="1495" t="s">
        <v>8789</v>
      </c>
      <c r="C6" s="1735">
        <v>0.0499537037037037</v>
      </c>
      <c r="D6" s="1515" t="s">
        <v>10954</v>
      </c>
      <c r="E6" s="1515" t="s">
        <v>10955</v>
      </c>
      <c r="F6" s="1515" t="s">
        <v>10956</v>
      </c>
      <c r="G6" s="1515" t="s">
        <v>10957</v>
      </c>
      <c r="H6" s="1515" t="s">
        <v>10958</v>
      </c>
      <c r="I6" s="1515" t="s">
        <v>10959</v>
      </c>
      <c r="J6" s="1515" t="s">
        <v>10960</v>
      </c>
      <c r="K6" s="1515" t="s">
        <v>10961</v>
      </c>
      <c r="L6" s="1499" t="s">
        <v>8814</v>
      </c>
      <c r="M6" s="1736">
        <v>0.05056712962962963</v>
      </c>
      <c r="N6" s="1737" t="str">
        <f t="shared" si="1"/>
        <v>0:53</v>
      </c>
      <c r="O6" s="1580" t="s">
        <v>10962</v>
      </c>
    </row>
    <row r="7" ht="15.75" customHeight="1">
      <c r="A7" s="1738" t="s">
        <v>437</v>
      </c>
      <c r="B7" s="1495" t="s">
        <v>8789</v>
      </c>
      <c r="C7" s="1739">
        <v>0.04998842592592593</v>
      </c>
      <c r="D7" s="1515" t="s">
        <v>10963</v>
      </c>
      <c r="E7" s="1740" t="s">
        <v>10927</v>
      </c>
      <c r="F7" s="1515" t="s">
        <v>10964</v>
      </c>
      <c r="G7" s="1515" t="s">
        <v>10965</v>
      </c>
      <c r="H7" s="1515" t="s">
        <v>10966</v>
      </c>
      <c r="I7" s="1515" t="s">
        <v>10967</v>
      </c>
      <c r="J7" s="1741" t="s">
        <v>10932</v>
      </c>
      <c r="K7" s="1515" t="s">
        <v>10968</v>
      </c>
      <c r="L7" s="1515" t="s">
        <v>8902</v>
      </c>
      <c r="M7" s="1736">
        <v>0.0508912037037037</v>
      </c>
      <c r="N7" s="1737" t="str">
        <f t="shared" si="1"/>
        <v>1:18</v>
      </c>
      <c r="O7" s="1580" t="s">
        <v>10962</v>
      </c>
    </row>
    <row r="8">
      <c r="A8" s="1742" t="s">
        <v>2538</v>
      </c>
      <c r="B8" s="1743" t="s">
        <v>8789</v>
      </c>
      <c r="C8" s="1739">
        <v>0.05008587962962963</v>
      </c>
      <c r="D8" s="1744" t="s">
        <v>10969</v>
      </c>
      <c r="E8" s="1745" t="s">
        <v>10970</v>
      </c>
      <c r="F8" s="1732" t="s">
        <v>10971</v>
      </c>
      <c r="G8" s="1732" t="s">
        <v>10972</v>
      </c>
      <c r="H8" s="1732" t="s">
        <v>10973</v>
      </c>
      <c r="I8" s="1732" t="s">
        <v>10974</v>
      </c>
      <c r="J8" s="1732" t="s">
        <v>10975</v>
      </c>
      <c r="K8" s="1732" t="s">
        <v>10976</v>
      </c>
      <c r="L8" s="1732" t="s">
        <v>8927</v>
      </c>
      <c r="M8" s="1736">
        <v>0.05085648148148148</v>
      </c>
      <c r="N8" s="1736" t="str">
        <f t="shared" si="1"/>
        <v>1:07</v>
      </c>
      <c r="O8" s="1580"/>
    </row>
    <row r="9" ht="15.75" customHeight="1">
      <c r="A9" s="1738" t="s">
        <v>6576</v>
      </c>
      <c r="B9" s="1552" t="s">
        <v>8789</v>
      </c>
      <c r="C9" s="1735">
        <v>0.05025462962962963</v>
      </c>
      <c r="D9" s="1016" t="s">
        <v>10977</v>
      </c>
      <c r="E9" s="1526" t="s">
        <v>10978</v>
      </c>
      <c r="F9" s="1515" t="s">
        <v>10979</v>
      </c>
      <c r="G9" s="1515" t="s">
        <v>10980</v>
      </c>
      <c r="H9" s="1515" t="s">
        <v>10981</v>
      </c>
      <c r="I9" s="1515" t="s">
        <v>10702</v>
      </c>
      <c r="J9" s="1515" t="s">
        <v>10982</v>
      </c>
      <c r="K9" s="1515" t="s">
        <v>10983</v>
      </c>
      <c r="L9" s="1515" t="s">
        <v>9039</v>
      </c>
      <c r="M9" s="1736">
        <v>0.0506712962962963</v>
      </c>
      <c r="N9" s="1737" t="str">
        <f t="shared" si="1"/>
        <v>0:36</v>
      </c>
      <c r="O9" s="1580"/>
    </row>
    <row r="10" ht="15.75" customHeight="1">
      <c r="A10" s="1683" t="s">
        <v>6685</v>
      </c>
      <c r="B10" s="1495" t="s">
        <v>8789</v>
      </c>
      <c r="C10" s="1735">
        <v>0.050416666666666665</v>
      </c>
      <c r="D10" s="1515" t="s">
        <v>10984</v>
      </c>
      <c r="E10" s="1526" t="s">
        <v>10985</v>
      </c>
      <c r="F10" s="1528" t="s">
        <v>10986</v>
      </c>
      <c r="G10" s="1528" t="s">
        <v>10987</v>
      </c>
      <c r="H10" s="1515" t="s">
        <v>10988</v>
      </c>
      <c r="I10" s="1515" t="s">
        <v>10989</v>
      </c>
      <c r="J10" s="1515" t="s">
        <v>10990</v>
      </c>
      <c r="K10" s="1515" t="s">
        <v>10991</v>
      </c>
      <c r="L10" s="1528" t="s">
        <v>10992</v>
      </c>
      <c r="M10" s="1736">
        <v>0.0512037037037037</v>
      </c>
      <c r="N10" s="1737" t="str">
        <f t="shared" si="1"/>
        <v>1:08</v>
      </c>
      <c r="O10" s="1580" t="s">
        <v>10962</v>
      </c>
    </row>
    <row r="11">
      <c r="A11" s="1746" t="s">
        <v>827</v>
      </c>
      <c r="B11" s="1747" t="s">
        <v>8789</v>
      </c>
      <c r="C11" s="1735">
        <v>0.05047453703703704</v>
      </c>
      <c r="D11" s="1020" t="s">
        <v>10993</v>
      </c>
      <c r="E11" s="1526" t="s">
        <v>10994</v>
      </c>
      <c r="F11" s="1732" t="s">
        <v>10995</v>
      </c>
      <c r="G11" s="1732" t="s">
        <v>10996</v>
      </c>
      <c r="H11" s="1732" t="s">
        <v>10997</v>
      </c>
      <c r="I11" s="1515" t="s">
        <v>10998</v>
      </c>
      <c r="J11" s="1515" t="s">
        <v>10999</v>
      </c>
      <c r="K11" s="1732" t="s">
        <v>11000</v>
      </c>
      <c r="L11" s="1515" t="s">
        <v>3668</v>
      </c>
      <c r="M11" s="1736">
        <v>0.051076388888888886</v>
      </c>
      <c r="N11" s="1737" t="str">
        <f t="shared" si="1"/>
        <v>0:52</v>
      </c>
      <c r="O11" s="1580" t="s">
        <v>11001</v>
      </c>
    </row>
    <row r="12">
      <c r="A12" s="1611" t="s">
        <v>1961</v>
      </c>
      <c r="B12" s="1747" t="s">
        <v>8789</v>
      </c>
      <c r="C12" s="1739">
        <v>0.05059429398148148</v>
      </c>
      <c r="D12" s="1016" t="s">
        <v>11002</v>
      </c>
      <c r="E12" s="1526" t="s">
        <v>11003</v>
      </c>
      <c r="F12" s="1515" t="s">
        <v>11004</v>
      </c>
      <c r="G12" s="1515" t="s">
        <v>11005</v>
      </c>
      <c r="H12" s="1515" t="s">
        <v>11006</v>
      </c>
      <c r="I12" s="1515" t="s">
        <v>11007</v>
      </c>
      <c r="J12" s="1515" t="s">
        <v>11008</v>
      </c>
      <c r="K12" s="1515" t="s">
        <v>11009</v>
      </c>
      <c r="L12" s="1515" t="s">
        <v>11010</v>
      </c>
      <c r="M12" s="1736">
        <v>0.051319444444444445</v>
      </c>
      <c r="N12" s="1737" t="str">
        <f t="shared" si="1"/>
        <v>1:03</v>
      </c>
      <c r="O12" s="1580"/>
    </row>
    <row r="13" ht="15.75" customHeight="1">
      <c r="A13" s="927" t="s">
        <v>1555</v>
      </c>
      <c r="B13" s="1748" t="s">
        <v>8789</v>
      </c>
      <c r="C13" s="1735">
        <v>0.05061342592592592</v>
      </c>
      <c r="D13" s="1749" t="s">
        <v>11011</v>
      </c>
      <c r="E13" s="1526" t="s">
        <v>11012</v>
      </c>
      <c r="F13" s="1750" t="s">
        <v>11013</v>
      </c>
      <c r="G13" s="1515" t="s">
        <v>11014</v>
      </c>
      <c r="H13" s="1750" t="s">
        <v>11015</v>
      </c>
      <c r="I13" s="1750" t="s">
        <v>11016</v>
      </c>
      <c r="J13" s="1515" t="s">
        <v>11017</v>
      </c>
      <c r="K13" s="1515" t="s">
        <v>11018</v>
      </c>
      <c r="L13" s="1515" t="s">
        <v>3504</v>
      </c>
      <c r="M13" s="1736">
        <v>0.05122685185185185</v>
      </c>
      <c r="N13" s="1737" t="str">
        <f t="shared" si="1"/>
        <v>0:53</v>
      </c>
      <c r="O13" s="1580" t="s">
        <v>11019</v>
      </c>
    </row>
    <row r="14" ht="15.75" customHeight="1">
      <c r="A14" s="1687" t="s">
        <v>2086</v>
      </c>
      <c r="B14" s="1495" t="s">
        <v>8789</v>
      </c>
      <c r="C14" s="1739">
        <v>0.05061342592592592</v>
      </c>
      <c r="D14" s="1020" t="s">
        <v>11020</v>
      </c>
      <c r="E14" s="1751" t="s">
        <v>11021</v>
      </c>
      <c r="F14" s="1515" t="s">
        <v>11022</v>
      </c>
      <c r="G14" s="1515" t="s">
        <v>11023</v>
      </c>
      <c r="H14" s="1515" t="s">
        <v>11024</v>
      </c>
      <c r="I14" s="1515" t="s">
        <v>11025</v>
      </c>
      <c r="J14" s="1515" t="s">
        <v>11026</v>
      </c>
      <c r="K14" s="1515" t="s">
        <v>11027</v>
      </c>
      <c r="L14" s="1515" t="s">
        <v>6556</v>
      </c>
      <c r="M14" s="1736">
        <v>0.05153935185185185</v>
      </c>
      <c r="N14" s="1737" t="str">
        <f t="shared" si="1"/>
        <v>1:20</v>
      </c>
      <c r="O14" s="1580" t="s">
        <v>10962</v>
      </c>
    </row>
    <row r="15" ht="15.75" customHeight="1">
      <c r="A15" s="1738" t="s">
        <v>332</v>
      </c>
      <c r="B15" s="1495" t="s">
        <v>8789</v>
      </c>
      <c r="C15" s="1739">
        <v>0.05068287037037037</v>
      </c>
      <c r="D15" s="1515" t="s">
        <v>11028</v>
      </c>
      <c r="E15" s="1751" t="s">
        <v>11029</v>
      </c>
      <c r="F15" s="1515" t="s">
        <v>11030</v>
      </c>
      <c r="G15" s="1515" t="s">
        <v>11031</v>
      </c>
      <c r="H15" s="1515" t="s">
        <v>11032</v>
      </c>
      <c r="I15" s="1515" t="s">
        <v>6496</v>
      </c>
      <c r="J15" s="1515" t="s">
        <v>11033</v>
      </c>
      <c r="K15" s="1515" t="s">
        <v>11034</v>
      </c>
      <c r="L15" s="1515" t="s">
        <v>9018</v>
      </c>
      <c r="M15" s="1736">
        <v>0.05164351851851852</v>
      </c>
      <c r="N15" s="1737" t="str">
        <f t="shared" si="1"/>
        <v>1:23</v>
      </c>
      <c r="O15" s="1580" t="s">
        <v>10962</v>
      </c>
    </row>
    <row r="16" ht="15.75" customHeight="1">
      <c r="A16" s="1611" t="s">
        <v>2151</v>
      </c>
      <c r="B16" s="1634" t="s">
        <v>8817</v>
      </c>
      <c r="C16" s="1752">
        <v>0.05092592592592592</v>
      </c>
      <c r="D16" s="1016" t="s">
        <v>11035</v>
      </c>
      <c r="E16" s="1753" t="s">
        <v>10935</v>
      </c>
      <c r="F16" s="1753" t="s">
        <v>10936</v>
      </c>
      <c r="G16" s="1753" t="s">
        <v>10937</v>
      </c>
      <c r="H16" s="1753" t="s">
        <v>11036</v>
      </c>
      <c r="I16" s="1753" t="s">
        <v>10939</v>
      </c>
      <c r="J16" s="1753" t="s">
        <v>11037</v>
      </c>
      <c r="K16" s="1753" t="s">
        <v>10941</v>
      </c>
      <c r="L16" s="1754" t="s">
        <v>8840</v>
      </c>
      <c r="M16" s="1736">
        <v>0.052662037037037035</v>
      </c>
      <c r="N16" s="1737" t="str">
        <f t="shared" si="1"/>
        <v>2:30</v>
      </c>
      <c r="O16" s="1580" t="s">
        <v>10962</v>
      </c>
    </row>
    <row r="17" ht="15.75" customHeight="1">
      <c r="A17" s="1755" t="s">
        <v>2702</v>
      </c>
      <c r="B17" s="1495" t="s">
        <v>8789</v>
      </c>
      <c r="C17" s="1756">
        <v>0.05103009259259259</v>
      </c>
      <c r="D17" s="1515" t="s">
        <v>11038</v>
      </c>
      <c r="E17" s="1751" t="s">
        <v>10517</v>
      </c>
      <c r="F17" s="1515" t="s">
        <v>11039</v>
      </c>
      <c r="G17" s="1515" t="s">
        <v>11040</v>
      </c>
      <c r="H17" s="1732" t="s">
        <v>11041</v>
      </c>
      <c r="I17" s="1515" t="s">
        <v>11042</v>
      </c>
      <c r="J17" s="1515" t="s">
        <v>11043</v>
      </c>
      <c r="K17" s="1515" t="s">
        <v>11044</v>
      </c>
      <c r="L17" s="1515" t="s">
        <v>11045</v>
      </c>
      <c r="M17" s="1736">
        <v>0.051909722222222225</v>
      </c>
      <c r="N17" s="1737" t="str">
        <f t="shared" si="1"/>
        <v>1:16</v>
      </c>
      <c r="O17" s="1580" t="s">
        <v>10962</v>
      </c>
    </row>
    <row r="18" ht="15.75" customHeight="1">
      <c r="A18" s="1611" t="s">
        <v>2264</v>
      </c>
      <c r="B18" s="1552" t="s">
        <v>8789</v>
      </c>
      <c r="C18" s="1739">
        <v>0.051145833333333335</v>
      </c>
      <c r="D18" s="1020" t="s">
        <v>11046</v>
      </c>
      <c r="E18" s="1526" t="s">
        <v>11047</v>
      </c>
      <c r="F18" s="1515" t="s">
        <v>11048</v>
      </c>
      <c r="G18" s="1515" t="s">
        <v>11049</v>
      </c>
      <c r="H18" s="1515" t="s">
        <v>11050</v>
      </c>
      <c r="I18" s="1515" t="s">
        <v>11051</v>
      </c>
      <c r="J18" s="1515" t="s">
        <v>11052</v>
      </c>
      <c r="K18" s="1515" t="s">
        <v>11053</v>
      </c>
      <c r="L18" s="1515" t="s">
        <v>3113</v>
      </c>
      <c r="M18" s="1736">
        <v>0.05228009259259259</v>
      </c>
      <c r="N18" s="1737" t="str">
        <f t="shared" si="1"/>
        <v>1:38</v>
      </c>
      <c r="O18" s="1580" t="s">
        <v>11054</v>
      </c>
    </row>
    <row r="19" ht="15.75" customHeight="1">
      <c r="A19" s="1738" t="s">
        <v>1417</v>
      </c>
      <c r="B19" s="1495" t="s">
        <v>8789</v>
      </c>
      <c r="C19" s="1739">
        <v>0.05122685185185185</v>
      </c>
      <c r="D19" s="1515" t="s">
        <v>11055</v>
      </c>
      <c r="E19" s="1751" t="s">
        <v>8847</v>
      </c>
      <c r="F19" s="1515" t="s">
        <v>11056</v>
      </c>
      <c r="G19" s="1515" t="s">
        <v>11057</v>
      </c>
      <c r="H19" s="1515" t="s">
        <v>11058</v>
      </c>
      <c r="I19" s="1515" t="s">
        <v>11059</v>
      </c>
      <c r="J19" s="1515" t="s">
        <v>11060</v>
      </c>
      <c r="K19" s="1515" t="s">
        <v>11061</v>
      </c>
      <c r="L19" s="1515" t="s">
        <v>11062</v>
      </c>
      <c r="M19" s="1736">
        <v>0.052037037037037034</v>
      </c>
      <c r="N19" s="1737" t="str">
        <f t="shared" si="1"/>
        <v>1:10</v>
      </c>
      <c r="O19" s="1580" t="s">
        <v>10962</v>
      </c>
    </row>
    <row r="20" ht="15.75" customHeight="1">
      <c r="A20" s="1611" t="s">
        <v>1725</v>
      </c>
      <c r="B20" s="1552" t="s">
        <v>8789</v>
      </c>
      <c r="C20" s="1739">
        <v>0.05122685185185185</v>
      </c>
      <c r="D20" s="1016" t="s">
        <v>11063</v>
      </c>
      <c r="E20" s="1526" t="s">
        <v>11064</v>
      </c>
      <c r="F20" s="1515" t="s">
        <v>11065</v>
      </c>
      <c r="G20" s="1515" t="s">
        <v>11066</v>
      </c>
      <c r="H20" s="1515" t="s">
        <v>11067</v>
      </c>
      <c r="I20" s="1515" t="s">
        <v>11068</v>
      </c>
      <c r="J20" s="1515" t="s">
        <v>11069</v>
      </c>
      <c r="K20" s="1515" t="s">
        <v>11070</v>
      </c>
      <c r="L20" s="1515" t="s">
        <v>6088</v>
      </c>
      <c r="M20" s="1736">
        <v>0.05224537037037037</v>
      </c>
      <c r="N20" s="1737" t="str">
        <f t="shared" si="1"/>
        <v>1:28</v>
      </c>
      <c r="O20" s="1580" t="s">
        <v>11071</v>
      </c>
    </row>
    <row r="21" ht="15.75" customHeight="1">
      <c r="A21" s="1611" t="s">
        <v>6936</v>
      </c>
      <c r="B21" s="1552" t="s">
        <v>8789</v>
      </c>
      <c r="C21" s="1739">
        <v>0.05133101851851852</v>
      </c>
      <c r="D21" s="1515" t="s">
        <v>11072</v>
      </c>
      <c r="E21" s="1526" t="s">
        <v>11073</v>
      </c>
      <c r="F21" s="1515" t="s">
        <v>11074</v>
      </c>
      <c r="G21" s="1528" t="s">
        <v>11075</v>
      </c>
      <c r="H21" s="1528" t="s">
        <v>11076</v>
      </c>
      <c r="I21" s="1515" t="s">
        <v>11077</v>
      </c>
      <c r="J21" s="1515" t="s">
        <v>11078</v>
      </c>
      <c r="K21" s="1515" t="s">
        <v>11079</v>
      </c>
      <c r="L21" s="1515" t="s">
        <v>11080</v>
      </c>
      <c r="M21" s="1736">
        <v>0.05197916666666667</v>
      </c>
      <c r="N21" s="1737" t="str">
        <f t="shared" si="1"/>
        <v>0:56</v>
      </c>
      <c r="O21" s="1580" t="s">
        <v>11081</v>
      </c>
    </row>
    <row r="22" ht="15.75" customHeight="1">
      <c r="A22" s="1683" t="s">
        <v>9249</v>
      </c>
      <c r="B22" s="1495" t="s">
        <v>8789</v>
      </c>
      <c r="C22" s="1735">
        <v>0.05144675925925926</v>
      </c>
      <c r="D22" s="1515" t="s">
        <v>11082</v>
      </c>
      <c r="E22" s="1751" t="s">
        <v>11083</v>
      </c>
      <c r="F22" s="1515" t="s">
        <v>11084</v>
      </c>
      <c r="G22" s="1515" t="s">
        <v>11085</v>
      </c>
      <c r="H22" s="1515" t="s">
        <v>11086</v>
      </c>
      <c r="I22" s="1515" t="s">
        <v>11087</v>
      </c>
      <c r="J22" s="1515" t="s">
        <v>11088</v>
      </c>
      <c r="K22" s="1515" t="s">
        <v>11089</v>
      </c>
      <c r="L22" s="1205" t="s">
        <v>9147</v>
      </c>
      <c r="M22" s="1736">
        <v>0.05258101851851852</v>
      </c>
      <c r="N22" s="1737" t="str">
        <f t="shared" si="1"/>
        <v>1:38</v>
      </c>
      <c r="O22" s="1580" t="s">
        <v>10962</v>
      </c>
    </row>
    <row r="23" ht="15.75" customHeight="1">
      <c r="A23" s="1611" t="s">
        <v>9409</v>
      </c>
      <c r="B23" s="1552" t="s">
        <v>8817</v>
      </c>
      <c r="C23" s="1739">
        <v>0.05146990740740741</v>
      </c>
      <c r="D23" s="1753" t="s">
        <v>10934</v>
      </c>
      <c r="E23" s="1526" t="s">
        <v>10350</v>
      </c>
      <c r="F23" s="1526" t="s">
        <v>11090</v>
      </c>
      <c r="G23" s="1526" t="s">
        <v>11091</v>
      </c>
      <c r="H23" s="1526" t="s">
        <v>11092</v>
      </c>
      <c r="I23" s="1515" t="s">
        <v>11093</v>
      </c>
      <c r="J23" s="1020" t="s">
        <v>11094</v>
      </c>
      <c r="K23" s="1515" t="s">
        <v>11095</v>
      </c>
      <c r="L23" s="1020" t="s">
        <v>9423</v>
      </c>
      <c r="M23" s="1757">
        <v>0.05236111111111111</v>
      </c>
      <c r="N23" s="1737" t="str">
        <f t="shared" si="1"/>
        <v>1:17</v>
      </c>
      <c r="O23" s="1580" t="s">
        <v>10962</v>
      </c>
    </row>
    <row r="24" ht="15.75" customHeight="1">
      <c r="A24" s="1738" t="s">
        <v>900</v>
      </c>
      <c r="B24" s="1495" t="s">
        <v>8789</v>
      </c>
      <c r="C24" s="1735">
        <v>0.051550925925925924</v>
      </c>
      <c r="D24" s="1515" t="s">
        <v>11096</v>
      </c>
      <c r="E24" s="1751" t="s">
        <v>10334</v>
      </c>
      <c r="F24" s="1515" t="s">
        <v>11097</v>
      </c>
      <c r="G24" s="1515" t="s">
        <v>11098</v>
      </c>
      <c r="H24" s="1515" t="s">
        <v>11099</v>
      </c>
      <c r="I24" s="1515" t="s">
        <v>11100</v>
      </c>
      <c r="J24" s="1515" t="s">
        <v>11101</v>
      </c>
      <c r="K24" s="1515" t="s">
        <v>11102</v>
      </c>
      <c r="L24" s="1205" t="s">
        <v>11103</v>
      </c>
      <c r="M24" s="1736">
        <v>0.05229166666666667</v>
      </c>
      <c r="N24" s="1737" t="str">
        <f t="shared" si="1"/>
        <v>1:04</v>
      </c>
      <c r="O24" s="1580" t="s">
        <v>10962</v>
      </c>
    </row>
    <row r="25">
      <c r="A25" s="1742" t="s">
        <v>1810</v>
      </c>
      <c r="B25" s="1634" t="s">
        <v>8843</v>
      </c>
      <c r="C25" s="1758">
        <v>0.05158564814814815</v>
      </c>
      <c r="D25" s="1759" t="s">
        <v>10942</v>
      </c>
      <c r="E25" s="1760" t="s">
        <v>10943</v>
      </c>
      <c r="F25" s="1759" t="s">
        <v>10944</v>
      </c>
      <c r="G25" s="1759" t="s">
        <v>10945</v>
      </c>
      <c r="H25" s="1759" t="s">
        <v>10946</v>
      </c>
      <c r="I25" s="1759" t="s">
        <v>10947</v>
      </c>
      <c r="J25" s="1759" t="s">
        <v>10948</v>
      </c>
      <c r="K25" s="1759" t="s">
        <v>10949</v>
      </c>
      <c r="L25" s="1759" t="s">
        <v>8871</v>
      </c>
      <c r="M25" s="1761">
        <v>0.052141203703703703</v>
      </c>
      <c r="N25" s="1737" t="str">
        <f t="shared" si="1"/>
        <v>0:48</v>
      </c>
      <c r="O25" s="1580" t="s">
        <v>11104</v>
      </c>
    </row>
    <row r="26" ht="15.75" customHeight="1">
      <c r="A26" s="927" t="s">
        <v>2814</v>
      </c>
      <c r="B26" s="1552" t="s">
        <v>8789</v>
      </c>
      <c r="C26" s="1735">
        <v>0.051706365740740744</v>
      </c>
      <c r="D26" s="1020" t="s">
        <v>11105</v>
      </c>
      <c r="E26" s="1526" t="s">
        <v>11106</v>
      </c>
      <c r="F26" s="1515" t="s">
        <v>11107</v>
      </c>
      <c r="G26" s="1515" t="s">
        <v>11108</v>
      </c>
      <c r="H26" s="1515" t="s">
        <v>11109</v>
      </c>
      <c r="I26" s="1515" t="s">
        <v>11110</v>
      </c>
      <c r="J26" s="1515" t="s">
        <v>11111</v>
      </c>
      <c r="K26" s="1515" t="s">
        <v>11112</v>
      </c>
      <c r="L26" s="1515" t="s">
        <v>9712</v>
      </c>
      <c r="M26" s="1736">
        <v>0.0525</v>
      </c>
      <c r="N26" s="1736" t="str">
        <f t="shared" si="1"/>
        <v>1:09</v>
      </c>
      <c r="O26" s="1580"/>
    </row>
    <row r="27" ht="15.75" customHeight="1">
      <c r="A27" s="1762" t="s">
        <v>2104</v>
      </c>
      <c r="B27" s="1626" t="s">
        <v>8789</v>
      </c>
      <c r="C27" s="1735">
        <v>0.05171296296296296</v>
      </c>
      <c r="D27" s="1763" t="s">
        <v>11113</v>
      </c>
      <c r="E27" s="1763" t="s">
        <v>11114</v>
      </c>
      <c r="F27" s="1763" t="s">
        <v>11115</v>
      </c>
      <c r="G27" s="1763" t="s">
        <v>11116</v>
      </c>
      <c r="H27" s="1020" t="s">
        <v>11117</v>
      </c>
      <c r="I27" s="1763" t="s">
        <v>11118</v>
      </c>
      <c r="J27" s="1020" t="s">
        <v>11119</v>
      </c>
      <c r="K27" s="1763" t="s">
        <v>11120</v>
      </c>
      <c r="L27" s="1020" t="s">
        <v>8269</v>
      </c>
      <c r="M27" s="1736">
        <v>0.054375</v>
      </c>
      <c r="N27" s="1737" t="str">
        <f t="shared" si="1"/>
        <v>3:50</v>
      </c>
      <c r="O27" s="1580" t="s">
        <v>11121</v>
      </c>
    </row>
    <row r="28" ht="15.75" customHeight="1">
      <c r="A28" s="1611" t="s">
        <v>3088</v>
      </c>
      <c r="B28" s="1552" t="s">
        <v>8789</v>
      </c>
      <c r="C28" s="1739">
        <v>0.05180160879629629</v>
      </c>
      <c r="D28" s="1020" t="s">
        <v>11122</v>
      </c>
      <c r="E28" s="1526" t="s">
        <v>11123</v>
      </c>
      <c r="F28" s="1515" t="s">
        <v>11124</v>
      </c>
      <c r="G28" s="1515" t="s">
        <v>11125</v>
      </c>
      <c r="H28" s="1515" t="s">
        <v>11126</v>
      </c>
      <c r="I28" s="1515" t="s">
        <v>11127</v>
      </c>
      <c r="J28" s="1515" t="s">
        <v>11128</v>
      </c>
      <c r="K28" s="1515" t="s">
        <v>11129</v>
      </c>
      <c r="L28" s="1515" t="s">
        <v>11130</v>
      </c>
      <c r="M28" s="1736">
        <v>0.05303240740740741</v>
      </c>
      <c r="N28" s="1737" t="str">
        <f t="shared" si="1"/>
        <v>1:46</v>
      </c>
      <c r="O28" s="1580"/>
    </row>
    <row r="29" ht="15.75" customHeight="1">
      <c r="A29" s="927" t="s">
        <v>1348</v>
      </c>
      <c r="B29" s="1634" t="s">
        <v>8843</v>
      </c>
      <c r="C29" s="1735">
        <v>0.052088194444444444</v>
      </c>
      <c r="D29" s="1020" t="s">
        <v>11131</v>
      </c>
      <c r="E29" s="1526" t="s">
        <v>11132</v>
      </c>
      <c r="F29" s="1515" t="s">
        <v>11133</v>
      </c>
      <c r="G29" s="1515" t="s">
        <v>11134</v>
      </c>
      <c r="H29" s="1515" t="s">
        <v>11135</v>
      </c>
      <c r="I29" s="1515" t="s">
        <v>11136</v>
      </c>
      <c r="J29" s="1515" t="s">
        <v>11137</v>
      </c>
      <c r="K29" s="1515" t="s">
        <v>11138</v>
      </c>
      <c r="L29" s="1515" t="s">
        <v>10022</v>
      </c>
      <c r="M29" s="1736">
        <v>0.053043981481481484</v>
      </c>
      <c r="N29" s="1737" t="str">
        <f t="shared" si="1"/>
        <v>1:23</v>
      </c>
      <c r="O29" s="1580" t="s">
        <v>10962</v>
      </c>
    </row>
    <row r="30" ht="15.75" customHeight="1">
      <c r="A30" s="927" t="s">
        <v>2570</v>
      </c>
      <c r="B30" s="1552" t="s">
        <v>8817</v>
      </c>
      <c r="C30" s="1735">
        <v>0.05215277777777778</v>
      </c>
      <c r="D30" s="1515" t="s">
        <v>11139</v>
      </c>
      <c r="E30" s="1515" t="s">
        <v>6012</v>
      </c>
      <c r="F30" s="1515" t="s">
        <v>11140</v>
      </c>
      <c r="G30" s="1515" t="s">
        <v>11141</v>
      </c>
      <c r="H30" s="1515" t="s">
        <v>11142</v>
      </c>
      <c r="I30" s="1515" t="s">
        <v>11012</v>
      </c>
      <c r="J30" s="1515" t="s">
        <v>11143</v>
      </c>
      <c r="K30" s="1515" t="s">
        <v>11144</v>
      </c>
      <c r="L30" s="1515" t="s">
        <v>9762</v>
      </c>
      <c r="M30" s="1736">
        <v>0.05399305555555556</v>
      </c>
      <c r="N30" s="1737" t="str">
        <f t="shared" si="1"/>
        <v>2:39</v>
      </c>
      <c r="O30" s="1580" t="s">
        <v>11145</v>
      </c>
    </row>
    <row r="31" ht="15.75" customHeight="1">
      <c r="A31" s="1611" t="s">
        <v>2983</v>
      </c>
      <c r="B31" s="1552" t="s">
        <v>8789</v>
      </c>
      <c r="C31" s="1739">
        <v>0.05216435185185185</v>
      </c>
      <c r="D31" s="1515" t="s">
        <v>11146</v>
      </c>
      <c r="E31" s="1526" t="s">
        <v>11147</v>
      </c>
      <c r="F31" s="1515" t="s">
        <v>11148</v>
      </c>
      <c r="G31" s="1515" t="s">
        <v>11149</v>
      </c>
      <c r="H31" s="1515" t="s">
        <v>11150</v>
      </c>
      <c r="I31" s="1515" t="s">
        <v>11151</v>
      </c>
      <c r="J31" s="1515" t="s">
        <v>11152</v>
      </c>
      <c r="K31" s="1515" t="s">
        <v>11153</v>
      </c>
      <c r="L31" s="1515" t="s">
        <v>11154</v>
      </c>
      <c r="M31" s="1736">
        <v>0.05337962962962963</v>
      </c>
      <c r="N31" s="1737" t="str">
        <f t="shared" si="1"/>
        <v>1:45</v>
      </c>
      <c r="O31" s="1580" t="s">
        <v>11155</v>
      </c>
    </row>
    <row r="32" ht="15.75" customHeight="1">
      <c r="A32" s="927" t="s">
        <v>740</v>
      </c>
      <c r="B32" s="1552" t="s">
        <v>8817</v>
      </c>
      <c r="C32" s="1735">
        <v>0.05224537037037037</v>
      </c>
      <c r="D32" s="1515" t="s">
        <v>11156</v>
      </c>
      <c r="E32" s="1764" t="s">
        <v>11157</v>
      </c>
      <c r="F32" s="1515" t="s">
        <v>11158</v>
      </c>
      <c r="G32" s="1515" t="s">
        <v>11159</v>
      </c>
      <c r="H32" s="1515" t="s">
        <v>11160</v>
      </c>
      <c r="I32" s="1515" t="s">
        <v>11161</v>
      </c>
      <c r="J32" s="1515" t="s">
        <v>11162</v>
      </c>
      <c r="K32" s="1528" t="s">
        <v>11163</v>
      </c>
      <c r="L32" s="1515" t="s">
        <v>11164</v>
      </c>
      <c r="M32" s="1736">
        <v>0.053043981481481484</v>
      </c>
      <c r="N32" s="1737" t="str">
        <f t="shared" si="1"/>
        <v>1:09</v>
      </c>
      <c r="O32" s="1580" t="s">
        <v>11165</v>
      </c>
    </row>
    <row r="33" ht="15.75" customHeight="1">
      <c r="A33" s="1611" t="s">
        <v>3088</v>
      </c>
      <c r="B33" s="1634" t="s">
        <v>8817</v>
      </c>
      <c r="C33" s="1739">
        <v>0.052316898148148154</v>
      </c>
      <c r="D33" s="1020" t="s">
        <v>11166</v>
      </c>
      <c r="E33" s="1526" t="s">
        <v>11167</v>
      </c>
      <c r="F33" s="1515" t="s">
        <v>11168</v>
      </c>
      <c r="G33" s="1515" t="s">
        <v>11169</v>
      </c>
      <c r="H33" s="1515" t="s">
        <v>11170</v>
      </c>
      <c r="I33" s="1515" t="s">
        <v>11171</v>
      </c>
      <c r="J33" s="1515" t="s">
        <v>11172</v>
      </c>
      <c r="K33" s="1515" t="s">
        <v>11173</v>
      </c>
      <c r="L33" s="1515" t="s">
        <v>9500</v>
      </c>
      <c r="M33" s="1736">
        <v>0.05376157407407407</v>
      </c>
      <c r="N33" s="1737" t="str">
        <f t="shared" si="1"/>
        <v>2:05</v>
      </c>
      <c r="O33" s="1580" t="s">
        <v>10962</v>
      </c>
    </row>
    <row r="34" ht="15.75" customHeight="1">
      <c r="A34" s="927" t="s">
        <v>4042</v>
      </c>
      <c r="B34" s="1552" t="s">
        <v>8789</v>
      </c>
      <c r="C34" s="1735">
        <v>0.05238425925925926</v>
      </c>
      <c r="D34" s="1016" t="s">
        <v>11174</v>
      </c>
      <c r="E34" s="1526" t="s">
        <v>11147</v>
      </c>
      <c r="F34" s="1515" t="s">
        <v>11175</v>
      </c>
      <c r="G34" s="1765" t="s">
        <v>11176</v>
      </c>
      <c r="H34" s="1515" t="s">
        <v>11177</v>
      </c>
      <c r="I34" s="1515" t="s">
        <v>11178</v>
      </c>
      <c r="J34" s="1515" t="s">
        <v>11179</v>
      </c>
      <c r="K34" s="1515" t="s">
        <v>11180</v>
      </c>
      <c r="L34" s="1515" t="s">
        <v>10040</v>
      </c>
      <c r="M34" s="1736">
        <v>0.05340277777777778</v>
      </c>
      <c r="N34" s="1737" t="str">
        <f t="shared" si="1"/>
        <v>1:28</v>
      </c>
      <c r="O34" s="1580" t="s">
        <v>11181</v>
      </c>
    </row>
    <row r="35" ht="15.75" customHeight="1">
      <c r="A35" s="927" t="s">
        <v>2753</v>
      </c>
      <c r="B35" s="1552" t="s">
        <v>8789</v>
      </c>
      <c r="C35" s="1735">
        <v>0.0525</v>
      </c>
      <c r="D35" s="1020" t="s">
        <v>11182</v>
      </c>
      <c r="E35" s="1526" t="s">
        <v>11183</v>
      </c>
      <c r="F35" s="1515" t="s">
        <v>11184</v>
      </c>
      <c r="G35" s="1515" t="s">
        <v>11185</v>
      </c>
      <c r="H35" s="1515" t="s">
        <v>11186</v>
      </c>
      <c r="I35" s="1515" t="s">
        <v>11187</v>
      </c>
      <c r="J35" s="1515" t="s">
        <v>11188</v>
      </c>
      <c r="K35" s="1515" t="s">
        <v>11189</v>
      </c>
      <c r="L35" s="1515" t="s">
        <v>699</v>
      </c>
      <c r="M35" s="1736">
        <v>0.053773148148148146</v>
      </c>
      <c r="N35" s="1737" t="str">
        <f t="shared" si="1"/>
        <v>1:50</v>
      </c>
      <c r="O35" s="1580" t="s">
        <v>11190</v>
      </c>
    </row>
    <row r="36" ht="15.75" customHeight="1">
      <c r="A36" s="1611" t="s">
        <v>10067</v>
      </c>
      <c r="B36" s="1552" t="s">
        <v>8789</v>
      </c>
      <c r="C36" s="1739">
        <v>0.05268518518518518</v>
      </c>
      <c r="D36" s="1020" t="s">
        <v>11191</v>
      </c>
      <c r="E36" s="1526" t="s">
        <v>11192</v>
      </c>
      <c r="F36" s="1515" t="s">
        <v>11193</v>
      </c>
      <c r="G36" s="1515" t="s">
        <v>11194</v>
      </c>
      <c r="H36" s="1515" t="s">
        <v>11195</v>
      </c>
      <c r="I36" s="1515" t="s">
        <v>7376</v>
      </c>
      <c r="J36" s="1515" t="s">
        <v>11196</v>
      </c>
      <c r="K36" s="1515" t="s">
        <v>11197</v>
      </c>
      <c r="L36" s="1515" t="s">
        <v>10084</v>
      </c>
      <c r="M36" s="1736">
        <v>0.05331018518518518</v>
      </c>
      <c r="N36" s="1737" t="str">
        <f t="shared" si="1"/>
        <v>0:54</v>
      </c>
      <c r="O36" s="1580" t="s">
        <v>11198</v>
      </c>
    </row>
    <row r="37" ht="15.75" customHeight="1">
      <c r="A37" s="1611" t="s">
        <v>3741</v>
      </c>
      <c r="B37" s="1747" t="s">
        <v>8789</v>
      </c>
      <c r="C37" s="1739">
        <v>0.05270034722222223</v>
      </c>
      <c r="D37" s="1016" t="s">
        <v>11199</v>
      </c>
      <c r="E37" s="1526" t="s">
        <v>11200</v>
      </c>
      <c r="F37" s="1515" t="s">
        <v>11201</v>
      </c>
      <c r="G37" s="1515" t="s">
        <v>11202</v>
      </c>
      <c r="H37" s="1515" t="s">
        <v>11203</v>
      </c>
      <c r="I37" s="1515" t="s">
        <v>11204</v>
      </c>
      <c r="J37" s="1515" t="s">
        <v>11205</v>
      </c>
      <c r="K37" s="1515" t="s">
        <v>11206</v>
      </c>
      <c r="L37" s="1515" t="s">
        <v>11207</v>
      </c>
      <c r="M37" s="1736">
        <v>0.05425925925925926</v>
      </c>
      <c r="N37" s="1737" t="str">
        <f t="shared" si="1"/>
        <v>2:15</v>
      </c>
      <c r="O37" s="1580" t="s">
        <v>10962</v>
      </c>
    </row>
    <row r="38">
      <c r="A38" s="1766" t="s">
        <v>3431</v>
      </c>
      <c r="B38" s="1747" t="s">
        <v>8789</v>
      </c>
      <c r="C38" s="1739">
        <v>0.053009259259259256</v>
      </c>
      <c r="D38" s="1016" t="s">
        <v>11208</v>
      </c>
      <c r="E38" s="1526" t="s">
        <v>11209</v>
      </c>
      <c r="F38" s="1515" t="s">
        <v>11210</v>
      </c>
      <c r="G38" s="1515" t="s">
        <v>11211</v>
      </c>
      <c r="H38" s="1515" t="s">
        <v>11212</v>
      </c>
      <c r="I38" s="1515" t="s">
        <v>11213</v>
      </c>
      <c r="J38" s="1515" t="s">
        <v>11214</v>
      </c>
      <c r="K38" s="1515" t="s">
        <v>11215</v>
      </c>
      <c r="L38" s="1515" t="s">
        <v>11216</v>
      </c>
      <c r="M38" s="1736">
        <v>0.05372685185185185</v>
      </c>
      <c r="N38" s="1737" t="str">
        <f t="shared" si="1"/>
        <v>1:02</v>
      </c>
      <c r="O38" s="1580" t="s">
        <v>10962</v>
      </c>
    </row>
    <row r="39" ht="15.75" customHeight="1">
      <c r="A39" s="927" t="s">
        <v>983</v>
      </c>
      <c r="B39" s="1714" t="s">
        <v>8817</v>
      </c>
      <c r="C39" s="1735">
        <v>0.05378472222222222</v>
      </c>
      <c r="D39" s="1020" t="s">
        <v>11217</v>
      </c>
      <c r="E39" s="1526" t="s">
        <v>11218</v>
      </c>
      <c r="F39" s="1515" t="s">
        <v>11219</v>
      </c>
      <c r="G39" s="1515" t="s">
        <v>11220</v>
      </c>
      <c r="H39" s="1515" t="s">
        <v>11221</v>
      </c>
      <c r="I39" s="1515" t="s">
        <v>8382</v>
      </c>
      <c r="J39" s="1515" t="s">
        <v>11222</v>
      </c>
      <c r="K39" s="1515" t="s">
        <v>11223</v>
      </c>
      <c r="L39" s="1515" t="s">
        <v>9811</v>
      </c>
      <c r="M39" s="1736">
        <v>0.054560185185185184</v>
      </c>
      <c r="N39" s="1737" t="str">
        <f t="shared" si="1"/>
        <v>1:07</v>
      </c>
      <c r="O39" s="1580"/>
    </row>
    <row r="40" ht="15.75" customHeight="1">
      <c r="A40" s="927" t="s">
        <v>4946</v>
      </c>
      <c r="B40" s="1634" t="s">
        <v>8817</v>
      </c>
      <c r="C40" s="1735">
        <v>0.05748842592592593</v>
      </c>
      <c r="D40" s="1526" t="s">
        <v>11224</v>
      </c>
      <c r="E40" s="1526" t="s">
        <v>11225</v>
      </c>
      <c r="F40" s="1515" t="s">
        <v>11226</v>
      </c>
      <c r="G40" s="1515" t="s">
        <v>11227</v>
      </c>
      <c r="H40" s="1515" t="s">
        <v>11228</v>
      </c>
      <c r="I40" s="1515" t="s">
        <v>11229</v>
      </c>
      <c r="J40" s="1515" t="s">
        <v>11230</v>
      </c>
      <c r="K40" s="1515" t="s">
        <v>11231</v>
      </c>
      <c r="L40" s="1515" t="s">
        <v>10813</v>
      </c>
      <c r="M40" s="1736">
        <v>0.06149305555555556</v>
      </c>
      <c r="N40" s="1737" t="str">
        <f t="shared" si="1"/>
        <v>5:46</v>
      </c>
      <c r="O40" s="1580" t="s">
        <v>10962</v>
      </c>
    </row>
    <row r="41" ht="15.75" customHeight="1">
      <c r="A41" s="927" t="s">
        <v>6508</v>
      </c>
      <c r="B41" s="1670" t="s">
        <v>10815</v>
      </c>
      <c r="C41" s="1767">
        <v>0.0609375</v>
      </c>
      <c r="D41" s="1678" t="s">
        <v>11232</v>
      </c>
      <c r="E41" s="1768" t="s">
        <v>8704</v>
      </c>
      <c r="F41" s="1768" t="s">
        <v>11233</v>
      </c>
      <c r="G41" s="1768" t="s">
        <v>11234</v>
      </c>
      <c r="H41" s="1768" t="s">
        <v>11235</v>
      </c>
      <c r="I41" s="1768" t="s">
        <v>8374</v>
      </c>
      <c r="J41" s="1768" t="s">
        <v>11236</v>
      </c>
      <c r="K41" s="1768" t="s">
        <v>11237</v>
      </c>
      <c r="L41" s="1768" t="s">
        <v>11238</v>
      </c>
      <c r="M41" s="1769">
        <v>0.06646990740740741</v>
      </c>
      <c r="N41" s="1768" t="s">
        <v>11239</v>
      </c>
      <c r="O41" s="1580" t="s">
        <v>11240</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10924</v>
      </c>
      <c r="D1" s="1796" t="s">
        <v>7660</v>
      </c>
      <c r="E1" s="1797" t="s">
        <v>7964</v>
      </c>
      <c r="F1" s="1798" t="s">
        <v>38</v>
      </c>
      <c r="G1" s="1799" t="s">
        <v>36</v>
      </c>
      <c r="H1" s="1795" t="s">
        <v>10925</v>
      </c>
      <c r="I1" s="1800" t="s">
        <v>39</v>
      </c>
      <c r="J1" s="1696" t="s">
        <v>7900</v>
      </c>
      <c r="K1" s="1436" t="s">
        <v>8785</v>
      </c>
      <c r="L1" s="1698" t="s">
        <v>8787</v>
      </c>
    </row>
    <row r="2" ht="15.75" customHeight="1">
      <c r="A2" s="1699" t="s">
        <v>8788</v>
      </c>
      <c r="B2" s="1700" t="s">
        <v>8789</v>
      </c>
      <c r="C2" s="1702" t="s">
        <v>11241</v>
      </c>
      <c r="D2" s="1801" t="s">
        <v>11242</v>
      </c>
      <c r="E2" s="1704" t="s">
        <v>11243</v>
      </c>
      <c r="F2" s="1802" t="s">
        <v>11244</v>
      </c>
      <c r="G2" s="1706" t="s">
        <v>11245</v>
      </c>
      <c r="H2" s="1702" t="s">
        <v>11246</v>
      </c>
      <c r="I2" s="1803" t="s">
        <v>11247</v>
      </c>
      <c r="J2" s="1709" t="s">
        <v>11248</v>
      </c>
      <c r="K2" s="1804" t="s">
        <v>8880</v>
      </c>
      <c r="L2" s="1805"/>
    </row>
    <row r="3" ht="15.75" customHeight="1">
      <c r="A3" s="1713" t="s">
        <v>8816</v>
      </c>
      <c r="B3" s="1714" t="s">
        <v>8817</v>
      </c>
      <c r="C3" s="1465" t="s">
        <v>11139</v>
      </c>
      <c r="D3" s="1473" t="s">
        <v>11249</v>
      </c>
      <c r="E3" s="1467" t="s">
        <v>11250</v>
      </c>
      <c r="F3" s="1468" t="s">
        <v>11251</v>
      </c>
      <c r="G3" s="1470" t="s">
        <v>11252</v>
      </c>
      <c r="H3" s="1465" t="s">
        <v>11253</v>
      </c>
      <c r="I3" s="1472" t="s">
        <v>11254</v>
      </c>
      <c r="J3" s="1475" t="s">
        <v>11255</v>
      </c>
      <c r="K3" s="1715">
        <v>0.053043981481481484</v>
      </c>
      <c r="L3" s="1806"/>
    </row>
    <row r="4" ht="15.75" customHeight="1">
      <c r="A4" s="1718" t="s">
        <v>8842</v>
      </c>
      <c r="B4" s="1719" t="s">
        <v>8843</v>
      </c>
      <c r="C4" s="1721" t="s">
        <v>11131</v>
      </c>
      <c r="D4" s="1807" t="s">
        <v>11256</v>
      </c>
      <c r="E4" s="1723" t="s">
        <v>11257</v>
      </c>
      <c r="F4" s="1724" t="s">
        <v>11258</v>
      </c>
      <c r="G4" s="1725" t="s">
        <v>11259</v>
      </c>
      <c r="H4" s="1721" t="s">
        <v>11260</v>
      </c>
      <c r="I4" s="1726" t="s">
        <v>11261</v>
      </c>
      <c r="J4" s="1727" t="s">
        <v>11262</v>
      </c>
      <c r="K4" s="1720">
        <v>0.053043981481481484</v>
      </c>
      <c r="L4" s="1805"/>
    </row>
    <row r="5" ht="15.75" customHeight="1">
      <c r="A5" s="927" t="s">
        <v>1059</v>
      </c>
      <c r="B5" s="1552" t="s">
        <v>8789</v>
      </c>
      <c r="C5" s="1731" t="s">
        <v>11241</v>
      </c>
      <c r="D5" s="1731" t="s">
        <v>11242</v>
      </c>
      <c r="E5" s="1731" t="s">
        <v>11243</v>
      </c>
      <c r="F5" s="1731" t="s">
        <v>11244</v>
      </c>
      <c r="G5" s="1808" t="s">
        <v>11245</v>
      </c>
      <c r="H5" s="1808" t="s">
        <v>11246</v>
      </c>
      <c r="I5" s="1808" t="s">
        <v>11247</v>
      </c>
      <c r="J5" s="1808" t="s">
        <v>11248</v>
      </c>
      <c r="K5" s="1809" t="s">
        <v>8880</v>
      </c>
      <c r="L5" s="1580" t="s">
        <v>11263</v>
      </c>
    </row>
    <row r="6" ht="15.75" customHeight="1">
      <c r="A6" s="1683" t="s">
        <v>1810</v>
      </c>
      <c r="B6" s="1810" t="s">
        <v>8789</v>
      </c>
      <c r="C6" s="1811" t="s">
        <v>10954</v>
      </c>
      <c r="D6" s="1812" t="s">
        <v>11264</v>
      </c>
      <c r="E6" s="1813" t="s">
        <v>11265</v>
      </c>
      <c r="F6" s="1814" t="s">
        <v>11266</v>
      </c>
      <c r="G6" s="1815" t="s">
        <v>11267</v>
      </c>
      <c r="H6" s="1816" t="s">
        <v>11268</v>
      </c>
      <c r="I6" s="1817" t="s">
        <v>11269</v>
      </c>
      <c r="J6" s="1818" t="s">
        <v>11270</v>
      </c>
      <c r="K6" s="1515" t="s">
        <v>8972</v>
      </c>
      <c r="L6" s="1819" t="s">
        <v>11271</v>
      </c>
    </row>
    <row r="7" ht="15.75" customHeight="1">
      <c r="A7" s="1820" t="s">
        <v>6576</v>
      </c>
      <c r="B7" s="1552" t="s">
        <v>8789</v>
      </c>
      <c r="C7" s="1659" t="s">
        <v>10977</v>
      </c>
      <c r="D7" s="1515" t="s">
        <v>11272</v>
      </c>
      <c r="E7" s="1515" t="s">
        <v>11273</v>
      </c>
      <c r="F7" s="1515" t="s">
        <v>11274</v>
      </c>
      <c r="G7" s="1821" t="s">
        <v>11275</v>
      </c>
      <c r="H7" s="1821" t="s">
        <v>11276</v>
      </c>
      <c r="I7" s="1821" t="s">
        <v>11277</v>
      </c>
      <c r="J7" s="1821" t="s">
        <v>11278</v>
      </c>
      <c r="K7" s="1515" t="s">
        <v>9040</v>
      </c>
      <c r="L7" s="1580"/>
    </row>
    <row r="8" ht="15.75" customHeight="1">
      <c r="A8" s="927" t="s">
        <v>2538</v>
      </c>
      <c r="B8" s="1552" t="s">
        <v>8789</v>
      </c>
      <c r="C8" s="1744" t="s">
        <v>10969</v>
      </c>
      <c r="D8" s="1732" t="s">
        <v>11279</v>
      </c>
      <c r="E8" s="1732" t="s">
        <v>11280</v>
      </c>
      <c r="F8" s="1732" t="s">
        <v>11281</v>
      </c>
      <c r="G8" s="1822" t="s">
        <v>11282</v>
      </c>
      <c r="H8" s="1823" t="s">
        <v>11283</v>
      </c>
      <c r="I8" s="1824" t="s">
        <v>11284</v>
      </c>
      <c r="J8" s="1825" t="s">
        <v>11285</v>
      </c>
      <c r="K8" s="1732" t="s">
        <v>8928</v>
      </c>
      <c r="L8" s="1580"/>
    </row>
    <row r="9" ht="15.75" customHeight="1">
      <c r="A9" s="1738" t="s">
        <v>437</v>
      </c>
      <c r="B9" s="1495" t="s">
        <v>8789</v>
      </c>
      <c r="C9" s="1659" t="s">
        <v>10963</v>
      </c>
      <c r="D9" s="1515" t="s">
        <v>11286</v>
      </c>
      <c r="E9" s="1515" t="s">
        <v>11287</v>
      </c>
      <c r="F9" s="1515" t="s">
        <v>11288</v>
      </c>
      <c r="G9" s="1821" t="s">
        <v>11289</v>
      </c>
      <c r="H9" s="1821" t="s">
        <v>11290</v>
      </c>
      <c r="I9" s="1821" t="s">
        <v>11291</v>
      </c>
      <c r="J9" s="1821" t="s">
        <v>11292</v>
      </c>
      <c r="K9" s="1515" t="s">
        <v>8903</v>
      </c>
      <c r="L9" s="1580"/>
    </row>
    <row r="10" ht="15.75" customHeight="1">
      <c r="A10" s="1683" t="s">
        <v>6685</v>
      </c>
      <c r="B10" s="1495" t="s">
        <v>8789</v>
      </c>
      <c r="C10" s="1515" t="s">
        <v>11293</v>
      </c>
      <c r="D10" s="1515" t="s">
        <v>11294</v>
      </c>
      <c r="E10" s="1515" t="s">
        <v>11295</v>
      </c>
      <c r="F10" s="1528" t="s">
        <v>11296</v>
      </c>
      <c r="G10" s="1826" t="s">
        <v>11297</v>
      </c>
      <c r="H10" s="1827" t="s">
        <v>11298</v>
      </c>
      <c r="I10" s="1828" t="s">
        <v>11299</v>
      </c>
      <c r="J10" s="783" t="s">
        <v>11300</v>
      </c>
      <c r="K10" s="1515" t="s">
        <v>8951</v>
      </c>
      <c r="L10" s="1580"/>
    </row>
    <row r="11" ht="15.75" customHeight="1">
      <c r="A11" s="927" t="s">
        <v>1555</v>
      </c>
      <c r="B11" s="1552" t="s">
        <v>8789</v>
      </c>
      <c r="C11" s="1829" t="s">
        <v>11011</v>
      </c>
      <c r="D11" s="1750" t="s">
        <v>11301</v>
      </c>
      <c r="E11" s="1750" t="s">
        <v>11302</v>
      </c>
      <c r="F11" s="1515" t="s">
        <v>11303</v>
      </c>
      <c r="G11" s="1830" t="s">
        <v>11304</v>
      </c>
      <c r="H11" s="1830" t="s">
        <v>11305</v>
      </c>
      <c r="I11" s="1830" t="s">
        <v>11306</v>
      </c>
      <c r="J11" s="1830" t="s">
        <v>11307</v>
      </c>
      <c r="K11" s="1765" t="s">
        <v>9204</v>
      </c>
      <c r="L11" s="1580" t="s">
        <v>11308</v>
      </c>
    </row>
    <row r="12" ht="15.75" customHeight="1">
      <c r="A12" s="1611" t="s">
        <v>827</v>
      </c>
      <c r="B12" s="1634" t="s">
        <v>8789</v>
      </c>
      <c r="C12" s="1831" t="s">
        <v>10993</v>
      </c>
      <c r="D12" s="1515" t="s">
        <v>11309</v>
      </c>
      <c r="E12" s="1515" t="s">
        <v>11310</v>
      </c>
      <c r="F12" s="1515" t="s">
        <v>11311</v>
      </c>
      <c r="G12" s="793" t="s">
        <v>11312</v>
      </c>
      <c r="H12" s="1811" t="s">
        <v>11313</v>
      </c>
      <c r="I12" s="1817" t="s">
        <v>11314</v>
      </c>
      <c r="J12" s="1818" t="s">
        <v>11315</v>
      </c>
      <c r="K12" s="1515" t="s">
        <v>11316</v>
      </c>
      <c r="L12" s="1580" t="s">
        <v>11317</v>
      </c>
    </row>
    <row r="13" ht="15.75" customHeight="1">
      <c r="A13" s="1687" t="s">
        <v>2086</v>
      </c>
      <c r="B13" s="1495" t="s">
        <v>8789</v>
      </c>
      <c r="C13" s="1829" t="s">
        <v>11020</v>
      </c>
      <c r="D13" s="1515" t="s">
        <v>11318</v>
      </c>
      <c r="E13" s="1515" t="s">
        <v>11319</v>
      </c>
      <c r="F13" s="1515" t="s">
        <v>11320</v>
      </c>
      <c r="G13" s="1821" t="s">
        <v>11321</v>
      </c>
      <c r="H13" s="1821" t="s">
        <v>11322</v>
      </c>
      <c r="I13" s="1821" t="s">
        <v>11323</v>
      </c>
      <c r="J13" s="1821" t="s">
        <v>11324</v>
      </c>
      <c r="K13" s="1515" t="s">
        <v>9182</v>
      </c>
      <c r="L13" s="1580"/>
    </row>
    <row r="14" ht="15.75" customHeight="1">
      <c r="A14" s="1738" t="s">
        <v>332</v>
      </c>
      <c r="B14" s="1495" t="s">
        <v>8789</v>
      </c>
      <c r="C14" s="1515" t="s">
        <v>11325</v>
      </c>
      <c r="D14" s="1515" t="s">
        <v>11326</v>
      </c>
      <c r="E14" s="1515" t="s">
        <v>11327</v>
      </c>
      <c r="F14" s="1515" t="s">
        <v>11328</v>
      </c>
      <c r="G14" s="793" t="s">
        <v>11329</v>
      </c>
      <c r="H14" s="1811" t="s">
        <v>11330</v>
      </c>
      <c r="I14" s="1817" t="s">
        <v>11331</v>
      </c>
      <c r="J14" s="1818" t="s">
        <v>11332</v>
      </c>
      <c r="K14" s="1515" t="s">
        <v>9019</v>
      </c>
      <c r="L14" s="1580"/>
    </row>
    <row r="15" ht="16.5" customHeight="1">
      <c r="A15" s="1755" t="s">
        <v>2702</v>
      </c>
      <c r="B15" s="1495" t="s">
        <v>8789</v>
      </c>
      <c r="C15" s="1515" t="s">
        <v>11038</v>
      </c>
      <c r="D15" s="1515" t="s">
        <v>11333</v>
      </c>
      <c r="E15" s="1515" t="s">
        <v>11334</v>
      </c>
      <c r="F15" s="1515" t="s">
        <v>11335</v>
      </c>
      <c r="G15" s="1821" t="s">
        <v>11336</v>
      </c>
      <c r="H15" s="1821" t="s">
        <v>11337</v>
      </c>
      <c r="I15" s="1821" t="s">
        <v>11338</v>
      </c>
      <c r="J15" s="1821" t="s">
        <v>11339</v>
      </c>
      <c r="K15" s="1515" t="s">
        <v>11340</v>
      </c>
      <c r="L15" s="1580" t="s">
        <v>11341</v>
      </c>
    </row>
    <row r="16" ht="15.0" customHeight="1">
      <c r="A16" s="1762" t="s">
        <v>1636</v>
      </c>
      <c r="B16" s="1626" t="s">
        <v>8789</v>
      </c>
      <c r="C16" s="1831" t="s">
        <v>11342</v>
      </c>
      <c r="D16" s="1515" t="s">
        <v>11343</v>
      </c>
      <c r="E16" s="1515" t="s">
        <v>11344</v>
      </c>
      <c r="F16" s="1515" t="s">
        <v>11345</v>
      </c>
      <c r="G16" s="793" t="s">
        <v>11346</v>
      </c>
      <c r="H16" s="1811" t="s">
        <v>11347</v>
      </c>
      <c r="I16" s="1817" t="s">
        <v>11348</v>
      </c>
      <c r="J16" s="1818" t="s">
        <v>11349</v>
      </c>
      <c r="K16" s="1515" t="s">
        <v>9479</v>
      </c>
      <c r="L16" s="1580"/>
    </row>
    <row r="17" ht="15.75" customHeight="1">
      <c r="A17" s="927" t="s">
        <v>6936</v>
      </c>
      <c r="B17" s="1495" t="s">
        <v>8789</v>
      </c>
      <c r="C17" s="1515" t="s">
        <v>11072</v>
      </c>
      <c r="D17" s="1515" t="s">
        <v>11350</v>
      </c>
      <c r="E17" s="1515" t="s">
        <v>11351</v>
      </c>
      <c r="F17" s="1515" t="s">
        <v>11352</v>
      </c>
      <c r="G17" s="1821" t="s">
        <v>11353</v>
      </c>
      <c r="H17" s="1821" t="s">
        <v>11354</v>
      </c>
      <c r="I17" s="1821" t="s">
        <v>11355</v>
      </c>
      <c r="J17" s="1821" t="s">
        <v>11356</v>
      </c>
      <c r="K17" s="1515" t="s">
        <v>9362</v>
      </c>
      <c r="L17" s="1580" t="s">
        <v>11357</v>
      </c>
    </row>
    <row r="18" ht="15.75" customHeight="1">
      <c r="A18" s="1738" t="s">
        <v>1417</v>
      </c>
      <c r="B18" s="1495" t="s">
        <v>8789</v>
      </c>
      <c r="C18" s="1515" t="s">
        <v>11358</v>
      </c>
      <c r="D18" s="1515" t="s">
        <v>11359</v>
      </c>
      <c r="E18" s="1515" t="s">
        <v>11360</v>
      </c>
      <c r="F18" s="1515" t="s">
        <v>11361</v>
      </c>
      <c r="G18" s="793" t="s">
        <v>11362</v>
      </c>
      <c r="H18" s="1811" t="s">
        <v>11363</v>
      </c>
      <c r="I18" s="1817" t="s">
        <v>11364</v>
      </c>
      <c r="J18" s="1818" t="s">
        <v>11365</v>
      </c>
      <c r="K18" s="1515" t="s">
        <v>9341</v>
      </c>
      <c r="L18" s="1580"/>
    </row>
    <row r="19" ht="15.75" customHeight="1">
      <c r="A19" s="927" t="s">
        <v>2264</v>
      </c>
      <c r="B19" s="1634" t="s">
        <v>8789</v>
      </c>
      <c r="C19" s="1831" t="s">
        <v>11046</v>
      </c>
      <c r="D19" s="1515" t="s">
        <v>11366</v>
      </c>
      <c r="E19" s="1515" t="s">
        <v>11367</v>
      </c>
      <c r="F19" s="1515" t="s">
        <v>11368</v>
      </c>
      <c r="G19" s="1821" t="s">
        <v>11369</v>
      </c>
      <c r="H19" s="1821" t="s">
        <v>11370</v>
      </c>
      <c r="I19" s="1821" t="s">
        <v>11371</v>
      </c>
      <c r="J19" s="1821" t="s">
        <v>11372</v>
      </c>
      <c r="K19" s="1515" t="s">
        <v>9247</v>
      </c>
      <c r="L19" s="1580" t="s">
        <v>11373</v>
      </c>
    </row>
    <row r="20" ht="15.75" customHeight="1">
      <c r="A20" s="1738" t="s">
        <v>900</v>
      </c>
      <c r="B20" s="1495" t="s">
        <v>8789</v>
      </c>
      <c r="C20" s="1515" t="s">
        <v>11374</v>
      </c>
      <c r="D20" s="1515" t="s">
        <v>11375</v>
      </c>
      <c r="E20" s="1515" t="s">
        <v>11376</v>
      </c>
      <c r="F20" s="1515" t="s">
        <v>11377</v>
      </c>
      <c r="G20" s="793" t="s">
        <v>11378</v>
      </c>
      <c r="H20" s="1811" t="s">
        <v>11379</v>
      </c>
      <c r="I20" s="1817" t="s">
        <v>11380</v>
      </c>
      <c r="J20" s="1818" t="s">
        <v>11381</v>
      </c>
      <c r="K20" s="1515" t="s">
        <v>9625</v>
      </c>
      <c r="L20" s="1580"/>
    </row>
    <row r="21" ht="15.75" customHeight="1">
      <c r="A21" s="927" t="s">
        <v>1725</v>
      </c>
      <c r="B21" s="1552" t="s">
        <v>8789</v>
      </c>
      <c r="C21" s="1515" t="s">
        <v>11382</v>
      </c>
      <c r="D21" s="1515" t="s">
        <v>11383</v>
      </c>
      <c r="E21" s="1765" t="s">
        <v>11384</v>
      </c>
      <c r="F21" s="1515" t="s">
        <v>11385</v>
      </c>
      <c r="G21" s="1821" t="s">
        <v>11386</v>
      </c>
      <c r="H21" s="1821" t="s">
        <v>11387</v>
      </c>
      <c r="I21" s="1821" t="s">
        <v>11388</v>
      </c>
      <c r="J21" s="1821" t="s">
        <v>11389</v>
      </c>
      <c r="K21" s="1515" t="s">
        <v>9387</v>
      </c>
      <c r="L21" s="1580"/>
    </row>
    <row r="22" ht="15.75" customHeight="1">
      <c r="A22" s="1683" t="s">
        <v>9249</v>
      </c>
      <c r="B22" s="1495" t="s">
        <v>8789</v>
      </c>
      <c r="C22" s="1515" t="s">
        <v>11082</v>
      </c>
      <c r="D22" s="1515" t="s">
        <v>11390</v>
      </c>
      <c r="E22" s="1515" t="s">
        <v>11391</v>
      </c>
      <c r="F22" s="1515" t="s">
        <v>11392</v>
      </c>
      <c r="G22" s="793" t="s">
        <v>11393</v>
      </c>
      <c r="H22" s="1811" t="s">
        <v>11394</v>
      </c>
      <c r="I22" s="1817" t="s">
        <v>11395</v>
      </c>
      <c r="J22" s="1818" t="s">
        <v>11396</v>
      </c>
      <c r="K22" s="1515" t="s">
        <v>9263</v>
      </c>
      <c r="L22" s="1580"/>
    </row>
    <row r="23">
      <c r="A23" s="1742" t="s">
        <v>2151</v>
      </c>
      <c r="B23" s="1634" t="s">
        <v>8817</v>
      </c>
      <c r="C23" s="1515" t="s">
        <v>11035</v>
      </c>
      <c r="D23" s="1515" t="s">
        <v>11397</v>
      </c>
      <c r="E23" s="1515" t="s">
        <v>11398</v>
      </c>
      <c r="F23" s="1515" t="s">
        <v>11399</v>
      </c>
      <c r="G23" s="1821" t="s">
        <v>11400</v>
      </c>
      <c r="H23" s="1821" t="s">
        <v>11401</v>
      </c>
      <c r="I23" s="1821" t="s">
        <v>11402</v>
      </c>
      <c r="J23" s="1821" t="s">
        <v>11403</v>
      </c>
      <c r="K23" s="1515" t="s">
        <v>11404</v>
      </c>
      <c r="L23" s="1580" t="s">
        <v>11405</v>
      </c>
    </row>
    <row r="24" ht="15.75" customHeight="1">
      <c r="A24" s="927" t="s">
        <v>740</v>
      </c>
      <c r="B24" s="1552" t="s">
        <v>8817</v>
      </c>
      <c r="C24" s="1515" t="s">
        <v>11406</v>
      </c>
      <c r="D24" s="1753" t="s">
        <v>11249</v>
      </c>
      <c r="E24" s="1753" t="s">
        <v>11250</v>
      </c>
      <c r="F24" s="1753" t="s">
        <v>11251</v>
      </c>
      <c r="G24" s="1832" t="s">
        <v>11252</v>
      </c>
      <c r="H24" s="1833" t="s">
        <v>11253</v>
      </c>
      <c r="I24" s="1834" t="s">
        <v>11254</v>
      </c>
      <c r="J24" s="1835" t="s">
        <v>11255</v>
      </c>
      <c r="K24" s="1753" t="s">
        <v>9225</v>
      </c>
      <c r="L24" s="1580" t="s">
        <v>11407</v>
      </c>
    </row>
    <row r="25" ht="15.75" customHeight="1">
      <c r="A25" s="1611" t="s">
        <v>1348</v>
      </c>
      <c r="B25" s="1552" t="s">
        <v>8843</v>
      </c>
      <c r="C25" s="1628" t="s">
        <v>11131</v>
      </c>
      <c r="D25" s="1628" t="s">
        <v>11256</v>
      </c>
      <c r="E25" s="1628" t="s">
        <v>11257</v>
      </c>
      <c r="F25" s="1628" t="s">
        <v>11258</v>
      </c>
      <c r="G25" s="1836" t="s">
        <v>11259</v>
      </c>
      <c r="H25" s="1836" t="s">
        <v>11260</v>
      </c>
      <c r="I25" s="1836" t="s">
        <v>11261</v>
      </c>
      <c r="J25" s="1836" t="s">
        <v>11262</v>
      </c>
      <c r="K25" s="1628" t="s">
        <v>9225</v>
      </c>
      <c r="L25" s="1580"/>
    </row>
    <row r="26" ht="16.5" customHeight="1">
      <c r="A26" s="1611" t="s">
        <v>11408</v>
      </c>
      <c r="B26" s="1552" t="s">
        <v>8789</v>
      </c>
      <c r="C26" s="1763" t="s">
        <v>11113</v>
      </c>
      <c r="D26" s="1515" t="s">
        <v>11409</v>
      </c>
      <c r="E26" s="1515" t="s">
        <v>11410</v>
      </c>
      <c r="F26" s="1515" t="s">
        <v>11411</v>
      </c>
      <c r="G26" s="793" t="s">
        <v>11393</v>
      </c>
      <c r="H26" s="1811" t="s">
        <v>11412</v>
      </c>
      <c r="I26" s="1817" t="s">
        <v>11413</v>
      </c>
      <c r="J26" s="1818" t="s">
        <v>11414</v>
      </c>
      <c r="K26" s="1515" t="s">
        <v>9786</v>
      </c>
      <c r="L26" s="1580"/>
    </row>
    <row r="27" ht="15.75" customHeight="1">
      <c r="A27" s="1611" t="s">
        <v>2983</v>
      </c>
      <c r="B27" s="1552" t="s">
        <v>8789</v>
      </c>
      <c r="C27" s="1515" t="s">
        <v>11415</v>
      </c>
      <c r="D27" s="1515" t="s">
        <v>11416</v>
      </c>
      <c r="E27" s="1515" t="s">
        <v>11417</v>
      </c>
      <c r="F27" s="1515" t="s">
        <v>11418</v>
      </c>
      <c r="G27" s="1821" t="s">
        <v>11419</v>
      </c>
      <c r="H27" s="1821" t="s">
        <v>11420</v>
      </c>
      <c r="I27" s="1821" t="s">
        <v>11421</v>
      </c>
      <c r="J27" s="1821" t="s">
        <v>11422</v>
      </c>
      <c r="K27" s="1515" t="s">
        <v>11423</v>
      </c>
      <c r="L27" s="1580" t="s">
        <v>11424</v>
      </c>
    </row>
    <row r="28">
      <c r="A28" s="1766" t="s">
        <v>3088</v>
      </c>
      <c r="B28" s="1747" t="s">
        <v>8817</v>
      </c>
      <c r="C28" s="1831" t="s">
        <v>11425</v>
      </c>
      <c r="D28" s="1515"/>
      <c r="E28" s="1515" t="s">
        <v>11426</v>
      </c>
      <c r="F28" s="1515" t="s">
        <v>11427</v>
      </c>
      <c r="G28" s="793"/>
      <c r="H28" s="1811"/>
      <c r="I28" s="1817"/>
      <c r="J28" s="1818"/>
      <c r="K28" s="1515" t="s">
        <v>9921</v>
      </c>
      <c r="L28" s="1580"/>
    </row>
    <row r="29" ht="15.75" customHeight="1">
      <c r="A29" s="1611" t="s">
        <v>2753</v>
      </c>
      <c r="B29" s="1552" t="s">
        <v>8789</v>
      </c>
      <c r="C29" s="1831" t="s">
        <v>11428</v>
      </c>
      <c r="D29" s="1515" t="s">
        <v>11429</v>
      </c>
      <c r="E29" s="1515" t="s">
        <v>11430</v>
      </c>
      <c r="F29" s="1515" t="s">
        <v>11431</v>
      </c>
      <c r="G29" s="1821" t="s">
        <v>11432</v>
      </c>
      <c r="H29" s="1821" t="s">
        <v>11433</v>
      </c>
      <c r="I29" s="1821" t="s">
        <v>11434</v>
      </c>
      <c r="J29" s="1821" t="s">
        <v>11435</v>
      </c>
      <c r="K29" s="1515" t="s">
        <v>9852</v>
      </c>
      <c r="L29" s="1580" t="s">
        <v>11436</v>
      </c>
    </row>
    <row r="30" ht="15.75" customHeight="1">
      <c r="A30" s="927" t="s">
        <v>2570</v>
      </c>
      <c r="B30" s="1626" t="s">
        <v>8817</v>
      </c>
      <c r="C30" s="1753" t="s">
        <v>11139</v>
      </c>
      <c r="D30" s="1515" t="s">
        <v>11437</v>
      </c>
      <c r="E30" s="1515" t="s">
        <v>11438</v>
      </c>
      <c r="F30" s="1515" t="s">
        <v>11439</v>
      </c>
      <c r="G30" s="793" t="s">
        <v>11440</v>
      </c>
      <c r="H30" s="1811" t="s">
        <v>11441</v>
      </c>
      <c r="I30" s="1817" t="s">
        <v>11442</v>
      </c>
      <c r="J30" s="1818" t="s">
        <v>11443</v>
      </c>
      <c r="K30" s="1515" t="s">
        <v>9763</v>
      </c>
      <c r="L30" s="1580"/>
    </row>
    <row r="31" ht="15.75" customHeight="1">
      <c r="A31" s="1611" t="s">
        <v>5238</v>
      </c>
      <c r="B31" s="1552" t="s">
        <v>8789</v>
      </c>
      <c r="C31" s="1831" t="s">
        <v>11444</v>
      </c>
      <c r="D31" s="1515" t="s">
        <v>11445</v>
      </c>
      <c r="E31" s="1515" t="s">
        <v>11446</v>
      </c>
      <c r="F31" s="1515" t="s">
        <v>11447</v>
      </c>
      <c r="G31" s="1821" t="s">
        <v>11448</v>
      </c>
      <c r="H31" s="1821" t="s">
        <v>11449</v>
      </c>
      <c r="I31" s="1821" t="s">
        <v>11450</v>
      </c>
      <c r="J31" s="1821" t="s">
        <v>11451</v>
      </c>
      <c r="K31" s="1515" t="s">
        <v>11452</v>
      </c>
      <c r="L31" s="1580" t="s">
        <v>11453</v>
      </c>
    </row>
    <row r="32" ht="15.75" customHeight="1">
      <c r="A32" s="1611" t="s">
        <v>4946</v>
      </c>
      <c r="B32" s="1552" t="s">
        <v>8817</v>
      </c>
      <c r="C32" s="1831" t="s">
        <v>11224</v>
      </c>
      <c r="D32" s="1515" t="s">
        <v>11454</v>
      </c>
      <c r="E32" s="1515" t="s">
        <v>11455</v>
      </c>
      <c r="F32" s="1515" t="s">
        <v>11456</v>
      </c>
      <c r="G32" s="793" t="s">
        <v>11457</v>
      </c>
      <c r="H32" s="1811" t="s">
        <v>11458</v>
      </c>
      <c r="I32" s="1817" t="s">
        <v>11459</v>
      </c>
      <c r="J32" s="1818" t="s">
        <v>11460</v>
      </c>
      <c r="K32" s="1515" t="s">
        <v>10814</v>
      </c>
      <c r="L32" s="1580" t="s">
        <v>11461</v>
      </c>
    </row>
    <row r="33" ht="15.75" customHeight="1">
      <c r="A33" s="927" t="s">
        <v>5788</v>
      </c>
      <c r="B33" s="1670" t="s">
        <v>10815</v>
      </c>
      <c r="C33" s="1837" t="s">
        <v>11462</v>
      </c>
      <c r="D33" s="1768" t="s">
        <v>11463</v>
      </c>
      <c r="E33" s="1768" t="s">
        <v>11464</v>
      </c>
      <c r="F33" s="1768" t="s">
        <v>11465</v>
      </c>
      <c r="G33" s="1838" t="s">
        <v>11466</v>
      </c>
      <c r="H33" s="1838" t="s">
        <v>11467</v>
      </c>
      <c r="I33" s="1838" t="s">
        <v>11468</v>
      </c>
      <c r="J33" s="1838" t="s">
        <v>11469</v>
      </c>
      <c r="K33" s="1768" t="s">
        <v>11470</v>
      </c>
      <c r="L33" s="1580" t="s">
        <v>11471</v>
      </c>
    </row>
    <row r="34" ht="15.75" customHeight="1">
      <c r="A34" s="1611" t="s">
        <v>6508</v>
      </c>
      <c r="B34" s="1670" t="s">
        <v>10815</v>
      </c>
      <c r="C34" s="1839" t="s">
        <v>11472</v>
      </c>
      <c r="D34" s="1840" t="s">
        <v>11473</v>
      </c>
      <c r="E34" s="1840" t="s">
        <v>11474</v>
      </c>
      <c r="F34" s="1840" t="s">
        <v>11475</v>
      </c>
      <c r="G34" s="1841" t="s">
        <v>11476</v>
      </c>
      <c r="K34" s="1840" t="s">
        <v>10892</v>
      </c>
      <c r="L34" s="1580" t="s">
        <v>11477</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11478</v>
      </c>
      <c r="C1" s="1852" t="s">
        <v>43</v>
      </c>
      <c r="D1" s="1853" t="s">
        <v>11479</v>
      </c>
      <c r="E1" s="1852" t="s">
        <v>11480</v>
      </c>
      <c r="F1" s="1854" t="s">
        <v>11481</v>
      </c>
    </row>
    <row r="2">
      <c r="A2" s="1855"/>
      <c r="B2" s="1856"/>
      <c r="C2" s="1856"/>
      <c r="D2" s="1856"/>
      <c r="E2" s="1856"/>
      <c r="F2" s="1856"/>
    </row>
    <row r="3">
      <c r="A3" s="1855"/>
      <c r="B3" s="1856"/>
      <c r="C3" s="1856"/>
      <c r="D3" s="1856"/>
      <c r="E3" s="1856"/>
      <c r="F3" s="1856"/>
    </row>
    <row r="4">
      <c r="A4" s="1857" t="s">
        <v>11482</v>
      </c>
      <c r="B4" s="1858" t="s">
        <v>11483</v>
      </c>
      <c r="C4" s="1859"/>
      <c r="D4" s="1859"/>
      <c r="E4" s="1859"/>
      <c r="F4" s="1860"/>
    </row>
    <row r="5">
      <c r="A5" s="1856"/>
      <c r="B5" s="1861"/>
      <c r="C5" s="1862"/>
      <c r="D5" s="1862"/>
      <c r="E5" s="1862"/>
      <c r="F5" s="1863"/>
    </row>
    <row r="6">
      <c r="A6" s="1864" t="s">
        <v>11483</v>
      </c>
      <c r="B6" s="1865" t="s">
        <v>11484</v>
      </c>
      <c r="C6" s="1866" t="s">
        <v>4339</v>
      </c>
      <c r="D6" s="1867" t="s">
        <v>11485</v>
      </c>
      <c r="E6" s="1866" t="s">
        <v>11486</v>
      </c>
      <c r="F6" s="1868">
        <v>44233.0</v>
      </c>
    </row>
    <row r="7">
      <c r="A7" s="1864" t="s">
        <v>11487</v>
      </c>
      <c r="B7" s="1869" t="s">
        <v>11488</v>
      </c>
      <c r="C7" s="1866" t="s">
        <v>900</v>
      </c>
      <c r="D7" s="1867" t="s">
        <v>11489</v>
      </c>
      <c r="E7" s="1866" t="s">
        <v>11486</v>
      </c>
      <c r="F7" s="1868">
        <v>43878.0</v>
      </c>
    </row>
    <row r="8">
      <c r="A8" s="1864" t="s">
        <v>11490</v>
      </c>
      <c r="B8" s="1870" t="s">
        <v>11491</v>
      </c>
      <c r="C8" s="1866" t="s">
        <v>332</v>
      </c>
      <c r="D8" s="1867" t="s">
        <v>11492</v>
      </c>
      <c r="E8" s="1866" t="s">
        <v>11486</v>
      </c>
      <c r="F8" s="1868">
        <v>43879.0</v>
      </c>
    </row>
    <row r="9">
      <c r="A9" s="1864" t="s">
        <v>11493</v>
      </c>
      <c r="B9" s="1871" t="s">
        <v>11494</v>
      </c>
      <c r="C9" s="1866" t="s">
        <v>4042</v>
      </c>
      <c r="D9" s="1867" t="s">
        <v>11495</v>
      </c>
      <c r="E9" s="1866" t="s">
        <v>11496</v>
      </c>
      <c r="F9" s="1868">
        <v>44084.0</v>
      </c>
    </row>
    <row r="10">
      <c r="A10" s="1864" t="s">
        <v>11497</v>
      </c>
      <c r="B10" s="1871" t="s">
        <v>11498</v>
      </c>
      <c r="C10" s="1872"/>
      <c r="D10" s="1873"/>
      <c r="E10" s="1872"/>
      <c r="F10" s="1872"/>
    </row>
    <row r="11">
      <c r="A11" s="1864" t="s">
        <v>11499</v>
      </c>
      <c r="B11" s="1858" t="s">
        <v>11487</v>
      </c>
      <c r="C11" s="1859"/>
      <c r="D11" s="1859"/>
      <c r="E11" s="1859"/>
      <c r="F11" s="1860"/>
    </row>
    <row r="12">
      <c r="A12" s="1864" t="s">
        <v>11500</v>
      </c>
      <c r="B12" s="1861"/>
      <c r="C12" s="1862"/>
      <c r="D12" s="1862"/>
      <c r="E12" s="1862"/>
      <c r="F12" s="1863"/>
    </row>
    <row r="13">
      <c r="A13" s="1864" t="s">
        <v>11501</v>
      </c>
      <c r="B13" s="1865" t="s">
        <v>11484</v>
      </c>
      <c r="C13" s="1866" t="s">
        <v>4339</v>
      </c>
      <c r="D13" s="1867" t="s">
        <v>11502</v>
      </c>
      <c r="E13" s="1866" t="s">
        <v>11486</v>
      </c>
      <c r="F13" s="1868">
        <v>44250.0</v>
      </c>
    </row>
    <row r="14" ht="15.75" customHeight="1">
      <c r="A14" s="1864" t="s">
        <v>11503</v>
      </c>
      <c r="B14" s="1869" t="s">
        <v>11488</v>
      </c>
      <c r="C14" s="1866" t="s">
        <v>4255</v>
      </c>
      <c r="D14" s="1867" t="s">
        <v>11504</v>
      </c>
      <c r="E14" s="1866" t="s">
        <v>11486</v>
      </c>
      <c r="F14" s="1868">
        <v>43364.0</v>
      </c>
    </row>
    <row r="15">
      <c r="A15" s="1864" t="s">
        <v>11505</v>
      </c>
      <c r="B15" s="1870" t="s">
        <v>11491</v>
      </c>
      <c r="C15" s="1866" t="s">
        <v>11506</v>
      </c>
      <c r="D15" s="1867" t="s">
        <v>11507</v>
      </c>
      <c r="E15" s="1866" t="s">
        <v>11496</v>
      </c>
      <c r="F15" s="1868">
        <v>43757.0</v>
      </c>
    </row>
    <row r="16">
      <c r="A16" s="1864" t="s">
        <v>11508</v>
      </c>
      <c r="B16" s="1871" t="s">
        <v>11494</v>
      </c>
      <c r="C16" s="1866" t="s">
        <v>11509</v>
      </c>
      <c r="D16" s="1867" t="s">
        <v>11510</v>
      </c>
      <c r="E16" s="1866" t="s">
        <v>11496</v>
      </c>
      <c r="F16" s="1868">
        <v>43438.0</v>
      </c>
    </row>
    <row r="17">
      <c r="A17" s="1864" t="s">
        <v>11511</v>
      </c>
      <c r="B17" s="1871" t="s">
        <v>11498</v>
      </c>
      <c r="C17" s="1872"/>
      <c r="D17" s="1873"/>
      <c r="E17" s="1872"/>
      <c r="F17" s="1872"/>
    </row>
    <row r="18">
      <c r="A18" s="1864" t="s">
        <v>11512</v>
      </c>
      <c r="B18" s="1874" t="s">
        <v>11490</v>
      </c>
      <c r="C18" s="1859"/>
      <c r="D18" s="1859"/>
      <c r="E18" s="1859"/>
      <c r="F18" s="1860"/>
    </row>
    <row r="19">
      <c r="A19" s="1864" t="s">
        <v>11513</v>
      </c>
      <c r="B19" s="1862"/>
      <c r="C19" s="1862"/>
      <c r="D19" s="1862"/>
      <c r="E19" s="1862"/>
      <c r="F19" s="1863"/>
    </row>
    <row r="20">
      <c r="A20" s="1875"/>
      <c r="B20" s="1865" t="s">
        <v>11484</v>
      </c>
      <c r="C20" s="1866" t="s">
        <v>11514</v>
      </c>
      <c r="D20" s="1867" t="s">
        <v>11515</v>
      </c>
      <c r="E20" s="1866" t="s">
        <v>11486</v>
      </c>
      <c r="F20" s="1868">
        <v>44021.0</v>
      </c>
    </row>
    <row r="21">
      <c r="A21" s="1875"/>
      <c r="B21" s="1869" t="s">
        <v>11488</v>
      </c>
      <c r="C21" s="1866" t="s">
        <v>5301</v>
      </c>
      <c r="D21" s="1867" t="s">
        <v>11516</v>
      </c>
      <c r="E21" s="1866" t="s">
        <v>11496</v>
      </c>
      <c r="F21" s="1868">
        <v>44022.0</v>
      </c>
    </row>
    <row r="22">
      <c r="A22" s="1876"/>
      <c r="B22" s="1870" t="s">
        <v>11491</v>
      </c>
      <c r="C22" s="1866" t="s">
        <v>11517</v>
      </c>
      <c r="D22" s="1867" t="s">
        <v>11518</v>
      </c>
      <c r="E22" s="1866" t="s">
        <v>11519</v>
      </c>
      <c r="F22" s="1868">
        <v>43884.0</v>
      </c>
    </row>
    <row r="23">
      <c r="A23" s="1876"/>
      <c r="B23" s="1871" t="s">
        <v>11494</v>
      </c>
      <c r="C23" s="1866" t="s">
        <v>5238</v>
      </c>
      <c r="D23" s="1867" t="s">
        <v>11520</v>
      </c>
      <c r="E23" s="1866" t="s">
        <v>11486</v>
      </c>
      <c r="F23" s="1868">
        <v>43892.0</v>
      </c>
    </row>
    <row r="24">
      <c r="A24" s="1876"/>
      <c r="B24" s="1871" t="s">
        <v>11498</v>
      </c>
      <c r="C24" s="1872"/>
      <c r="D24" s="1873"/>
      <c r="E24" s="1872"/>
      <c r="F24" s="1872"/>
    </row>
    <row r="25">
      <c r="A25" s="1876"/>
      <c r="B25" s="1858" t="s">
        <v>11493</v>
      </c>
      <c r="C25" s="1859"/>
      <c r="D25" s="1859"/>
      <c r="E25" s="1859"/>
      <c r="F25" s="1860"/>
    </row>
    <row r="26">
      <c r="A26" s="1876"/>
      <c r="B26" s="1861"/>
      <c r="C26" s="1862"/>
      <c r="D26" s="1862"/>
      <c r="E26" s="1862"/>
      <c r="F26" s="1863"/>
    </row>
    <row r="27">
      <c r="A27" s="1876"/>
      <c r="B27" s="1877" t="s">
        <v>11521</v>
      </c>
      <c r="C27" s="1859"/>
      <c r="D27" s="1859"/>
      <c r="E27" s="1859"/>
      <c r="F27" s="1860"/>
    </row>
    <row r="28">
      <c r="A28" s="1876"/>
      <c r="B28" s="1861"/>
      <c r="C28" s="1862"/>
      <c r="D28" s="1862"/>
      <c r="E28" s="1862"/>
      <c r="F28" s="1863"/>
    </row>
    <row r="29">
      <c r="A29" s="1876"/>
      <c r="B29" s="1865" t="s">
        <v>11484</v>
      </c>
      <c r="C29" s="1878" t="s">
        <v>437</v>
      </c>
      <c r="D29" s="1867" t="s">
        <v>11522</v>
      </c>
      <c r="E29" s="1866" t="s">
        <v>11486</v>
      </c>
      <c r="F29" s="1868">
        <v>43659.0</v>
      </c>
    </row>
    <row r="30">
      <c r="A30" s="1876"/>
      <c r="B30" s="1869" t="s">
        <v>11488</v>
      </c>
      <c r="C30" s="1866" t="s">
        <v>1636</v>
      </c>
      <c r="D30" s="1867" t="s">
        <v>11523</v>
      </c>
      <c r="E30" s="1866" t="s">
        <v>11486</v>
      </c>
      <c r="F30" s="1868">
        <v>43228.0</v>
      </c>
    </row>
    <row r="31">
      <c r="A31" s="1876"/>
      <c r="B31" s="1870" t="s">
        <v>11491</v>
      </c>
      <c r="C31" s="1872"/>
      <c r="D31" s="1879"/>
      <c r="E31" s="1872"/>
      <c r="F31" s="1872"/>
    </row>
    <row r="32">
      <c r="A32" s="1876"/>
      <c r="B32" s="1871" t="s">
        <v>11494</v>
      </c>
      <c r="C32" s="1872"/>
      <c r="D32" s="1879"/>
      <c r="E32" s="1872"/>
      <c r="F32" s="1872"/>
    </row>
    <row r="33">
      <c r="A33" s="1876"/>
      <c r="B33" s="1871" t="s">
        <v>11498</v>
      </c>
      <c r="C33" s="1872"/>
      <c r="D33" s="1879"/>
      <c r="E33" s="1872"/>
      <c r="F33" s="1872"/>
    </row>
    <row r="34">
      <c r="A34" s="1876"/>
      <c r="B34" s="1877" t="s">
        <v>11524</v>
      </c>
      <c r="C34" s="1859"/>
      <c r="D34" s="1859"/>
      <c r="E34" s="1859"/>
      <c r="F34" s="1860"/>
    </row>
    <row r="35">
      <c r="A35" s="1876"/>
      <c r="B35" s="1861"/>
      <c r="C35" s="1862"/>
      <c r="D35" s="1862"/>
      <c r="E35" s="1862"/>
      <c r="F35" s="1863"/>
    </row>
    <row r="36">
      <c r="A36" s="1876"/>
      <c r="B36" s="1865" t="s">
        <v>11484</v>
      </c>
      <c r="C36" s="1866" t="s">
        <v>1636</v>
      </c>
      <c r="D36" s="1867" t="s">
        <v>11525</v>
      </c>
      <c r="E36" s="1866" t="s">
        <v>11486</v>
      </c>
      <c r="F36" s="1868">
        <v>43352.0</v>
      </c>
    </row>
    <row r="37">
      <c r="A37" s="1876"/>
      <c r="B37" s="1869" t="s">
        <v>11488</v>
      </c>
      <c r="C37" s="1866" t="s">
        <v>11526</v>
      </c>
      <c r="D37" s="1867" t="s">
        <v>11527</v>
      </c>
      <c r="E37" s="1866" t="s">
        <v>11486</v>
      </c>
      <c r="F37" s="1868">
        <v>43799.0</v>
      </c>
    </row>
    <row r="38">
      <c r="A38" s="1876"/>
      <c r="B38" s="1870" t="s">
        <v>11491</v>
      </c>
      <c r="C38" s="1872"/>
      <c r="D38" s="1873"/>
      <c r="E38" s="1872"/>
      <c r="F38" s="1872"/>
    </row>
    <row r="39">
      <c r="A39" s="1876"/>
      <c r="B39" s="1871" t="s">
        <v>11494</v>
      </c>
      <c r="C39" s="1872"/>
      <c r="D39" s="1873"/>
      <c r="E39" s="1872"/>
      <c r="F39" s="1872"/>
    </row>
    <row r="40">
      <c r="A40" s="1876"/>
      <c r="B40" s="1871" t="s">
        <v>11498</v>
      </c>
      <c r="C40" s="1872"/>
      <c r="D40" s="1873"/>
      <c r="E40" s="1872"/>
      <c r="F40" s="1872"/>
    </row>
    <row r="41">
      <c r="A41" s="1876"/>
      <c r="B41" s="1858" t="s">
        <v>11497</v>
      </c>
      <c r="C41" s="1859"/>
      <c r="D41" s="1859"/>
      <c r="E41" s="1859"/>
      <c r="F41" s="1860"/>
    </row>
    <row r="42">
      <c r="A42" s="1876"/>
      <c r="B42" s="1861"/>
      <c r="C42" s="1862"/>
      <c r="D42" s="1862"/>
      <c r="E42" s="1862"/>
      <c r="F42" s="1863"/>
    </row>
    <row r="43">
      <c r="A43" s="1876"/>
      <c r="B43" s="1865" t="s">
        <v>11484</v>
      </c>
      <c r="C43" s="1866" t="s">
        <v>6658</v>
      </c>
      <c r="D43" s="1880" t="s">
        <v>11528</v>
      </c>
      <c r="E43" s="1866" t="s">
        <v>11486</v>
      </c>
      <c r="F43" s="1881">
        <v>44511.0</v>
      </c>
    </row>
    <row r="44">
      <c r="A44" s="1876"/>
      <c r="B44" s="1869" t="s">
        <v>11488</v>
      </c>
      <c r="C44" s="1866" t="s">
        <v>11526</v>
      </c>
      <c r="D44" s="1880" t="s">
        <v>11529</v>
      </c>
      <c r="E44" s="1866" t="s">
        <v>11486</v>
      </c>
      <c r="F44" s="1881">
        <v>43740.0</v>
      </c>
    </row>
    <row r="45">
      <c r="A45" s="1876"/>
      <c r="B45" s="1870" t="s">
        <v>11491</v>
      </c>
      <c r="C45" s="1866" t="s">
        <v>10505</v>
      </c>
      <c r="D45" s="1880" t="s">
        <v>11530</v>
      </c>
      <c r="E45" s="1866" t="s">
        <v>11486</v>
      </c>
      <c r="F45" s="1881">
        <v>42098.0</v>
      </c>
    </row>
    <row r="46">
      <c r="A46" s="1876"/>
      <c r="B46" s="1871" t="s">
        <v>11494</v>
      </c>
      <c r="C46" s="1866"/>
      <c r="D46" s="1880"/>
      <c r="E46" s="1866"/>
      <c r="F46" s="1881"/>
    </row>
    <row r="47">
      <c r="A47" s="1876"/>
      <c r="B47" s="1871" t="s">
        <v>11498</v>
      </c>
      <c r="C47" s="1872"/>
      <c r="D47" s="1882"/>
      <c r="E47" s="1872"/>
      <c r="F47" s="1876"/>
    </row>
    <row r="48">
      <c r="A48" s="1876"/>
      <c r="B48" s="1858" t="s">
        <v>11499</v>
      </c>
      <c r="C48" s="1859"/>
      <c r="D48" s="1859"/>
      <c r="E48" s="1859"/>
      <c r="F48" s="1860"/>
    </row>
    <row r="49">
      <c r="A49" s="1876"/>
      <c r="B49" s="1861"/>
      <c r="C49" s="1862"/>
      <c r="D49" s="1862"/>
      <c r="E49" s="1862"/>
      <c r="F49" s="1863"/>
    </row>
    <row r="50">
      <c r="A50" s="1876"/>
      <c r="B50" s="1865" t="s">
        <v>11484</v>
      </c>
      <c r="C50" s="1866" t="s">
        <v>11531</v>
      </c>
      <c r="D50" s="1880" t="s">
        <v>11532</v>
      </c>
      <c r="E50" s="1866" t="s">
        <v>11533</v>
      </c>
      <c r="F50" s="1881">
        <v>43395.0</v>
      </c>
    </row>
    <row r="51">
      <c r="A51" s="1876"/>
      <c r="B51" s="1869" t="s">
        <v>11488</v>
      </c>
      <c r="C51" s="1866" t="s">
        <v>2264</v>
      </c>
      <c r="D51" s="1880" t="s">
        <v>11534</v>
      </c>
      <c r="E51" s="1866" t="s">
        <v>11496</v>
      </c>
      <c r="F51" s="1881">
        <v>43376.0</v>
      </c>
    </row>
    <row r="52">
      <c r="A52" s="1876"/>
      <c r="B52" s="1870" t="s">
        <v>11491</v>
      </c>
      <c r="C52" s="1872"/>
      <c r="D52" s="1882"/>
      <c r="E52" s="1872"/>
      <c r="F52" s="1876"/>
    </row>
    <row r="53">
      <c r="A53" s="1876"/>
      <c r="B53" s="1871" t="s">
        <v>11494</v>
      </c>
      <c r="C53" s="1872"/>
      <c r="D53" s="1882"/>
      <c r="E53" s="1872"/>
      <c r="F53" s="1876"/>
    </row>
    <row r="54">
      <c r="A54" s="1876"/>
      <c r="B54" s="1871" t="s">
        <v>11498</v>
      </c>
      <c r="C54" s="1872"/>
      <c r="D54" s="1882"/>
      <c r="E54" s="1872"/>
      <c r="F54" s="1876"/>
    </row>
    <row r="55">
      <c r="A55" s="1876"/>
      <c r="B55" s="1858" t="s">
        <v>11500</v>
      </c>
      <c r="C55" s="1859"/>
      <c r="D55" s="1859"/>
      <c r="E55" s="1859"/>
      <c r="F55" s="1860"/>
    </row>
    <row r="56">
      <c r="A56" s="1876"/>
      <c r="B56" s="1861"/>
      <c r="C56" s="1862"/>
      <c r="D56" s="1862"/>
      <c r="E56" s="1862"/>
      <c r="F56" s="1863"/>
    </row>
    <row r="57">
      <c r="A57" s="1876"/>
      <c r="B57" s="1883" t="s">
        <v>11535</v>
      </c>
      <c r="C57" s="1859"/>
      <c r="D57" s="1859"/>
      <c r="E57" s="1859"/>
      <c r="F57" s="1860"/>
    </row>
    <row r="58">
      <c r="A58" s="1876"/>
      <c r="B58" s="1861"/>
      <c r="C58" s="1862"/>
      <c r="D58" s="1862"/>
      <c r="E58" s="1862"/>
      <c r="F58" s="1863"/>
    </row>
    <row r="59">
      <c r="A59" s="1876"/>
      <c r="B59" s="1865" t="s">
        <v>11484</v>
      </c>
      <c r="C59" s="1884" t="s">
        <v>437</v>
      </c>
      <c r="D59" s="1880" t="s">
        <v>11536</v>
      </c>
      <c r="E59" s="1866" t="s">
        <v>11486</v>
      </c>
      <c r="F59" s="1881">
        <v>43758.0</v>
      </c>
    </row>
    <row r="60">
      <c r="A60" s="1876"/>
      <c r="B60" s="1869" t="s">
        <v>11488</v>
      </c>
      <c r="C60" s="1872"/>
      <c r="D60" s="1882"/>
      <c r="E60" s="1872"/>
      <c r="F60" s="1876"/>
    </row>
    <row r="61">
      <c r="A61" s="1876"/>
      <c r="B61" s="1870" t="s">
        <v>11491</v>
      </c>
      <c r="C61" s="1872"/>
      <c r="D61" s="1882"/>
      <c r="E61" s="1872"/>
      <c r="F61" s="1876"/>
    </row>
    <row r="62">
      <c r="A62" s="1876"/>
      <c r="B62" s="1871" t="s">
        <v>11494</v>
      </c>
      <c r="C62" s="1872"/>
      <c r="D62" s="1882"/>
      <c r="E62" s="1872"/>
      <c r="F62" s="1876"/>
    </row>
    <row r="63">
      <c r="A63" s="1876"/>
      <c r="B63" s="1871" t="s">
        <v>11498</v>
      </c>
      <c r="C63" s="1872"/>
      <c r="D63" s="1882"/>
      <c r="E63" s="1872"/>
      <c r="F63" s="1876"/>
    </row>
    <row r="64">
      <c r="A64" s="1876"/>
      <c r="B64" s="1883" t="s">
        <v>11524</v>
      </c>
      <c r="C64" s="1859"/>
      <c r="D64" s="1859"/>
      <c r="E64" s="1859"/>
      <c r="F64" s="1860"/>
    </row>
    <row r="65">
      <c r="A65" s="1876"/>
      <c r="B65" s="1861"/>
      <c r="C65" s="1862"/>
      <c r="D65" s="1862"/>
      <c r="E65" s="1862"/>
      <c r="F65" s="1863"/>
    </row>
    <row r="66">
      <c r="A66" s="1876"/>
      <c r="B66" s="1865" t="s">
        <v>11484</v>
      </c>
      <c r="C66" s="1866" t="s">
        <v>11537</v>
      </c>
      <c r="D66" s="1885" t="s">
        <v>11538</v>
      </c>
      <c r="E66" s="1866" t="s">
        <v>11486</v>
      </c>
      <c r="F66" s="1881">
        <v>44805.0</v>
      </c>
    </row>
    <row r="67">
      <c r="A67" s="1876"/>
      <c r="B67" s="1869" t="s">
        <v>11488</v>
      </c>
      <c r="C67" s="1866" t="s">
        <v>11539</v>
      </c>
      <c r="D67" s="1880" t="s">
        <v>11540</v>
      </c>
      <c r="E67" s="1866" t="s">
        <v>11486</v>
      </c>
      <c r="F67" s="1881">
        <v>43307.0</v>
      </c>
    </row>
    <row r="68">
      <c r="A68" s="1876"/>
      <c r="B68" s="1870" t="s">
        <v>11491</v>
      </c>
      <c r="C68" s="1872"/>
      <c r="D68" s="1882"/>
      <c r="E68" s="1872"/>
      <c r="F68" s="1876"/>
    </row>
    <row r="69">
      <c r="A69" s="1876"/>
      <c r="B69" s="1871" t="s">
        <v>11494</v>
      </c>
      <c r="C69" s="1872"/>
      <c r="D69" s="1882"/>
      <c r="E69" s="1872"/>
      <c r="F69" s="1876"/>
    </row>
    <row r="70">
      <c r="A70" s="1876"/>
      <c r="B70" s="1871" t="s">
        <v>11498</v>
      </c>
      <c r="C70" s="1872"/>
      <c r="D70" s="1882"/>
      <c r="E70" s="1872"/>
      <c r="F70" s="1876"/>
    </row>
    <row r="71">
      <c r="A71" s="1876"/>
      <c r="B71" s="1858" t="s">
        <v>11501</v>
      </c>
      <c r="C71" s="1859"/>
      <c r="D71" s="1859"/>
      <c r="E71" s="1859"/>
      <c r="F71" s="1860"/>
    </row>
    <row r="72">
      <c r="A72" s="1876"/>
      <c r="B72" s="1861"/>
      <c r="C72" s="1862"/>
      <c r="D72" s="1862"/>
      <c r="E72" s="1862"/>
      <c r="F72" s="1863"/>
    </row>
    <row r="73">
      <c r="A73" s="1876"/>
      <c r="B73" s="1883" t="s">
        <v>11541</v>
      </c>
      <c r="C73" s="1859"/>
      <c r="D73" s="1859"/>
      <c r="E73" s="1859"/>
      <c r="F73" s="1860"/>
    </row>
    <row r="74">
      <c r="A74" s="1876"/>
      <c r="B74" s="1861"/>
      <c r="C74" s="1862"/>
      <c r="D74" s="1862"/>
      <c r="E74" s="1862"/>
      <c r="F74" s="1863"/>
    </row>
    <row r="75">
      <c r="A75" s="1876"/>
      <c r="B75" s="1865" t="s">
        <v>11484</v>
      </c>
      <c r="C75" s="1866" t="s">
        <v>4339</v>
      </c>
      <c r="D75" s="1880" t="s">
        <v>11542</v>
      </c>
      <c r="E75" s="1866" t="s">
        <v>11486</v>
      </c>
      <c r="F75" s="1881">
        <v>44246.0</v>
      </c>
    </row>
    <row r="76">
      <c r="A76" s="1876"/>
      <c r="B76" s="1869" t="s">
        <v>11488</v>
      </c>
      <c r="C76" s="1866" t="s">
        <v>11531</v>
      </c>
      <c r="D76" s="1880" t="s">
        <v>11543</v>
      </c>
      <c r="E76" s="1866" t="s">
        <v>11533</v>
      </c>
      <c r="F76" s="1881">
        <v>43637.0</v>
      </c>
    </row>
    <row r="77">
      <c r="A77" s="1876"/>
      <c r="B77" s="1870" t="s">
        <v>11491</v>
      </c>
      <c r="C77" s="1872"/>
      <c r="D77" s="1882"/>
      <c r="E77" s="1872"/>
      <c r="F77" s="1876"/>
    </row>
    <row r="78">
      <c r="A78" s="1876"/>
      <c r="B78" s="1871" t="s">
        <v>11494</v>
      </c>
      <c r="C78" s="1872"/>
      <c r="D78" s="1882"/>
      <c r="E78" s="1872"/>
      <c r="F78" s="1876"/>
    </row>
    <row r="79">
      <c r="A79" s="1876"/>
      <c r="B79" s="1871" t="s">
        <v>11498</v>
      </c>
      <c r="C79" s="1872"/>
      <c r="D79" s="1882"/>
      <c r="E79" s="1872"/>
      <c r="F79" s="1876"/>
    </row>
    <row r="80">
      <c r="A80" s="1876"/>
      <c r="B80" s="1883" t="s">
        <v>11544</v>
      </c>
      <c r="C80" s="1859"/>
      <c r="D80" s="1859"/>
      <c r="E80" s="1859"/>
      <c r="F80" s="1860"/>
    </row>
    <row r="81">
      <c r="A81" s="1876"/>
      <c r="B81" s="1861"/>
      <c r="C81" s="1862"/>
      <c r="D81" s="1862"/>
      <c r="E81" s="1862"/>
      <c r="F81" s="1863"/>
    </row>
    <row r="82">
      <c r="A82" s="1876"/>
      <c r="B82" s="1865" t="s">
        <v>11484</v>
      </c>
      <c r="C82" s="1866" t="s">
        <v>6377</v>
      </c>
      <c r="D82" s="1880" t="s">
        <v>11545</v>
      </c>
      <c r="E82" s="1866" t="s">
        <v>11486</v>
      </c>
      <c r="F82" s="1881">
        <v>43592.0</v>
      </c>
    </row>
    <row r="83">
      <c r="A83" s="1876"/>
      <c r="B83" s="1869" t="s">
        <v>11488</v>
      </c>
      <c r="C83" s="1866" t="s">
        <v>11546</v>
      </c>
      <c r="D83" s="1880" t="s">
        <v>11547</v>
      </c>
      <c r="E83" s="1866" t="s">
        <v>11486</v>
      </c>
      <c r="F83" s="1881">
        <v>43396.0</v>
      </c>
    </row>
    <row r="84">
      <c r="A84" s="1876"/>
      <c r="B84" s="1870" t="s">
        <v>11491</v>
      </c>
      <c r="C84" s="1872"/>
      <c r="D84" s="1882"/>
      <c r="E84" s="1872"/>
      <c r="F84" s="1876"/>
    </row>
    <row r="85">
      <c r="A85" s="1876"/>
      <c r="B85" s="1871" t="s">
        <v>11494</v>
      </c>
      <c r="C85" s="1872"/>
      <c r="D85" s="1882"/>
      <c r="E85" s="1872"/>
      <c r="F85" s="1876"/>
    </row>
    <row r="86">
      <c r="A86" s="1876"/>
      <c r="B86" s="1871" t="s">
        <v>11498</v>
      </c>
      <c r="C86" s="1872"/>
      <c r="D86" s="1882"/>
      <c r="E86" s="1872"/>
      <c r="F86" s="1876"/>
    </row>
    <row r="87">
      <c r="A87" s="1876"/>
      <c r="B87" s="1858" t="s">
        <v>11503</v>
      </c>
      <c r="C87" s="1859"/>
      <c r="D87" s="1859"/>
      <c r="E87" s="1859"/>
      <c r="F87" s="1860"/>
    </row>
    <row r="88">
      <c r="A88" s="1876"/>
      <c r="B88" s="1861"/>
      <c r="C88" s="1862"/>
      <c r="D88" s="1862"/>
      <c r="E88" s="1862"/>
      <c r="F88" s="1863"/>
    </row>
    <row r="89">
      <c r="A89" s="1876"/>
      <c r="B89" s="1865" t="s">
        <v>11484</v>
      </c>
      <c r="C89" s="1884" t="s">
        <v>437</v>
      </c>
      <c r="D89" s="1880" t="s">
        <v>11548</v>
      </c>
      <c r="E89" s="1866" t="s">
        <v>11486</v>
      </c>
      <c r="F89" s="1881">
        <v>43457.0</v>
      </c>
    </row>
    <row r="90">
      <c r="A90" s="1876"/>
      <c r="B90" s="1869" t="s">
        <v>11488</v>
      </c>
      <c r="C90" s="1866" t="s">
        <v>2456</v>
      </c>
      <c r="D90" s="1880" t="s">
        <v>11549</v>
      </c>
      <c r="E90" s="1866" t="s">
        <v>11486</v>
      </c>
      <c r="F90" s="1881">
        <v>43925.0</v>
      </c>
    </row>
    <row r="91">
      <c r="A91" s="1876"/>
      <c r="B91" s="1870" t="s">
        <v>11491</v>
      </c>
      <c r="C91" s="1866" t="s">
        <v>4792</v>
      </c>
      <c r="D91" s="1880" t="s">
        <v>11550</v>
      </c>
      <c r="E91" s="1866" t="s">
        <v>11519</v>
      </c>
      <c r="F91" s="1881">
        <v>43433.0</v>
      </c>
    </row>
    <row r="92">
      <c r="A92" s="1876"/>
      <c r="B92" s="1871" t="s">
        <v>11494</v>
      </c>
      <c r="C92" s="1872"/>
      <c r="D92" s="1882"/>
      <c r="E92" s="1872"/>
      <c r="F92" s="1876"/>
    </row>
    <row r="93">
      <c r="A93" s="1876"/>
      <c r="B93" s="1871" t="s">
        <v>11498</v>
      </c>
      <c r="C93" s="1872"/>
      <c r="D93" s="1882"/>
      <c r="E93" s="1872"/>
      <c r="F93" s="1876"/>
    </row>
    <row r="94">
      <c r="A94" s="1876"/>
      <c r="B94" s="1858" t="s">
        <v>11505</v>
      </c>
      <c r="C94" s="1859"/>
      <c r="D94" s="1859"/>
      <c r="E94" s="1859"/>
      <c r="F94" s="1860"/>
    </row>
    <row r="95">
      <c r="A95" s="1876"/>
      <c r="B95" s="1861"/>
      <c r="C95" s="1862"/>
      <c r="D95" s="1862"/>
      <c r="E95" s="1862"/>
      <c r="F95" s="1863"/>
    </row>
    <row r="96">
      <c r="A96" s="1876"/>
      <c r="B96" s="1883" t="s">
        <v>11551</v>
      </c>
      <c r="C96" s="1859"/>
      <c r="D96" s="1859"/>
      <c r="E96" s="1859"/>
      <c r="F96" s="1860"/>
    </row>
    <row r="97">
      <c r="A97" s="1876"/>
      <c r="B97" s="1861"/>
      <c r="C97" s="1862"/>
      <c r="D97" s="1862"/>
      <c r="E97" s="1862"/>
      <c r="F97" s="1863"/>
    </row>
    <row r="98">
      <c r="A98" s="1876"/>
      <c r="B98" s="1865" t="s">
        <v>11484</v>
      </c>
      <c r="C98" s="1866" t="s">
        <v>11526</v>
      </c>
      <c r="D98" s="1880" t="s">
        <v>11552</v>
      </c>
      <c r="E98" s="1866" t="s">
        <v>11486</v>
      </c>
      <c r="F98" s="1881">
        <v>43862.0</v>
      </c>
    </row>
    <row r="99">
      <c r="A99" s="1876"/>
      <c r="B99" s="1869" t="s">
        <v>11488</v>
      </c>
      <c r="C99" s="1872"/>
      <c r="D99" s="1882"/>
      <c r="E99" s="1872"/>
      <c r="F99" s="1876"/>
    </row>
    <row r="100">
      <c r="A100" s="1876"/>
      <c r="B100" s="1870" t="s">
        <v>11491</v>
      </c>
      <c r="C100" s="1872"/>
      <c r="D100" s="1882"/>
      <c r="E100" s="1872"/>
      <c r="F100" s="1876"/>
    </row>
    <row r="101">
      <c r="A101" s="1876"/>
      <c r="B101" s="1871" t="s">
        <v>11494</v>
      </c>
      <c r="C101" s="1872"/>
      <c r="D101" s="1882"/>
      <c r="E101" s="1872"/>
      <c r="F101" s="1876"/>
    </row>
    <row r="102">
      <c r="A102" s="1876"/>
      <c r="B102" s="1871" t="s">
        <v>11498</v>
      </c>
      <c r="C102" s="1872"/>
      <c r="D102" s="1882"/>
      <c r="E102" s="1872"/>
      <c r="F102" s="1876"/>
    </row>
    <row r="103">
      <c r="A103" s="1876"/>
      <c r="B103" s="1883" t="s">
        <v>11553</v>
      </c>
      <c r="C103" s="1859"/>
      <c r="D103" s="1859"/>
      <c r="E103" s="1859"/>
      <c r="F103" s="1860"/>
    </row>
    <row r="104">
      <c r="A104" s="1876"/>
      <c r="B104" s="1861"/>
      <c r="C104" s="1862"/>
      <c r="D104" s="1862"/>
      <c r="E104" s="1862"/>
      <c r="F104" s="1863"/>
    </row>
    <row r="105">
      <c r="A105" s="1876"/>
      <c r="B105" s="1865" t="s">
        <v>11484</v>
      </c>
      <c r="C105" s="1866" t="s">
        <v>11526</v>
      </c>
      <c r="D105" s="1880" t="s">
        <v>11554</v>
      </c>
      <c r="E105" s="1866" t="s">
        <v>11486</v>
      </c>
      <c r="F105" s="1881">
        <v>43862.0</v>
      </c>
    </row>
    <row r="106">
      <c r="A106" s="1876"/>
      <c r="B106" s="1869" t="s">
        <v>11488</v>
      </c>
      <c r="C106" s="1886" t="s">
        <v>6299</v>
      </c>
      <c r="D106" s="1880" t="s">
        <v>11555</v>
      </c>
      <c r="E106" s="1866" t="s">
        <v>11533</v>
      </c>
      <c r="F106" s="1881">
        <v>43630.0</v>
      </c>
    </row>
    <row r="107">
      <c r="A107" s="1876"/>
      <c r="B107" s="1870" t="s">
        <v>11491</v>
      </c>
      <c r="C107" s="1872"/>
      <c r="D107" s="1882"/>
      <c r="E107" s="1872"/>
      <c r="F107" s="1876"/>
    </row>
    <row r="108">
      <c r="A108" s="1876"/>
      <c r="B108" s="1871" t="s">
        <v>11494</v>
      </c>
      <c r="C108" s="1872"/>
      <c r="D108" s="1882"/>
      <c r="E108" s="1872"/>
      <c r="F108" s="1876"/>
    </row>
    <row r="109">
      <c r="A109" s="1876"/>
      <c r="B109" s="1871" t="s">
        <v>11498</v>
      </c>
      <c r="C109" s="1872"/>
      <c r="D109" s="1882"/>
      <c r="E109" s="1872"/>
      <c r="F109" s="1876"/>
    </row>
    <row r="110">
      <c r="A110" s="1876"/>
      <c r="B110" s="1858" t="s">
        <v>11508</v>
      </c>
      <c r="C110" s="1859"/>
      <c r="D110" s="1859"/>
      <c r="E110" s="1859"/>
      <c r="F110" s="1860"/>
    </row>
    <row r="111">
      <c r="A111" s="1876"/>
      <c r="B111" s="1861"/>
      <c r="C111" s="1862"/>
      <c r="D111" s="1862"/>
      <c r="E111" s="1862"/>
      <c r="F111" s="1863"/>
    </row>
    <row r="112">
      <c r="A112" s="1876"/>
      <c r="B112" s="1865" t="s">
        <v>11484</v>
      </c>
      <c r="C112" s="1866" t="s">
        <v>5301</v>
      </c>
      <c r="D112" s="1880" t="s">
        <v>11556</v>
      </c>
      <c r="E112" s="1866" t="s">
        <v>11496</v>
      </c>
      <c r="F112" s="1881">
        <v>44132.0</v>
      </c>
    </row>
    <row r="113">
      <c r="A113" s="1876"/>
      <c r="B113" s="1869" t="s">
        <v>11488</v>
      </c>
      <c r="C113" s="1872"/>
      <c r="D113" s="1882"/>
      <c r="E113" s="1872"/>
      <c r="F113" s="1876"/>
    </row>
    <row r="114">
      <c r="A114" s="1876"/>
      <c r="B114" s="1870" t="s">
        <v>11491</v>
      </c>
      <c r="C114" s="1872"/>
      <c r="D114" s="1882"/>
      <c r="E114" s="1872"/>
      <c r="F114" s="1876"/>
    </row>
    <row r="115">
      <c r="A115" s="1876"/>
      <c r="B115" s="1871" t="s">
        <v>11494</v>
      </c>
      <c r="C115" s="1872"/>
      <c r="D115" s="1882"/>
      <c r="E115" s="1872"/>
      <c r="F115" s="1876"/>
    </row>
    <row r="116">
      <c r="A116" s="1876"/>
      <c r="B116" s="1871" t="s">
        <v>11498</v>
      </c>
      <c r="C116" s="1872"/>
      <c r="D116" s="1882"/>
      <c r="E116" s="1872"/>
      <c r="F116" s="1876"/>
    </row>
    <row r="117">
      <c r="A117" s="1876"/>
      <c r="B117" s="1858" t="s">
        <v>11511</v>
      </c>
      <c r="C117" s="1859"/>
      <c r="D117" s="1859"/>
      <c r="E117" s="1859"/>
      <c r="F117" s="1860"/>
    </row>
    <row r="118">
      <c r="A118" s="1876"/>
      <c r="B118" s="1861"/>
      <c r="C118" s="1862"/>
      <c r="D118" s="1862"/>
      <c r="E118" s="1862"/>
      <c r="F118" s="1863"/>
    </row>
    <row r="119">
      <c r="A119" s="1876"/>
      <c r="B119" s="1865" t="s">
        <v>11484</v>
      </c>
      <c r="C119" s="1866" t="s">
        <v>6361</v>
      </c>
      <c r="D119" s="1880" t="s">
        <v>11557</v>
      </c>
      <c r="E119" s="1866" t="s">
        <v>11486</v>
      </c>
      <c r="F119" s="1881">
        <v>43741.0</v>
      </c>
    </row>
    <row r="120">
      <c r="A120" s="1876"/>
      <c r="B120" s="1869" t="s">
        <v>11488</v>
      </c>
      <c r="C120" s="1866" t="s">
        <v>11558</v>
      </c>
      <c r="D120" s="1880" t="s">
        <v>11559</v>
      </c>
      <c r="E120" s="1866" t="s">
        <v>11519</v>
      </c>
      <c r="F120" s="1881">
        <v>43748.0</v>
      </c>
    </row>
    <row r="121">
      <c r="A121" s="1876"/>
      <c r="B121" s="1870" t="s">
        <v>11491</v>
      </c>
      <c r="C121" s="1866" t="s">
        <v>2189</v>
      </c>
      <c r="D121" s="1880" t="s">
        <v>11560</v>
      </c>
      <c r="E121" s="1866" t="s">
        <v>11533</v>
      </c>
      <c r="F121" s="1881">
        <v>43729.0</v>
      </c>
    </row>
    <row r="122">
      <c r="A122" s="1876"/>
      <c r="B122" s="1871" t="s">
        <v>11494</v>
      </c>
      <c r="C122" s="1884" t="s">
        <v>437</v>
      </c>
      <c r="D122" s="1880" t="s">
        <v>11561</v>
      </c>
      <c r="E122" s="1866" t="s">
        <v>11486</v>
      </c>
      <c r="F122" s="1881">
        <v>44470.0</v>
      </c>
    </row>
    <row r="123">
      <c r="A123" s="1876"/>
      <c r="B123" s="1871" t="s">
        <v>11498</v>
      </c>
      <c r="C123" s="1866" t="s">
        <v>5301</v>
      </c>
      <c r="D123" s="1880" t="s">
        <v>11562</v>
      </c>
      <c r="E123" s="1866" t="s">
        <v>11496</v>
      </c>
      <c r="F123" s="1881">
        <v>44020.0</v>
      </c>
    </row>
    <row r="124">
      <c r="A124" s="1887" t="s">
        <v>11563</v>
      </c>
      <c r="B124" s="1858" t="s">
        <v>11512</v>
      </c>
      <c r="C124" s="1859"/>
      <c r="D124" s="1859"/>
      <c r="E124" s="1859"/>
      <c r="F124" s="1860"/>
    </row>
    <row r="125">
      <c r="A125" s="1887" t="s">
        <v>11564</v>
      </c>
      <c r="B125" s="1861"/>
      <c r="C125" s="1862"/>
      <c r="D125" s="1862"/>
      <c r="E125" s="1862"/>
      <c r="F125" s="1863"/>
    </row>
    <row r="126">
      <c r="A126" s="1888"/>
      <c r="B126" s="1865" t="s">
        <v>11484</v>
      </c>
      <c r="C126" s="1866" t="s">
        <v>983</v>
      </c>
      <c r="D126" s="1889">
        <v>0.06525462962962963</v>
      </c>
      <c r="E126" s="1866" t="s">
        <v>11496</v>
      </c>
      <c r="F126" s="1868">
        <v>44652.0</v>
      </c>
    </row>
    <row r="127">
      <c r="A127" s="1888"/>
      <c r="B127" s="1869" t="s">
        <v>11488</v>
      </c>
      <c r="C127" s="1866" t="s">
        <v>4123</v>
      </c>
      <c r="D127" s="1889">
        <v>0.06892361111111112</v>
      </c>
      <c r="E127" s="1866" t="s">
        <v>11496</v>
      </c>
      <c r="F127" s="1868">
        <v>44652.0</v>
      </c>
    </row>
    <row r="128">
      <c r="A128" s="1888"/>
      <c r="B128" s="1870" t="s">
        <v>11491</v>
      </c>
      <c r="C128" s="1875" t="s">
        <v>5402</v>
      </c>
      <c r="D128" s="1890">
        <v>0.07195601851851852</v>
      </c>
      <c r="E128" s="1875" t="s">
        <v>11496</v>
      </c>
      <c r="F128" s="1881">
        <v>44652.0</v>
      </c>
    </row>
    <row r="129">
      <c r="A129" s="1888"/>
      <c r="B129" s="1871" t="s">
        <v>11494</v>
      </c>
      <c r="C129" s="1872" t="s">
        <v>11565</v>
      </c>
      <c r="D129" s="1891">
        <v>0.07211805555555556</v>
      </c>
      <c r="E129" s="1892" t="s">
        <v>11566</v>
      </c>
      <c r="F129" s="1881">
        <v>44652.0</v>
      </c>
    </row>
    <row r="130">
      <c r="A130" s="1888"/>
      <c r="B130" s="1871" t="s">
        <v>11498</v>
      </c>
      <c r="C130" s="1872"/>
      <c r="D130" s="1872"/>
      <c r="E130" s="1872"/>
      <c r="F130" s="1872"/>
    </row>
    <row r="131">
      <c r="A131" s="1893" t="s">
        <v>11513</v>
      </c>
      <c r="B131" s="1858" t="s">
        <v>11513</v>
      </c>
      <c r="C131" s="1859"/>
      <c r="D131" s="1859"/>
      <c r="E131" s="1859"/>
      <c r="F131" s="1860"/>
    </row>
    <row r="132">
      <c r="A132" s="1888"/>
      <c r="B132" s="1861"/>
      <c r="C132" s="1862"/>
      <c r="D132" s="1862"/>
      <c r="E132" s="1862"/>
      <c r="F132" s="1863"/>
    </row>
    <row r="133">
      <c r="A133" s="1888"/>
      <c r="B133" s="1865" t="s">
        <v>11484</v>
      </c>
      <c r="C133" s="1866" t="s">
        <v>2456</v>
      </c>
      <c r="D133" s="1894" t="s">
        <v>11567</v>
      </c>
      <c r="E133" s="1866" t="s">
        <v>11486</v>
      </c>
      <c r="F133" s="1868">
        <v>45152.0</v>
      </c>
    </row>
    <row r="134">
      <c r="A134" s="1888"/>
      <c r="B134" s="1869" t="s">
        <v>11488</v>
      </c>
      <c r="C134" s="1866" t="s">
        <v>4255</v>
      </c>
      <c r="D134" s="1894" t="s">
        <v>11568</v>
      </c>
      <c r="E134" s="1866" t="s">
        <v>11486</v>
      </c>
      <c r="F134" s="1868">
        <v>44866.0</v>
      </c>
    </row>
    <row r="135">
      <c r="A135" s="1888"/>
      <c r="B135" s="1870" t="s">
        <v>11491</v>
      </c>
      <c r="C135" s="1872"/>
      <c r="D135" s="1891"/>
      <c r="E135" s="1892"/>
      <c r="F135" s="1881"/>
    </row>
    <row r="136">
      <c r="A136" s="1888"/>
      <c r="B136" s="1871" t="s">
        <v>11494</v>
      </c>
      <c r="C136" s="1872"/>
      <c r="D136" s="1891"/>
      <c r="E136" s="1892"/>
      <c r="F136" s="1881"/>
    </row>
    <row r="137">
      <c r="A137" s="1888"/>
      <c r="B137" s="1871" t="s">
        <v>11498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