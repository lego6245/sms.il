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<sst xmlns="http://schemas.openxmlformats.org/spreadsheetml/2006/main" count="26739" uniqueCount="11105">
  <si>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</si>
  <si>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</si>
  <si>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</si>
  <si>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</si>
  <si>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</si>
  <si>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</si>
  <si>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</si>
  <si>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</si>
  <si>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</si>
  <si>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</si>
  <si>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</si>
  <si>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</si>
  <si>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</si>
  <si>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</si>
  <si>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</si>
  <si>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</si>
  <si>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</si>
  <si>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</si>
  <si>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</si>
  <si>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</si>
  <si>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</si>
  <si>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</si>
  <si>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</si>
  <si>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</si>
  <si>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</si>
  <si>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</si>
  <si>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</si>
  <si>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</si>
  <si>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</si>
  <si>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</si>
  <si>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</si>
  <si>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</si>
  <si>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</si>
  <si>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</si>
  <si>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</si>
  <si>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</si>
  <si>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</si>
  <si>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</si>
  <si>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</si>
  <si>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</si>
  <si>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</si>
  <si>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</si>
  <si>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</si>
  <si>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</si>
  <si>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</si>
  <si>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</si>
  <si>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</si>
  <si>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</si>
  <si>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</si>
  <si>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</si>
  <si>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</si>
  <si>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</si>
  <si>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</si>
  <si>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</si>
  <si>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</si>
  <si>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</si>
  <si>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</si>
  <si>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</si>
  <si>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</si>
  <si>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</si>
  <si>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</si>
  <si>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</si>
  <si>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</si>
  <si>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</si>
  <si>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</si>
  <si>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</si>
  <si>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</si>
  <si>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</si>
  <si>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</si>
  <si>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</si>
  <si>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</si>
  <si>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</si>
  <si>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</si>
  <si>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</si>
  <si>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</si>
  <si>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</si>
  <si>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</si>
  <si>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</si>
  <si>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</si>
  <si>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</si>
  <si>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</si>
  <si>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</si>
  <si>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</si>
  <si>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</si>
  <si>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</si>
  <si>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</si>
  <si>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</si>
  <si>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</si>
  <si>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</si>
  <si>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</si>
  <si>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</si>
  <si>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</si>
  <si>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</si>
  <si>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</si>
  <si>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</si>
  <si>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</si>
  <si>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</si>
  <si>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</si>
  <si>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</si>
  <si>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</si>
  <si>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</si>
  <si>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</si>
  <si>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</si>
  <si>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</si>
  <si>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</si>
  <si>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</si>
  <si>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</si>
  <si>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</si>
  <si>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</si>
  <si>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</si>
  <si>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</si>
  <si>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</si>
  <si>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</si>
  <si>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</si>
  <si>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</si>
  <si>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</si>
  <si>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</si>
  <si>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</si>
  <si>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</si>
  <si>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</si>
  <si>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</si>
  <si>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</si>
  <si>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</si>
  <si>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</si>
  <si>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</si>
  <si>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</si>
  <si>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</si>
  <si>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</si>
  <si>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</si>
  <si>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</si>
  <si>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</si>
  <si>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</si>
  <si>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</si>
  <si>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</si>
  <si>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</si>
  <si>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</si>
  <si>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</si>
  <si>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</si>
  <si>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</si>
  <si>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</si>
  <si>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</si>
  <si>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</si>
  <si>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</si>
  <si>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</si>
  <si>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</si>
  <si>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</si>
  <si>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</si>
  <si>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</si>
  <si>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</si>
  <si>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</si>
  <si>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</si>
  <si>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</si>
  <si>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</si>
  <si>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</si>
  <si>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</si>
  <si>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</si>
  <si>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</si>
  <si>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</si>
  <si>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</si>
  <si>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</si>
  <si>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</si>
  <si>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</si>
  <si>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</si>
  <si>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</si>
  <si>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</si>
  <si>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</si>
  <si>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</si>
  <si>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</si>
  <si>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</si>
  <si>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</si>
  <si>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</si>
  <si>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</si>
  <si>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</si>
  <si>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</si>
  <si>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</si>
  <si>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</si>
  <si>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</si>
  <si>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</si>
  <si>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</si>
  <si>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</si>
  <si>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</si>
  <si>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</si>
  <si>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</si>
  <si>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</si>
  <si>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</si>
  <si>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</si>
  <si>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</si>
  <si>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</si>
  <si>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</si>
  <si>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</si>
  <si>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</si>
  <si>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</si>
  <si>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</si>
  <si>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</si>
  <si>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</si>
  <si>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</si>
  <si>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</si>
  <si>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</si>
  <si>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</si>
  <si>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</si>
  <si>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</si>
  <si>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</si>
  <si>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</si>
  <si>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</si>
  <si>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</si>
  <si>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</si>
  <si>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</si>
  <si>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</si>
  <si>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</si>
  <si>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</si>
  <si>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</si>
  <si>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</si>
  <si>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</si>
  <si>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</si>
  <si>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</si>
  <si>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</si>
  <si>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</si>
  <si>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</si>
  <si>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</si>
  <si>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</si>
  <si>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</si>
  <si>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</si>
  <si>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</si>
  <si>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</si>
  <si>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</si>
  <si>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</si>
  <si>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</si>
  <si>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</si>
  <si>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</si>
  <si>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</si>
  <si>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</si>
  <si>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</si>
  <si>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</si>
  <si>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</si>
  <si>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</si>
  <si>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</si>
  <si>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</si>
  <si>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</si>
  <si>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</si>
  <si>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</si>
  <si>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</si>
  <si>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</si>
  <si>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</si>
  <si>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</si>
  <si>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</si>
  <si>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</si>
  <si>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</si>
  <si>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</si>
  <si>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</si>
  <si>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</si>
  <si>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</si>
  <si>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</si>
  <si>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</si>
  <si>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</si>
  <si>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</si>
  <si>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</si>
  <si>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</si>
  <si>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</si>
  <si>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</si>
  <si>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</si>
  <si>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</si>
  <si>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</si>
  <si>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</si>
  <si>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</si>
  <si>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</si>
  <si>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</si>
  <si>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</si>
  <si>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</si>
  <si>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</si>
  <si>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</si>
  <si>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</si>
  <si>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</si>
  <si>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</si>
  <si>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</si>
  <si>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</si>
  <si>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</si>
  <si>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</si>
  <si>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</si>
  <si>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</si>
  <si>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</si>
  <si>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</si>
  <si>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</si>
  <si>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</si>
  <si>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</si>
  <si>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</si>
  <si>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</si>
  <si>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</si>
  <si>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</si>
  <si>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</si>
  <si>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</si>
  <si>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</si>
  <si>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</si>
  <si>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</si>
  <si>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</si>
  <si>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</si>
  <si>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</si>
  <si>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</si>
  <si>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</si>
  <si>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</si>
  <si>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</si>
  <si>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</si>
  <si>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</si>
  <si>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</si>
  <si>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</si>
  <si>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</si>
  <si>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</si>
  <si>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</si>
  <si>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</si>
  <si>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</si>
  <si>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</si>
  <si>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</si>
  <si>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</si>
  <si>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</si>
  <si>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</si>
  <si>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</si>
  <si>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</si>
  <si>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</si>
  <si>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</si>
  <si>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</si>
  <si>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</si>
  <si>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</si>
  <si>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</si>
  <si>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</si>
  <si>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</si>
  <si>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</si>
  <si>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</si>
  <si>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</si>
  <si>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</si>
  <si>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</si>
  <si>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</si>
  <si>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</si>
  <si>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</si>
  <si>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</si>
  <si>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</si>
  <si>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</si>
  <si>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</si>
  <si>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</si>
  <si>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</si>
  <si>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</si>
  <si>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</si>
  <si>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</si>
  <si>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</si>
  <si>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</si>
  <si>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</si>
  <si>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</si>
  <si>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</si>
  <si>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</si>
  <si>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</si>
  <si>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</si>
  <si>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</si>
  <si>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</si>
  <si>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</si>
  <si>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</si>
  <si>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</si>
  <si>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</si>
  <si>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</si>
  <si>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</si>
  <si>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</si>
  <si>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</si>
  <si>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</si>
  <si>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</si>
  <si>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</si>
  <si>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</si>
  <si>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</si>
  <si>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</si>
  <si>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</si>
  <si>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</si>
  <si>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</si>
  <si>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</si>
  <si>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</si>
  <si>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</si>
  <si>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</si>
  <si>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</si>
  <si>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</si>
  <si>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</si>
  <si>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</si>
  <si>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</si>
  <si>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</si>
  <si>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</si>
  <si>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</si>
  <si>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</si>
  <si>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</si>
  <si>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</si>
  <si>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</si>
  <si>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</si>
  <si>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</si>
  <si>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</si>
  <si>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</si>
  <si>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</si>
  <si>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</si>
  <si>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</si>
  <si>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</si>
  <si>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</si>
  <si>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</si>
  <si>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</si>
  <si>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</si>
  <si>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</si>
  <si>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</si>
  <si>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</si>
  <si>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</si>
  <si>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</si>
  <si>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</si>
  <si>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</si>
  <si>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</si>
  <si>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</si>
  <si>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</si>
  <si>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</si>
  <si>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</si>
  <si>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</si>
  <si>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</si>
  <si>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</si>
  <si>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</si>
  <si>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</si>
  <si>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</si>
  <si>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</si>
  <si>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</si>
  <si>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</si>
  <si>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</si>
  <si>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</si>
  <si>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</si>
  <si>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</si>
  <si>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</si>
  <si>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</si>
  <si>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</si>
  <si>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</si>
  <si>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</si>
  <si>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</si>
  <si>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</si>
  <si>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</si>
  <si>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</si>
  <si>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</si>
  <si>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</si>
  <si>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</si>
  <si>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</si>
  <si>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</si>
  <si>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</si>
  <si>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</si>
  <si>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</si>
  <si>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</si>
  <si>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</si>
  <si>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</si>
  <si>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</si>
  <si>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</si>
  <si>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</si>
  <si>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</si>
  <si>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</si>
  <si>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</si>
  <si>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</si>
  <si>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</si>
  <si>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</si>
  <si>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</si>
  <si>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</si>
  <si>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</si>
  <si>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</si>
  <si>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</si>
  <si>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</si>
  <si>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</si>
  <si>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</si>
  <si>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</si>
  <si>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</si>
  <si>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</si>
  <si>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</si>
  <si>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</si>
  <si>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</si>
  <si>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</si>
  <si>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</si>
  <si>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</si>
  <si>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</si>
  <si>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</si>
  <si>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</si>
  <si>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</si>
  <si>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</si>
  <si>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</si>
  <si>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</si>
  <si>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</si>
  <si>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</si>
  <si>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</si>
  <si>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</si>
  <si>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</si>
  <si>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</si>
  <si>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</si>
  <si>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</si>
  <si>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</si>
  <si>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</si>
  <si>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</si>
  <si>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</si>
  <si>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</si>
  <si>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</si>
  <si>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</si>
  <si>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</si>
  <si>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</si>
  <si>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</si>
  <si>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</si>
  <si>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</si>
  <si>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</si>
  <si>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</si>
  <si>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</si>
  <si>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</si>
  <si>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</si>
  <si>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</si>
  <si>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</si>
  <si>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</si>
  <si>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</si>
  <si>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</si>
  <si>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</si>
  <si>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</si>
  <si>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</si>
  <si>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</si>
  <si>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</si>
  <si>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</si>
  <si>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</si>
  <si>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</si>
  <si>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</si>
  <si>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</si>
  <si>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</si>
  <si>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</si>
  <si>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</si>
  <si>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</si>
  <si>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</si>
  <si>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</si>
  <si>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</si>
  <si>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</si>
  <si>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</si>
  <si>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</si>
  <si>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</si>
  <si>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</si>
  <si>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</si>
  <si>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</si>
  <si>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</si>
  <si>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</si>
  <si>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</si>
  <si>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</si>
  <si>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</si>
  <si>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</si>
  <si>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</si>
  <si>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</si>
  <si>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</si>
  <si>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</si>
  <si>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</si>
  <si>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</si>
  <si>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</si>
  <si>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</si>
  <si>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</si>
  <si>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</si>
  <si>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</si>
  <si>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</si>
  <si>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</si>
  <si>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</si>
  <si>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</si>
  <si>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</si>
  <si>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</si>
  <si>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</si>
  <si>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</si>
  <si>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</si>
  <si>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</si>
  <si>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</si>
  <si>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</si>
  <si>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</si>
  <si>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</si>
  <si>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</si>
  <si>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</si>
  <si>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</si>
  <si>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</si>
  <si>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</si>
  <si>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</si>
  <si>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</si>
  <si>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</si>
  <si>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</si>
  <si>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</si>
  <si>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</si>
  <si>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</si>
  <si>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</si>
  <si>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</si>
  <si>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</si>
  <si>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</si>
  <si>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</si>
  <si>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</si>
  <si>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</si>
  <si>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</si>
  <si>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</si>
  <si>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</si>
  <si>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</si>
  <si>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</si>
  <si>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</si>
  <si>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</si>
  <si>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</si>
  <si>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</si>
  <si>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</si>
  <si>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</si>
  <si>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</si>
  <si>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</si>
  <si>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</si>
  <si>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</si>
  <si>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</si>
  <si>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</si>
  <si>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</si>
  <si>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</si>
  <si>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</si>
  <si>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</si>
  <si>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</si>
  <si>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</si>
  <si>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</si>
  <si>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</si>
  <si>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</si>
  <si>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</si>
  <si>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</si>
  <si>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</si>
  <si>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</si>
  <si>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</si>
  <si>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</si>
  <si>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</si>
  <si>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</si>
  <si>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</si>
  <si>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</si>
  <si>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</si>
  <si>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</si>
  <si>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</si>
  <si>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</si>
  <si>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</si>
  <si>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</si>
  <si>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</si>
  <si>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</si>
  <si>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</si>
  <si>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</si>
  <si>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</si>
  <si>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</si>
  <si>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</si>
  <si>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</si>
  <si>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</si>
  <si>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</si>
  <si>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</si>
  <si>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</si>
  <si>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</si>
  <si>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</si>
  <si>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</si>
  <si>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</si>
  <si>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</si>
  <si>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</si>
  <si>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</si>
  <si>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</si>
  <si>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</si>
  <si>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</si>
  <si>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</si>
  <si>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</si>
  <si>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</si>
  <si>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</si>
  <si>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</si>
  <si>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</si>
  <si>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</si>
  <si>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</si>
  <si>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</si>
  <si>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</si>
  <si>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</si>
  <si>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</si>
  <si>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</si>
  <si>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</si>
  <si>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</si>
  <si>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</si>
  <si>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</si>
  <si>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</si>
  <si>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</si>
  <si>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</si>
  <si>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</si>
  <si>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</si>
  <si>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</si>
  <si>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</si>
  <si>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</si>
  <si>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</si>
  <si>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</si>
  <si>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</si>
  <si>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</si>
  <si>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</si>
  <si>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</si>
  <si>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</si>
  <si>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</si>
  <si>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</si>
  <si>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</si>
  <si>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</si>
  <si>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</si>
  <si>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</si>
  <si>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</si>
  <si>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</si>
  <si>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</si>
  <si>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</si>
  <si>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</si>
  <si>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</si>
  <si>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</si>
  <si>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</si>
  <si>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</si>
  <si>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</si>
  <si>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</si>
  <si>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</si>
  <si>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</si>
  <si>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</si>
  <si>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</si>
  <si>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</si>
  <si>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</si>
  <si>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</si>
  <si>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</si>
  <si>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</si>
  <si>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</si>
  <si>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</si>
  <si>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</si>
  <si>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</si>
  <si>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</si>
  <si>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</si>
  <si>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</si>
  <si>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</si>
  <si>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</si>
  <si>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</si>
  <si>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</si>
  <si>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</si>
  <si>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</si>
  <si>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</si>
  <si>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</si>
  <si>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</si>
  <si>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</si>
  <si>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</si>
  <si>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</si>
  <si>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</si>
  <si>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</si>
  <si>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</si>
  <si>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</si>
  <si>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</si>
  <si>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</si>
  <si>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</si>
  <si>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</si>
  <si>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</si>
  <si>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</si>
  <si>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</si>
  <si>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</si>
  <si>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</si>
  <si>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</si>
  <si>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</si>
  <si>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</si>
  <si>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</si>
  <si>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</si>
  <si>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</si>
  <si>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</si>
  <si>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</si>
  <si>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</si>
  <si>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</si>
  <si>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</si>
  <si>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</si>
  <si>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</si>
  <si>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</si>
  <si>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</si>
  <si>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</si>
  <si>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</si>
  <si>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</si>
  <si>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</si>
  <si>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</si>
  <si>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</si>
  <si>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</si>
  <si>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</si>
  <si>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</si>
  <si>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</si>
  <si>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</si>
  <si>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</si>
  <si>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</si>
  <si>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</si>
  <si>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</si>
  <si>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</si>
  <si>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</si>
  <si>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</si>
  <si>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</si>
  <si>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</si>
  <si>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</si>
  <si>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</si>
  <si>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</si>
  <si>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</si>
  <si>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</si>
  <si>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</si>
  <si>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</si>
  <si>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</si>
  <si>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</si>
  <si>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</si>
  <si>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</si>
  <si>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</si>
  <si>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</si>
  <si>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</si>
  <si>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</si>
  <si>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</si>
  <si>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</si>
  <si>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</si>
  <si>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</si>
  <si>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</si>
  <si>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</si>
  <si>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</si>
  <si>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</si>
  <si>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</si>
  <si>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</si>
  <si>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</si>
  <si>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</si>
  <si>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</si>
  <si>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</si>
  <si>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</si>
  <si>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</si>
  <si>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</si>
  <si>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</si>
  <si>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</si>
  <si>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</si>
  <si>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</si>
  <si>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</si>
  <si>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</si>
  <si>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</si>
  <si>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</si>
  <si>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</si>
  <si>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</si>
  <si>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</si>
  <si>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</si>
  <si>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</si>
  <si>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</si>
  <si>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</si>
  <si>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</si>
  <si>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</si>
  <si>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</si>
  <si>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</si>
  <si>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</si>
  <si>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</si>
  <si>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</si>
  <si>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</si>
  <si>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</si>
  <si>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</si>
  <si>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</si>
  <si>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</si>
  <si>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</si>
  <si>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</si>
  <si>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</si>
  <si>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</si>
  <si>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</si>
  <si>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</si>
  <si>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</si>
  <si>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</si>
  <si>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</si>
  <si>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</si>
  <si>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</si>
  <si>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</si>
  <si>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</si>
  <si>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</si>
  <si>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</si>
  <si>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</si>
  <si>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</si>
  <si>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</si>
  <si>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</si>
  <si>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</si>
  <si>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</si>
  <si>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</si>
  <si>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</si>
  <si>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</si>
  <si>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</si>
  <si>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</si>
  <si>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</si>
  <si>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</si>
  <si>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</si>
  <si>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</si>
  <si>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</si>
  <si>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</si>
  <si>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</si>
  <si>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</si>
  <si>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</si>
  <si>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</si>
  <si>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</si>
  <si>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</si>
  <si>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</si>
  <si>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</si>
  <si>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</si>
  <si>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</si>
  <si>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</si>
  <si>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</si>
  <si>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</si>
  <si>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</si>
  <si>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</si>
  <si>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</si>
  <si>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</si>
  <si>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</si>
  <si>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</si>
  <si>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</si>
  <si>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</si>
  <si>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</si>
  <si>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</si>
  <si>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</si>
  <si>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</si>
  <si>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</si>
  <si>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</si>
  <si>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</si>
  <si>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</si>
  <si>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</si>
  <si>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</si>
  <si>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</si>
  <si>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</si>
  <si>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</si>
  <si>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</si>
  <si>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</si>
  <si>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</si>
  <si>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</si>
  <si>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</si>
  <si>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</si>
  <si>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</si>
  <si>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</si>
  <si>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</si>
  <si>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</si>
  <si>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</si>
  <si>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</si>
  <si>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</si>
  <si>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</si>
  <si>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</si>
  <si>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</si>
  <si>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</si>
  <si>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</si>
  <si>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</si>
  <si>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</si>
  <si>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</si>
  <si>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</si>
  <si>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</si>
  <si>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</si>
  <si>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</si>
  <si>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</si>
  <si>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</si>
  <si>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</si>
  <si>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</si>
  <si>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</si>
  <si>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</si>
  <si>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</si>
  <si>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</si>
  <si>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</si>
  <si>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</si>
  <si>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</si>
  <si>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</si>
  <si>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</si>
  <si>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</si>
  <si>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</si>
  <si>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</si>
  <si>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</si>
  <si>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</si>
  <si>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</si>
  <si>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</si>
  <si>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</si>
  <si>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</si>
  <si>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</si>
  <si>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</si>
  <si>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</si>
  <si>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</si>
  <si>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</si>
  <si>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</si>
  <si>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</si>
  <si>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</si>
  <si>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</si>
  <si>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</si>
  <si>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</si>
  <si>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</si>
  <si>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</si>
  <si>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</si>
  <si>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</si>
  <si>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</si>
  <si>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</si>
  <si>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</si>
  <si>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</si>
  <si>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</si>
  <si>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</si>
  <si>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</si>
  <si>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</si>
  <si>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</si>
  <si>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</si>
  <si>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</si>
  <si>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</si>
  <si>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</si>
  <si>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</si>
  <si>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</si>
  <si>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</si>
  <si>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</si>
  <si>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</si>
  <si>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</si>
  <si>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</si>
  <si>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</si>
  <si>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</si>
  <si>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</si>
  <si>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</si>
  <si>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</si>
  <si>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</si>
  <si>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</si>
  <si>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</si>
  <si>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</si>
  <si>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</si>
  <si>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</si>
  <si>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</si>
  <si>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</si>
  <si>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</si>
  <si>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</si>
  <si>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</si>
  <si>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</si>
  <si>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</si>
  <si>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</si>
  <si>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</si>
  <si>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</si>
  <si>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</si>
  <si>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</si>
  <si>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</si>
  <si>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</si>
  <si>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</si>
  <si>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</si>
  <si>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</si>
  <si>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</si>
  <si>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</si>
  <si>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</si>
  <si>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</si>
  <si>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</si>
  <si>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</si>
  <si>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</si>
  <si>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</si>
  <si>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</si>
  <si>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</si>
  <si>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</si>
  <si>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</si>
  <si>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</si>
  <si>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</si>
  <si>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</si>
  <si>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</si>
  <si>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</si>
  <si>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</si>
  <si>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</si>
  <si>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</si>
  <si>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</si>
  <si>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</si>
  <si>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</si>
  <si>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</si>
  <si>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</si>
  <si>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</si>
  <si>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</si>
  <si>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</si>
  <si>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</si>
  <si>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</si>
  <si>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</si>
  <si>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</si>
  <si>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</si>
  <si>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</si>
  <si>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</si>
  <si>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</si>
  <si>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</si>
  <si>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</si>
  <si>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</si>
  <si>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</si>
  <si>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</si>
  <si>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</si>
  <si>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</si>
  <si>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</si>
  <si>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</si>
  <si>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</si>
  <si>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</si>
  <si>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</si>
  <si>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</si>
  <si>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</si>
  <si>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</si>
  <si>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</si>
  <si>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</si>
  <si>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</si>
  <si>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</si>
  <si>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</si>
  <si>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</si>
  <si>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</si>
  <si>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</si>
  <si>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</si>
  <si>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</si>
  <si>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</si>
  <si>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</si>
  <si>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</si>
  <si>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</si>
  <si>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</si>
  <si>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</si>
  <si>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</si>
  <si>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</si>
  <si>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</si>
  <si>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</si>
  <si>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</si>
  <si>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</si>
  <si>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</si>
  <si>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</si>
  <si>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</si>
  <si>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</si>
  <si>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</si>
  <si>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</si>
  <si>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</si>
  <si>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</si>
  <si>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</si>
  <si>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</si>
  <si>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</si>
  <si>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</si>
  <si>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</si>
  <si>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</si>
  <si>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</si>
  <si>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</si>
  <si>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</si>
  <si>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</si>
  <si>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</si>
  <si>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</si>
  <si>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</si>
  <si>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</si>
  <si>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</si>
  <si>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</si>
  <si>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</si>
  <si>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</si>
  <si>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</si>
  <si>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</si>
  <si>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</si>
  <si>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</si>
  <si>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</si>
  <si>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</si>
  <si>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</si>
  <si>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</si>
  <si>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</si>
  <si>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</si>
  <si>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</si>
  <si>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</si>
  <si>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</si>
  <si>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</si>
  <si>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</si>
  <si>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</si>
  <si>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</si>
  <si>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</si>
  <si>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</si>
  <si>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</si>
  <si>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</si>
  <si>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</si>
  <si>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</si>
  <si>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</si>
  <si>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</si>
  <si>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</si>
  <si>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</si>
  <si>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</si>
  <si>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</si>
  <si>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</si>
  <si>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</si>
  <si>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</si>
  <si>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</si>
  <si>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</si>
  <si>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</si>
  <si>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</si>
  <si>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</si>
  <si>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</si>
  <si>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</si>
  <si>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</si>
  <si>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</si>
  <si>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</si>
  <si>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</si>
  <si>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</si>
  <si>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</si>
  <si>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</si>
  <si>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</si>
  <si>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</si>
  <si>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</si>
  <si>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</si>
  <si>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</si>
  <si>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</si>
  <si>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</si>
  <si>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</si>
  <si>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</si>
  <si>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</si>
  <si>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</si>
  <si>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</si>
  <si>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</si>
  <si>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</si>
  <si>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</si>
  <si>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</si>
  <si>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</si>
  <si>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</si>
  <si>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</si>
  <si>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</si>
  <si>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</si>
  <si>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</si>
  <si>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</si>
  <si>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</si>
  <si>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</si>
  <si>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</si>
  <si>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</si>
  <si>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</si>
  <si>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</si>
  <si>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</si>
  <si>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</si>
  <si>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</si>
  <si>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</si>
  <si>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</si>
  <si>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</si>
  <si>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</si>
  <si>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</si>
  <si>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</si>
  <si>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</si>
  <si>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</si>
  <si>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</si>
  <si>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</si>
  <si>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</si>
  <si>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</si>
  <si>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</si>
  <si>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</si>
  <si>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</si>
  <si>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</si>
  <si>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</si>
  <si>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</si>
  <si>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</si>
  <si>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</si>
  <si>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</si>
  <si>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</si>
  <si>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</si>
  <si>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</si>
  <si>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</si>
  <si>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</si>
  <si>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</si>
  <si>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</si>
  <si>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</si>
  <si>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</si>
  <si>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</si>
  <si>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</si>
  <si>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</si>
  <si>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</si>
  <si>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</si>
  <si>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</si>
  <si>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</si>
  <si>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</si>
  <si>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</si>
  <si>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</si>
  <si>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</si>
  <si>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</si>
  <si>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</si>
  <si>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</si>
  <si>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</si>
  <si>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</si>
  <si>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</si>
  <si>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</si>
  <si>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</si>
  <si>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</si>
  <si>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</si>
  <si>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</si>
  <si>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</si>
  <si>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</si>
  <si>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</si>
  <si>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</si>
  <si>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</si>
  <si>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</si>
  <si>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</si>
  <si>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</si>
  <si>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</si>
  <si>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</si>
  <si>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</si>
  <si>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</si>
  <si>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</si>
  <si>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</si>
  <si>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</si>
  <si>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</si>
  <si>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</si>
  <si>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</si>
  <si>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</si>
  <si>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</si>
  <si>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</si>
  <si>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</si>
  <si>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</si>
  <si>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</si>
  <si>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</si>
  <si>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</si>
  <si>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</si>
  <si>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</si>
  <si>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</si>
  <si>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</si>
  <si>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</si>
  <si>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</si>
  <si>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</si>
  <si>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</si>
  <si>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</si>
  <si>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</si>
  <si>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</si>
  <si>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</si>
  <si>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</si>
  <si>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</si>
  <si>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</si>
  <si>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</si>
  <si>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</si>
  <si>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</si>
  <si>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</si>
  <si>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</si>
  <si>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</si>
  <si>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</si>
  <si>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</si>
  <si>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</si>
  <si>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</si>
  <si>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</si>
  <si>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</si>
  <si>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</si>
  <si>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</si>
  <si>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</si>
  <si>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</si>
  <si>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</si>
  <si>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</si>
  <si>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</si>
  <si>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</si>
  <si>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</si>
  <si>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</si>
  <si>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</si>
  <si>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</si>
  <si>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</si>
  <si>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</si>
  <si>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</si>
  <si>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</si>
  <si>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</si>
  <si>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</si>
  <si>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</si>
  <si>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</si>
  <si>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</si>
  <si>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</si>
  <si>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</si>
  <si>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</si>
  <si>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</si>
  <si>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</si>
  <si>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</si>
  <si>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</si>
  <si>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</si>
  <si>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</si>
  <si>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</si>
  <si>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</si>
  <si>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</si>
  <si>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</si>
  <si>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</si>
  <si>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</si>
  <si>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</si>
  <si>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</si>
  <si>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</si>
  <si>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</si>
  <si>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</si>
  <si>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</si>
  <si>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</si>
  <si>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</si>
  <si>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</si>
  <si>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</si>
  <si>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</si>
  <si>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</si>
  <si>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</si>
  <si>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</si>
  <si>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</si>
  <si>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</si>
  <si>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</si>
  <si>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</si>
  <si>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</si>
  <si>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</si>
  <si>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</si>
  <si>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</si>
  <si>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</si>
  <si>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</si>
  <si>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</si>
  <si>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</si>
  <si>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</si>
  <si>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</si>
  <si>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</si>
  <si>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</si>
  <si>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</si>
  <si>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</si>
  <si>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</si>
  <si>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</si>
  <si>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</si>
  <si>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</si>
  <si>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</si>
  <si>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</si>
  <si>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</si>
  <si>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</si>
  <si>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</si>
  <si>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</si>
  <si>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</si>
  <si>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</si>
  <si>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</si>
  <si>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</si>
  <si>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</si>
  <si>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</si>
  <si>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</si>
  <si>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</si>
  <si>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</si>
  <si>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</si>
  <si>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</si>
  <si>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</si>
  <si>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</si>
  <si>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</si>
  <si>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</si>
  <si>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</si>
  <si>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</si>
  <si>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</si>
  <si>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</si>
  <si>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</si>
  <si>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</si>
  <si>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</si>
  <si>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</si>
  <si>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</si>
  <si>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</si>
  <si>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</si>
  <si>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</si>
  <si>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</si>
  <si>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</si>
  <si>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</si>
  <si>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</si>
  <si>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</si>
  <si>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</si>
  <si>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</si>
  <si>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</si>
  <si>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</si>
  <si>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</si>
  <si>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</si>
  <si>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</si>
  <si>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</si>
  <si>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</si>
  <si>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</si>
  <si>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</si>
  <si>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</si>
  <si>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</si>
  <si>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</si>
  <si>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</si>
  <si>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</si>
  <si>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</si>
  <si>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</si>
  <si>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</si>
  <si>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</si>
  <si>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</si>
  <si>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</si>
  <si>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</si>
  <si>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</si>
  <si>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</si>
  <si>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</si>
  <si>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</si>
  <si>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</si>
  <si>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</si>
  <si>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</si>
  <si>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</si>
  <si>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</si>
  <si>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</si>
  <si>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</si>
  <si>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</si>
  <si>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</si>
  <si>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</si>
  <si>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</si>
  <si>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</si>
  <si>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</si>
  <si>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</si>
  <si>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</si>
  <si>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</si>
  <si>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</si>
  <si>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</si>
  <si>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</si>
  <si>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</si>
  <si>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</si>
  <si>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</si>
  <si>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</si>
  <si>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</si>
  <si>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</si>
  <si>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</si>
  <si>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</si>
  <si>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</si>
  <si>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</si>
  <si>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</si>
  <si>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</si>
  <si>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</si>
  <si>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</si>
  <si>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</si>
  <si>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</si>
  <si>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</si>
  <si>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</si>
  <si>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</si>
  <si>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</si>
  <si>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</si>
  <si>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</si>
  <si>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</si>
  <si>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</si>
  <si>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</si>
  <si>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</si>
  <si>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</si>
  <si>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</si>
  <si>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</si>
  <si>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</si>
  <si>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</si>
  <si>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</si>
  <si>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</si>
  <si>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</si>
  <si>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</si>
  <si>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</si>
  <si>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</si>
  <si>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</si>
  <si>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</si>
  <si>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</si>
  <si>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</si>
  <si>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</si>
  <si>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</si>
  <si>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</si>
  <si>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</si>
  <si>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</si>
  <si>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</si>
  <si>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</si>
  <si>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</si>
  <si>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</si>
  <si>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</si>
  <si>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</si>
  <si>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</si>
  <si>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</si>
  <si>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</si>
  <si>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</si>
  <si>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</si>
  <si>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</si>
  <si>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</si>
  <si>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</si>
  <si>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</si>
  <si>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</si>
  <si>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</si>
  <si>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</si>
  <si>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</si>
  <si>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</si>
  <si>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</si>
  <si>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</si>
  <si>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</si>
  <si>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</si>
  <si>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</si>
  <si>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</si>
  <si>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</si>
  <si>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</si>
  <si>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</si>
  <si>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</si>
  <si>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</si>
  <si>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</si>
  <si>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</si>
  <si>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</si>
  <si>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</si>
  <si>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</si>
  <si>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</si>
  <si>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</si>
  <si>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</si>
  <si>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</si>
  <si>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</si>
  <si>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</si>
  <si>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</si>
  <si>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</si>
  <si>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</si>
  <si>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</si>
  <si>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</si>
  <si>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</si>
  <si>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</si>
  <si>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</si>
  <si>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</si>
  <si>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</si>
  <si>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</si>
  <si>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</si>
  <si>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</si>
  <si>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</si>
  <si>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</si>
  <si>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</si>
  <si>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</si>
  <si>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</si>
  <si>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</si>
  <si>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</si>
  <si>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</si>
  <si>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</si>
  <si>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</si>
  <si>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</si>
  <si>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</si>
  <si>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</si>
  <si>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</si>
  <si>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</si>
  <si>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</si>
  <si>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</si>
  <si>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</si>
  <si>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</si>
  <si>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</si>
  <si>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</si>
  <si>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</si>
  <si>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</si>
  <si>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</si>
  <si>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</si>
  <si>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</si>
  <si>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</si>
  <si>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</si>
  <si>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</si>
  <si>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</si>
  <si>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</si>
  <si>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</si>
  <si>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</si>
  <si>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</si>
  <si>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</si>
  <si>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</si>
  <si>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</si>
  <si>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</si>
  <si>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</si>
  <si>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</si>
  <si>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</si>
  <si>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</si>
  <si>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</si>
  <si>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</si>
  <si>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</si>
  <si>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</si>
  <si>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</si>
  <si>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</si>
  <si>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</si>
  <si>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</si>
  <si>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</si>
  <si>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</si>
  <si>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</si>
  <si>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</si>
  <si>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</si>
  <si>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</si>
  <si>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</si>
  <si>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</si>
  <si>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</si>
  <si>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</si>
  <si>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</si>
  <si>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</si>
  <si>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</si>
  <si>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</si>
  <si>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</si>
  <si>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</si>
  <si>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</si>
  <si>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</si>
  <si>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</si>
  <si>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</si>
  <si>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</si>
  <si>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</si>
  <si>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</si>
  <si>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</si>
  <si>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</si>
  <si>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</si>
  <si>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</si>
  <si>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</si>
  <si>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</si>
  <si>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</si>
  <si>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</si>
  <si>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</si>
  <si>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</si>
  <si>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</si>
  <si>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</si>
  <si>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</si>
  <si>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</si>
  <si>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</si>
  <si>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</si>
  <si>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</si>
  <si>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</si>
  <si>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</si>
  <si>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</si>
  <si>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</si>
  <si>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</si>
  <si>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</si>
  <si>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</si>
  <si>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</si>
  <si>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</si>
  <si>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</si>
  <si>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</si>
  <si>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</si>
  <si>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</si>
  <si>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</si>
  <si>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</si>
  <si>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</si>
  <si>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</si>
  <si>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</si>
  <si>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</si>
  <si>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</si>
  <si>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</si>
  <si>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</si>
  <si>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</si>
  <si>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</si>
  <si>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</si>
  <si>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</si>
  <si>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</si>
  <si>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</si>
  <si>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</si>
  <si>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</si>
  <si>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</si>
  <si>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</si>
  <si>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</si>
  <si>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</si>
  <si>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</si>
  <si>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</si>
  <si>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</si>
  <si>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</si>
  <si>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</si>
  <si>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</si>
  <si>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</si>
  <si>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</si>
  <si>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</si>
  <si>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</si>
  <si>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</si>
  <si>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</si>
  <si>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</si>
  <si>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</si>
  <si>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</si>
  <si>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</si>
  <si>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</si>
  <si>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</si>
  <si>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</si>
  <si>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</si>
  <si>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</si>
  <si>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</si>
  <si>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</si>
  <si>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</si>
  <si>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</si>
  <si>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</si>
  <si>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</si>
  <si>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</si>
  <si>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</si>
  <si>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</si>
  <si>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</si>
  <si>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</si>
  <si>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</si>
  <si>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</si>
  <si>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</si>
  <si>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</si>
  <si>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</si>
  <si>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</si>
  <si>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</si>
  <si>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</si>
  <si>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</si>
  <si>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</si>
  <si>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</si>
  <si>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</si>
  <si>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</si>
  <si>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</si>
  <si>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</si>
  <si>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</si>
  <si>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</si>
  <si>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</si>
  <si>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</si>
  <si>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</si>
  <si>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</si>
  <si>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</si>
  <si>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</si>
  <si>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</si>
  <si>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</si>
  <si>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</si>
  <si>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</si>
  <si>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</si>
  <si>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</si>
  <si>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</si>
  <si>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</si>
  <si>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</si>
  <si>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</si>
  <si>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</si>
  <si>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</si>
  <si>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</si>
  <si>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</si>
  <si>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</si>
  <si>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</si>
  <si>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</si>
  <si>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</si>
  <si>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</si>
  <si>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</si>
  <si>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</si>
  <si>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</si>
  <si>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</si>
  <si>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</si>
  <si>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</si>
  <si>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</si>
  <si>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</si>
  <si>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</si>
  <si>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</si>
  <si>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</si>
  <si>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</si>
  <si>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</si>
  <si>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</si>
  <si>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</si>
  <si>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</si>
  <si>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</si>
  <si>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</si>
  <si>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</si>
  <si>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</si>
  <si>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</si>
  <si>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</si>
  <si>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</si>
  <si>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</si>
  <si>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</si>
  <si>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</si>
  <si>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</si>
  <si>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</si>
  <si>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</si>
  <si>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</si>
  <si>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</si>
  <si>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</si>
  <si>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</si>
  <si>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</si>
  <si>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</si>
  <si>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</si>
  <si>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</si>
  <si>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</si>
  <si>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</si>
  <si>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</si>
  <si>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</si>
  <si>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</si>
  <si>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</si>
  <si>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</si>
  <si>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</si>
  <si>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</si>
  <si>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</si>
  <si>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</si>
  <si>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</si>
  <si>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</si>
  <si>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</si>
  <si>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</si>
  <si>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</si>
  <si>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</si>
  <si>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</si>
  <si>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</si>
  <si>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</si>
  <si>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</si>
  <si>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</si>
  <si>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</si>
  <si>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</si>
  <si>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</si>
  <si>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</si>
  <si>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</si>
  <si>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</si>
  <si>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</si>
  <si>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</si>
  <si>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</si>
  <si>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</si>
  <si>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</si>
  <si>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</si>
  <si>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</si>
  <si>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</si>
  <si>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</si>
  <si>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</si>
  <si>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</si>
  <si>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</si>
  <si>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</si>
  <si>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</si>
  <si>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</si>
  <si>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</si>
  <si>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</si>
  <si>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</si>
  <si>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</si>
  <si>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</si>
  <si>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</si>
  <si>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</si>
  <si>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</si>
  <si>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</si>
  <si>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</si>
  <si>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</si>
  <si>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</si>
  <si>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</si>
  <si>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</si>
  <si>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</si>
  <si>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</si>
  <si>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</si>
  <si>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</si>
  <si>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</si>
  <si>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</si>
  <si>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</si>
  <si>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</si>
  <si>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</si>
  <si>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</si>
  <si>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</si>
  <si>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</si>
  <si>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</si>
  <si>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</si>
  <si>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</si>
  <si>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</si>
  <si>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</si>
  <si>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</si>
  <si>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</si>
  <si>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</si>
  <si>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</si>
  <si>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</si>
  <si>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</si>
  <si>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</si>
  <si>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</si>
  <si>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</si>
  <si>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</si>
  <si>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</si>
  <si>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</si>
  <si>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</si>
  <si>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</si>
  <si>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</si>
  <si>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</si>
  <si>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</si>
  <si>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</si>
  <si>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</si>
  <si>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</si>
  <si>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</si>
  <si>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</si>
  <si>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</si>
  <si>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</si>
  <si>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</si>
  <si>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</si>
  <si>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</si>
  <si>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</si>
  <si>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</si>
  <si>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</si>
  <si>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</si>
  <si>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</si>
  <si>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</si>
  <si>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</si>
  <si>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</si>
  <si>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</si>
  <si>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</si>
  <si>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</si>
  <si>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</si>
  <si>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</si>
  <si>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</si>
  <si>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</si>
  <si>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</si>
  <si>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</si>
  <si>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</si>
  <si>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</si>
  <si>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</si>
  <si>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</si>
  <si>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</si>
  <si>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</si>
  <si>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</si>
  <si>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</si>
  <si>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</si>
  <si>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</si>
  <si>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</si>
  <si>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</si>
  <si>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</si>
  <si>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</si>
  <si>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</si>
  <si>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</si>
  <si>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</si>
  <si>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</si>
  <si>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</si>
  <si>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</si>
  <si>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</si>
  <si>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</si>
  <si>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</si>
  <si>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</si>
  <si>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</si>
  <si>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</si>
  <si>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</si>
  <si>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</si>
  <si>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</si>
  <si>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</si>
  <si>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</si>
  <si>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</si>
  <si>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</si>
  <si>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</si>
  <si>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</si>
  <si>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</si>
  <si>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</si>
  <si>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</si>
  <si>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</si>
  <si>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</si>
  <si>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</si>
  <si>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</si>
  <si>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</si>
  <si>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</si>
  <si>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</si>
  <si>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</si>
  <si>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</si>
  <si>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</si>
  <si>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</si>
  <si>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</si>
  <si>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</si>
  <si>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</si>
  <si>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</si>
  <si>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</si>
  <si>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</si>
  <si>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</si>
  <si>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</si>
  <si>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</si>
  <si>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</si>
  <si>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</si>
  <si>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</si>
  <si>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</si>
  <si>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</si>
  <si>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</si>
  <si>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</si>
  <si>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</si>
  <si>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</si>
  <si>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</si>
  <si>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</si>
  <si>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</si>
  <si>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</si>
  <si>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</si>
  <si>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</si>
  <si>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</si>
  <si>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</si>
  <si>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</si>
  <si>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</si>
  <si>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</si>
  <si>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</si>
  <si>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</si>
  <si>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</si>
  <si>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</si>
  <si>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</si>
  <si>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</si>
  <si>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</si>
  <si>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</si>
  <si>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</si>
  <si>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</si>
  <si>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</si>
  <si>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</si>
  <si>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</si>
  <si>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</si>
  <si>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</si>
  <si>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</si>
  <si>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</si>
  <si>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</si>
  <si>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</si>
  <si>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</si>
  <si>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</si>
  <si>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</si>
  <si>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</si>
  <si>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</si>
  <si>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</si>
  <si>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</si>
  <si>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</si>
  <si>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</si>
  <si>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</si>
  <si>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</si>
  <si>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</si>
  <si>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</si>
  <si>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</si>
  <si>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</si>
  <si>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</si>
  <si>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</si>
  <si>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</si>
  <si>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</si>
  <si>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</si>
  <si>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</si>
  <si>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</si>
  <si>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</si>
  <si>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</si>
  <si>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</si>
  <si>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</si>
  <si>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</si>
  <si>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</si>
  <si>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</si>
  <si>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</si>
  <si>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</si>
  <si>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</si>
  <si>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</si>
  <si>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</si>
  <si>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</si>
  <si>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</si>
  <si>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</si>
  <si>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</si>
  <si>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</si>
  <si>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</si>
  <si>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</si>
  <si>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</si>
  <si>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</si>
  <si>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</si>
  <si>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</si>
  <si>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</si>
  <si>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</si>
  <si>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</si>
  <si>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</si>
  <si>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</si>
  <si>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</si>
  <si>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</si>
  <si>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</si>
  <si>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</si>
  <si>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</si>
  <si>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</si>
  <si>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</si>
  <si>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</si>
  <si>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</si>
  <si>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</si>
  <si>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</si>
  <si>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</si>
  <si>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</si>
  <si>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</si>
  <si>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</si>
  <si>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</si>
  <si>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</si>
  <si>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</si>
  <si>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</si>
  <si>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</si>
  <si>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</si>
  <si>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</si>
  <si>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</si>
  <si>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</si>
  <si>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</si>
  <si>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</si>
  <si>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</si>
  <si>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</si>
  <si>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</si>
  <si>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</si>
  <si>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</si>
  <si>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</si>
  <si>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</si>
  <si>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</si>
  <si>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</si>
  <si>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</si>
  <si>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</si>
  <si>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</si>
  <si>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</si>
  <si>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</si>
  <si>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</si>
  <si>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</si>
  <si>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</si>
  <si>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</si>
  <si>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</si>
  <si>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</si>
  <si>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</si>
  <si>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</si>
  <si>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</si>
  <si>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</si>
  <si>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</si>
  <si>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</si>
  <si>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</si>
  <si>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</si>
  <si>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</si>
  <si>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</si>
  <si>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</si>
  <si>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</si>
  <si>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</si>
  <si>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</si>
  <si>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</si>
  <si>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</si>
  <si>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</si>
  <si>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</si>
  <si>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</si>
  <si>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</si>
  <si>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</si>
  <si>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</si>
  <si>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</si>
  <si>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</si>
  <si>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</si>
  <si>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</si>
  <si>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</si>
  <si>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</si>
  <si>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</si>
  <si>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</si>
  <si>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</si>
  <si>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</si>
  <si>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</si>
  <si>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</si>
  <si>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</si>
  <si>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</si>
  <si>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</si>
  <si>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</si>
  <si>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</si>
  <si>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</si>
  <si>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</si>
  <si>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</si>
  <si>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</si>
  <si>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</si>
  <si>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</si>
  <si>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</si>
  <si>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</si>
  <si>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</si>
  <si>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</si>
  <si>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</si>
  <si>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</si>
  <si>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</si>
  <si>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</si>
  <si>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</si>
  <si>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</si>
  <si>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</si>
  <si>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</si>
  <si>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</si>
  <si>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</si>
  <si>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</si>
  <si>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</si>
  <si>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</si>
  <si>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</si>
  <si>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</si>
  <si>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</si>
  <si>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</si>
  <si>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</si>
  <si>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</si>
  <si>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</si>
  <si>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</si>
  <si>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</si>
  <si>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</si>
  <si>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</si>
  <si>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</si>
  <si>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</si>
  <si>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</si>
  <si>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</si>
  <si>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</si>
  <si>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</si>
  <si>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</si>
  <si>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</si>
  <si>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</si>
  <si>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</si>
  <si>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</si>
  <si>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</si>
  <si>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</si>
  <si>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</si>
  <si>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</si>
  <si>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</si>
  <si>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</si>
  <si>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</si>
  <si>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</si>
  <si>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</si>
  <si>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</si>
  <si>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</si>
  <si>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</si>
  <si>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</si>
  <si>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</si>
  <si>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</si>
  <si>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</si>
  <si>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</si>
  <si>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</si>
  <si>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</si>
  <si>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</si>
  <si>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</si>
  <si>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</si>
  <si>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</si>
  <si>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</si>
  <si>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</si>
  <si>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</si>
  <si>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</si>
  <si>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</si>
  <si>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</si>
  <si>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</si>
  <si>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</si>
  <si>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</si>
  <si>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</si>
  <si>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</si>
  <si>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</si>
  <si>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</si>
  <si>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</si>
  <si>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</si>
  <si>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</si>
  <si>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</si>
  <si>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</si>
  <si>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</si>
  <si>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</si>
  <si>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</si>
  <si>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</si>
  <si>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</si>
  <si>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</si>
  <si>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</si>
  <si>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</si>
  <si>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</si>
  <si>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</si>
  <si>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</si>
  <si>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</si>
  <si>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</si>
  <si>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</si>
  <si>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</si>
  <si>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</si>
  <si>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</si>
  <si>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</si>
  <si>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</si>
  <si>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</si>
  <si>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</si>
  <si>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</si>
  <si>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</si>
  <si>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</si>
  <si>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</si>
  <si>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</si>
  <si>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</si>
  <si>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</si>
  <si>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</si>
  <si>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</si>
  <si>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</si>
  <si>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</si>
  <si>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</si>
  <si>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</si>
  <si>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</si>
  <si>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</si>
  <si>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</si>
  <si>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</si>
  <si>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</si>
  <si>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</si>
  <si>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</si>
  <si>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</si>
  <si>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</si>
  <si>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</si>
  <si>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</si>
  <si>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</si>
  <si>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</si>
  <si>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</si>
  <si>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</si>
  <si>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</si>
  <si>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</si>
  <si>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</si>
  <si>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</si>
  <si>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</si>
  <si>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</si>
  <si>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</si>
  <si>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</si>
  <si>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</si>
  <si>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</si>
  <si>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</si>
  <si>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</si>
  <si>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</si>
  <si>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</si>
  <si>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</si>
  <si>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</si>
  <si>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</si>
  <si>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</si>
  <si>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</si>
  <si>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</si>
  <si>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</si>
  <si>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</si>
  <si>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</si>
  <si>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</si>
  <si>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</si>
  <si>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</si>
  <si>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</si>
  <si>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</si>
  <si>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</si>
  <si>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</si>
  <si>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</si>
  <si>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</si>
  <si>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</si>
  <si>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</si>
  <si>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</si>
  <si>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</si>
  <si>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</si>
  <si>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</si>
  <si>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</si>
  <si>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</si>
  <si>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</si>
  <si>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</si>
  <si>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</si>
  <si>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</si>
  <si>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</si>
  <si>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</si>
  <si>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</si>
  <si>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</si>
  <si>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</si>
  <si>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</si>
  <si>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</si>
  <si>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</si>
  <si>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</si>
  <si>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</si>
  <si>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</si>
  <si>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</si>
  <si>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</si>
  <si>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</si>
  <si>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</si>
  <si>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</si>
  <si>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</si>
  <si>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</si>
  <si>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</si>
  <si>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</si>
  <si>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</si>
  <si>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</si>
  <si>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</si>
  <si>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</si>
  <si>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</si>
  <si>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</si>
  <si>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</si>
  <si>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</si>
  <si>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</si>
  <si>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</si>
  <si>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</si>
  <si>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</si>
  <si>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</si>
  <si>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</si>
  <si>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</si>
  <si>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</si>
  <si>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</si>
  <si>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</si>
  <si>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</si>
  <si>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</si>
  <si>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</si>
  <si>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</si>
  <si>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</si>
  <si>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</si>
  <si>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</si>
  <si>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</si>
  <si>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</si>
  <si>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</si>
  <si>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</si>
  <si>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</si>
  <si>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</si>
  <si>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</si>
  <si>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</si>
  <si>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</si>
  <si>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</si>
  <si>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</si>
  <si>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</si>
  <si>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</si>
  <si>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</si>
  <si>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</si>
  <si>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</si>
  <si>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</si>
  <si>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</si>
  <si>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</si>
  <si>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</si>
  <si>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</si>
  <si>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</si>
  <si>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</si>
  <si>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</si>
  <si>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</si>
  <si>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</si>
  <si>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</si>
  <si>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</si>
  <si>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</si>
  <si>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</si>
  <si>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</si>
  <si>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</si>
  <si>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</si>
  <si>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</si>
  <si>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</si>
  <si>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</si>
  <si>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</si>
  <si>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</si>
  <si>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</si>
  <si>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</si>
  <si>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</si>
  <si>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</si>
  <si>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</si>
  <si>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</si>
  <si>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</si>
  <si>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</si>
  <si>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</si>
  <si>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</si>
  <si>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</si>
  <si>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</si>
  <si>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</si>
  <si>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</si>
  <si>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</si>
  <si>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</si>
  <si>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</si>
  <si>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</si>
  <si>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</si>
  <si>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</si>
  <si>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</si>
  <si>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</si>
  <si>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</si>
  <si>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</si>
  <si>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</si>
  <si>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</si>
  <si>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</si>
  <si>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</si>
  <si>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</si>
  <si>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</si>
  <si>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</si>
  <si>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</si>
  <si>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</si>
  <si>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</si>
  <si>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</si>
  <si>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</si>
  <si>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</si>
  <si>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</si>
  <si>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</si>
  <si>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</si>
  <si>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</si>
  <si>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</si>
  <si>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</si>
  <si>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</si>
  <si>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</si>
  <si>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</si>
  <si>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</si>
  <si>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</si>
  <si>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</si>
  <si>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</si>
  <si>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</si>
  <si>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</si>
  <si>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</si>
  <si>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</si>
  <si>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</si>
  <si>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</si>
  <si>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</si>
  <si>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</si>
  <si>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</si>
  <si>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</si>
  <si>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</si>
  <si>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</si>
  <si>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</si>
  <si>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</si>
  <si>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</si>
  <si>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</si>
  <si>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</si>
  <si>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</si>
  <si>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</si>
  <si>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</si>
  <si>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</si>
  <si>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</si>
  <si>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</si>
  <si>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</si>
  <si>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</si>
  <si>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</si>
  <si>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</si>
  <si>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</si>
  <si>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</si>
  <si>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</si>
  <si>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</si>
  <si>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</si>
  <si>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</si>
  <si>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</si>
  <si>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</si>
  <si>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</si>
  <si>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</si>
  <si>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</si>
  <si>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</si>
  <si>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</si>
  <si>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</si>
  <si>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</si>
  <si>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</si>
  <si>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</si>
  <si>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</si>
  <si>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</si>
  <si>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</si>
  <si>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</si>
  <si>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</si>
  <si>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</si>
  <si>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</si>
  <si>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</si>
  <si>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</si>
  <si>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</si>
  <si>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</si>
  <si>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</si>
  <si>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</si>
  <si>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</si>
  <si>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</si>
  <si>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</si>
  <si>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</si>
  <si>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</si>
  <si>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</si>
  <si>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</si>
  <si>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</si>
  <si>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</si>
  <si>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</si>
  <si>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</si>
  <si>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</si>
  <si>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</si>
  <si>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</si>
  <si>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</si>
  <si>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</si>
  <si>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</si>
  <si>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</si>
  <si>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</si>
  <si>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</si>
  <si>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</si>
  <si>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</si>
  <si>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</si>
  <si>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</si>
  <si>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</si>
  <si>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</si>
  <si>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</si>
  <si>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</si>
  <si>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</si>
  <si>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</si>
  <si>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</si>
  <si>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</si>
  <si>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</si>
  <si>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</si>
  <si>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</si>
  <si>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</si>
  <si>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</si>
  <si>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</si>
  <si>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</si>
  <si>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</si>
  <si>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</si>
  <si>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</si>
  <si>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</si>
  <si>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</si>
  <si>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</si>
  <si>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</si>
  <si>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</si>
  <si>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</si>
  <si>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</si>
  <si>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</si>
  <si>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</si>
  <si>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</si>
  <si>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</si>
  <si>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</si>
  <si>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</si>
  <si>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</si>
  <si>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</si>
  <si>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</si>
  <si>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</si>
  <si>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</si>
  <si>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</si>
  <si>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</si>
  <si>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</si>
  <si>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</si>
  <si>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</si>
  <si>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</si>
  <si>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</si>
  <si>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</si>
  <si>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</si>
  <si>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</si>
  <si>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</si>
  <si>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</si>
  <si>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</si>
  <si>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</si>
  <si>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</si>
  <si>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</si>
  <si>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</si>
  <si>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</si>
  <si>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</si>
  <si>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</si>
  <si>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</si>
  <si>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</si>
  <si>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</si>
  <si>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</si>
  <si>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</si>
  <si>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</si>
  <si>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</si>
  <si>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</si>
  <si>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</si>
  <si>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</si>
  <si>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</si>
  <si>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</si>
  <si>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</si>
  <si>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</si>
  <si>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</si>
  <si>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</si>
  <si>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</si>
  <si>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</si>
  <si>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</si>
  <si>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</si>
  <si>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</si>
  <si>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</si>
  <si>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</si>
  <si>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</si>
  <si>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</si>
  <si>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</si>
  <si>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</si>
  <si>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</si>
  <si>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</si>
  <si>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</si>
  <si>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</si>
  <si>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</si>
  <si>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</si>
  <si>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</si>
  <si>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</si>
  <si>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</si>
  <si>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</si>
  <si>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</si>
  <si>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</si>
  <si>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</si>
  <si>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</si>
  <si>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</si>
  <si>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</si>
  <si>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</si>
  <si>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</si>
  <si>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</si>
  <si>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</si>
  <si>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</si>
  <si>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</si>
  <si>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</si>
  <si>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</si>
  <si>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</si>
  <si>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</si>
  <si>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</si>
  <si>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</si>
  <si>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</si>
  <si>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</si>
  <si>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</si>
  <si>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</si>
  <si>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</si>
  <si>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</si>
  <si>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</si>
  <si>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</si>
  <si>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</si>
  <si>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</si>
  <si>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</si>
  <si>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</si>
  <si>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</si>
  <si>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</si>
  <si>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</si>
  <si>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</si>
  <si>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</si>
  <si>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</si>
  <si>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</si>
  <si>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</si>
  <si>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</si>
  <si>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</si>
  <si>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</si>
  <si>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</si>
  <si>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</si>
  <si>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</si>
  <si>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</si>
  <si>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</si>
  <si>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</si>
  <si>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</si>
  <si>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</si>
  <si>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</si>
  <si>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</si>
  <si>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</si>
  <si>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</si>
  <si>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</si>
  <si>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</si>
  <si>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</si>
  <si>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</si>
  <si>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</si>
  <si>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</si>
  <si>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</si>
  <si>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</si>
  <si>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</si>
  <si>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</si>
  <si>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</si>
  <si>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</si>
  <si>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</si>
  <si>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</si>
  <si>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</si>
  <si>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</si>
  <si>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</si>
  <si>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</si>
  <si>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</si>
  <si>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</si>
  <si>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</si>
  <si>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</si>
  <si>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</si>
  <si>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</si>
  <si>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</si>
  <si>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</si>
  <si>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</si>
  <si>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</si>
  <si>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</si>
  <si>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</si>
  <si>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</si>
  <si>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</si>
  <si>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</si>
  <si>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</si>
  <si>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</si>
  <si>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</si>
  <si>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</si>
  <si>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</si>
  <si>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</si>
  <si>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</si>
  <si>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</si>
  <si>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</si>
  <si>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</si>
  <si>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</si>
  <si>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</si>
  <si>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</si>
  <si>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</si>
  <si>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</si>
  <si>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</si>
  <si>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</si>
  <si>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</si>
  <si>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</si>
  <si>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</si>
  <si>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</si>
  <si>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</si>
  <si>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</si>
  <si>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</si>
  <si>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</si>
  <si>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</si>
  <si>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</si>
  <si>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</si>
  <si>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</si>
  <si>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</si>
  <si>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</si>
  <si>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</si>
  <si>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</si>
  <si>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</si>
  <si>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</si>
  <si>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</si>
  <si>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</si>
  <si>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</si>
  <si>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</si>
  <si>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</si>
  <si>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</si>
  <si>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</si>
  <si>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</si>
  <si>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</si>
  <si>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</si>
  <si>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</si>
  <si>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</si>
  <si>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</si>
  <si>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</si>
  <si>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</si>
  <si>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</si>
  <si>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</si>
  <si>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</si>
  <si>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</si>
  <si>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</si>
  <si>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</si>
  <si>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</si>
  <si>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</si>
  <si>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</si>
  <si>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</si>
  <si>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</si>
  <si>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</si>
  <si>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</si>
  <si>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</si>
  <si>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</si>
  <si>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</si>
  <si>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</si>
  <si>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</si>
  <si>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</si>
  <si>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</si>
  <si>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</si>
  <si>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</si>
  <si>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</si>
  <si>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</si>
  <si>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</si>
  <si>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</si>
  <si>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</si>
  <si>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</si>
  <si>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</si>
  <si>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</si>
  <si>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</si>
  <si>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</si>
  <si>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</si>
  <si>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</si>
  <si>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</si>
  <si>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</si>
  <si>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</si>
  <si>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</si>
  <si>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</si>
  <si>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</si>
  <si>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</si>
  <si>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</si>
  <si>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</si>
  <si>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</si>
  <si>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</si>
  <si>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</si>
  <si>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</si>
  <si>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</si>
  <si>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</si>
  <si>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</si>
  <si>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</si>
  <si>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</si>
  <si>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</si>
  <si>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</si>
  <si>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</si>
  <si>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</si>
  <si>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</si>
  <si>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</si>
  <si>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</si>
  <si>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</si>
  <si>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</si>
  <si>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</si>
  <si>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</si>
  <si>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</si>
  <si>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</si>
  <si>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</si>
  <si>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</si>
  <si>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</si>
  <si>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</si>
  <si>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</si>
  <si>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</si>
  <si>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</si>
  <si>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</si>
  <si>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</si>
  <si>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</si>
  <si>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</si>
  <si>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</si>
  <si>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</si>
  <si>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</si>
  <si>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</si>
  <si>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</si>
  <si>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</si>
  <si>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</si>
  <si>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</si>
  <si>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</si>
  <si>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</si>
  <si>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</si>
  <si>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</si>
  <si>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</si>
  <si>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</si>
  <si>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</si>
  <si>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</si>
  <si>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</si>
  <si>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</si>
  <si>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</si>
  <si>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</si>
  <si>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</si>
  <si>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</si>
  <si>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</si>
  <si>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</si>
  <si>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</si>
  <si>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</si>
  <si>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</si>
  <si>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</si>
  <si>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</si>
  <si>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</si>
  <si>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</si>
  <si>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</si>
  <si>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</si>
  <si>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</si>
  <si>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</si>
  <si>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</si>
  <si>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</si>
  <si>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</si>
  <si>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</si>
  <si>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</si>
  <si>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</si>
  <si>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</si>
  <si>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</si>
  <si>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</si>
  <si>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</si>
  <si>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</si>
  <si>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</si>
  <si>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</si>
  <si>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</si>
  <si>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</si>
  <si>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</si>
  <si>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</si>
  <si>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</si>
  <si>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</si>
  <si>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</si>
  <si>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</si>
  <si>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</si>
  <si>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</si>
  <si>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</si>
  <si>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</si>
  <si>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</si>
  <si>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</si>
  <si>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</si>
  <si>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</si>
  <si>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</si>
  <si>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</si>
  <si>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</si>
  <si>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</si>
  <si>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</si>
  <si>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</si>
  <si>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</si>
  <si>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</si>
  <si>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</si>
  <si>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</si>
  <si>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</si>
  <si>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</si>
  <si>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</si>
  <si>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</si>
  <si>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</si>
  <si>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</si>
  <si>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</si>
  <si>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</si>
  <si>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</si>
  <si>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</si>
  <si>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</si>
  <si>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</si>
  <si>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</si>
  <si>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</si>
  <si>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</si>
  <si>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</si>
  <si>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</si>
  <si>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</si>
  <si>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</si>
  <si>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</si>
  <si>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</si>
  <si>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</si>
  <si>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</si>
  <si>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</si>
  <si>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</si>
  <si>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</si>
  <si>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</si>
  <si>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</si>
  <si>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</si>
  <si>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</si>
  <si>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</si>
  <si>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</si>
  <si>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</si>
  <si>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</si>
  <si>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</si>
  <si>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</si>
  <si>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</si>
  <si>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</si>
  <si>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</si>
  <si>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</si>
  <si>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</si>
  <si>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</si>
  <si>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</si>
  <si>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</si>
  <si>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</si>
  <si>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</si>
  <si>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</si>
  <si>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</si>
  <si>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</si>
  <si>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</si>
  <si>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</si>
  <si>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</si>
  <si>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</si>
  <si>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</si>
  <si>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</si>
  <si>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</si>
  <si>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</si>
  <si>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</si>
  <si>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</si>
  <si>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</si>
  <si>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</si>
  <si>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</si>
  <si>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</si>
  <si>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</si>
  <si>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</si>
  <si>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</si>
  <si>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</si>
  <si>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</si>
  <si>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</si>
  <si>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</si>
  <si>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</si>
  <si>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</si>
  <si>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</si>
  <si>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</si>
  <si>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</si>
  <si>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</si>
  <si>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</si>
  <si>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</si>
  <si>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</si>
  <si>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</si>
  <si>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</si>
  <si>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</si>
  <si>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</si>
  <si>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</si>
  <si>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</si>
  <si>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</si>
  <si>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</si>
  <si>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</si>
  <si>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</si>
  <si>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</si>
  <si>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</si>
  <si>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</si>
  <si>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</si>
  <si>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</si>
  <si>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</si>
  <si>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</si>
  <si>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</si>
  <si>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</si>
  <si>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</si>
  <si>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</si>
  <si>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</si>
  <si>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</si>
  <si>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</si>
  <si>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</si>
  <si>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</si>
  <si>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</si>
  <si>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</si>
  <si>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</si>
  <si>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</si>
  <si>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</si>
  <si>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</si>
  <si>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</si>
  <si>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</si>
  <si>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</si>
  <si>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</si>
  <si>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</si>
  <si>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</si>
  <si>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</si>
  <si>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</si>
  <si>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</si>
  <si>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</si>
  <si>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</si>
  <si>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</si>
  <si>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</si>
  <si>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</si>
  <si>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</si>
  <si>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</si>
  <si>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</si>
  <si>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</si>
  <si>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</si>
  <si>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</si>
  <si>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</si>
  <si>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</si>
  <si>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</si>
  <si>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</si>
  <si>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</si>
  <si>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</si>
  <si>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</si>
  <si>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</si>
  <si>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</si>
  <si>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</si>
  <si>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</si>
  <si>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</si>
  <si>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</si>
  <si>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</si>
  <si>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</si>
  <si>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</si>
  <si>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</si>
  <si>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</si>
  <si>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</si>
  <si>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</si>
  <si>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</si>
  <si>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</si>
  <si>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</si>
  <si>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</si>
  <si>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</si>
  <si>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</si>
  <si>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</si>
  <si>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</si>
  <si>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</si>
  <si>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</si>
  <si>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</si>
  <si>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</si>
  <si>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</si>
  <si>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</si>
  <si>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</si>
  <si>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</si>
  <si>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</si>
  <si>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</si>
  <si>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</si>
  <si>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</si>
  <si>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</si>
  <si>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</si>
  <si>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</si>
  <si>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</si>
  <si>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</si>
  <si>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</si>
  <si>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</si>
  <si>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</si>
  <si>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</si>
  <si>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</si>
  <si>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</si>
  <si>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</si>
  <si>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</si>
  <si>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</si>
  <si>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</si>
  <si>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</si>
  <si>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</si>
  <si>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</si>
  <si>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</si>
  <si>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</si>
  <si>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</si>
  <si>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</si>
  <si>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</si>
  <si>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</si>
  <si>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</si>
  <si>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</si>
  <si>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</si>
  <si>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</si>
  <si>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</si>
  <si>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</si>
  <si>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</si>
  <si>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</si>
  <si>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</si>
  <si>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</si>
  <si>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</si>
  <si>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</si>
  <si>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</si>
  <si>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</si>
  <si>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</si>
  <si>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</si>
  <si>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</si>
  <si>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</si>
  <si>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</si>
  <si>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</si>
  <si>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</si>
  <si>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</si>
  <si>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</si>
  <si>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</si>
  <si>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</si>
  <si>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</si>
  <si>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</si>
  <si>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</si>
  <si>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</si>
  <si>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</si>
  <si>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</si>
  <si>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</si>
  <si>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</si>
  <si>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</si>
  <si>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</si>
  <si>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</si>
  <si>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</si>
  <si>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</si>
  <si>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</si>
  <si>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</si>
  <si>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</si>
  <si>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</si>
  <si>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</si>
  <si>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</si>
  <si>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</si>
  <si>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</si>
  <si>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</si>
  <si>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</si>
  <si>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</si>
  <si>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</si>
  <si>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</si>
  <si>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</si>
  <si>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</si>
  <si>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</si>
  <si>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</si>
  <si>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</si>
  <si>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</si>
  <si>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</si>
  <si>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</si>
  <si>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</si>
  <si>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</si>
  <si>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</si>
  <si>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</si>
  <si>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</si>
  <si>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</si>
  <si>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</si>
  <si>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</si>
  <si>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</si>
  <si>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</si>
  <si>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</si>
  <si>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</si>
  <si>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</si>
  <si>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</si>
  <si>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</si>
  <si>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</si>
  <si>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</si>
  <si>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</si>
  <si>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</si>
  <si>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</si>
  <si>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</si>
  <si>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</si>
  <si>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</si>
  <si>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</si>
  <si>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</si>
  <si>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</si>
  <si>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</si>
  <si>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</si>
  <si>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</si>
  <si>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</si>
  <si>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</si>
  <si>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</si>
  <si>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</si>
  <si>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</si>
  <si>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</si>
  <si>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</si>
  <si>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</si>
  <si>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</si>
  <si>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</si>
  <si>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</si>
  <si>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</si>
  <si>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</si>
  <si>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</si>
  <si>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</si>
  <si>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</si>
  <si>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</si>
  <si>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</si>
  <si>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</si>
  <si>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</si>
  <si>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</si>
  <si>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</si>
  <si>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</si>
  <si>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</si>
  <si>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</si>
  <si>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</si>
  <si>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</si>
  <si>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</si>
  <si>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</si>
  <si>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</si>
  <si>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</si>
  <si>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</si>
  <si>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</si>
  <si>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</si>
  <si>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</si>
  <si>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</si>
  <si>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</si>
  <si>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</si>
  <si>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</si>
  <si>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</si>
  <si>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</si>
  <si>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</si>
  <si>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</si>
  <si>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</si>
  <si>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</si>
  <si>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</si>
  <si>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</si>
  <si>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</si>
  <si>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</si>
  <si>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</si>
  <si>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</si>
  <si>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</si>
  <si>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</si>
  <si>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</si>
  <si>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</si>
  <si>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</si>
  <si>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</si>
  <si>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</si>
  <si>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</si>
  <si>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</si>
  <si>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</si>
  <si>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</si>
  <si>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</si>
  <si>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</si>
  <si>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</si>
  <si>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</si>
  <si>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</si>
  <si>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</si>
  <si>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</si>
  <si>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</si>
  <si>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</si>
  <si>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</si>
  <si>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</si>
  <si>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</si>
  <si>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</si>
  <si>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</si>
  <si>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</si>
  <si>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</si>
  <si>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</si>
  <si>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</si>
  <si>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</si>
  <si>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</si>
  <si>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</si>
  <si>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</si>
  <si>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</si>
  <si>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</si>
  <si>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</si>
  <si>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</si>
  <si>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</si>
  <si>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</si>
  <si>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</si>
  <si>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</si>
  <si>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</si>
  <si>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</si>
  <si>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</si>
  <si>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</si>
  <si>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</si>
  <si>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</si>
  <si>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32.04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</si>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</sst>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RpVTsH37Dq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twitch.tv/spilledbeanseverywhere/clip/OriginalPerfectHyenaPastaThat--ZQb7WX1iO3VSjaq"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115</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3279</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3503</v>
      </c>
      <c r="P58" s="167" t="s">
        <v>3166</v>
      </c>
      <c r="Q58" s="303" t="s">
        <v>3539</v>
      </c>
      <c r="R58" s="112" t="s">
        <v>3325</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3296</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3270</v>
      </c>
      <c r="BW58" s="175" t="s">
        <v>3363</v>
      </c>
      <c r="BX58" s="175" t="s">
        <v>3568</v>
      </c>
      <c r="BY58" s="175" t="s">
        <v>2891</v>
      </c>
      <c r="BZ58" s="175" t="s">
        <v>3569</v>
      </c>
      <c r="CA58" s="175" t="s">
        <v>2436</v>
      </c>
      <c r="CB58" s="175" t="s">
        <v>1335</v>
      </c>
      <c r="CC58" s="175" t="s">
        <v>1640</v>
      </c>
      <c r="CD58" s="175" t="s">
        <v>3570</v>
      </c>
      <c r="CE58" s="175"/>
      <c r="CF58" s="177" t="s">
        <v>3571</v>
      </c>
      <c r="CG58" s="336" t="s">
        <v>295</v>
      </c>
      <c r="CH58" s="177" t="s">
        <v>3433</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3448</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3433</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3479</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3490</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3313</v>
      </c>
      <c r="CG59" s="508" t="s">
        <v>3616</v>
      </c>
      <c r="CH59" s="508" t="s">
        <v>3461</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3265</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3304</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3508</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3296</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3270</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3522</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3486</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3317</v>
      </c>
      <c r="AU64" s="168" t="s">
        <v>963</v>
      </c>
      <c r="AV64" s="168" t="s">
        <v>3816</v>
      </c>
      <c r="AW64" s="274"/>
      <c r="AX64" s="168" t="s">
        <v>2975</v>
      </c>
      <c r="AY64" s="274"/>
      <c r="AZ64" s="275"/>
      <c r="BA64" s="174" t="s">
        <v>2652</v>
      </c>
      <c r="BB64" s="174" t="s">
        <v>973</v>
      </c>
      <c r="BC64" s="174" t="s">
        <v>3502</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3336</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3350</v>
      </c>
      <c r="AU65" s="88" t="s">
        <v>3849</v>
      </c>
      <c r="AV65" s="98"/>
      <c r="AW65" s="98"/>
      <c r="AX65" s="98"/>
      <c r="AY65" s="98"/>
      <c r="AZ65" s="264"/>
      <c r="BA65" s="88" t="s">
        <v>291</v>
      </c>
      <c r="BB65" s="161" t="s">
        <v>548</v>
      </c>
      <c r="BC65" s="88" t="s">
        <v>143</v>
      </c>
      <c r="BD65" s="88" t="s">
        <v>1005</v>
      </c>
      <c r="BE65" s="88" t="s">
        <v>3426</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3444</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3471</v>
      </c>
      <c r="AW66" s="348" t="s">
        <v>1793</v>
      </c>
      <c r="AX66" s="348" t="s">
        <v>3876</v>
      </c>
      <c r="AY66" s="348" t="s">
        <v>3877</v>
      </c>
      <c r="AZ66" s="348"/>
      <c r="BA66" s="532" t="s">
        <v>3878</v>
      </c>
      <c r="BB66" s="355" t="s">
        <v>2645</v>
      </c>
      <c r="BC66" s="532" t="s">
        <v>1303</v>
      </c>
      <c r="BD66" s="532" t="s">
        <v>3013</v>
      </c>
      <c r="BE66" s="532" t="s">
        <v>3266</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3284</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3403</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3397</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3390</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3522</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3341</v>
      </c>
      <c r="M68" s="167" t="s">
        <v>3990</v>
      </c>
      <c r="N68" s="167" t="s">
        <v>3991</v>
      </c>
      <c r="O68" s="167" t="s">
        <v>3992</v>
      </c>
      <c r="P68" s="112" t="s">
        <v>2874</v>
      </c>
      <c r="Q68" s="167" t="s">
        <v>3993</v>
      </c>
      <c r="R68" s="167" t="s">
        <v>530</v>
      </c>
      <c r="S68" s="305" t="s">
        <v>3267</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3356</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3446</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3510</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3383</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3297</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3279</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3384</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3304</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3500</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3311</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3405</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3442</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3466</v>
      </c>
      <c r="AC74" s="199" t="s">
        <v>4233</v>
      </c>
      <c r="AD74" s="273"/>
      <c r="AE74" s="273"/>
      <c r="AF74" s="199" t="s">
        <v>3728</v>
      </c>
      <c r="AG74" s="199" t="s">
        <v>3431</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3442</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3270</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3300</v>
      </c>
    </row>
    <row r="79">
      <c r="A79" s="513" t="s">
        <v>4381</v>
      </c>
      <c r="B79" s="82" t="s">
        <v>4382</v>
      </c>
      <c r="C79" s="83" t="s">
        <v>1415</v>
      </c>
      <c r="D79" s="84" t="s">
        <v>1415</v>
      </c>
      <c r="E79" s="85" t="s">
        <v>1415</v>
      </c>
      <c r="F79" s="86" t="s">
        <v>738</v>
      </c>
      <c r="G79" s="82" t="s">
        <v>4383</v>
      </c>
      <c r="H79" s="93" t="s">
        <v>2114</v>
      </c>
      <c r="I79" s="93" t="s">
        <v>4384</v>
      </c>
      <c r="J79" s="93" t="s">
        <v>3485</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3454</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3362</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3428</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3370</v>
      </c>
      <c r="AA81" s="161" t="s">
        <v>3724</v>
      </c>
      <c r="AB81" s="161" t="s">
        <v>4443</v>
      </c>
      <c r="AC81" s="88" t="s">
        <v>4444</v>
      </c>
      <c r="AD81" s="98"/>
      <c r="AE81" s="88" t="s">
        <v>3173</v>
      </c>
      <c r="AF81" s="210" t="s">
        <v>1737</v>
      </c>
      <c r="AG81" s="93" t="s">
        <v>1831</v>
      </c>
      <c r="AH81" s="98"/>
      <c r="AI81" s="93" t="s">
        <v>3434</v>
      </c>
      <c r="AJ81" s="93" t="s">
        <v>4445</v>
      </c>
      <c r="AK81" s="92"/>
      <c r="AL81" s="93" t="s">
        <v>138</v>
      </c>
      <c r="AM81" s="93" t="s">
        <v>4446</v>
      </c>
      <c r="AN81" s="93" t="s">
        <v>4447</v>
      </c>
      <c r="AO81" s="93" t="s">
        <v>4448</v>
      </c>
      <c r="AP81" s="93" t="s">
        <v>1423</v>
      </c>
      <c r="AQ81" s="93" t="s">
        <v>3720</v>
      </c>
      <c r="AR81" s="93" t="s">
        <v>3521</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3513</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3493</v>
      </c>
      <c r="AJ82" s="199" t="s">
        <v>4507</v>
      </c>
      <c r="AK82" s="92"/>
      <c r="AL82" s="168" t="s">
        <v>712</v>
      </c>
      <c r="AM82" s="168" t="s">
        <v>4508</v>
      </c>
      <c r="AN82" s="168" t="s">
        <v>4509</v>
      </c>
      <c r="AO82" s="168" t="s">
        <v>4510</v>
      </c>
      <c r="AP82" s="168" t="s">
        <v>4511</v>
      </c>
      <c r="AQ82" s="168"/>
      <c r="AR82" s="168" t="s">
        <v>3498</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3375</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3417</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3359</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3500</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3486</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3276</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3352</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3480</v>
      </c>
      <c r="AH88" s="591" t="s">
        <v>1311</v>
      </c>
      <c r="AI88" s="116" t="s">
        <v>2160</v>
      </c>
      <c r="AJ88" s="591" t="s">
        <v>4669</v>
      </c>
      <c r="AK88" s="587"/>
      <c r="AL88" s="592" t="s">
        <v>3335</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3414</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3283</v>
      </c>
      <c r="CK89" s="98"/>
      <c r="CL89" s="93" t="s">
        <v>3107</v>
      </c>
      <c r="CM89" s="93" t="s">
        <v>3317</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3449</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3325</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3392</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3449</v>
      </c>
      <c r="AF91" s="88" t="s">
        <v>4781</v>
      </c>
      <c r="AG91" s="98"/>
      <c r="AH91" s="93" t="s">
        <v>2754</v>
      </c>
      <c r="AI91" s="93" t="s">
        <v>755</v>
      </c>
      <c r="AJ91" s="98"/>
      <c r="AK91" s="92"/>
      <c r="AL91" s="93" t="s">
        <v>4782</v>
      </c>
      <c r="AM91" s="93" t="s">
        <v>4783</v>
      </c>
      <c r="AN91" s="98"/>
      <c r="AO91" s="93" t="s">
        <v>4784</v>
      </c>
      <c r="AP91" s="98"/>
      <c r="AQ91" s="98"/>
      <c r="AR91" s="98"/>
      <c r="AS91" s="93" t="s">
        <v>4785</v>
      </c>
      <c r="AT91" s="88" t="s">
        <v>3428</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3367</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3408</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3408</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3297</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3306</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3422</v>
      </c>
      <c r="BU97" s="93" t="s">
        <v>4921</v>
      </c>
      <c r="BV97" s="93" t="s">
        <v>3328</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3263</v>
      </c>
      <c r="J98" s="112" t="s">
        <v>2169</v>
      </c>
      <c r="K98" s="112" t="s">
        <v>3340</v>
      </c>
      <c r="L98" s="112" t="s">
        <v>4930</v>
      </c>
      <c r="M98" s="112" t="str">
        <f>HYPERLINK("https://youtu.be/EP_OKh5RgxA", "2:18.82")</f>
        <v>2:18.82</v>
      </c>
      <c r="N98" s="112" t="s">
        <v>4931</v>
      </c>
      <c r="O98" s="112" t="s">
        <v>265</v>
      </c>
      <c r="P98" s="112" t="s">
        <v>552</v>
      </c>
      <c r="Q98" s="223"/>
      <c r="R98" s="223"/>
      <c r="S98" s="223"/>
      <c r="T98" s="223"/>
      <c r="U98" s="223"/>
      <c r="V98" s="223"/>
      <c r="W98" s="92"/>
      <c r="X98" s="116" t="s">
        <v>4932</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4933</v>
      </c>
      <c r="BC98" s="127" t="s">
        <v>2168</v>
      </c>
      <c r="BD98" s="174" t="s">
        <v>4934</v>
      </c>
      <c r="BE98" s="173"/>
      <c r="BF98" s="173"/>
      <c r="BG98" s="173"/>
      <c r="BH98" s="127" t="s">
        <v>607</v>
      </c>
      <c r="BI98" s="173"/>
      <c r="BJ98" s="127" t="s">
        <v>4935</v>
      </c>
      <c r="BK98" s="127" t="s">
        <v>2601</v>
      </c>
      <c r="BL98" s="173"/>
      <c r="BM98" s="173"/>
      <c r="BN98" s="173"/>
      <c r="BO98" s="173"/>
      <c r="BP98" s="277"/>
      <c r="BQ98" s="131" t="s">
        <v>4936</v>
      </c>
      <c r="BR98" s="280"/>
      <c r="BS98" s="131" t="s">
        <v>2926</v>
      </c>
      <c r="BT98" s="131" t="s">
        <v>4937</v>
      </c>
      <c r="BU98" s="280"/>
      <c r="BV98" s="131" t="s">
        <v>910</v>
      </c>
      <c r="BW98" s="175" t="s">
        <v>4938</v>
      </c>
      <c r="BX98" s="280"/>
      <c r="BY98" s="131" t="s">
        <v>4939</v>
      </c>
      <c r="BZ98" s="131" t="s">
        <v>1463</v>
      </c>
      <c r="CA98" s="280"/>
      <c r="CB98" s="280"/>
      <c r="CC98" s="280"/>
      <c r="CD98" s="280"/>
      <c r="CE98" s="281"/>
      <c r="CF98" s="284"/>
      <c r="CG98" s="284"/>
      <c r="CH98" s="284"/>
      <c r="CI98" s="177" t="s">
        <v>4940</v>
      </c>
      <c r="CJ98" s="177"/>
      <c r="CK98" s="284"/>
      <c r="CL98" s="136" t="s">
        <v>4941</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4934</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3379</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5034</v>
      </c>
      <c r="P103" s="88" t="s">
        <v>3996</v>
      </c>
      <c r="Q103" s="93" t="s">
        <v>5035</v>
      </c>
      <c r="R103" s="98"/>
      <c r="S103" s="93" t="s">
        <v>1294</v>
      </c>
      <c r="T103" s="98"/>
      <c r="U103" s="93" t="s">
        <v>233</v>
      </c>
      <c r="V103" s="290" t="s">
        <v>5036</v>
      </c>
      <c r="W103" s="211"/>
      <c r="X103" s="93" t="s">
        <v>1600</v>
      </c>
      <c r="Y103" s="210" t="s">
        <v>3574</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3733</v>
      </c>
      <c r="AQ103" s="93" t="s">
        <v>1265</v>
      </c>
      <c r="AR103" s="98"/>
      <c r="AS103" s="93" t="s">
        <v>5046</v>
      </c>
      <c r="AT103" s="88" t="s">
        <v>5047</v>
      </c>
      <c r="AU103" s="93" t="s">
        <v>5048</v>
      </c>
      <c r="AV103" s="93" t="s">
        <v>4140</v>
      </c>
      <c r="AW103" s="98"/>
      <c r="AX103" s="97" t="str">
        <f>HYPERLINK("https://clips.twitch.tv/PeppyAbstruseSmoothieCurseLit","39.09")</f>
        <v>39.09</v>
      </c>
      <c r="AY103" s="93" t="s">
        <v>5049</v>
      </c>
      <c r="AZ103" s="96"/>
      <c r="BA103" s="93" t="s">
        <v>5050</v>
      </c>
      <c r="BB103" s="93" t="s">
        <v>5051</v>
      </c>
      <c r="BC103" s="93" t="s">
        <v>473</v>
      </c>
      <c r="BD103" s="98"/>
      <c r="BE103" s="93" t="s">
        <v>5052</v>
      </c>
      <c r="BF103" s="93" t="s">
        <v>3561</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4462</v>
      </c>
      <c r="BT103" s="93" t="s">
        <v>4297</v>
      </c>
      <c r="BU103" s="98"/>
      <c r="BV103" s="210" t="s">
        <v>431</v>
      </c>
      <c r="BW103" s="98"/>
      <c r="BX103" s="98"/>
      <c r="BY103" s="93" t="s">
        <v>3655</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3929</v>
      </c>
      <c r="CV103" s="88" t="s">
        <v>5067</v>
      </c>
      <c r="CW103" s="93" t="s">
        <v>5068</v>
      </c>
      <c r="CX103" s="98"/>
      <c r="CY103" s="93" t="s">
        <v>4361</v>
      </c>
      <c r="CZ103" s="93" t="s">
        <v>5069</v>
      </c>
      <c r="DA103" s="93" t="s">
        <v>4099</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4651</v>
      </c>
      <c r="DS103" s="93" t="s">
        <v>5075</v>
      </c>
      <c r="DT103" s="93" t="s">
        <v>5076</v>
      </c>
      <c r="DU103" s="93" t="s">
        <v>5077</v>
      </c>
      <c r="DV103" s="93" t="s">
        <v>5078</v>
      </c>
      <c r="DW103" s="93" t="s">
        <v>1386</v>
      </c>
      <c r="DX103" s="93" t="s">
        <v>5079</v>
      </c>
      <c r="DY103" s="93" t="s">
        <v>4869</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4325</v>
      </c>
      <c r="L104" s="167" t="s">
        <v>2313</v>
      </c>
      <c r="M104" s="223"/>
      <c r="N104" s="167" t="s">
        <v>4264</v>
      </c>
      <c r="O104" s="167" t="s">
        <v>5086</v>
      </c>
      <c r="P104" s="167" t="s">
        <v>3996</v>
      </c>
      <c r="Q104" s="223"/>
      <c r="R104" s="223"/>
      <c r="S104" s="223"/>
      <c r="T104" s="223"/>
      <c r="U104" s="223"/>
      <c r="V104" s="223"/>
      <c r="W104" s="92"/>
      <c r="X104" s="199" t="s">
        <v>4711</v>
      </c>
      <c r="Y104" s="199" t="s">
        <v>3138</v>
      </c>
      <c r="Z104" s="199" t="s">
        <v>5087</v>
      </c>
      <c r="AA104" s="199" t="s">
        <v>4780</v>
      </c>
      <c r="AB104" s="273"/>
      <c r="AC104" s="199" t="s">
        <v>4167</v>
      </c>
      <c r="AD104" s="273"/>
      <c r="AE104" s="199" t="s">
        <v>3173</v>
      </c>
      <c r="AF104" s="199" t="s">
        <v>5088</v>
      </c>
      <c r="AG104" s="273"/>
      <c r="AH104" s="273"/>
      <c r="AI104" s="273"/>
      <c r="AJ104" s="273"/>
      <c r="AK104" s="92"/>
      <c r="AL104" s="168" t="s">
        <v>4037</v>
      </c>
      <c r="AM104" s="274"/>
      <c r="AN104" s="274"/>
      <c r="AO104" s="274"/>
      <c r="AP104" s="274"/>
      <c r="AQ104" s="274"/>
      <c r="AR104" s="274"/>
      <c r="AS104" s="274"/>
      <c r="AT104" s="274"/>
      <c r="AU104" s="168" t="s">
        <v>5089</v>
      </c>
      <c r="AV104" s="168" t="s">
        <v>4716</v>
      </c>
      <c r="AW104" s="274"/>
      <c r="AX104" s="274"/>
      <c r="AY104" s="274"/>
      <c r="AZ104" s="275"/>
      <c r="BA104" s="174" t="s">
        <v>1988</v>
      </c>
      <c r="BB104" s="173"/>
      <c r="BC104" s="174" t="s">
        <v>5090</v>
      </c>
      <c r="BD104" s="174" t="s">
        <v>4920</v>
      </c>
      <c r="BE104" s="127" t="s">
        <v>4126</v>
      </c>
      <c r="BF104" s="174" t="s">
        <v>1407</v>
      </c>
      <c r="BG104" s="173"/>
      <c r="BH104" s="174" t="s">
        <v>2564</v>
      </c>
      <c r="BI104" s="174" t="s">
        <v>5091</v>
      </c>
      <c r="BJ104" s="174"/>
      <c r="BK104" s="173"/>
      <c r="BL104" s="173"/>
      <c r="BM104" s="173"/>
      <c r="BN104" s="173"/>
      <c r="BO104" s="173"/>
      <c r="BP104" s="277"/>
      <c r="BQ104" s="175" t="s">
        <v>3758</v>
      </c>
      <c r="BR104" s="280"/>
      <c r="BS104" s="175" t="s">
        <v>2636</v>
      </c>
      <c r="BT104" s="175" t="s">
        <v>5092</v>
      </c>
      <c r="BU104" s="280"/>
      <c r="BV104" s="175" t="s">
        <v>5093</v>
      </c>
      <c r="BW104" s="280"/>
      <c r="BX104" s="280"/>
      <c r="BY104" s="175" t="s">
        <v>3655</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5107</v>
      </c>
      <c r="BF105" s="98"/>
      <c r="BG105" s="98"/>
      <c r="BH105" s="93" t="s">
        <v>3079</v>
      </c>
      <c r="BI105" s="93" t="s">
        <v>5108</v>
      </c>
      <c r="BJ105" s="98"/>
      <c r="BK105" s="93" t="s">
        <v>1490</v>
      </c>
      <c r="BL105" s="98"/>
      <c r="BM105" s="98"/>
      <c r="BN105" s="98"/>
      <c r="BO105" s="98"/>
      <c r="BP105" s="264"/>
      <c r="BQ105" s="93" t="s">
        <v>5109</v>
      </c>
      <c r="BR105" s="93" t="s">
        <v>4333</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3816</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4113</v>
      </c>
      <c r="J106" s="167" t="s">
        <v>5126</v>
      </c>
      <c r="K106" s="167" t="s">
        <v>3989</v>
      </c>
      <c r="L106" s="167" t="s">
        <v>1087</v>
      </c>
      <c r="M106" s="167" t="s">
        <v>5127</v>
      </c>
      <c r="N106" s="167" t="s">
        <v>5128</v>
      </c>
      <c r="O106" s="167" t="s">
        <v>851</v>
      </c>
      <c r="P106" s="167" t="s">
        <v>5129</v>
      </c>
      <c r="Q106" s="223"/>
      <c r="R106" s="223"/>
      <c r="S106" s="223"/>
      <c r="T106" s="223"/>
      <c r="U106" s="223"/>
      <c r="V106" s="223"/>
      <c r="W106" s="92"/>
      <c r="X106" s="199" t="s">
        <v>5130</v>
      </c>
      <c r="Y106" s="199" t="s">
        <v>3928</v>
      </c>
      <c r="Z106" s="199" t="s">
        <v>5131</v>
      </c>
      <c r="AA106" s="199" t="s">
        <v>5132</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5133</v>
      </c>
      <c r="BB106" s="174" t="s">
        <v>4453</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4903</v>
      </c>
      <c r="CB106" s="175" t="s">
        <v>4785</v>
      </c>
      <c r="CC106" s="175" t="s">
        <v>1662</v>
      </c>
      <c r="CD106" s="280"/>
      <c r="CE106" s="281"/>
      <c r="CF106" s="177" t="s">
        <v>5140</v>
      </c>
      <c r="CG106" s="177" t="s">
        <v>3204</v>
      </c>
      <c r="CH106" s="177" t="s">
        <v>3341</v>
      </c>
      <c r="CI106" s="177" t="s">
        <v>5141</v>
      </c>
      <c r="CJ106" s="177"/>
      <c r="CK106" s="177" t="s">
        <v>5142</v>
      </c>
      <c r="CL106" s="177" t="s">
        <v>3675</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4420</v>
      </c>
      <c r="L107" s="301" t="s">
        <v>561</v>
      </c>
      <c r="M107" s="98"/>
      <c r="N107" s="93" t="s">
        <v>5154</v>
      </c>
      <c r="O107" s="93" t="s">
        <v>1024</v>
      </c>
      <c r="P107" s="93" t="s">
        <v>3486</v>
      </c>
      <c r="Q107" s="98"/>
      <c r="R107" s="98"/>
      <c r="S107" s="98"/>
      <c r="T107" s="98"/>
      <c r="U107" s="98"/>
      <c r="V107" s="98"/>
      <c r="W107" s="92"/>
      <c r="X107" s="93" t="s">
        <v>2630</v>
      </c>
      <c r="Y107" s="93" t="s">
        <v>1009</v>
      </c>
      <c r="Z107" s="93" t="s">
        <v>3686</v>
      </c>
      <c r="AA107" s="93" t="s">
        <v>5155</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4653</v>
      </c>
      <c r="BD107" s="93" t="s">
        <v>4787</v>
      </c>
      <c r="BE107" s="93" t="s">
        <v>1739</v>
      </c>
      <c r="BF107" s="98"/>
      <c r="BG107" s="98"/>
      <c r="BH107" s="93" t="s">
        <v>1970</v>
      </c>
      <c r="BI107" s="93" t="s">
        <v>5157</v>
      </c>
      <c r="BJ107" s="93" t="s">
        <v>687</v>
      </c>
      <c r="BK107" s="93" t="s">
        <v>4518</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3793</v>
      </c>
      <c r="CU108" s="206" t="s">
        <v>4311</v>
      </c>
      <c r="CV108" s="407" t="s">
        <v>3439</v>
      </c>
      <c r="CW108" s="206" t="s">
        <v>1087</v>
      </c>
      <c r="CX108" s="206" t="s">
        <v>2695</v>
      </c>
      <c r="CY108" s="285"/>
      <c r="CZ108" s="206" t="s">
        <v>3953</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4781</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3662</v>
      </c>
      <c r="AC111" s="93" t="s">
        <v>5207</v>
      </c>
      <c r="AD111" s="93"/>
      <c r="AE111" s="93" t="s">
        <v>3883</v>
      </c>
      <c r="AF111" s="88" t="s">
        <v>1989</v>
      </c>
      <c r="AG111" s="93" t="s">
        <v>167</v>
      </c>
      <c r="AH111" s="100"/>
      <c r="AI111" s="88" t="s">
        <v>2979</v>
      </c>
      <c r="AJ111" s="93" t="s">
        <v>5208</v>
      </c>
      <c r="AK111" s="92"/>
      <c r="AL111" s="93" t="s">
        <v>3549</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4941</v>
      </c>
      <c r="BI111" s="93" t="s">
        <v>1147</v>
      </c>
      <c r="BJ111" s="98"/>
      <c r="BK111" s="161" t="s">
        <v>5216</v>
      </c>
      <c r="BL111" s="93" t="s">
        <v>5217</v>
      </c>
      <c r="BM111" s="93" t="s">
        <v>4011</v>
      </c>
      <c r="BN111" s="98"/>
      <c r="BO111" s="93" t="s">
        <v>5218</v>
      </c>
      <c r="BP111" s="93"/>
      <c r="BQ111" s="98"/>
      <c r="BR111" s="93" t="s">
        <v>5219</v>
      </c>
      <c r="BS111" s="93" t="s">
        <v>230</v>
      </c>
      <c r="BT111" s="93" t="s">
        <v>575</v>
      </c>
      <c r="BU111" s="93" t="s">
        <v>5220</v>
      </c>
      <c r="BV111" s="93" t="s">
        <v>5221</v>
      </c>
      <c r="BW111" s="98"/>
      <c r="BX111" s="88" t="s">
        <v>2891</v>
      </c>
      <c r="BY111" s="98"/>
      <c r="BZ111" s="88" t="s">
        <v>3666</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4118</v>
      </c>
      <c r="DH111" s="93"/>
      <c r="DI111" s="93" t="s">
        <v>5234</v>
      </c>
      <c r="DJ111" s="93"/>
      <c r="DK111" s="93" t="s">
        <v>5235</v>
      </c>
      <c r="DL111" s="93" t="s">
        <v>2744</v>
      </c>
      <c r="DM111" s="161" t="s">
        <v>3642</v>
      </c>
      <c r="DN111" s="93" t="s">
        <v>3688</v>
      </c>
      <c r="DO111" s="98"/>
      <c r="DP111" s="93" t="s">
        <v>3632</v>
      </c>
      <c r="DQ111" s="93" t="s">
        <v>5236</v>
      </c>
      <c r="DR111" s="93" t="s">
        <v>3735</v>
      </c>
      <c r="DS111" s="93" t="s">
        <v>3446</v>
      </c>
      <c r="DT111" s="93" t="s">
        <v>1083</v>
      </c>
      <c r="DU111" s="93" t="s">
        <v>1409</v>
      </c>
      <c r="DV111" s="93" t="s">
        <v>4150</v>
      </c>
      <c r="DW111" s="93" t="s">
        <v>1018</v>
      </c>
      <c r="DX111" s="93" t="s">
        <v>2859</v>
      </c>
      <c r="DY111" s="93" t="s">
        <v>3865</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3625</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4930</v>
      </c>
      <c r="AB112" s="199" t="s">
        <v>5246</v>
      </c>
      <c r="AC112" s="199" t="s">
        <v>5247</v>
      </c>
      <c r="AD112" s="199" t="s">
        <v>5248</v>
      </c>
      <c r="AE112" s="199" t="s">
        <v>1618</v>
      </c>
      <c r="AF112" s="199" t="s">
        <v>4294</v>
      </c>
      <c r="AG112" s="199" t="s">
        <v>1900</v>
      </c>
      <c r="AH112" s="199"/>
      <c r="AI112" s="199" t="s">
        <v>1270</v>
      </c>
      <c r="AJ112" s="199" t="s">
        <v>5249</v>
      </c>
      <c r="AK112" s="92"/>
      <c r="AL112" s="168" t="s">
        <v>2037</v>
      </c>
      <c r="AM112" s="168" t="s">
        <v>4248</v>
      </c>
      <c r="AN112" s="274"/>
      <c r="AO112" s="274"/>
      <c r="AP112" s="274"/>
      <c r="AQ112" s="274"/>
      <c r="AR112" s="168" t="s">
        <v>3844</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4220</v>
      </c>
      <c r="BG112" s="174" t="s">
        <v>4514</v>
      </c>
      <c r="BH112" s="174" t="s">
        <v>3636</v>
      </c>
      <c r="BI112" s="174" t="s">
        <v>896</v>
      </c>
      <c r="BJ112" s="174"/>
      <c r="BK112" s="174" t="s">
        <v>5255</v>
      </c>
      <c r="BL112" s="173"/>
      <c r="BM112" s="174" t="s">
        <v>1914</v>
      </c>
      <c r="BN112" s="174" t="s">
        <v>2813</v>
      </c>
      <c r="BO112" s="173"/>
      <c r="BP112" s="277"/>
      <c r="BQ112" s="175"/>
      <c r="BR112" s="175" t="s">
        <v>3611</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4758</v>
      </c>
      <c r="CG112" s="177" t="s">
        <v>1817</v>
      </c>
      <c r="CH112" s="177" t="s">
        <v>4818</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3567</v>
      </c>
      <c r="CX112" s="206" t="s">
        <v>5268</v>
      </c>
      <c r="CY112" s="206" t="s">
        <v>3913</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4810</v>
      </c>
      <c r="H113" s="93" t="s">
        <v>659</v>
      </c>
      <c r="I113" s="93" t="s">
        <v>2494</v>
      </c>
      <c r="J113" s="93" t="s">
        <v>1662</v>
      </c>
      <c r="K113" s="93" t="s">
        <v>3989</v>
      </c>
      <c r="L113" s="93" t="s">
        <v>4618</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4885</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4528</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4383</v>
      </c>
      <c r="H114" s="112" t="s">
        <v>5300</v>
      </c>
      <c r="I114" s="295" t="s">
        <v>5301</v>
      </c>
      <c r="J114" s="295" t="s">
        <v>466</v>
      </c>
      <c r="K114" s="295" t="s">
        <v>2266</v>
      </c>
      <c r="L114" s="112" t="s">
        <v>4046</v>
      </c>
      <c r="M114" s="167" t="s">
        <v>953</v>
      </c>
      <c r="N114" s="167" t="s">
        <v>5302</v>
      </c>
      <c r="O114" s="295" t="s">
        <v>153</v>
      </c>
      <c r="P114" s="112" t="s">
        <v>2806</v>
      </c>
      <c r="Q114" s="223"/>
      <c r="R114" s="223"/>
      <c r="S114" s="167" t="s">
        <v>3711</v>
      </c>
      <c r="T114" s="223"/>
      <c r="U114" s="167" t="s">
        <v>1453</v>
      </c>
      <c r="V114" s="223"/>
      <c r="W114" s="92"/>
      <c r="X114" s="376" t="s">
        <v>4711</v>
      </c>
      <c r="Y114" s="376" t="s">
        <v>3659</v>
      </c>
      <c r="Z114" s="116" t="s">
        <v>5303</v>
      </c>
      <c r="AA114" s="199" t="s">
        <v>5304</v>
      </c>
      <c r="AB114" s="116" t="s">
        <v>2618</v>
      </c>
      <c r="AC114" s="376" t="s">
        <v>5305</v>
      </c>
      <c r="AD114" s="273"/>
      <c r="AE114" s="199" t="s">
        <v>5306</v>
      </c>
      <c r="AF114" s="376" t="s">
        <v>5021</v>
      </c>
      <c r="AG114" s="199" t="s">
        <v>5307</v>
      </c>
      <c r="AH114" s="273"/>
      <c r="AI114" s="273"/>
      <c r="AJ114" s="273"/>
      <c r="AK114" s="92"/>
      <c r="AL114" s="168" t="s">
        <v>4453</v>
      </c>
      <c r="AM114" s="168" t="s">
        <v>1053</v>
      </c>
      <c r="AN114" s="274"/>
      <c r="AO114" s="168" t="s">
        <v>5308</v>
      </c>
      <c r="AP114" s="168" t="s">
        <v>5309</v>
      </c>
      <c r="AQ114" s="168" t="s">
        <v>5310</v>
      </c>
      <c r="AR114" s="121" t="s">
        <v>1658</v>
      </c>
      <c r="AS114" s="274"/>
      <c r="AT114" s="499" t="s">
        <v>3556</v>
      </c>
      <c r="AU114" s="310" t="s">
        <v>2304</v>
      </c>
      <c r="AV114" s="121" t="s">
        <v>3267</v>
      </c>
      <c r="AW114" s="274"/>
      <c r="AX114" s="168" t="s">
        <v>5311</v>
      </c>
      <c r="AY114" s="274"/>
      <c r="AZ114" s="275"/>
      <c r="BA114" s="174" t="s">
        <v>4283</v>
      </c>
      <c r="BB114" s="174" t="s">
        <v>1189</v>
      </c>
      <c r="BC114" s="127" t="s">
        <v>4653</v>
      </c>
      <c r="BD114" s="174" t="s">
        <v>2882</v>
      </c>
      <c r="BE114" s="174" t="s">
        <v>4234</v>
      </c>
      <c r="BF114" s="174" t="s">
        <v>2530</v>
      </c>
      <c r="BG114" s="174" t="s">
        <v>5312</v>
      </c>
      <c r="BH114" s="174" t="s">
        <v>3369</v>
      </c>
      <c r="BI114" s="174" t="s">
        <v>5313</v>
      </c>
      <c r="BJ114" s="173"/>
      <c r="BK114" s="174" t="s">
        <v>3128</v>
      </c>
      <c r="BL114" s="173"/>
      <c r="BM114" s="174" t="s">
        <v>4426</v>
      </c>
      <c r="BN114" s="173"/>
      <c r="BO114" s="174" t="s">
        <v>5314</v>
      </c>
      <c r="BP114" s="277"/>
      <c r="BQ114" s="280"/>
      <c r="BR114" s="280"/>
      <c r="BS114" s="175" t="s">
        <v>5085</v>
      </c>
      <c r="BT114" s="175" t="s">
        <v>5315</v>
      </c>
      <c r="BU114" s="175" t="s">
        <v>3280</v>
      </c>
      <c r="BV114" s="175" t="s">
        <v>5316</v>
      </c>
      <c r="BW114" s="280"/>
      <c r="BX114" s="175" t="s">
        <v>4927</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3960</v>
      </c>
      <c r="DL114" s="287"/>
      <c r="DM114" s="287"/>
      <c r="DN114" s="146" t="s">
        <v>5327</v>
      </c>
      <c r="DO114" s="287"/>
      <c r="DP114" s="287"/>
      <c r="DQ114" s="207" t="s">
        <v>5319</v>
      </c>
      <c r="DR114" s="207" t="s">
        <v>5328</v>
      </c>
      <c r="DS114" s="287"/>
      <c r="DT114" s="207" t="s">
        <v>3691</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4437</v>
      </c>
      <c r="AM115" s="93" t="s">
        <v>3595</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4569</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4462</v>
      </c>
      <c r="BT115" s="93" t="s">
        <v>5354</v>
      </c>
      <c r="BU115" s="93" t="s">
        <v>5355</v>
      </c>
      <c r="BV115" s="93" t="s">
        <v>5356</v>
      </c>
      <c r="BW115" s="98"/>
      <c r="BX115" s="93" t="s">
        <v>3804</v>
      </c>
      <c r="BY115" s="93" t="s">
        <v>5357</v>
      </c>
      <c r="BZ115" s="93" t="s">
        <v>5358</v>
      </c>
      <c r="CA115" s="98"/>
      <c r="CB115" s="98"/>
      <c r="CC115" s="98"/>
      <c r="CD115" s="98"/>
      <c r="CE115" s="264"/>
      <c r="CF115" s="93" t="s">
        <v>5359</v>
      </c>
      <c r="CG115" s="93" t="s">
        <v>5078</v>
      </c>
      <c r="CH115" s="93" t="s">
        <v>990</v>
      </c>
      <c r="CI115" s="93" t="s">
        <v>5360</v>
      </c>
      <c r="CJ115" s="93" t="s">
        <v>4160</v>
      </c>
      <c r="CK115" s="93" t="s">
        <v>5361</v>
      </c>
      <c r="CL115" s="93" t="s">
        <v>5362</v>
      </c>
      <c r="CM115" s="93" t="s">
        <v>4139</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4768</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3784</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3783</v>
      </c>
      <c r="H117" s="98"/>
      <c r="I117" s="652" t="s">
        <v>5385</v>
      </c>
      <c r="J117" s="93" t="s">
        <v>5386</v>
      </c>
      <c r="K117" s="653" t="s">
        <v>5387</v>
      </c>
      <c r="L117" s="652" t="s">
        <v>5388</v>
      </c>
      <c r="M117" s="93" t="s">
        <v>5389</v>
      </c>
      <c r="N117" s="93" t="s">
        <v>5390</v>
      </c>
      <c r="O117" s="96" t="s">
        <v>2883</v>
      </c>
      <c r="P117" s="96" t="s">
        <v>4805</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4653</v>
      </c>
      <c r="BD117" s="654" t="s">
        <v>2132</v>
      </c>
      <c r="BE117" s="93" t="s">
        <v>4331</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4514</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4377</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4436</v>
      </c>
      <c r="L118" s="295" t="s">
        <v>4455</v>
      </c>
      <c r="M118" s="295" t="s">
        <v>5414</v>
      </c>
      <c r="N118" s="295" t="s">
        <v>1823</v>
      </c>
      <c r="O118" s="295" t="s">
        <v>1453</v>
      </c>
      <c r="P118" s="112" t="s">
        <v>1009</v>
      </c>
      <c r="Q118" s="112" t="s">
        <v>5415</v>
      </c>
      <c r="R118" s="223"/>
      <c r="S118" s="223"/>
      <c r="T118" s="223"/>
      <c r="U118" s="223"/>
      <c r="V118" s="223"/>
      <c r="W118" s="92"/>
      <c r="X118" s="376" t="s">
        <v>5416</v>
      </c>
      <c r="Y118" s="376" t="s">
        <v>3977</v>
      </c>
      <c r="Z118" s="376" t="s">
        <v>5417</v>
      </c>
      <c r="AA118" s="376" t="s">
        <v>3353</v>
      </c>
      <c r="AB118" s="376" t="s">
        <v>5059</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5118</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5366</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5262</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5315</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5147</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5167</v>
      </c>
      <c r="K120" s="167" t="s">
        <v>352</v>
      </c>
      <c r="L120" s="167" t="s">
        <v>4878</v>
      </c>
      <c r="M120" s="167" t="s">
        <v>5481</v>
      </c>
      <c r="N120" s="167" t="s">
        <v>5482</v>
      </c>
      <c r="O120" s="167" t="s">
        <v>2988</v>
      </c>
      <c r="P120" s="167" t="s">
        <v>5483</v>
      </c>
      <c r="Q120" s="223"/>
      <c r="R120" s="223"/>
      <c r="S120" s="223"/>
      <c r="T120" s="223"/>
      <c r="U120" s="223"/>
      <c r="V120" s="223"/>
      <c r="W120" s="92"/>
      <c r="X120" s="199" t="s">
        <v>3322</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5212</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5157</v>
      </c>
      <c r="CY120" s="206" t="s">
        <v>4932</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5158</v>
      </c>
      <c r="K121" s="93" t="s">
        <v>5509</v>
      </c>
      <c r="L121" s="88" t="s">
        <v>5510</v>
      </c>
      <c r="M121" s="98"/>
      <c r="N121" s="98"/>
      <c r="O121" s="98"/>
      <c r="P121" s="93" t="s">
        <v>5511</v>
      </c>
      <c r="Q121" s="98"/>
      <c r="R121" s="98"/>
      <c r="S121" s="93" t="s">
        <v>4165</v>
      </c>
      <c r="T121" s="98"/>
      <c r="U121" s="93" t="s">
        <v>3260</v>
      </c>
      <c r="V121" s="98"/>
      <c r="W121" s="92"/>
      <c r="X121" s="93" t="s">
        <v>5050</v>
      </c>
      <c r="Y121" s="98"/>
      <c r="Z121" s="93" t="s">
        <v>5512</v>
      </c>
      <c r="AA121" s="98"/>
      <c r="AB121" s="93" t="s">
        <v>123</v>
      </c>
      <c r="AC121" s="98"/>
      <c r="AD121" s="98"/>
      <c r="AE121" s="98"/>
      <c r="AF121" s="93" t="s">
        <v>5513</v>
      </c>
      <c r="AG121" s="93" t="s">
        <v>5514</v>
      </c>
      <c r="AH121" s="98"/>
      <c r="AI121" s="93" t="s">
        <v>4315</v>
      </c>
      <c r="AJ121" s="93" t="s">
        <v>5515</v>
      </c>
      <c r="AK121" s="92"/>
      <c r="AL121" s="93" t="s">
        <v>3467</v>
      </c>
      <c r="AM121" s="93" t="s">
        <v>5516</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4847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4810</v>
      </c>
      <c r="H122" s="167" t="s">
        <v>5532</v>
      </c>
      <c r="I122" s="167" t="s">
        <v>5533</v>
      </c>
      <c r="J122" s="167" t="s">
        <v>5534</v>
      </c>
      <c r="K122" s="167" t="s">
        <v>5334</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5535</v>
      </c>
      <c r="AB122" s="199" t="s">
        <v>4205</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4353</v>
      </c>
      <c r="BB122" s="174" t="s">
        <v>576</v>
      </c>
      <c r="BC122" s="174" t="s">
        <v>3530</v>
      </c>
      <c r="BD122" s="174" t="s">
        <v>5538</v>
      </c>
      <c r="BE122" s="174" t="s">
        <v>5539</v>
      </c>
      <c r="BF122" s="173"/>
      <c r="BG122" s="659"/>
      <c r="BH122" s="174" t="s">
        <v>754</v>
      </c>
      <c r="BI122" s="174" t="s">
        <v>5540</v>
      </c>
      <c r="BJ122" s="173"/>
      <c r="BK122" s="174" t="s">
        <v>4566</v>
      </c>
      <c r="BL122" s="173"/>
      <c r="BM122" s="173"/>
      <c r="BN122" s="173"/>
      <c r="BO122" s="173"/>
      <c r="BP122" s="277"/>
      <c r="BQ122" s="175" t="s">
        <v>5349</v>
      </c>
      <c r="BR122" s="175" t="s">
        <v>4440</v>
      </c>
      <c r="BS122" s="175" t="s">
        <v>4774</v>
      </c>
      <c r="BT122" s="175" t="s">
        <v>1921</v>
      </c>
      <c r="BU122" s="175" t="s">
        <v>1006</v>
      </c>
      <c r="BV122" s="175" t="s">
        <v>5541</v>
      </c>
      <c r="BW122" s="175"/>
      <c r="BX122" s="175" t="s">
        <v>5542</v>
      </c>
      <c r="BY122" s="280"/>
      <c r="BZ122" s="175" t="s">
        <v>2214</v>
      </c>
      <c r="CA122" s="280"/>
      <c r="CB122" s="280"/>
      <c r="CC122" s="280"/>
      <c r="CD122" s="280"/>
      <c r="CE122" s="281"/>
      <c r="CF122" s="177" t="s">
        <v>5543</v>
      </c>
      <c r="CG122" s="177" t="s">
        <v>2328</v>
      </c>
      <c r="CH122" s="284"/>
      <c r="CI122" s="284"/>
      <c r="CJ122" s="284"/>
      <c r="CK122" s="177" t="s">
        <v>5544</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5545</v>
      </c>
      <c r="DA122" s="206" t="s">
        <v>4237</v>
      </c>
      <c r="DB122" s="285"/>
      <c r="DC122" s="285"/>
      <c r="DD122" s="285"/>
      <c r="DE122" s="285"/>
      <c r="DF122" s="286"/>
      <c r="DG122" s="287"/>
      <c r="DH122" s="287"/>
      <c r="DI122" s="287"/>
      <c r="DJ122" s="287"/>
      <c r="DK122" s="287"/>
      <c r="DL122" s="287"/>
      <c r="DM122" s="287"/>
      <c r="DN122" s="287"/>
      <c r="DO122" s="287"/>
      <c r="DP122" s="207" t="s">
        <v>5546</v>
      </c>
      <c r="DQ122" s="207" t="s">
        <v>2371</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2218</v>
      </c>
      <c r="H123" s="98"/>
      <c r="I123" s="88" t="s">
        <v>5549</v>
      </c>
      <c r="J123" s="88" t="s">
        <v>5550</v>
      </c>
      <c r="K123" s="88" t="s">
        <v>5551</v>
      </c>
      <c r="L123" s="88" t="s">
        <v>2464</v>
      </c>
      <c r="M123" s="88" t="s">
        <v>1462</v>
      </c>
      <c r="N123" s="88" t="s">
        <v>5552</v>
      </c>
      <c r="O123" s="88" t="s">
        <v>1366</v>
      </c>
      <c r="P123" s="93" t="s">
        <v>5279</v>
      </c>
      <c r="Q123" s="98"/>
      <c r="R123" s="98"/>
      <c r="S123" s="98"/>
      <c r="T123" s="98"/>
      <c r="U123" s="98"/>
      <c r="V123" s="98"/>
      <c r="W123" s="92"/>
      <c r="X123" s="88" t="s">
        <v>3066</v>
      </c>
      <c r="Y123" s="88" t="s">
        <v>2476</v>
      </c>
      <c r="Z123" s="301" t="s">
        <v>5553</v>
      </c>
      <c r="AA123" s="93" t="s">
        <v>5554</v>
      </c>
      <c r="AB123" s="88" t="s">
        <v>3820</v>
      </c>
      <c r="AC123" s="301" t="s">
        <v>3432</v>
      </c>
      <c r="AD123" s="98"/>
      <c r="AE123" s="301" t="s">
        <v>5555</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5556</v>
      </c>
      <c r="BB123" s="301" t="s">
        <v>5557</v>
      </c>
      <c r="BC123" s="301" t="s">
        <v>5470</v>
      </c>
      <c r="BD123" s="88" t="s">
        <v>3133</v>
      </c>
      <c r="BE123" s="88" t="s">
        <v>5558</v>
      </c>
      <c r="BF123" s="98"/>
      <c r="BG123" s="98"/>
      <c r="BH123" s="88" t="s">
        <v>3900</v>
      </c>
      <c r="BI123" s="98"/>
      <c r="BJ123" s="93" t="s">
        <v>5559</v>
      </c>
      <c r="BK123" s="301" t="s">
        <v>5560</v>
      </c>
      <c r="BL123" s="98"/>
      <c r="BM123" s="98"/>
      <c r="BN123" s="98"/>
      <c r="BO123" s="98"/>
      <c r="BP123" s="264"/>
      <c r="BQ123" s="88" t="s">
        <v>5561</v>
      </c>
      <c r="BR123" s="93" t="s">
        <v>5562</v>
      </c>
      <c r="BS123" s="93" t="s">
        <v>5563</v>
      </c>
      <c r="BT123" s="93" t="s">
        <v>1795</v>
      </c>
      <c r="BU123" s="93" t="s">
        <v>4728</v>
      </c>
      <c r="BV123" s="93" t="s">
        <v>717</v>
      </c>
      <c r="BW123" s="93" t="s">
        <v>5564</v>
      </c>
      <c r="BX123" s="98"/>
      <c r="BY123" s="88" t="s">
        <v>5565</v>
      </c>
      <c r="BZ123" s="93" t="s">
        <v>5566</v>
      </c>
      <c r="CA123" s="98"/>
      <c r="CB123" s="98"/>
      <c r="CC123" s="98"/>
      <c r="CD123" s="98"/>
      <c r="CE123" s="264"/>
      <c r="CF123" s="93" t="s">
        <v>5567</v>
      </c>
      <c r="CG123" s="88" t="s">
        <v>3902</v>
      </c>
      <c r="CH123" s="88" t="s">
        <v>4105</v>
      </c>
      <c r="CI123" s="88" t="s">
        <v>5568</v>
      </c>
      <c r="CJ123" s="88" t="s">
        <v>4069</v>
      </c>
      <c r="CK123" s="93" t="s">
        <v>5569</v>
      </c>
      <c r="CL123" s="88" t="s">
        <v>1964</v>
      </c>
      <c r="CM123" s="93" t="s">
        <v>1842</v>
      </c>
      <c r="CN123" s="98"/>
      <c r="CO123" s="98"/>
      <c r="CP123" s="98"/>
      <c r="CQ123" s="98"/>
      <c r="CR123" s="98"/>
      <c r="CS123" s="101"/>
      <c r="CT123" s="88" t="s">
        <v>5570</v>
      </c>
      <c r="CU123" s="88" t="s">
        <v>5571</v>
      </c>
      <c r="CV123" s="88" t="s">
        <v>5572</v>
      </c>
      <c r="CW123" s="88" t="s">
        <v>5573</v>
      </c>
      <c r="CX123" s="88" t="s">
        <v>5574</v>
      </c>
      <c r="CY123" s="88" t="s">
        <v>5575</v>
      </c>
      <c r="CZ123" s="88" t="s">
        <v>5576</v>
      </c>
      <c r="DA123" s="88" t="s">
        <v>4953</v>
      </c>
      <c r="DB123" s="98"/>
      <c r="DC123" s="98"/>
      <c r="DD123" s="98"/>
      <c r="DE123" s="98"/>
      <c r="DF123" s="264"/>
      <c r="DG123" s="88" t="s">
        <v>3600</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4597</v>
      </c>
      <c r="L124" s="167" t="s">
        <v>5215</v>
      </c>
      <c r="M124" s="223"/>
      <c r="N124" s="167" t="s">
        <v>4874</v>
      </c>
      <c r="O124" s="167" t="s">
        <v>5582</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5583</v>
      </c>
      <c r="BF124" s="173"/>
      <c r="BG124" s="173"/>
      <c r="BH124" s="174" t="s">
        <v>3218</v>
      </c>
      <c r="BI124" s="173"/>
      <c r="BJ124" s="174" t="s">
        <v>5584</v>
      </c>
      <c r="BK124" s="173"/>
      <c r="BL124" s="173"/>
      <c r="BM124" s="173"/>
      <c r="BN124" s="173"/>
      <c r="BO124" s="173"/>
      <c r="BP124" s="277"/>
      <c r="BQ124" s="175" t="s">
        <v>5585</v>
      </c>
      <c r="BR124" s="280"/>
      <c r="BS124" s="280"/>
      <c r="BT124" s="175" t="s">
        <v>5519</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2253</v>
      </c>
      <c r="G125" s="82" t="s">
        <v>2692</v>
      </c>
      <c r="H125" s="100"/>
      <c r="I125" s="94"/>
      <c r="J125" s="100"/>
      <c r="K125" s="88" t="s">
        <v>2765</v>
      </c>
      <c r="L125" s="100" t="s">
        <v>557</v>
      </c>
      <c r="M125" s="100"/>
      <c r="N125" s="100"/>
      <c r="O125" s="88" t="s">
        <v>5590</v>
      </c>
      <c r="P125" s="88" t="s">
        <v>107</v>
      </c>
      <c r="Q125" s="98"/>
      <c r="R125" s="98"/>
      <c r="S125" s="98"/>
      <c r="T125" s="98"/>
      <c r="U125" s="98"/>
      <c r="V125" s="98"/>
      <c r="W125" s="92"/>
      <c r="X125" s="100" t="s">
        <v>5591</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3987</v>
      </c>
      <c r="H126" s="223"/>
      <c r="I126" s="167" t="s">
        <v>5597</v>
      </c>
      <c r="J126" s="223"/>
      <c r="K126" s="223"/>
      <c r="L126" s="167" t="s">
        <v>3373</v>
      </c>
      <c r="M126" s="223"/>
      <c r="N126" s="167" t="s">
        <v>5274</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5598</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5599</v>
      </c>
      <c r="BF126" s="173"/>
      <c r="BG126" s="173"/>
      <c r="BH126" s="174" t="s">
        <v>5345</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4943</v>
      </c>
      <c r="CU126" s="285"/>
      <c r="CV126" s="206" t="s">
        <v>3383</v>
      </c>
      <c r="CW126" s="285"/>
      <c r="CX126" s="285"/>
      <c r="CY126" s="285"/>
      <c r="CZ126" s="206" t="s">
        <v>5603</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5604</v>
      </c>
      <c r="B127" s="82" t="s">
        <v>5605</v>
      </c>
      <c r="C127" s="83" t="s">
        <v>1415</v>
      </c>
      <c r="D127" s="84" t="s">
        <v>1415</v>
      </c>
      <c r="E127" s="85" t="s">
        <v>1415</v>
      </c>
      <c r="F127" s="86" t="s">
        <v>3679</v>
      </c>
      <c r="G127" s="82" t="s">
        <v>3679</v>
      </c>
      <c r="H127" s="88" t="s">
        <v>5606</v>
      </c>
      <c r="I127" s="88" t="s">
        <v>5607</v>
      </c>
      <c r="J127" s="88" t="s">
        <v>4640</v>
      </c>
      <c r="K127" s="98"/>
      <c r="L127" s="88" t="s">
        <v>5608</v>
      </c>
      <c r="M127" s="88" t="s">
        <v>5609</v>
      </c>
      <c r="N127" s="98"/>
      <c r="O127" s="98"/>
      <c r="P127" s="88" t="s">
        <v>3486</v>
      </c>
      <c r="Q127" s="98"/>
      <c r="R127" s="98"/>
      <c r="S127" s="98"/>
      <c r="T127" s="98"/>
      <c r="U127" s="98"/>
      <c r="V127" s="98"/>
      <c r="W127" s="92"/>
      <c r="X127" s="88" t="s">
        <v>2289</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5612</v>
      </c>
      <c r="BR127" s="98"/>
      <c r="BS127" s="88" t="s">
        <v>3267</v>
      </c>
      <c r="BT127" s="98"/>
      <c r="BU127" s="98"/>
      <c r="BV127" s="98"/>
      <c r="BW127" s="98"/>
      <c r="BX127" s="98"/>
      <c r="BY127" s="98"/>
      <c r="BZ127" s="88" t="s">
        <v>2234</v>
      </c>
      <c r="CA127" s="98"/>
      <c r="CB127" s="98"/>
      <c r="CC127" s="98"/>
      <c r="CD127" s="98"/>
      <c r="CE127" s="264"/>
      <c r="CF127" s="88" t="s">
        <v>5613</v>
      </c>
      <c r="CG127" s="88" t="s">
        <v>2362</v>
      </c>
      <c r="CH127" s="98"/>
      <c r="CI127" s="88" t="s">
        <v>4646</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2868</v>
      </c>
      <c r="H129" s="93" t="s">
        <v>4187</v>
      </c>
      <c r="I129" s="93" t="s">
        <v>5624</v>
      </c>
      <c r="J129" s="93" t="s">
        <v>3139</v>
      </c>
      <c r="K129" s="93" t="s">
        <v>2266</v>
      </c>
      <c r="L129" s="93" t="s">
        <v>5625</v>
      </c>
      <c r="M129" s="93" t="s">
        <v>5626</v>
      </c>
      <c r="N129" s="93" t="s">
        <v>5627</v>
      </c>
      <c r="O129" s="93" t="s">
        <v>925</v>
      </c>
      <c r="P129" s="93" t="s">
        <v>1207</v>
      </c>
      <c r="Q129" s="93"/>
      <c r="R129" s="98"/>
      <c r="S129" s="98"/>
      <c r="T129" s="98"/>
      <c r="U129" s="98"/>
      <c r="V129" s="98"/>
      <c r="W129" s="92"/>
      <c r="X129" s="93" t="s">
        <v>5628</v>
      </c>
      <c r="Y129" s="93" t="s">
        <v>5629</v>
      </c>
      <c r="Z129" s="93" t="s">
        <v>1989</v>
      </c>
      <c r="AA129" s="93" t="s">
        <v>5630</v>
      </c>
      <c r="AB129" s="93" t="s">
        <v>3820</v>
      </c>
      <c r="AC129" s="93" t="s">
        <v>5631</v>
      </c>
      <c r="AD129" s="98"/>
      <c r="AE129" s="93" t="s">
        <v>5632</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5633</v>
      </c>
      <c r="BW129" s="98"/>
      <c r="BX129" s="98"/>
      <c r="BY129" s="98"/>
      <c r="BZ129" s="93" t="s">
        <v>823</v>
      </c>
      <c r="CA129" s="98"/>
      <c r="CB129" s="98"/>
      <c r="CC129" s="98"/>
      <c r="CD129" s="98"/>
      <c r="CE129" s="264"/>
      <c r="CF129" s="93" t="s">
        <v>5634</v>
      </c>
      <c r="CG129" s="93" t="s">
        <v>193</v>
      </c>
      <c r="CH129" s="93" t="s">
        <v>2598</v>
      </c>
      <c r="CI129" s="98"/>
      <c r="CJ129" s="98"/>
      <c r="CK129" s="98"/>
      <c r="CL129" s="98"/>
      <c r="CM129" s="93" t="s">
        <v>5635</v>
      </c>
      <c r="CN129" s="98"/>
      <c r="CO129" s="98"/>
      <c r="CP129" s="98"/>
      <c r="CQ129" s="98"/>
      <c r="CR129" s="98"/>
      <c r="CS129" s="101"/>
      <c r="CT129" s="93" t="s">
        <v>5636</v>
      </c>
      <c r="CU129" s="93" t="s">
        <v>5637</v>
      </c>
      <c r="CV129" s="93" t="s">
        <v>1906</v>
      </c>
      <c r="CW129" s="93" t="s">
        <v>4970</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5074</v>
      </c>
      <c r="DS129" s="98"/>
      <c r="DT129" s="98"/>
      <c r="DU129" s="98"/>
      <c r="DV129" s="98"/>
      <c r="DW129" s="98"/>
      <c r="DX129" s="98"/>
      <c r="DY129" s="98"/>
      <c r="DZ129" s="93" t="s">
        <v>4615</v>
      </c>
      <c r="EA129" s="93" t="s">
        <v>2559</v>
      </c>
      <c r="EB129" s="290" t="s">
        <v>5639</v>
      </c>
    </row>
    <row r="130">
      <c r="A130" s="166" t="s">
        <v>5640</v>
      </c>
      <c r="B130" s="103" t="s">
        <v>5641</v>
      </c>
      <c r="C130" s="104" t="s">
        <v>1415</v>
      </c>
      <c r="D130" s="105" t="s">
        <v>1415</v>
      </c>
      <c r="E130" s="106" t="s">
        <v>1415</v>
      </c>
      <c r="F130" s="107" t="s">
        <v>438</v>
      </c>
      <c r="G130" s="103" t="s">
        <v>220</v>
      </c>
      <c r="H130" s="167" t="s">
        <v>3669</v>
      </c>
      <c r="I130" s="167" t="s">
        <v>2117</v>
      </c>
      <c r="J130" s="167" t="s">
        <v>5642</v>
      </c>
      <c r="K130" s="167" t="s">
        <v>3444</v>
      </c>
      <c r="L130" s="305" t="s">
        <v>5643</v>
      </c>
      <c r="M130" s="223"/>
      <c r="N130" s="223"/>
      <c r="O130" s="305" t="s">
        <v>1282</v>
      </c>
      <c r="P130" s="223"/>
      <c r="Q130" s="223"/>
      <c r="R130" s="167"/>
      <c r="S130" s="167"/>
      <c r="T130" s="223"/>
      <c r="U130" s="223"/>
      <c r="V130" s="223"/>
      <c r="W130" s="92"/>
      <c r="X130" s="199" t="s">
        <v>3038</v>
      </c>
      <c r="Y130" s="273"/>
      <c r="Z130" s="199" t="s">
        <v>5644</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5645</v>
      </c>
      <c r="BJ130" s="174"/>
      <c r="BK130" s="173"/>
      <c r="BL130" s="173"/>
      <c r="BM130" s="173"/>
      <c r="BN130" s="173"/>
      <c r="BO130" s="173"/>
      <c r="BP130" s="277"/>
      <c r="BQ130" s="280"/>
      <c r="BR130" s="176" t="s">
        <v>3932</v>
      </c>
      <c r="BS130" s="175" t="s">
        <v>5646</v>
      </c>
      <c r="BT130" s="280"/>
      <c r="BU130" s="280"/>
      <c r="BV130" s="175" t="s">
        <v>5647</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2904</v>
      </c>
      <c r="H131" s="93" t="s">
        <v>5650</v>
      </c>
      <c r="I131" s="93" t="s">
        <v>5651</v>
      </c>
      <c r="J131" s="93" t="s">
        <v>845</v>
      </c>
      <c r="K131" s="93" t="s">
        <v>3920</v>
      </c>
      <c r="L131" s="93" t="s">
        <v>5652</v>
      </c>
      <c r="M131" s="93" t="s">
        <v>5653</v>
      </c>
      <c r="N131" s="93" t="s">
        <v>5654</v>
      </c>
      <c r="O131" s="93" t="s">
        <v>5655</v>
      </c>
      <c r="P131" s="98"/>
      <c r="Q131" s="98"/>
      <c r="R131" s="98"/>
      <c r="S131" s="98"/>
      <c r="T131" s="98"/>
      <c r="U131" s="98"/>
      <c r="V131" s="98"/>
      <c r="W131" s="92"/>
      <c r="X131" s="93" t="s">
        <v>5656</v>
      </c>
      <c r="Y131" s="93" t="s">
        <v>5657</v>
      </c>
      <c r="Z131" s="93" t="s">
        <v>5458</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5658</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5659</v>
      </c>
      <c r="CG131" s="93" t="s">
        <v>3931</v>
      </c>
      <c r="CH131" s="98"/>
      <c r="CI131" s="98"/>
      <c r="CJ131" s="98"/>
      <c r="CK131" s="98"/>
      <c r="CL131" s="98"/>
      <c r="CM131" s="98"/>
      <c r="CN131" s="98"/>
      <c r="CO131" s="98"/>
      <c r="CP131" s="98"/>
      <c r="CQ131" s="98"/>
      <c r="CR131" s="98"/>
      <c r="CS131" s="101"/>
      <c r="CT131" s="93" t="s">
        <v>4647</v>
      </c>
      <c r="CU131" s="93" t="s">
        <v>5660</v>
      </c>
      <c r="CV131" s="93" t="s">
        <v>2636</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2253</v>
      </c>
      <c r="G132" s="214" t="s">
        <v>1881</v>
      </c>
      <c r="H132" s="669"/>
      <c r="I132" s="669" t="s">
        <v>5665</v>
      </c>
      <c r="J132" s="669"/>
      <c r="K132" s="669" t="s">
        <v>2224</v>
      </c>
      <c r="L132" s="219" t="s">
        <v>5117</v>
      </c>
      <c r="M132" s="669"/>
      <c r="N132" s="459" t="s">
        <v>5666</v>
      </c>
      <c r="O132" s="459" t="s">
        <v>5590</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2590</v>
      </c>
      <c r="BV132" s="131" t="s">
        <v>5356</v>
      </c>
      <c r="BW132" s="677"/>
      <c r="BX132" s="677"/>
      <c r="BY132" s="677"/>
      <c r="BZ132" s="131" t="s">
        <v>3588</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3319</v>
      </c>
      <c r="CW132" s="681" t="s">
        <v>5679</v>
      </c>
      <c r="CX132" s="249" t="s">
        <v>5680</v>
      </c>
      <c r="CY132" s="247" t="s">
        <v>2999</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1900</v>
      </c>
      <c r="M133" s="93"/>
      <c r="N133" s="93" t="s">
        <v>5687</v>
      </c>
      <c r="O133" s="93" t="s">
        <v>5688</v>
      </c>
      <c r="P133" s="98"/>
      <c r="Q133" s="98"/>
      <c r="R133" s="98"/>
      <c r="S133" s="98"/>
      <c r="T133" s="98"/>
      <c r="U133" s="98"/>
      <c r="V133" s="98"/>
      <c r="W133" s="92"/>
      <c r="X133" s="210"/>
      <c r="Y133" s="93"/>
      <c r="Z133" s="93" t="s">
        <v>2751</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2110</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3749</v>
      </c>
      <c r="I134" s="295" t="s">
        <v>5698</v>
      </c>
      <c r="J134" s="295" t="s">
        <v>1640</v>
      </c>
      <c r="K134" s="389" t="s">
        <v>352</v>
      </c>
      <c r="L134" s="389" t="s">
        <v>606</v>
      </c>
      <c r="M134" s="389" t="s">
        <v>5699</v>
      </c>
      <c r="N134" s="389" t="s">
        <v>5700</v>
      </c>
      <c r="O134" s="305" t="s">
        <v>241</v>
      </c>
      <c r="P134" s="389" t="s">
        <v>4805</v>
      </c>
      <c r="Q134" s="167" t="s">
        <v>5701</v>
      </c>
      <c r="R134" s="223"/>
      <c r="S134" s="167" t="s">
        <v>4031</v>
      </c>
      <c r="T134" s="223"/>
      <c r="U134" s="167" t="s">
        <v>142</v>
      </c>
      <c r="V134" s="167" t="s">
        <v>5702</v>
      </c>
      <c r="W134" s="92"/>
      <c r="X134" s="686" t="s">
        <v>4923</v>
      </c>
      <c r="Y134" s="198" t="s">
        <v>5369</v>
      </c>
      <c r="Z134" s="116" t="s">
        <v>415</v>
      </c>
      <c r="AA134" s="376" t="s">
        <v>4142</v>
      </c>
      <c r="AB134" s="376" t="s">
        <v>3816</v>
      </c>
      <c r="AC134" s="398" t="s">
        <v>1573</v>
      </c>
      <c r="AD134" s="273"/>
      <c r="AE134" s="307" t="s">
        <v>5703</v>
      </c>
      <c r="AF134" s="398" t="s">
        <v>5704</v>
      </c>
      <c r="AG134" s="273"/>
      <c r="AH134" s="273"/>
      <c r="AI134" s="117"/>
      <c r="AJ134" s="273"/>
      <c r="AK134" s="92"/>
      <c r="AL134" s="499" t="s">
        <v>3375</v>
      </c>
      <c r="AM134" s="499" t="s">
        <v>5705</v>
      </c>
      <c r="AN134" s="168" t="s">
        <v>5706</v>
      </c>
      <c r="AO134" s="168" t="s">
        <v>100</v>
      </c>
      <c r="AP134" s="168" t="s">
        <v>5707</v>
      </c>
      <c r="AQ134" s="168" t="s">
        <v>4978</v>
      </c>
      <c r="AR134" s="168" t="s">
        <v>5708</v>
      </c>
      <c r="AS134" s="168" t="s">
        <v>5709</v>
      </c>
      <c r="AT134" s="499" t="s">
        <v>4339</v>
      </c>
      <c r="AU134" s="499" t="s">
        <v>3446</v>
      </c>
      <c r="AV134" s="499" t="s">
        <v>4171</v>
      </c>
      <c r="AW134" s="274"/>
      <c r="AX134" s="274"/>
      <c r="AY134" s="274"/>
      <c r="AZ134" s="275"/>
      <c r="BA134" s="202" t="s">
        <v>5710</v>
      </c>
      <c r="BB134" s="202" t="s">
        <v>1983</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3805</v>
      </c>
      <c r="BT134" s="406" t="s">
        <v>5716</v>
      </c>
      <c r="BU134" s="406" t="s">
        <v>5717</v>
      </c>
      <c r="BV134" s="406" t="s">
        <v>4541</v>
      </c>
      <c r="BW134" s="280"/>
      <c r="BX134" s="406" t="s">
        <v>5718</v>
      </c>
      <c r="BY134" s="133"/>
      <c r="BZ134" s="406" t="s">
        <v>907</v>
      </c>
      <c r="CA134" s="280"/>
      <c r="CB134" s="280"/>
      <c r="CC134" s="280"/>
      <c r="CD134" s="280"/>
      <c r="CE134" s="281"/>
      <c r="CF134" s="399" t="s">
        <v>5719</v>
      </c>
      <c r="CG134" s="399" t="s">
        <v>5720</v>
      </c>
      <c r="CH134" s="399" t="s">
        <v>4396</v>
      </c>
      <c r="CI134" s="137"/>
      <c r="CJ134" s="399" t="s">
        <v>2130</v>
      </c>
      <c r="CK134" s="137"/>
      <c r="CL134" s="137"/>
      <c r="CM134" s="137"/>
      <c r="CN134" s="495"/>
      <c r="CO134" s="284"/>
      <c r="CP134" s="284"/>
      <c r="CQ134" s="284"/>
      <c r="CR134" s="284"/>
      <c r="CS134" s="101"/>
      <c r="CT134" s="317" t="s">
        <v>5721</v>
      </c>
      <c r="CU134" s="317" t="s">
        <v>5722</v>
      </c>
      <c r="CV134" s="687" t="s">
        <v>4074</v>
      </c>
      <c r="CW134" s="141" t="s">
        <v>4427</v>
      </c>
      <c r="CX134" s="317" t="s">
        <v>3233</v>
      </c>
      <c r="CY134" s="317" t="s">
        <v>3915</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1806</v>
      </c>
      <c r="L135" s="688" t="s">
        <v>3535</v>
      </c>
      <c r="M135" s="290" t="s">
        <v>5732</v>
      </c>
      <c r="N135" s="290" t="s">
        <v>5733</v>
      </c>
      <c r="O135" s="290" t="s">
        <v>1742</v>
      </c>
      <c r="P135" s="290" t="s">
        <v>249</v>
      </c>
      <c r="Q135" s="689"/>
      <c r="R135" s="689"/>
      <c r="S135" s="690">
        <v>37.85</v>
      </c>
      <c r="T135" s="689"/>
      <c r="U135" s="93" t="s">
        <v>1906</v>
      </c>
      <c r="V135" s="690" t="s">
        <v>5734</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5657</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5735</v>
      </c>
      <c r="BK135" s="290" t="s">
        <v>3745</v>
      </c>
      <c r="BL135" s="689"/>
      <c r="BM135" s="690">
        <v>35.32</v>
      </c>
      <c r="BN135" s="692"/>
      <c r="BO135" s="689"/>
      <c r="BP135" s="694"/>
      <c r="BQ135" s="692"/>
      <c r="BR135" s="692"/>
      <c r="BS135" s="290" t="s">
        <v>2643</v>
      </c>
      <c r="BT135" s="290" t="s">
        <v>5736</v>
      </c>
      <c r="BU135" s="692"/>
      <c r="BV135" s="290" t="s">
        <v>2885</v>
      </c>
      <c r="BW135" s="689"/>
      <c r="BX135" s="692"/>
      <c r="BY135" s="692"/>
      <c r="BZ135" s="100" t="s">
        <v>5447</v>
      </c>
      <c r="CA135" s="690" t="s">
        <v>5737</v>
      </c>
      <c r="CB135" s="689"/>
      <c r="CC135" s="690">
        <v>37.19</v>
      </c>
      <c r="CD135" s="690" t="s">
        <v>5738</v>
      </c>
      <c r="CE135" s="694"/>
      <c r="CF135" s="692"/>
      <c r="CG135" s="692"/>
      <c r="CH135" s="692"/>
      <c r="CI135" s="692"/>
      <c r="CJ135" s="692"/>
      <c r="CK135" s="290" t="s">
        <v>5739</v>
      </c>
      <c r="CL135" s="290" t="s">
        <v>841</v>
      </c>
      <c r="CM135" s="692"/>
      <c r="CN135" s="695"/>
      <c r="CO135" s="689"/>
      <c r="CP135" s="689"/>
      <c r="CQ135" s="690">
        <v>52.7</v>
      </c>
      <c r="CR135" s="689"/>
      <c r="CS135" s="696"/>
      <c r="CT135" s="692"/>
      <c r="CU135" s="290" t="s">
        <v>3174</v>
      </c>
      <c r="CV135" s="100" t="s">
        <v>2816</v>
      </c>
      <c r="CW135" s="692"/>
      <c r="CX135" s="692"/>
      <c r="CY135" s="290" t="s">
        <v>2358</v>
      </c>
      <c r="CZ135" s="697" t="s">
        <v>5740</v>
      </c>
      <c r="DA135" s="692"/>
      <c r="DB135" s="689"/>
      <c r="DC135" s="689"/>
      <c r="DD135" s="689"/>
      <c r="DE135" s="689"/>
      <c r="DF135" s="694"/>
      <c r="DG135" s="692"/>
      <c r="DH135" s="689"/>
      <c r="DI135" s="689"/>
      <c r="DJ135" s="692"/>
      <c r="DK135" s="692"/>
      <c r="DL135" s="290" t="s">
        <v>3931</v>
      </c>
      <c r="DM135" s="689"/>
      <c r="DN135" s="689"/>
      <c r="DO135" s="689"/>
      <c r="DP135" s="290" t="s">
        <v>5741</v>
      </c>
      <c r="DQ135" s="290" t="s">
        <v>4572</v>
      </c>
      <c r="DR135" s="689"/>
      <c r="DS135" s="692"/>
      <c r="DT135" s="689"/>
      <c r="DU135" s="689"/>
      <c r="DV135" s="689"/>
      <c r="DW135" s="689"/>
      <c r="DX135" s="689"/>
      <c r="DY135" s="692"/>
      <c r="DZ135" s="689"/>
      <c r="EA135" s="689"/>
      <c r="EB135" s="697"/>
    </row>
    <row r="136">
      <c r="A136" s="503" t="s">
        <v>5742</v>
      </c>
      <c r="B136" s="103" t="s">
        <v>5743</v>
      </c>
      <c r="C136" s="104" t="s">
        <v>1415</v>
      </c>
      <c r="D136" s="105" t="s">
        <v>1415</v>
      </c>
      <c r="E136" s="106" t="s">
        <v>1415</v>
      </c>
      <c r="F136" s="107" t="s">
        <v>438</v>
      </c>
      <c r="G136" s="103" t="s">
        <v>2538</v>
      </c>
      <c r="H136" s="167" t="s">
        <v>5744</v>
      </c>
      <c r="I136" s="295" t="s">
        <v>1591</v>
      </c>
      <c r="J136" s="167" t="s">
        <v>5745</v>
      </c>
      <c r="K136" s="167" t="s">
        <v>5746</v>
      </c>
      <c r="L136" s="167" t="s">
        <v>5747</v>
      </c>
      <c r="M136" s="223"/>
      <c r="N136" s="167" t="s">
        <v>5748</v>
      </c>
      <c r="O136" s="167" t="s">
        <v>4077</v>
      </c>
      <c r="P136" s="167" t="s">
        <v>1082</v>
      </c>
      <c r="Q136" s="223"/>
      <c r="R136" s="167" t="s">
        <v>324</v>
      </c>
      <c r="S136" s="167" t="s">
        <v>2168</v>
      </c>
      <c r="T136" s="223"/>
      <c r="U136" s="167" t="s">
        <v>3273</v>
      </c>
      <c r="V136" s="223"/>
      <c r="W136" s="92"/>
      <c r="X136" s="199" t="s">
        <v>5749</v>
      </c>
      <c r="Y136" s="116" t="s">
        <v>2418</v>
      </c>
      <c r="Z136" s="199" t="s">
        <v>4554</v>
      </c>
      <c r="AA136" s="199" t="s">
        <v>1761</v>
      </c>
      <c r="AB136" s="199" t="s">
        <v>3817</v>
      </c>
      <c r="AC136" s="199" t="s">
        <v>2416</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1813</v>
      </c>
      <c r="BC136" s="174" t="s">
        <v>5752</v>
      </c>
      <c r="BD136" s="174" t="s">
        <v>3549</v>
      </c>
      <c r="BE136" s="174" t="s">
        <v>5600</v>
      </c>
      <c r="BF136" s="173"/>
      <c r="BG136" s="173"/>
      <c r="BH136" s="174" t="s">
        <v>3905</v>
      </c>
      <c r="BI136" s="174" t="s">
        <v>5753</v>
      </c>
      <c r="BJ136" s="174"/>
      <c r="BK136" s="174" t="s">
        <v>2617</v>
      </c>
      <c r="BL136" s="173"/>
      <c r="BM136" s="174" t="s">
        <v>4206</v>
      </c>
      <c r="BN136" s="173"/>
      <c r="BO136" s="173"/>
      <c r="BP136" s="277"/>
      <c r="BQ136" s="175" t="s">
        <v>5754</v>
      </c>
      <c r="BR136" s="175" t="s">
        <v>4212</v>
      </c>
      <c r="BS136" s="175" t="s">
        <v>3306</v>
      </c>
      <c r="BT136" s="175" t="s">
        <v>5755</v>
      </c>
      <c r="BU136" s="175" t="s">
        <v>5756</v>
      </c>
      <c r="BV136" s="175" t="s">
        <v>5110</v>
      </c>
      <c r="BW136" s="280"/>
      <c r="BX136" s="175" t="s">
        <v>2699</v>
      </c>
      <c r="BY136" s="280"/>
      <c r="BZ136" s="175" t="s">
        <v>5757</v>
      </c>
      <c r="CA136" s="280"/>
      <c r="CB136" s="280"/>
      <c r="CC136" s="280"/>
      <c r="CD136" s="280"/>
      <c r="CE136" s="281"/>
      <c r="CF136" s="177" t="s">
        <v>5758</v>
      </c>
      <c r="CG136" s="177" t="s">
        <v>4426</v>
      </c>
      <c r="CH136" s="177" t="s">
        <v>2170</v>
      </c>
      <c r="CI136" s="177" t="s">
        <v>5759</v>
      </c>
      <c r="CJ136" s="177" t="s">
        <v>5760</v>
      </c>
      <c r="CK136" s="177" t="s">
        <v>5761</v>
      </c>
      <c r="CL136" s="177" t="s">
        <v>1640</v>
      </c>
      <c r="CM136" s="177" t="s">
        <v>4339</v>
      </c>
      <c r="CN136" s="284"/>
      <c r="CO136" s="284"/>
      <c r="CP136" s="284"/>
      <c r="CQ136" s="284"/>
      <c r="CR136" s="284"/>
      <c r="CS136" s="101"/>
      <c r="CT136" s="206" t="s">
        <v>5762</v>
      </c>
      <c r="CU136" s="206" t="s">
        <v>2833</v>
      </c>
      <c r="CV136" s="206" t="s">
        <v>3720</v>
      </c>
      <c r="CW136" s="206" t="s">
        <v>5763</v>
      </c>
      <c r="CX136" s="285"/>
      <c r="CY136" s="206" t="s">
        <v>5764</v>
      </c>
      <c r="CZ136" s="141" t="s">
        <v>5765</v>
      </c>
      <c r="DA136" s="206" t="s">
        <v>4472</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4031</v>
      </c>
      <c r="DV136" s="207" t="s">
        <v>5768</v>
      </c>
      <c r="DW136" s="207" t="s">
        <v>3150</v>
      </c>
      <c r="DX136" s="207" t="s">
        <v>5769</v>
      </c>
      <c r="DY136" s="207" t="s">
        <v>3391</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5774</v>
      </c>
      <c r="CC137" s="88" t="s">
        <v>623</v>
      </c>
      <c r="CD137" s="98"/>
      <c r="CE137" s="264"/>
      <c r="CF137" s="98"/>
      <c r="CG137" s="88" t="s">
        <v>5775</v>
      </c>
      <c r="CH137" s="93" t="s">
        <v>5776</v>
      </c>
      <c r="CI137" s="98"/>
      <c r="CJ137" s="98"/>
      <c r="CK137" s="98"/>
      <c r="CL137" s="98"/>
      <c r="CM137" s="98"/>
      <c r="CN137" s="98"/>
      <c r="CO137" s="98"/>
      <c r="CP137" s="98"/>
      <c r="CQ137" s="98"/>
      <c r="CR137" s="88" t="s">
        <v>182</v>
      </c>
      <c r="CS137" s="101"/>
      <c r="CT137" s="98"/>
      <c r="CU137" s="98"/>
      <c r="CV137" s="98"/>
      <c r="CW137" s="98"/>
      <c r="CX137" s="98"/>
      <c r="CY137" s="98"/>
      <c r="CZ137" s="88" t="s">
        <v>5777</v>
      </c>
      <c r="DA137" s="98"/>
      <c r="DB137" s="98"/>
      <c r="DC137" s="98"/>
      <c r="DD137" s="98"/>
      <c r="DE137" s="88" t="s">
        <v>5778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5779</v>
      </c>
      <c r="B138" s="103" t="s">
        <v>5780</v>
      </c>
      <c r="C138" s="104" t="s">
        <v>1415</v>
      </c>
      <c r="D138" s="105" t="s">
        <v>1415</v>
      </c>
      <c r="E138" s="106" t="s">
        <v>1415</v>
      </c>
      <c r="F138" s="107" t="s">
        <v>1415</v>
      </c>
      <c r="G138" s="103" t="s">
        <v>1881</v>
      </c>
      <c r="H138" s="167" t="s">
        <v>2066</v>
      </c>
      <c r="I138" s="167" t="s">
        <v>3565</v>
      </c>
      <c r="J138" s="167" t="s">
        <v>568</v>
      </c>
      <c r="K138" s="167" t="s">
        <v>3077</v>
      </c>
      <c r="L138" s="167" t="s">
        <v>4046</v>
      </c>
      <c r="M138" s="167" t="s">
        <v>5781</v>
      </c>
      <c r="N138" s="167" t="s">
        <v>5782</v>
      </c>
      <c r="O138" s="167" t="s">
        <v>444</v>
      </c>
      <c r="P138" s="167" t="s">
        <v>3970</v>
      </c>
      <c r="Q138" s="223"/>
      <c r="R138" s="223"/>
      <c r="S138" s="223"/>
      <c r="T138" s="223"/>
      <c r="U138" s="223"/>
      <c r="V138" s="223"/>
      <c r="W138" s="92"/>
      <c r="X138" s="199" t="s">
        <v>4926</v>
      </c>
      <c r="Y138" s="199" t="s">
        <v>4216</v>
      </c>
      <c r="Z138" s="199" t="s">
        <v>5783</v>
      </c>
      <c r="AA138" s="199" t="s">
        <v>785</v>
      </c>
      <c r="AB138" s="199" t="s">
        <v>4367</v>
      </c>
      <c r="AC138" s="199" t="s">
        <v>1731</v>
      </c>
      <c r="AD138" s="273"/>
      <c r="AE138" s="273"/>
      <c r="AF138" s="199" t="s">
        <v>5784</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5785</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5786</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5787</v>
      </c>
      <c r="DA138" s="285"/>
      <c r="DB138" s="285"/>
      <c r="DC138" s="285"/>
      <c r="DD138" s="206" t="s">
        <v>2132</v>
      </c>
      <c r="DE138" s="285"/>
      <c r="DF138" s="286"/>
      <c r="DG138" s="287"/>
      <c r="DH138" s="287"/>
      <c r="DI138" s="287"/>
      <c r="DJ138" s="287"/>
      <c r="DK138" s="207" t="s">
        <v>5788</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5789</v>
      </c>
      <c r="B139" s="82" t="s">
        <v>5790</v>
      </c>
      <c r="C139" s="83" t="s">
        <v>1415</v>
      </c>
      <c r="D139" s="84" t="s">
        <v>1415</v>
      </c>
      <c r="E139" s="85" t="s">
        <v>1415</v>
      </c>
      <c r="F139" s="86" t="s">
        <v>2692</v>
      </c>
      <c r="G139" s="82" t="s">
        <v>2692</v>
      </c>
      <c r="H139" s="98"/>
      <c r="I139" s="98"/>
      <c r="J139" s="98"/>
      <c r="K139" s="98"/>
      <c r="L139" s="98"/>
      <c r="M139" s="98"/>
      <c r="N139" s="98"/>
      <c r="O139" s="88" t="s">
        <v>5791</v>
      </c>
      <c r="P139" s="88" t="s">
        <v>5792</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5793</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5794</v>
      </c>
      <c r="CA139" s="98"/>
      <c r="CB139" s="98"/>
      <c r="CC139" s="98"/>
      <c r="CD139" s="98"/>
      <c r="CE139" s="264"/>
      <c r="CF139" s="98"/>
      <c r="CG139" s="98"/>
      <c r="CH139" s="98"/>
      <c r="CI139" s="88" t="s">
        <v>5795</v>
      </c>
      <c r="CJ139" s="88" t="s">
        <v>5796</v>
      </c>
      <c r="CK139" s="98"/>
      <c r="CL139" s="98"/>
      <c r="CM139" s="88" t="s">
        <v>4146</v>
      </c>
      <c r="CN139" s="98"/>
      <c r="CO139" s="98"/>
      <c r="CP139" s="98"/>
      <c r="CQ139" s="98"/>
      <c r="CR139" s="98"/>
      <c r="CS139" s="101"/>
      <c r="CT139" s="88" t="s">
        <v>3282</v>
      </c>
      <c r="CU139" s="88" t="s">
        <v>5571</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5797</v>
      </c>
      <c r="B140" s="103" t="s">
        <v>5798</v>
      </c>
      <c r="C140" s="104" t="s">
        <v>1415</v>
      </c>
      <c r="D140" s="105" t="s">
        <v>738</v>
      </c>
      <c r="E140" s="106" t="s">
        <v>1415</v>
      </c>
      <c r="F140" s="107" t="s">
        <v>3649</v>
      </c>
      <c r="G140" s="103" t="s">
        <v>4914</v>
      </c>
      <c r="H140" s="223"/>
      <c r="I140" s="167" t="s">
        <v>5799</v>
      </c>
      <c r="J140" s="167" t="s">
        <v>4268</v>
      </c>
      <c r="K140" s="112" t="s">
        <v>657</v>
      </c>
      <c r="L140" s="112" t="s">
        <v>5800</v>
      </c>
      <c r="M140" s="223"/>
      <c r="N140" s="223"/>
      <c r="O140" s="112" t="s">
        <v>555</v>
      </c>
      <c r="P140" s="112" t="s">
        <v>239</v>
      </c>
      <c r="Q140" s="223"/>
      <c r="R140" s="223"/>
      <c r="S140" s="223"/>
      <c r="T140" s="223"/>
      <c r="U140" s="223"/>
      <c r="V140" s="223"/>
      <c r="W140" s="92"/>
      <c r="X140" s="273"/>
      <c r="Y140" s="273"/>
      <c r="Z140" s="116" t="s">
        <v>5173</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5801</v>
      </c>
      <c r="CH140" s="284"/>
      <c r="CI140" s="314" t="s">
        <v>3827</v>
      </c>
      <c r="CJ140" s="314"/>
      <c r="CK140" s="284"/>
      <c r="CL140" s="284"/>
      <c r="CM140" s="177" t="s">
        <v>933</v>
      </c>
      <c r="CN140" s="284"/>
      <c r="CO140" s="284"/>
      <c r="CP140" s="284"/>
      <c r="CQ140" s="284"/>
      <c r="CR140" s="284"/>
      <c r="CS140" s="101"/>
      <c r="CT140" s="206" t="s">
        <v>5802</v>
      </c>
      <c r="CU140" s="285"/>
      <c r="CV140" s="141" t="s">
        <v>5803</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5804</v>
      </c>
      <c r="DR140" s="287"/>
      <c r="DS140" s="287"/>
      <c r="DT140" s="287"/>
      <c r="DU140" s="287"/>
      <c r="DV140" s="287"/>
      <c r="DW140" s="287"/>
      <c r="DX140" s="287"/>
      <c r="DY140" s="287"/>
      <c r="DZ140" s="287"/>
      <c r="EA140" s="287"/>
      <c r="EB140" s="379" t="s">
        <v>5805</v>
      </c>
    </row>
    <row r="141">
      <c r="A141" s="699" t="s">
        <v>5806</v>
      </c>
      <c r="B141" s="82" t="s">
        <v>5807</v>
      </c>
      <c r="C141" s="83" t="s">
        <v>1415</v>
      </c>
      <c r="D141" s="84" t="s">
        <v>1415</v>
      </c>
      <c r="E141" s="85" t="s">
        <v>1415</v>
      </c>
      <c r="F141" s="86" t="s">
        <v>1415</v>
      </c>
      <c r="G141" s="82" t="s">
        <v>3715</v>
      </c>
      <c r="H141" s="93" t="s">
        <v>3946</v>
      </c>
      <c r="I141" s="93" t="s">
        <v>4013</v>
      </c>
      <c r="J141" s="93" t="s">
        <v>673</v>
      </c>
      <c r="K141" s="93" t="s">
        <v>5808</v>
      </c>
      <c r="L141" s="93" t="s">
        <v>5809</v>
      </c>
      <c r="M141" s="93" t="s">
        <v>5810</v>
      </c>
      <c r="N141" s="93" t="s">
        <v>5811</v>
      </c>
      <c r="O141" s="93" t="s">
        <v>3011</v>
      </c>
      <c r="P141" s="93" t="s">
        <v>4139</v>
      </c>
      <c r="Q141" s="93" t="s">
        <v>5812</v>
      </c>
      <c r="R141" s="98"/>
      <c r="S141" s="93" t="s">
        <v>904</v>
      </c>
      <c r="T141" s="98"/>
      <c r="U141" s="93" t="s">
        <v>5813</v>
      </c>
      <c r="V141" s="93" t="s">
        <v>5814</v>
      </c>
      <c r="W141" s="92"/>
      <c r="X141" s="93" t="s">
        <v>5815</v>
      </c>
      <c r="Y141" s="93" t="s">
        <v>2007</v>
      </c>
      <c r="Z141" s="93" t="s">
        <v>3490</v>
      </c>
      <c r="AA141" s="93" t="s">
        <v>3535</v>
      </c>
      <c r="AB141" s="93" t="s">
        <v>3114</v>
      </c>
      <c r="AC141" s="93" t="s">
        <v>5816</v>
      </c>
      <c r="AD141" s="93"/>
      <c r="AE141" s="93" t="s">
        <v>5817</v>
      </c>
      <c r="AF141" s="93" t="s">
        <v>5818</v>
      </c>
      <c r="AG141" s="93" t="s">
        <v>5819</v>
      </c>
      <c r="AH141" s="98"/>
      <c r="AI141" s="93" t="s">
        <v>5134</v>
      </c>
      <c r="AJ141" s="93" t="s">
        <v>5820</v>
      </c>
      <c r="AK141" s="92"/>
      <c r="AL141" s="93" t="s">
        <v>5821</v>
      </c>
      <c r="AM141" s="93" t="s">
        <v>5473</v>
      </c>
      <c r="AN141" s="93" t="s">
        <v>5822</v>
      </c>
      <c r="AO141" s="93" t="s">
        <v>1977</v>
      </c>
      <c r="AP141" s="93" t="s">
        <v>5823</v>
      </c>
      <c r="AQ141" s="93" t="s">
        <v>5824</v>
      </c>
      <c r="AR141" s="93" t="s">
        <v>5825</v>
      </c>
      <c r="AS141" s="93" t="s">
        <v>5826</v>
      </c>
      <c r="AT141" s="93" t="s">
        <v>597</v>
      </c>
      <c r="AU141" s="93" t="s">
        <v>1583</v>
      </c>
      <c r="AV141" s="93" t="s">
        <v>5827</v>
      </c>
      <c r="AW141" s="98"/>
      <c r="AX141" s="93" t="s">
        <v>5828</v>
      </c>
      <c r="AY141" s="93" t="s">
        <v>5829</v>
      </c>
      <c r="AZ141" s="264"/>
      <c r="BA141" s="93" t="s">
        <v>5830</v>
      </c>
      <c r="BB141" s="93" t="s">
        <v>5831</v>
      </c>
      <c r="BC141" s="93" t="s">
        <v>3057</v>
      </c>
      <c r="BD141" s="93" t="s">
        <v>3729</v>
      </c>
      <c r="BE141" s="93" t="s">
        <v>5832</v>
      </c>
      <c r="BF141" s="93" t="s">
        <v>5833</v>
      </c>
      <c r="BG141" s="93" t="s">
        <v>5834</v>
      </c>
      <c r="BH141" s="93" t="s">
        <v>5835</v>
      </c>
      <c r="BI141" s="98"/>
      <c r="BJ141" s="98"/>
      <c r="BK141" s="93" t="s">
        <v>456</v>
      </c>
      <c r="BL141" s="93" t="s">
        <v>5836</v>
      </c>
      <c r="BM141" s="93" t="s">
        <v>4249</v>
      </c>
      <c r="BN141" s="93" t="s">
        <v>556</v>
      </c>
      <c r="BO141" s="93" t="s">
        <v>5837</v>
      </c>
      <c r="BP141" s="264"/>
      <c r="BQ141" s="93" t="s">
        <v>5838</v>
      </c>
      <c r="BR141" s="93" t="s">
        <v>1160</v>
      </c>
      <c r="BS141" s="93" t="s">
        <v>879</v>
      </c>
      <c r="BT141" s="93" t="s">
        <v>2345</v>
      </c>
      <c r="BU141" s="93" t="s">
        <v>5839</v>
      </c>
      <c r="BV141" s="93" t="s">
        <v>5840</v>
      </c>
      <c r="BW141" s="93" t="s">
        <v>1584</v>
      </c>
      <c r="BX141" s="93" t="s">
        <v>1249</v>
      </c>
      <c r="BY141" s="98"/>
      <c r="BZ141" s="93" t="s">
        <v>5841</v>
      </c>
      <c r="CA141" s="93" t="s">
        <v>5842</v>
      </c>
      <c r="CB141" s="93" t="s">
        <v>452</v>
      </c>
      <c r="CC141" s="93" t="s">
        <v>179</v>
      </c>
      <c r="CD141" s="93" t="s">
        <v>5843</v>
      </c>
      <c r="CE141" s="264"/>
      <c r="CF141" s="93" t="s">
        <v>5844</v>
      </c>
      <c r="CG141" s="93" t="s">
        <v>1446</v>
      </c>
      <c r="CH141" s="93" t="s">
        <v>487</v>
      </c>
      <c r="CI141" s="93" t="s">
        <v>5845</v>
      </c>
      <c r="CJ141" s="93" t="s">
        <v>4955</v>
      </c>
      <c r="CK141" s="93" t="s">
        <v>5846</v>
      </c>
      <c r="CL141" s="93" t="s">
        <v>3778</v>
      </c>
      <c r="CM141" s="93" t="s">
        <v>2110</v>
      </c>
      <c r="CN141" s="93" t="s">
        <v>5847</v>
      </c>
      <c r="CO141" s="93" t="s">
        <v>5848</v>
      </c>
      <c r="CP141" s="98"/>
      <c r="CQ141" s="93" t="s">
        <v>5849</v>
      </c>
      <c r="CR141" s="93" t="s">
        <v>5850</v>
      </c>
      <c r="CS141" s="101"/>
      <c r="CT141" s="93" t="s">
        <v>2720</v>
      </c>
      <c r="CU141" s="93" t="s">
        <v>5851</v>
      </c>
      <c r="CV141" s="93" t="s">
        <v>2378</v>
      </c>
      <c r="CW141" s="93" t="s">
        <v>5852</v>
      </c>
      <c r="CX141" s="93" t="s">
        <v>1429</v>
      </c>
      <c r="CY141" s="93" t="s">
        <v>4196</v>
      </c>
      <c r="CZ141" s="93" t="s">
        <v>5853</v>
      </c>
      <c r="DA141" s="93" t="s">
        <v>5854</v>
      </c>
      <c r="DB141" s="93" t="s">
        <v>5855</v>
      </c>
      <c r="DC141" s="93" t="s">
        <v>4159</v>
      </c>
      <c r="DD141" s="93" t="s">
        <v>2172</v>
      </c>
      <c r="DE141" s="93" t="s">
        <v>5856</v>
      </c>
      <c r="DF141" s="264"/>
      <c r="DG141" s="93" t="s">
        <v>3850</v>
      </c>
      <c r="DH141" s="98"/>
      <c r="DI141" s="93" t="s">
        <v>2664</v>
      </c>
      <c r="DJ141" s="93" t="s">
        <v>2101</v>
      </c>
      <c r="DK141" s="93" t="s">
        <v>3296</v>
      </c>
      <c r="DL141" s="93" t="s">
        <v>2441</v>
      </c>
      <c r="DM141" s="93" t="s">
        <v>4060</v>
      </c>
      <c r="DN141" s="93" t="s">
        <v>5857</v>
      </c>
      <c r="DO141" s="93" t="s">
        <v>199</v>
      </c>
      <c r="DP141" s="93" t="s">
        <v>5858</v>
      </c>
      <c r="DQ141" s="93" t="s">
        <v>3012</v>
      </c>
      <c r="DR141" s="93" t="s">
        <v>4732</v>
      </c>
      <c r="DS141" s="93" t="s">
        <v>5859</v>
      </c>
      <c r="DT141" s="93" t="s">
        <v>5860</v>
      </c>
      <c r="DU141" s="93" t="s">
        <v>1125</v>
      </c>
      <c r="DV141" s="93" t="s">
        <v>3817</v>
      </c>
      <c r="DW141" s="93" t="s">
        <v>5861</v>
      </c>
      <c r="DX141" s="93" t="s">
        <v>4453</v>
      </c>
      <c r="DY141" s="93" t="s">
        <v>2575</v>
      </c>
      <c r="DZ141" s="93" t="s">
        <v>5195</v>
      </c>
      <c r="EA141" s="93" t="s">
        <v>2307</v>
      </c>
      <c r="EB141" s="700" t="s">
        <v>4416</v>
      </c>
    </row>
    <row r="142">
      <c r="A142" s="701" t="s">
        <v>5862</v>
      </c>
      <c r="B142" s="103" t="s">
        <v>5863</v>
      </c>
      <c r="C142" s="104" t="s">
        <v>1415</v>
      </c>
      <c r="D142" s="105" t="s">
        <v>1415</v>
      </c>
      <c r="E142" s="106" t="s">
        <v>1415</v>
      </c>
      <c r="F142" s="107" t="s">
        <v>5685</v>
      </c>
      <c r="G142" s="103" t="s">
        <v>1881</v>
      </c>
      <c r="H142" s="305"/>
      <c r="I142" s="110" t="s">
        <v>5864</v>
      </c>
      <c r="J142" s="112" t="s">
        <v>4658</v>
      </c>
      <c r="K142" s="112" t="s">
        <v>5865</v>
      </c>
      <c r="L142" s="112" t="s">
        <v>2021</v>
      </c>
      <c r="M142" s="494"/>
      <c r="N142" s="112" t="s">
        <v>709</v>
      </c>
      <c r="O142" s="295" t="s">
        <v>5866</v>
      </c>
      <c r="P142" s="112" t="s">
        <v>1933</v>
      </c>
      <c r="Q142" s="223"/>
      <c r="R142" s="223"/>
      <c r="S142" s="223"/>
      <c r="T142" s="223"/>
      <c r="U142" s="223"/>
      <c r="V142" s="223"/>
      <c r="W142" s="92"/>
      <c r="X142" s="116" t="s">
        <v>5867</v>
      </c>
      <c r="Y142" s="117" t="s">
        <v>5868</v>
      </c>
      <c r="Z142" s="117" t="s">
        <v>5869</v>
      </c>
      <c r="AA142" s="376" t="s">
        <v>2694</v>
      </c>
      <c r="AB142" s="117"/>
      <c r="AC142" s="117" t="s">
        <v>5870</v>
      </c>
      <c r="AD142" s="273"/>
      <c r="AE142" s="117"/>
      <c r="AF142" s="117"/>
      <c r="AG142" s="273"/>
      <c r="AH142" s="273"/>
      <c r="AI142" s="117"/>
      <c r="AJ142" s="273"/>
      <c r="AK142" s="92"/>
      <c r="AL142" s="124"/>
      <c r="AM142" s="124"/>
      <c r="AN142" s="274"/>
      <c r="AO142" s="274"/>
      <c r="AP142" s="168"/>
      <c r="AQ142" s="168"/>
      <c r="AR142" s="274"/>
      <c r="AS142" s="274"/>
      <c r="AT142" s="121" t="s">
        <v>1192</v>
      </c>
      <c r="AU142" s="121" t="s">
        <v>5871</v>
      </c>
      <c r="AV142" s="124"/>
      <c r="AW142" s="274"/>
      <c r="AX142" s="274"/>
      <c r="AY142" s="274"/>
      <c r="AZ142" s="275"/>
      <c r="BA142" s="127" t="s">
        <v>5872</v>
      </c>
      <c r="BB142" s="334" t="s">
        <v>5873</v>
      </c>
      <c r="BC142" s="409"/>
      <c r="BD142" s="127" t="s">
        <v>1538</v>
      </c>
      <c r="BE142" s="127" t="s">
        <v>4514</v>
      </c>
      <c r="BF142" s="409"/>
      <c r="BG142" s="173"/>
      <c r="BH142" s="127" t="s">
        <v>2966</v>
      </c>
      <c r="BI142" s="334" t="s">
        <v>5874</v>
      </c>
      <c r="BJ142" s="409"/>
      <c r="BK142" s="409"/>
      <c r="BL142" s="173"/>
      <c r="BM142" s="173"/>
      <c r="BN142" s="409"/>
      <c r="BO142" s="173"/>
      <c r="BP142" s="277"/>
      <c r="BQ142" s="133" t="s">
        <v>2501</v>
      </c>
      <c r="BR142" s="133" t="s">
        <v>5875</v>
      </c>
      <c r="BS142" s="133"/>
      <c r="BT142" s="133" t="s">
        <v>2877</v>
      </c>
      <c r="BU142" s="133" t="s">
        <v>5876</v>
      </c>
      <c r="BV142" s="133"/>
      <c r="BW142" s="280"/>
      <c r="BX142" s="133"/>
      <c r="BY142" s="133"/>
      <c r="BZ142" s="133"/>
      <c r="CA142" s="280"/>
      <c r="CB142" s="280"/>
      <c r="CC142" s="280"/>
      <c r="CD142" s="280"/>
      <c r="CE142" s="281"/>
      <c r="CF142" s="137" t="s">
        <v>5877</v>
      </c>
      <c r="CG142" s="137" t="s">
        <v>4079</v>
      </c>
      <c r="CH142" s="137" t="s">
        <v>3349</v>
      </c>
      <c r="CI142" s="137" t="s">
        <v>5878</v>
      </c>
      <c r="CJ142" s="137"/>
      <c r="CK142" s="137" t="s">
        <v>5879</v>
      </c>
      <c r="CL142" s="136" t="s">
        <v>3075</v>
      </c>
      <c r="CM142" s="137"/>
      <c r="CN142" s="495"/>
      <c r="CO142" s="284"/>
      <c r="CP142" s="284"/>
      <c r="CQ142" s="284"/>
      <c r="CR142" s="284"/>
      <c r="CS142" s="101"/>
      <c r="CT142" s="141" t="s">
        <v>5304</v>
      </c>
      <c r="CU142" s="318"/>
      <c r="CV142" s="378" t="s">
        <v>5880</v>
      </c>
      <c r="CW142" s="318"/>
      <c r="CX142" s="141" t="s">
        <v>5881</v>
      </c>
      <c r="CY142" s="318"/>
      <c r="CZ142" s="141" t="s">
        <v>5882</v>
      </c>
      <c r="DA142" s="318"/>
      <c r="DB142" s="285"/>
      <c r="DC142" s="285"/>
      <c r="DD142" s="285"/>
      <c r="DE142" s="285"/>
      <c r="DF142" s="286"/>
      <c r="DG142" s="208"/>
      <c r="DH142" s="287"/>
      <c r="DI142" s="287"/>
      <c r="DJ142" s="208"/>
      <c r="DK142" s="208"/>
      <c r="DL142" s="208"/>
      <c r="DM142" s="287"/>
      <c r="DN142" s="287"/>
      <c r="DO142" s="287"/>
      <c r="DP142" s="208" t="s">
        <v>5883</v>
      </c>
      <c r="DQ142" s="208"/>
      <c r="DR142" s="287"/>
      <c r="DS142" s="208"/>
      <c r="DT142" s="287"/>
      <c r="DU142" s="287"/>
      <c r="DV142" s="287"/>
      <c r="DW142" s="287"/>
      <c r="DX142" s="287"/>
      <c r="DY142" s="208"/>
      <c r="DZ142" s="287"/>
      <c r="EA142" s="287"/>
      <c r="EB142" s="320"/>
    </row>
    <row r="143">
      <c r="A143" s="81" t="s">
        <v>5884</v>
      </c>
      <c r="B143" s="82" t="s">
        <v>5885</v>
      </c>
      <c r="C143" s="83" t="s">
        <v>1415</v>
      </c>
      <c r="D143" s="84" t="s">
        <v>1415</v>
      </c>
      <c r="E143" s="85" t="s">
        <v>1415</v>
      </c>
      <c r="F143" s="86" t="s">
        <v>738</v>
      </c>
      <c r="G143" s="82" t="s">
        <v>914</v>
      </c>
      <c r="H143" s="98"/>
      <c r="I143" s="98"/>
      <c r="J143" s="93" t="s">
        <v>5886</v>
      </c>
      <c r="K143" s="93" t="s">
        <v>657</v>
      </c>
      <c r="L143" s="93" t="s">
        <v>5887</v>
      </c>
      <c r="M143" s="98"/>
      <c r="N143" s="93" t="s">
        <v>2591</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5890</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5891</v>
      </c>
      <c r="B144" s="103" t="s">
        <v>5892</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5893</v>
      </c>
      <c r="B145" s="82" t="s">
        <v>5894</v>
      </c>
      <c r="C145" s="83" t="s">
        <v>1415</v>
      </c>
      <c r="D145" s="84" t="s">
        <v>1415</v>
      </c>
      <c r="E145" s="85" t="s">
        <v>1415</v>
      </c>
      <c r="F145" s="86" t="s">
        <v>1064</v>
      </c>
      <c r="G145" s="82" t="s">
        <v>1881</v>
      </c>
      <c r="H145" s="93"/>
      <c r="I145" s="88" t="s">
        <v>5895</v>
      </c>
      <c r="J145" s="88" t="s">
        <v>1653</v>
      </c>
      <c r="K145" s="88" t="s">
        <v>1894</v>
      </c>
      <c r="L145" s="88" t="s">
        <v>5896</v>
      </c>
      <c r="M145" s="93" t="s">
        <v>5897</v>
      </c>
      <c r="N145" s="93" t="s">
        <v>3591</v>
      </c>
      <c r="O145" s="93" t="s">
        <v>5677</v>
      </c>
      <c r="P145" s="93" t="s">
        <v>3970</v>
      </c>
      <c r="Q145" s="98"/>
      <c r="R145" s="98"/>
      <c r="S145" s="98"/>
      <c r="T145" s="98"/>
      <c r="U145" s="98"/>
      <c r="V145" s="98"/>
      <c r="W145" s="92"/>
      <c r="X145" s="93" t="s">
        <v>5898</v>
      </c>
      <c r="Y145" s="98"/>
      <c r="Z145" s="93" t="s">
        <v>671</v>
      </c>
      <c r="AA145" s="93" t="s">
        <v>5899</v>
      </c>
      <c r="AB145" s="88" t="s">
        <v>5059</v>
      </c>
      <c r="AC145" s="98"/>
      <c r="AD145" s="98"/>
      <c r="AE145" s="93" t="s">
        <v>5900</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5638</v>
      </c>
      <c r="BC145" s="98"/>
      <c r="BD145" s="93" t="s">
        <v>5901</v>
      </c>
      <c r="BE145" s="93" t="s">
        <v>1455</v>
      </c>
      <c r="BF145" s="93" t="s">
        <v>180</v>
      </c>
      <c r="BG145" s="98"/>
      <c r="BH145" s="88" t="s">
        <v>5902</v>
      </c>
      <c r="BI145" s="98"/>
      <c r="BJ145" s="98"/>
      <c r="BK145" s="93" t="s">
        <v>1262</v>
      </c>
      <c r="BL145" s="98"/>
      <c r="BM145" s="98"/>
      <c r="BN145" s="98"/>
      <c r="BO145" s="98"/>
      <c r="BP145" s="264"/>
      <c r="BQ145" s="93"/>
      <c r="BR145" s="98"/>
      <c r="BS145" s="98"/>
      <c r="BT145" s="93" t="s">
        <v>5903</v>
      </c>
      <c r="BU145" s="98"/>
      <c r="BV145" s="93" t="s">
        <v>2050</v>
      </c>
      <c r="BW145" s="98"/>
      <c r="BX145" s="93" t="s">
        <v>5904</v>
      </c>
      <c r="BY145" s="98"/>
      <c r="BZ145" s="93" t="s">
        <v>5905</v>
      </c>
      <c r="CA145" s="98"/>
      <c r="CB145" s="98"/>
      <c r="CC145" s="98"/>
      <c r="CD145" s="98"/>
      <c r="CE145" s="264"/>
      <c r="CF145" s="98"/>
      <c r="CG145" s="93" t="s">
        <v>5906</v>
      </c>
      <c r="CH145" s="98"/>
      <c r="CI145" s="210" t="s">
        <v>5907</v>
      </c>
      <c r="CJ145" s="210" t="s">
        <v>5660</v>
      </c>
      <c r="CK145" s="98"/>
      <c r="CL145" s="98"/>
      <c r="CM145" s="98"/>
      <c r="CN145" s="98"/>
      <c r="CO145" s="98"/>
      <c r="CP145" s="98"/>
      <c r="CQ145" s="98"/>
      <c r="CR145" s="98"/>
      <c r="CS145" s="101"/>
      <c r="CT145" s="98"/>
      <c r="CU145" s="93" t="s">
        <v>5571</v>
      </c>
      <c r="CV145" s="93" t="s">
        <v>5908</v>
      </c>
      <c r="CW145" s="98"/>
      <c r="CX145" s="98"/>
      <c r="CY145" s="93" t="s">
        <v>5354</v>
      </c>
      <c r="CZ145" s="210" t="s">
        <v>5497</v>
      </c>
      <c r="DA145" s="93" t="s">
        <v>5909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5910</v>
      </c>
      <c r="B146" s="103" t="s">
        <v>5911</v>
      </c>
      <c r="C146" s="104" t="s">
        <v>1415</v>
      </c>
      <c r="D146" s="105" t="s">
        <v>1415</v>
      </c>
      <c r="E146" s="106" t="s">
        <v>1415</v>
      </c>
      <c r="F146" s="107" t="s">
        <v>1415</v>
      </c>
      <c r="G146" s="103" t="s">
        <v>2762</v>
      </c>
      <c r="H146" s="167" t="s">
        <v>2662</v>
      </c>
      <c r="I146" s="167" t="s">
        <v>5912</v>
      </c>
      <c r="J146" s="167" t="s">
        <v>4744</v>
      </c>
      <c r="K146" s="167" t="s">
        <v>547</v>
      </c>
      <c r="L146" s="167" t="s">
        <v>5913</v>
      </c>
      <c r="M146" s="223"/>
      <c r="N146" s="223"/>
      <c r="O146" s="167" t="s">
        <v>1904</v>
      </c>
      <c r="P146" s="167" t="s">
        <v>351</v>
      </c>
      <c r="Q146" s="167"/>
      <c r="R146" s="223"/>
      <c r="S146" s="167" t="s">
        <v>5914</v>
      </c>
      <c r="T146" s="223"/>
      <c r="U146" s="167" t="s">
        <v>2783</v>
      </c>
      <c r="V146" s="223"/>
      <c r="W146" s="92"/>
      <c r="X146" s="199" t="s">
        <v>5915</v>
      </c>
      <c r="Y146" s="273"/>
      <c r="Z146" s="199" t="s">
        <v>552</v>
      </c>
      <c r="AA146" s="273"/>
      <c r="AB146" s="273"/>
      <c r="AC146" s="273"/>
      <c r="AD146" s="273"/>
      <c r="AE146" s="273"/>
      <c r="AF146" s="199" t="s">
        <v>5916</v>
      </c>
      <c r="AG146" s="199" t="s">
        <v>5917</v>
      </c>
      <c r="AH146" s="199"/>
      <c r="AI146" s="199" t="s">
        <v>5918</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5919</v>
      </c>
      <c r="BD146" s="173"/>
      <c r="BE146" s="173"/>
      <c r="BF146" s="174" t="s">
        <v>119</v>
      </c>
      <c r="BG146" s="173"/>
      <c r="BH146" s="174" t="s">
        <v>5920</v>
      </c>
      <c r="BI146" s="173"/>
      <c r="BJ146" s="173"/>
      <c r="BK146" s="173"/>
      <c r="BL146" s="173"/>
      <c r="BM146" s="173"/>
      <c r="BN146" s="173"/>
      <c r="BO146" s="173"/>
      <c r="BP146" s="277"/>
      <c r="BQ146" s="175"/>
      <c r="BR146" s="280"/>
      <c r="BS146" s="280"/>
      <c r="BT146" s="175" t="s">
        <v>5921</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5922</v>
      </c>
      <c r="B147" s="82" t="s">
        <v>5923</v>
      </c>
      <c r="C147" s="83" t="s">
        <v>1415</v>
      </c>
      <c r="D147" s="84" t="s">
        <v>1415</v>
      </c>
      <c r="E147" s="85" t="s">
        <v>1415</v>
      </c>
      <c r="F147" s="86" t="s">
        <v>334</v>
      </c>
      <c r="G147" s="82" t="s">
        <v>333</v>
      </c>
      <c r="H147" s="98"/>
      <c r="I147" s="98"/>
      <c r="J147" s="93" t="s">
        <v>5924</v>
      </c>
      <c r="K147" s="88" t="s">
        <v>5551</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5925</v>
      </c>
      <c r="BJ147" s="98"/>
      <c r="BK147" s="98"/>
      <c r="BL147" s="98"/>
      <c r="BM147" s="98"/>
      <c r="BN147" s="98"/>
      <c r="BO147" s="98"/>
      <c r="BP147" s="264"/>
      <c r="BQ147" s="98"/>
      <c r="BR147" s="98"/>
      <c r="BS147" s="88" t="s">
        <v>1261</v>
      </c>
      <c r="BT147" s="88" t="s">
        <v>4251</v>
      </c>
      <c r="BU147" s="98"/>
      <c r="BV147" s="301" t="s">
        <v>5926</v>
      </c>
      <c r="BW147" s="98"/>
      <c r="BX147" s="98"/>
      <c r="BY147" s="98"/>
      <c r="BZ147" s="98"/>
      <c r="CA147" s="98"/>
      <c r="CB147" s="98"/>
      <c r="CC147" s="98"/>
      <c r="CD147" s="98"/>
      <c r="CE147" s="264"/>
      <c r="CF147" s="93"/>
      <c r="CG147" s="88" t="s">
        <v>5927</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5928</v>
      </c>
      <c r="B148" s="103" t="s">
        <v>5929</v>
      </c>
      <c r="C148" s="104" t="s">
        <v>1415</v>
      </c>
      <c r="D148" s="105" t="s">
        <v>1415</v>
      </c>
      <c r="E148" s="106" t="s">
        <v>1415</v>
      </c>
      <c r="F148" s="107" t="s">
        <v>738</v>
      </c>
      <c r="G148" s="103" t="s">
        <v>3303</v>
      </c>
      <c r="H148" s="389"/>
      <c r="I148" s="389" t="s">
        <v>2683</v>
      </c>
      <c r="J148" s="389" t="s">
        <v>3117</v>
      </c>
      <c r="K148" s="389" t="s">
        <v>5262</v>
      </c>
      <c r="L148" s="494" t="s">
        <v>4126</v>
      </c>
      <c r="M148" s="494" t="s">
        <v>5930</v>
      </c>
      <c r="N148" s="494" t="s">
        <v>5611</v>
      </c>
      <c r="O148" s="494"/>
      <c r="P148" s="494" t="s">
        <v>2874</v>
      </c>
      <c r="Q148" s="223"/>
      <c r="R148" s="223"/>
      <c r="S148" s="223"/>
      <c r="T148" s="223"/>
      <c r="U148" s="223"/>
      <c r="V148" s="223"/>
      <c r="W148" s="92"/>
      <c r="X148" s="117"/>
      <c r="Y148" s="117"/>
      <c r="Z148" s="117" t="s">
        <v>4991</v>
      </c>
      <c r="AA148" s="376"/>
      <c r="AB148" s="117" t="s">
        <v>4274</v>
      </c>
      <c r="AC148" s="117"/>
      <c r="AD148" s="273"/>
      <c r="AE148" s="117" t="s">
        <v>5931</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4500</v>
      </c>
      <c r="BE148" s="409" t="s">
        <v>5932</v>
      </c>
      <c r="BF148" s="409"/>
      <c r="BG148" s="173"/>
      <c r="BH148" s="409"/>
      <c r="BI148" s="173"/>
      <c r="BJ148" s="409"/>
      <c r="BK148" s="409"/>
      <c r="BL148" s="173"/>
      <c r="BM148" s="173"/>
      <c r="BN148" s="409"/>
      <c r="BO148" s="173"/>
      <c r="BP148" s="277"/>
      <c r="BQ148" s="133" t="s">
        <v>5933</v>
      </c>
      <c r="BR148" s="133"/>
      <c r="BS148" s="133"/>
      <c r="BT148" s="131" t="s">
        <v>1080</v>
      </c>
      <c r="BU148" s="133"/>
      <c r="BV148" s="133" t="s">
        <v>5786</v>
      </c>
      <c r="BW148" s="280"/>
      <c r="BX148" s="133"/>
      <c r="BY148" s="133" t="s">
        <v>5934</v>
      </c>
      <c r="BZ148" s="133"/>
      <c r="CA148" s="280"/>
      <c r="CB148" s="280"/>
      <c r="CC148" s="280"/>
      <c r="CD148" s="280"/>
      <c r="CE148" s="281"/>
      <c r="CF148" s="137"/>
      <c r="CG148" s="137" t="s">
        <v>5935</v>
      </c>
      <c r="CH148" s="137"/>
      <c r="CI148" s="137"/>
      <c r="CJ148" s="137"/>
      <c r="CK148" s="137"/>
      <c r="CL148" s="137"/>
      <c r="CM148" s="137" t="s">
        <v>455</v>
      </c>
      <c r="CN148" s="495"/>
      <c r="CO148" s="284"/>
      <c r="CP148" s="284"/>
      <c r="CQ148" s="284"/>
      <c r="CR148" s="284"/>
      <c r="CS148" s="101"/>
      <c r="CT148" s="318"/>
      <c r="CU148" s="318"/>
      <c r="CV148" s="706" t="s">
        <v>5286</v>
      </c>
      <c r="CW148" s="706" t="s">
        <v>5936</v>
      </c>
      <c r="CX148" s="318"/>
      <c r="CY148" s="318" t="s">
        <v>5937</v>
      </c>
      <c r="CZ148" s="318" t="s">
        <v>5938</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5939</v>
      </c>
      <c r="B149" s="82" t="s">
        <v>5940</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5941</v>
      </c>
      <c r="B150" s="103" t="s">
        <v>5942</v>
      </c>
      <c r="C150" s="104" t="s">
        <v>1415</v>
      </c>
      <c r="D150" s="105" t="s">
        <v>1415</v>
      </c>
      <c r="E150" s="106" t="s">
        <v>1415</v>
      </c>
      <c r="F150" s="107" t="s">
        <v>438</v>
      </c>
      <c r="G150" s="103" t="s">
        <v>5548</v>
      </c>
      <c r="H150" s="223"/>
      <c r="I150" s="167" t="s">
        <v>1834</v>
      </c>
      <c r="J150" s="167" t="s">
        <v>2587</v>
      </c>
      <c r="K150" s="167" t="s">
        <v>2224</v>
      </c>
      <c r="L150" s="167" t="s">
        <v>145</v>
      </c>
      <c r="M150" s="167" t="s">
        <v>5943</v>
      </c>
      <c r="N150" s="167" t="s">
        <v>5944</v>
      </c>
      <c r="O150" s="167" t="s">
        <v>5945</v>
      </c>
      <c r="P150" s="167" t="s">
        <v>4139</v>
      </c>
      <c r="Q150" s="223"/>
      <c r="R150" s="223"/>
      <c r="S150" s="223"/>
      <c r="T150" s="223"/>
      <c r="U150" s="223"/>
      <c r="V150" s="223"/>
      <c r="W150" s="92"/>
      <c r="X150" s="199" t="s">
        <v>5243</v>
      </c>
      <c r="Y150" s="199" t="s">
        <v>2122</v>
      </c>
      <c r="Z150" s="199" t="s">
        <v>2202</v>
      </c>
      <c r="AA150" s="199" t="s">
        <v>3567</v>
      </c>
      <c r="AB150" s="199" t="s">
        <v>5946</v>
      </c>
      <c r="AC150" s="116" t="s">
        <v>5947</v>
      </c>
      <c r="AD150" s="273"/>
      <c r="AE150" s="273"/>
      <c r="AF150" s="273"/>
      <c r="AG150" s="273"/>
      <c r="AH150" s="273"/>
      <c r="AI150" s="273"/>
      <c r="AJ150" s="273"/>
      <c r="AK150" s="92"/>
      <c r="AL150" s="274"/>
      <c r="AM150" s="274"/>
      <c r="AN150" s="274"/>
      <c r="AO150" s="274"/>
      <c r="AP150" s="274"/>
      <c r="AQ150" s="274"/>
      <c r="AR150" s="274"/>
      <c r="AS150" s="274"/>
      <c r="AT150" s="168" t="s">
        <v>5948</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5949</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5950</v>
      </c>
      <c r="DH150" s="287"/>
      <c r="DI150" s="287"/>
      <c r="DJ150" s="207"/>
      <c r="DK150" s="287"/>
      <c r="DL150" s="207" t="s">
        <v>3433</v>
      </c>
      <c r="DM150" s="207" t="s">
        <v>5951</v>
      </c>
      <c r="DN150" s="287"/>
      <c r="DO150" s="287"/>
      <c r="DP150" s="287"/>
      <c r="DQ150" s="287"/>
      <c r="DR150" s="287"/>
      <c r="DS150" s="287"/>
      <c r="DT150" s="287"/>
      <c r="DU150" s="287"/>
      <c r="DV150" s="287"/>
      <c r="DW150" s="287"/>
      <c r="DX150" s="207" t="s">
        <v>5952</v>
      </c>
      <c r="DY150" s="287"/>
      <c r="DZ150" s="287"/>
      <c r="EA150" s="207" t="s">
        <v>4218</v>
      </c>
      <c r="EB150" s="320"/>
    </row>
    <row r="151">
      <c r="A151" s="81" t="s">
        <v>5953</v>
      </c>
      <c r="B151" s="82" t="s">
        <v>5954</v>
      </c>
      <c r="C151" s="83" t="s">
        <v>1415</v>
      </c>
      <c r="D151" s="84" t="s">
        <v>1415</v>
      </c>
      <c r="E151" s="85" t="s">
        <v>1415</v>
      </c>
      <c r="F151" s="86" t="s">
        <v>332</v>
      </c>
      <c r="G151" s="82" t="s">
        <v>3679</v>
      </c>
      <c r="H151" s="93" t="s">
        <v>5955</v>
      </c>
      <c r="I151" s="93" t="s">
        <v>4839</v>
      </c>
      <c r="J151" s="93" t="s">
        <v>2417</v>
      </c>
      <c r="K151" s="93" t="s">
        <v>1427</v>
      </c>
      <c r="L151" s="93" t="s">
        <v>3972</v>
      </c>
      <c r="M151" s="93" t="s">
        <v>3954</v>
      </c>
      <c r="N151" s="93" t="s">
        <v>5062</v>
      </c>
      <c r="O151" s="98"/>
      <c r="P151" s="98"/>
      <c r="Q151" s="98"/>
      <c r="R151" s="98"/>
      <c r="S151" s="98"/>
      <c r="T151" s="98"/>
      <c r="U151" s="98"/>
      <c r="V151" s="98"/>
      <c r="W151" s="92"/>
      <c r="X151" s="97" t="str">
        <f>HYPERLINK("https://www.youtube.com/watch?v=F9HuyJ73joE","56.96")</f>
        <v>56.96</v>
      </c>
      <c r="Y151" s="93" t="s">
        <v>4025</v>
      </c>
      <c r="Z151" s="93" t="s">
        <v>5956</v>
      </c>
      <c r="AA151" s="93" t="s">
        <v>4493</v>
      </c>
      <c r="AB151" s="93" t="s">
        <v>5957</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5958</v>
      </c>
      <c r="BS151" s="93" t="s">
        <v>5959</v>
      </c>
      <c r="BT151" s="98"/>
      <c r="BU151" s="98"/>
      <c r="BV151" s="93" t="s">
        <v>5960</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5961</v>
      </c>
      <c r="B152" s="103" t="s">
        <v>5962</v>
      </c>
      <c r="C152" s="104" t="s">
        <v>1415</v>
      </c>
      <c r="D152" s="105" t="s">
        <v>1415</v>
      </c>
      <c r="E152" s="106" t="s">
        <v>1415</v>
      </c>
      <c r="F152" s="107" t="s">
        <v>1415</v>
      </c>
      <c r="G152" s="103" t="s">
        <v>3389</v>
      </c>
      <c r="H152" s="305" t="s">
        <v>3353</v>
      </c>
      <c r="I152" s="305" t="s">
        <v>5963</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5964</v>
      </c>
      <c r="B153" s="82" t="s">
        <v>5965</v>
      </c>
      <c r="C153" s="83" t="s">
        <v>1415</v>
      </c>
      <c r="D153" s="84" t="s">
        <v>1415</v>
      </c>
      <c r="E153" s="85" t="s">
        <v>1415</v>
      </c>
      <c r="F153" s="86" t="s">
        <v>738</v>
      </c>
      <c r="G153" s="82" t="s">
        <v>220</v>
      </c>
      <c r="H153" s="93" t="s">
        <v>3573</v>
      </c>
      <c r="I153" s="98"/>
      <c r="J153" s="93" t="s">
        <v>5320</v>
      </c>
      <c r="K153" s="93" t="s">
        <v>3989</v>
      </c>
      <c r="L153" s="93" t="s">
        <v>5050</v>
      </c>
      <c r="M153" s="98"/>
      <c r="N153" s="98"/>
      <c r="O153" s="93" t="s">
        <v>1930</v>
      </c>
      <c r="P153" s="98"/>
      <c r="Q153" s="98"/>
      <c r="R153" s="98"/>
      <c r="S153" s="98"/>
      <c r="T153" s="98"/>
      <c r="U153" s="98"/>
      <c r="V153" s="98"/>
      <c r="W153" s="92"/>
      <c r="X153" s="93" t="s">
        <v>5966</v>
      </c>
      <c r="Y153" s="93" t="s">
        <v>3659</v>
      </c>
      <c r="Z153" s="93" t="s">
        <v>5967</v>
      </c>
      <c r="AA153" s="98"/>
      <c r="AB153" s="93" t="s">
        <v>1285</v>
      </c>
      <c r="AC153" s="93" t="s">
        <v>5968</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5969</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5970</v>
      </c>
      <c r="B154" s="103" t="s">
        <v>5971</v>
      </c>
      <c r="C154" s="104" t="s">
        <v>1415</v>
      </c>
      <c r="D154" s="105" t="s">
        <v>1415</v>
      </c>
      <c r="E154" s="106" t="s">
        <v>1415</v>
      </c>
      <c r="F154" s="107" t="s">
        <v>1415</v>
      </c>
      <c r="G154" s="103" t="s">
        <v>220</v>
      </c>
      <c r="H154" s="167" t="s">
        <v>1831</v>
      </c>
      <c r="I154" s="167" t="s">
        <v>2239</v>
      </c>
      <c r="J154" s="223"/>
      <c r="K154" s="167" t="s">
        <v>3077</v>
      </c>
      <c r="L154" s="223"/>
      <c r="M154" s="223"/>
      <c r="N154" s="223"/>
      <c r="O154" s="167" t="s">
        <v>5972</v>
      </c>
      <c r="P154" s="167" t="s">
        <v>2045</v>
      </c>
      <c r="Q154" s="223"/>
      <c r="R154" s="223"/>
      <c r="S154" s="223"/>
      <c r="T154" s="223"/>
      <c r="U154" s="223"/>
      <c r="V154" s="223"/>
      <c r="W154" s="92"/>
      <c r="X154" s="199" t="s">
        <v>3448</v>
      </c>
      <c r="Y154" s="273"/>
      <c r="Z154" s="199" t="s">
        <v>4651</v>
      </c>
      <c r="AA154" s="273"/>
      <c r="AB154" s="199" t="s">
        <v>2479</v>
      </c>
      <c r="AC154" s="273"/>
      <c r="AD154" s="273"/>
      <c r="AE154" s="199" t="s">
        <v>5973</v>
      </c>
      <c r="AF154" s="273"/>
      <c r="AG154" s="273"/>
      <c r="AH154" s="273"/>
      <c r="AI154" s="273"/>
      <c r="AJ154" s="199" t="s">
        <v>5974</v>
      </c>
      <c r="AK154" s="92"/>
      <c r="AL154" s="274"/>
      <c r="AM154" s="168" t="s">
        <v>5975</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5976</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5977</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5978</v>
      </c>
      <c r="DZ154" s="287"/>
      <c r="EA154" s="207" t="s">
        <v>413</v>
      </c>
      <c r="EB154" s="320"/>
    </row>
    <row r="155">
      <c r="A155" s="708" t="s">
        <v>5979</v>
      </c>
      <c r="B155" s="82" t="s">
        <v>5980</v>
      </c>
      <c r="C155" s="83" t="s">
        <v>1415</v>
      </c>
      <c r="D155" s="84" t="s">
        <v>1415</v>
      </c>
      <c r="E155" s="85" t="s">
        <v>1415</v>
      </c>
      <c r="F155" s="86" t="s">
        <v>438</v>
      </c>
      <c r="G155" s="82" t="s">
        <v>1063</v>
      </c>
      <c r="H155" s="98"/>
      <c r="I155" s="93" t="s">
        <v>5981</v>
      </c>
      <c r="J155" s="93" t="s">
        <v>5982</v>
      </c>
      <c r="K155" s="93" t="s">
        <v>5334</v>
      </c>
      <c r="L155" s="93" t="s">
        <v>2782</v>
      </c>
      <c r="M155" s="98"/>
      <c r="N155" s="98"/>
      <c r="O155" s="98"/>
      <c r="P155" s="88" t="s">
        <v>5983</v>
      </c>
      <c r="Q155" s="98"/>
      <c r="R155" s="98"/>
      <c r="S155" s="98"/>
      <c r="T155" s="98"/>
      <c r="U155" s="98"/>
      <c r="V155" s="98"/>
      <c r="W155" s="92"/>
      <c r="X155" s="98"/>
      <c r="Y155" s="98"/>
      <c r="Z155" s="301" t="s">
        <v>5808</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5984</v>
      </c>
      <c r="AV155" s="98"/>
      <c r="AW155" s="98"/>
      <c r="AX155" s="98"/>
      <c r="AY155" s="98"/>
      <c r="AZ155" s="264"/>
      <c r="BA155" s="93" t="s">
        <v>5985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5986</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5987</v>
      </c>
      <c r="B156" s="103" t="s">
        <v>5988</v>
      </c>
      <c r="C156" s="104" t="s">
        <v>1415</v>
      </c>
      <c r="D156" s="105" t="s">
        <v>1415</v>
      </c>
      <c r="E156" s="106" t="s">
        <v>1415</v>
      </c>
      <c r="F156" s="107" t="s">
        <v>738</v>
      </c>
      <c r="G156" s="103" t="s">
        <v>3389</v>
      </c>
      <c r="H156" s="223"/>
      <c r="I156" s="223"/>
      <c r="J156" s="223"/>
      <c r="K156" s="167" t="s">
        <v>5989</v>
      </c>
      <c r="L156" s="167" t="s">
        <v>5990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5991</v>
      </c>
      <c r="CJ156" s="177"/>
      <c r="CK156" s="284"/>
      <c r="CL156" s="284"/>
      <c r="CM156" s="284"/>
      <c r="CN156" s="284"/>
      <c r="CO156" s="284"/>
      <c r="CP156" s="284"/>
      <c r="CQ156" s="284"/>
      <c r="CR156" s="284"/>
      <c r="CS156" s="101"/>
      <c r="CT156" s="206" t="s">
        <v>5992</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5993</v>
      </c>
      <c r="B157" s="82" t="s">
        <v>5994</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5996</v>
      </c>
      <c r="B158" s="103" t="s">
        <v>5997</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5998</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5999</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6000</v>
      </c>
      <c r="B159" s="82" t="s">
        <v>6001</v>
      </c>
      <c r="C159" s="83" t="s">
        <v>1415</v>
      </c>
      <c r="D159" s="84" t="s">
        <v>1415</v>
      </c>
      <c r="E159" s="85" t="s">
        <v>1415</v>
      </c>
      <c r="F159" s="86" t="s">
        <v>332</v>
      </c>
      <c r="G159" s="82" t="s">
        <v>6002</v>
      </c>
      <c r="H159" s="100" t="s">
        <v>4070</v>
      </c>
      <c r="I159" s="100" t="s">
        <v>6003</v>
      </c>
      <c r="J159" s="100" t="s">
        <v>450</v>
      </c>
      <c r="K159" s="100" t="s">
        <v>4296</v>
      </c>
      <c r="L159" s="100" t="s">
        <v>6004</v>
      </c>
      <c r="M159" s="100" t="s">
        <v>6005</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3359</v>
      </c>
      <c r="CM159" s="88" t="s">
        <v>6006</v>
      </c>
      <c r="CN159" s="263"/>
      <c r="CO159" s="98"/>
      <c r="CP159" s="98"/>
      <c r="CQ159" s="98"/>
      <c r="CR159" s="98"/>
      <c r="CS159" s="101"/>
      <c r="CT159" s="100"/>
      <c r="CU159" s="100"/>
      <c r="CV159" s="100" t="s">
        <v>5102</v>
      </c>
      <c r="CW159" s="100" t="s">
        <v>3348</v>
      </c>
      <c r="CX159" s="100"/>
      <c r="CY159" s="100"/>
      <c r="CZ159" s="88" t="s">
        <v>6007</v>
      </c>
      <c r="DA159" s="100" t="s">
        <v>6008</v>
      </c>
      <c r="DB159" s="98"/>
      <c r="DC159" s="98"/>
      <c r="DD159" s="98"/>
      <c r="DE159" s="98"/>
      <c r="DF159" s="264"/>
      <c r="DG159" s="100"/>
      <c r="DH159" s="98"/>
      <c r="DI159" s="98"/>
      <c r="DJ159" s="100"/>
      <c r="DK159" s="100"/>
      <c r="DL159" s="100"/>
      <c r="DM159" s="98"/>
      <c r="DN159" s="98"/>
      <c r="DO159" s="98"/>
      <c r="DP159" s="100"/>
      <c r="DQ159" s="100" t="s">
        <v>6009</v>
      </c>
      <c r="DR159" s="98"/>
      <c r="DS159" s="100"/>
      <c r="DT159" s="98"/>
      <c r="DU159" s="98"/>
      <c r="DV159" s="98"/>
      <c r="DW159" s="98"/>
      <c r="DX159" s="98"/>
      <c r="DY159" s="100"/>
      <c r="DZ159" s="98"/>
      <c r="EA159" s="98"/>
      <c r="EB159" s="290"/>
    </row>
    <row r="160">
      <c r="A160" s="166" t="s">
        <v>6010</v>
      </c>
      <c r="B160" s="103" t="s">
        <v>6011</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6012</v>
      </c>
      <c r="B161" s="82" t="s">
        <v>6013</v>
      </c>
      <c r="C161" s="83" t="s">
        <v>1415</v>
      </c>
      <c r="D161" s="84" t="s">
        <v>1415</v>
      </c>
      <c r="E161" s="85" t="s">
        <v>1415</v>
      </c>
      <c r="F161" s="86" t="s">
        <v>738</v>
      </c>
      <c r="G161" s="82" t="s">
        <v>6014</v>
      </c>
      <c r="H161" s="98"/>
      <c r="I161" s="337" t="s">
        <v>6015</v>
      </c>
      <c r="J161" s="93" t="s">
        <v>5924</v>
      </c>
      <c r="K161" s="93" t="s">
        <v>2224</v>
      </c>
      <c r="L161" s="93" t="s">
        <v>6016</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6017</v>
      </c>
      <c r="AU161" s="93" t="s">
        <v>6018</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6019</v>
      </c>
      <c r="CV161" s="93" t="s">
        <v>5286</v>
      </c>
      <c r="CW161" s="98"/>
      <c r="CX161" s="93"/>
      <c r="CY161" s="98"/>
      <c r="CZ161" s="93" t="s">
        <v>6020</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6021</v>
      </c>
      <c r="B162" s="103" t="s">
        <v>6022</v>
      </c>
      <c r="C162" s="104" t="s">
        <v>1415</v>
      </c>
      <c r="D162" s="105" t="s">
        <v>1415</v>
      </c>
      <c r="E162" s="106" t="s">
        <v>1415</v>
      </c>
      <c r="F162" s="107" t="s">
        <v>1415</v>
      </c>
      <c r="G162" s="103" t="s">
        <v>3987</v>
      </c>
      <c r="H162" s="389"/>
      <c r="I162" s="389"/>
      <c r="J162" s="389" t="s">
        <v>1829</v>
      </c>
      <c r="K162" s="389" t="s">
        <v>1143</v>
      </c>
      <c r="L162" s="389" t="s">
        <v>2847</v>
      </c>
      <c r="M162" s="389"/>
      <c r="N162" s="389"/>
      <c r="O162" s="389" t="s">
        <v>6023</v>
      </c>
      <c r="P162" s="389" t="s">
        <v>2592</v>
      </c>
      <c r="Q162" s="717"/>
      <c r="R162" s="717"/>
      <c r="S162" s="717"/>
      <c r="T162" s="717"/>
      <c r="U162" s="717"/>
      <c r="V162" s="717"/>
      <c r="W162" s="718"/>
      <c r="X162" s="398"/>
      <c r="Y162" s="398" t="s">
        <v>2837</v>
      </c>
      <c r="Z162" s="398" t="s">
        <v>2626</v>
      </c>
      <c r="AA162" s="398" t="s">
        <v>6024</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6025</v>
      </c>
      <c r="BE162" s="202"/>
      <c r="BF162" s="202"/>
      <c r="BG162" s="723"/>
      <c r="BH162" s="202" t="s">
        <v>3580</v>
      </c>
      <c r="BI162" s="723"/>
      <c r="BJ162" s="202" t="s">
        <v>6026</v>
      </c>
      <c r="BK162" s="202" t="s">
        <v>4194</v>
      </c>
      <c r="BL162" s="723"/>
      <c r="BM162" s="723"/>
      <c r="BN162" s="202"/>
      <c r="BO162" s="723"/>
      <c r="BP162" s="724"/>
      <c r="BQ162" s="406"/>
      <c r="BR162" s="406"/>
      <c r="BS162" s="406" t="s">
        <v>3102</v>
      </c>
      <c r="BT162" s="406" t="s">
        <v>6027</v>
      </c>
      <c r="BU162" s="406" t="s">
        <v>6028</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6029</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6030</v>
      </c>
      <c r="B163" s="82" t="s">
        <v>6031</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6032</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6033</v>
      </c>
      <c r="B164" s="103" t="s">
        <v>6034</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6035</v>
      </c>
      <c r="B165" s="82" t="s">
        <v>6036</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6037</v>
      </c>
      <c r="Y165" s="100"/>
      <c r="Z165" s="88" t="s">
        <v>4769</v>
      </c>
      <c r="AA165" s="301"/>
      <c r="AB165" s="100"/>
      <c r="AC165" s="100"/>
      <c r="AD165" s="98"/>
      <c r="AE165" s="100"/>
      <c r="AF165" s="88" t="s">
        <v>6038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6039</v>
      </c>
      <c r="B166" s="103" t="s">
        <v>6040</v>
      </c>
      <c r="C166" s="104" t="s">
        <v>1415</v>
      </c>
      <c r="D166" s="105" t="s">
        <v>1415</v>
      </c>
      <c r="E166" s="106" t="s">
        <v>1415</v>
      </c>
      <c r="F166" s="107" t="s">
        <v>1415</v>
      </c>
      <c r="G166" s="103" t="s">
        <v>4996</v>
      </c>
      <c r="H166" s="167"/>
      <c r="I166" s="167" t="s">
        <v>6041</v>
      </c>
      <c r="J166" s="167" t="s">
        <v>2931</v>
      </c>
      <c r="K166" s="167" t="s">
        <v>752</v>
      </c>
      <c r="L166" s="167" t="s">
        <v>6042</v>
      </c>
      <c r="M166" s="167" t="s">
        <v>6043</v>
      </c>
      <c r="N166" s="167" t="s">
        <v>6044</v>
      </c>
      <c r="O166" s="167" t="s">
        <v>6045</v>
      </c>
      <c r="P166" s="167" t="s">
        <v>1942</v>
      </c>
      <c r="Q166" s="223"/>
      <c r="R166" s="223"/>
      <c r="S166" s="223"/>
      <c r="T166" s="223"/>
      <c r="U166" s="223"/>
      <c r="V166" s="223"/>
      <c r="W166" s="92"/>
      <c r="X166" s="199" t="s">
        <v>6046</v>
      </c>
      <c r="Y166" s="199"/>
      <c r="Z166" s="199" t="s">
        <v>6047</v>
      </c>
      <c r="AA166" s="273"/>
      <c r="AB166" s="199" t="s">
        <v>6048</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6049</v>
      </c>
      <c r="BB166" s="174" t="s">
        <v>789</v>
      </c>
      <c r="BC166" s="174" t="s">
        <v>840</v>
      </c>
      <c r="BD166" s="174" t="s">
        <v>3524</v>
      </c>
      <c r="BE166" s="174" t="s">
        <v>6050</v>
      </c>
      <c r="BF166" s="173"/>
      <c r="BG166" s="173"/>
      <c r="BH166" s="174" t="s">
        <v>3694</v>
      </c>
      <c r="BI166" s="173"/>
      <c r="BJ166" s="173"/>
      <c r="BK166" s="174" t="s">
        <v>526</v>
      </c>
      <c r="BL166" s="173"/>
      <c r="BM166" s="173"/>
      <c r="BN166" s="173"/>
      <c r="BO166" s="173"/>
      <c r="BP166" s="277"/>
      <c r="BQ166" s="175" t="s">
        <v>6051</v>
      </c>
      <c r="BR166" s="175" t="s">
        <v>6052</v>
      </c>
      <c r="BS166" s="175" t="s">
        <v>879</v>
      </c>
      <c r="BT166" s="175" t="s">
        <v>532</v>
      </c>
      <c r="BU166" s="175" t="s">
        <v>6053</v>
      </c>
      <c r="BV166" s="175" t="s">
        <v>1354</v>
      </c>
      <c r="BW166" s="280"/>
      <c r="BX166" s="280"/>
      <c r="BY166" s="280"/>
      <c r="BZ166" s="175" t="s">
        <v>977</v>
      </c>
      <c r="CA166" s="280"/>
      <c r="CB166" s="280"/>
      <c r="CC166" s="280"/>
      <c r="CD166" s="280"/>
      <c r="CE166" s="281"/>
      <c r="CF166" s="177" t="s">
        <v>6054</v>
      </c>
      <c r="CG166" s="177" t="s">
        <v>2077</v>
      </c>
      <c r="CH166" s="284"/>
      <c r="CI166" s="284"/>
      <c r="CJ166" s="284"/>
      <c r="CK166" s="284"/>
      <c r="CL166" s="177" t="s">
        <v>4588</v>
      </c>
      <c r="CM166" s="177" t="s">
        <v>1495</v>
      </c>
      <c r="CN166" s="284"/>
      <c r="CO166" s="284"/>
      <c r="CP166" s="284"/>
      <c r="CQ166" s="284"/>
      <c r="CR166" s="284"/>
      <c r="CS166" s="101"/>
      <c r="CT166" s="206" t="s">
        <v>5107</v>
      </c>
      <c r="CU166" s="285"/>
      <c r="CV166" s="206" t="s">
        <v>6055</v>
      </c>
      <c r="CW166" s="206" t="s">
        <v>2878</v>
      </c>
      <c r="CX166" s="206" t="s">
        <v>6056</v>
      </c>
      <c r="CY166" s="206" t="s">
        <v>6057</v>
      </c>
      <c r="CZ166" s="206" t="s">
        <v>6058</v>
      </c>
      <c r="DA166" s="206" t="s">
        <v>6059</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6060</v>
      </c>
      <c r="B167" s="82" t="s">
        <v>6061</v>
      </c>
      <c r="C167" s="83" t="s">
        <v>738</v>
      </c>
      <c r="D167" s="84" t="s">
        <v>1415</v>
      </c>
      <c r="E167" s="85" t="s">
        <v>1415</v>
      </c>
      <c r="F167" s="86" t="s">
        <v>738</v>
      </c>
      <c r="G167" s="82" t="s">
        <v>3987</v>
      </c>
      <c r="H167" s="735" t="s">
        <v>2917</v>
      </c>
      <c r="I167" s="735" t="s">
        <v>6062</v>
      </c>
      <c r="J167" s="735" t="s">
        <v>6063</v>
      </c>
      <c r="K167" s="735" t="s">
        <v>752</v>
      </c>
      <c r="L167" s="735" t="s">
        <v>835</v>
      </c>
      <c r="M167" s="736"/>
      <c r="N167" s="735" t="s">
        <v>6064</v>
      </c>
      <c r="O167" s="735" t="s">
        <v>6065</v>
      </c>
      <c r="P167" s="735" t="s">
        <v>5341</v>
      </c>
      <c r="Q167" s="736"/>
      <c r="R167" s="736"/>
      <c r="S167" s="736"/>
      <c r="T167" s="736"/>
      <c r="U167" s="736"/>
      <c r="V167" s="736"/>
      <c r="W167" s="737"/>
      <c r="X167" s="735" t="s">
        <v>6066</v>
      </c>
      <c r="Y167" s="738" t="s">
        <v>380</v>
      </c>
      <c r="Z167" s="738" t="s">
        <v>955</v>
      </c>
      <c r="AA167" s="738" t="s">
        <v>3833</v>
      </c>
      <c r="AB167" s="735" t="s">
        <v>6067</v>
      </c>
      <c r="AC167" s="738" t="s">
        <v>6068</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6069</v>
      </c>
      <c r="BT167" s="738" t="s">
        <v>2794</v>
      </c>
      <c r="BU167" s="736"/>
      <c r="BV167" s="736"/>
      <c r="BW167" s="736"/>
      <c r="BX167" s="736"/>
      <c r="BY167" s="736"/>
      <c r="BZ167" s="736"/>
      <c r="CA167" s="736"/>
      <c r="CB167" s="736"/>
      <c r="CC167" s="736"/>
      <c r="CD167" s="736"/>
      <c r="CE167" s="739"/>
      <c r="CF167" s="736"/>
      <c r="CG167" s="735" t="s">
        <v>6070</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6071</v>
      </c>
      <c r="DA167" s="738" t="s">
        <v>6072</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6073</v>
      </c>
      <c r="B168" s="103" t="s">
        <v>6074</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2253</v>
      </c>
      <c r="G169" s="82" t="s">
        <v>4914</v>
      </c>
      <c r="H169" s="93" t="s">
        <v>2624</v>
      </c>
      <c r="I169" s="98"/>
      <c r="J169" s="93" t="s">
        <v>6078</v>
      </c>
      <c r="K169" s="88" t="s">
        <v>4866</v>
      </c>
      <c r="L169" s="161" t="s">
        <v>3400</v>
      </c>
      <c r="M169" s="98"/>
      <c r="N169" s="98"/>
      <c r="O169" s="98"/>
      <c r="P169" s="93" t="s">
        <v>6079</v>
      </c>
      <c r="Q169" s="98"/>
      <c r="R169" s="98"/>
      <c r="S169" s="98"/>
      <c r="T169" s="98"/>
      <c r="U169" s="98"/>
      <c r="V169" s="98"/>
      <c r="W169" s="92"/>
      <c r="X169" s="88" t="s">
        <v>6080</v>
      </c>
      <c r="Y169" s="93" t="s">
        <v>1763</v>
      </c>
      <c r="Z169" s="88" t="s">
        <v>5176</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4794</v>
      </c>
      <c r="BG169" s="93" t="s">
        <v>6083</v>
      </c>
      <c r="BH169" s="93" t="s">
        <v>5137</v>
      </c>
      <c r="BI169" s="98"/>
      <c r="BJ169" s="98"/>
      <c r="BK169" s="98"/>
      <c r="BL169" s="98"/>
      <c r="BM169" s="98"/>
      <c r="BN169" s="98"/>
      <c r="BO169" s="98"/>
      <c r="BP169" s="264"/>
      <c r="BQ169" s="98"/>
      <c r="BR169" s="98"/>
      <c r="BS169" s="98"/>
      <c r="BT169" s="93" t="s">
        <v>3404</v>
      </c>
      <c r="BU169" s="98"/>
      <c r="BV169" s="88" t="s">
        <v>4869</v>
      </c>
      <c r="BW169" s="98"/>
      <c r="BX169" s="98"/>
      <c r="BY169" s="98"/>
      <c r="BZ169" s="88" t="s">
        <v>4735</v>
      </c>
      <c r="CA169" s="98"/>
      <c r="CB169" s="98"/>
      <c r="CC169" s="98"/>
      <c r="CD169" s="98"/>
      <c r="CE169" s="264"/>
      <c r="CF169" s="88" t="s">
        <v>6084</v>
      </c>
      <c r="CG169" s="93" t="s">
        <v>6085</v>
      </c>
      <c r="CH169" s="98"/>
      <c r="CI169" s="98"/>
      <c r="CJ169" s="98"/>
      <c r="CK169" s="98"/>
      <c r="CL169" s="88" t="s">
        <v>4997</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5902</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4980</v>
      </c>
      <c r="K172" s="167" t="s">
        <v>2411</v>
      </c>
      <c r="L172" s="167" t="s">
        <v>4034</v>
      </c>
      <c r="M172" s="167" t="s">
        <v>6100</v>
      </c>
      <c r="N172" s="223"/>
      <c r="O172" s="167" t="s">
        <v>1929</v>
      </c>
      <c r="P172" s="167" t="s">
        <v>6101</v>
      </c>
      <c r="Q172" s="223"/>
      <c r="R172" s="223"/>
      <c r="S172" s="223"/>
      <c r="T172" s="223"/>
      <c r="U172" s="223"/>
      <c r="V172" s="223"/>
      <c r="W172" s="92"/>
      <c r="X172" s="199" t="s">
        <v>4440</v>
      </c>
      <c r="Y172" s="199" t="s">
        <v>6102</v>
      </c>
      <c r="Z172" s="199" t="s">
        <v>4472</v>
      </c>
      <c r="AA172" s="199" t="s">
        <v>6103</v>
      </c>
      <c r="AB172" s="199" t="s">
        <v>6104</v>
      </c>
      <c r="AC172" s="199" t="s">
        <v>6054</v>
      </c>
      <c r="AD172" s="273"/>
      <c r="AE172" s="199" t="s">
        <v>6105</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2836</v>
      </c>
      <c r="BY172" s="280"/>
      <c r="BZ172" s="175" t="s">
        <v>2004</v>
      </c>
      <c r="CA172" s="280"/>
      <c r="CB172" s="280"/>
      <c r="CC172" s="280"/>
      <c r="CD172" s="280"/>
      <c r="CE172" s="281"/>
      <c r="CF172" s="177" t="s">
        <v>4875</v>
      </c>
      <c r="CG172" s="177" t="s">
        <v>2517</v>
      </c>
      <c r="CH172" s="177" t="s">
        <v>2615</v>
      </c>
      <c r="CI172" s="177" t="s">
        <v>6113</v>
      </c>
      <c r="CJ172" s="177" t="s">
        <v>6114</v>
      </c>
      <c r="CK172" s="284"/>
      <c r="CL172" s="177" t="s">
        <v>3701</v>
      </c>
      <c r="CM172" s="177" t="s">
        <v>3194</v>
      </c>
      <c r="CN172" s="284"/>
      <c r="CO172" s="284"/>
      <c r="CP172" s="284"/>
      <c r="CQ172" s="284"/>
      <c r="CR172" s="284"/>
      <c r="CS172" s="101"/>
      <c r="CT172" s="206" t="s">
        <v>5749</v>
      </c>
      <c r="CU172" s="206" t="s">
        <v>6115</v>
      </c>
      <c r="CV172" s="206" t="s">
        <v>1950</v>
      </c>
      <c r="CW172" s="285"/>
      <c r="CX172" s="285"/>
      <c r="CY172" s="285"/>
      <c r="CZ172" s="206" t="s">
        <v>6116</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5014</v>
      </c>
      <c r="H173" s="93" t="s">
        <v>6119</v>
      </c>
      <c r="I173" s="93" t="s">
        <v>6120</v>
      </c>
      <c r="J173" s="93" t="s">
        <v>614</v>
      </c>
      <c r="K173" s="93" t="s">
        <v>3077</v>
      </c>
      <c r="L173" s="93" t="s">
        <v>2774</v>
      </c>
      <c r="M173" s="93" t="s">
        <v>6121</v>
      </c>
      <c r="N173" s="93" t="s">
        <v>6122</v>
      </c>
      <c r="O173" s="93" t="s">
        <v>936</v>
      </c>
      <c r="P173" s="93" t="s">
        <v>493</v>
      </c>
      <c r="Q173" s="93"/>
      <c r="R173" s="93"/>
      <c r="S173" s="93"/>
      <c r="T173" s="93"/>
      <c r="U173" s="93"/>
      <c r="V173" s="93"/>
      <c r="W173" s="92"/>
      <c r="X173" s="93" t="s">
        <v>6123</v>
      </c>
      <c r="Y173" s="93" t="s">
        <v>5160</v>
      </c>
      <c r="Z173" s="93" t="s">
        <v>6124</v>
      </c>
      <c r="AA173" s="93" t="s">
        <v>2550</v>
      </c>
      <c r="AB173" s="93" t="s">
        <v>5731</v>
      </c>
      <c r="AC173" s="93" t="s">
        <v>6125</v>
      </c>
      <c r="AD173" s="93" t="s">
        <v>4058</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4226</v>
      </c>
      <c r="BC173" s="93" t="s">
        <v>3736</v>
      </c>
      <c r="BD173" s="93" t="s">
        <v>6129</v>
      </c>
      <c r="BE173" s="93" t="s">
        <v>6130</v>
      </c>
      <c r="BF173" s="93" t="s">
        <v>6131</v>
      </c>
      <c r="BG173" s="93" t="s">
        <v>5020</v>
      </c>
      <c r="BH173" s="93" t="s">
        <v>5984</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5945</v>
      </c>
      <c r="CW173" s="98"/>
      <c r="CX173" s="93" t="s">
        <v>6135</v>
      </c>
      <c r="CY173" s="98"/>
      <c r="CZ173" s="98"/>
      <c r="DA173" s="98"/>
      <c r="DB173" s="98"/>
      <c r="DC173" s="98"/>
      <c r="DD173" s="98"/>
      <c r="DE173" s="98"/>
      <c r="DF173" s="264"/>
      <c r="DG173" s="93" t="s">
        <v>3431</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3910</v>
      </c>
      <c r="M174" s="167" t="s">
        <v>6140</v>
      </c>
      <c r="N174" s="223"/>
      <c r="O174" s="167" t="s">
        <v>3082</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3800</v>
      </c>
      <c r="CA174" s="280"/>
      <c r="CB174" s="280"/>
      <c r="CC174" s="280"/>
      <c r="CD174" s="280"/>
      <c r="CE174" s="281"/>
      <c r="CF174" s="177" t="s">
        <v>6147</v>
      </c>
      <c r="CG174" s="177" t="s">
        <v>3347</v>
      </c>
      <c r="CH174" s="177" t="s">
        <v>753</v>
      </c>
      <c r="CI174" s="177" t="s">
        <v>6148</v>
      </c>
      <c r="CJ174" s="177"/>
      <c r="CK174" s="284"/>
      <c r="CL174" s="177" t="s">
        <v>3654</v>
      </c>
      <c r="CM174" s="177" t="s">
        <v>6017</v>
      </c>
      <c r="CN174" s="284"/>
      <c r="CO174" s="284"/>
      <c r="CP174" s="284"/>
      <c r="CQ174" s="284"/>
      <c r="CR174" s="284"/>
      <c r="CS174" s="101"/>
      <c r="CT174" s="206" t="s">
        <v>4982</v>
      </c>
      <c r="CU174" s="206" t="s">
        <v>1933</v>
      </c>
      <c r="CV174" s="206" t="s">
        <v>2988</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2" t="s">
        <v>6154</v>
      </c>
      <c r="B175" s="82" t="s">
        <v>6155</v>
      </c>
      <c r="C175" s="83" t="s">
        <v>1415</v>
      </c>
      <c r="D175" s="84" t="s">
        <v>1415</v>
      </c>
      <c r="E175" s="85" t="s">
        <v>1415</v>
      </c>
      <c r="F175" s="86" t="s">
        <v>1415</v>
      </c>
      <c r="G175" s="82" t="s">
        <v>2868</v>
      </c>
      <c r="H175" s="100"/>
      <c r="I175" s="290" t="s">
        <v>6156</v>
      </c>
      <c r="J175" s="290" t="s">
        <v>1827</v>
      </c>
      <c r="K175" s="290" t="s">
        <v>3077</v>
      </c>
      <c r="L175" s="290" t="s">
        <v>6157</v>
      </c>
      <c r="M175" s="290" t="s">
        <v>4075</v>
      </c>
      <c r="N175" s="100"/>
      <c r="O175" s="100"/>
      <c r="P175" s="100"/>
      <c r="Q175" s="98"/>
      <c r="R175" s="98"/>
      <c r="S175" s="98"/>
      <c r="T175" s="98"/>
      <c r="U175" s="98"/>
      <c r="V175" s="98"/>
      <c r="W175" s="92"/>
      <c r="X175" s="290" t="s">
        <v>5802</v>
      </c>
      <c r="Y175" s="290" t="s">
        <v>6158</v>
      </c>
      <c r="Z175" s="290" t="s">
        <v>5010</v>
      </c>
      <c r="AA175" s="301" t="s">
        <v>4081</v>
      </c>
      <c r="AB175" s="290" t="s">
        <v>4315</v>
      </c>
      <c r="AC175" s="290" t="s">
        <v>6159</v>
      </c>
      <c r="AD175" s="98"/>
      <c r="AE175" s="290" t="s">
        <v>4539</v>
      </c>
      <c r="AF175" s="290" t="s">
        <v>5279</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3369</v>
      </c>
      <c r="BD175" s="290" t="s">
        <v>6163</v>
      </c>
      <c r="BE175" s="290" t="s">
        <v>418</v>
      </c>
      <c r="BF175" s="290" t="s">
        <v>6164</v>
      </c>
      <c r="BG175" s="93" t="s">
        <v>6165</v>
      </c>
      <c r="BH175" s="290" t="s">
        <v>2106</v>
      </c>
      <c r="BI175" s="98"/>
      <c r="BJ175" s="290" t="s">
        <v>6166</v>
      </c>
      <c r="BK175" s="290" t="s">
        <v>6167</v>
      </c>
      <c r="BL175" s="98"/>
      <c r="BM175" s="98"/>
      <c r="BN175" s="100"/>
      <c r="BO175" s="98"/>
      <c r="BP175" s="264"/>
      <c r="BQ175" s="290" t="s">
        <v>6168</v>
      </c>
      <c r="BR175" s="290" t="s">
        <v>6169</v>
      </c>
      <c r="BS175" s="290" t="s">
        <v>3539</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5292</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6191</v>
      </c>
      <c r="B181" s="82" t="s">
        <v>6192</v>
      </c>
      <c r="C181" s="83" t="s">
        <v>1415</v>
      </c>
      <c r="D181" s="84" t="s">
        <v>738</v>
      </c>
      <c r="E181" s="85" t="s">
        <v>1415</v>
      </c>
      <c r="F181" s="86" t="s">
        <v>543</v>
      </c>
      <c r="G181" s="82" t="s">
        <v>219</v>
      </c>
      <c r="H181" s="100"/>
      <c r="I181" s="94"/>
      <c r="J181" s="100"/>
      <c r="K181" s="100" t="s">
        <v>1812</v>
      </c>
      <c r="L181" s="100" t="s">
        <v>5586</v>
      </c>
      <c r="M181" s="100"/>
      <c r="N181" s="100"/>
      <c r="O181" s="100" t="s">
        <v>2774</v>
      </c>
      <c r="P181" s="100"/>
      <c r="Q181" s="98"/>
      <c r="R181" s="98"/>
      <c r="S181" s="98"/>
      <c r="T181" s="98"/>
      <c r="U181" s="98"/>
      <c r="V181" s="98"/>
      <c r="W181" s="92"/>
      <c r="X181" s="88" t="s">
        <v>3493</v>
      </c>
      <c r="Y181" s="100" t="s">
        <v>6193</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6197</v>
      </c>
      <c r="B182" s="103" t="s">
        <v>6198</v>
      </c>
      <c r="C182" s="104" t="s">
        <v>1415</v>
      </c>
      <c r="D182" s="105" t="s">
        <v>1415</v>
      </c>
      <c r="E182" s="106" t="s">
        <v>1415</v>
      </c>
      <c r="F182" s="107" t="s">
        <v>1415</v>
      </c>
      <c r="G182" s="103" t="s">
        <v>6002</v>
      </c>
      <c r="H182" s="223"/>
      <c r="I182" s="167" t="s">
        <v>6199</v>
      </c>
      <c r="J182" s="167" t="s">
        <v>4215</v>
      </c>
      <c r="K182" s="167" t="s">
        <v>4296</v>
      </c>
      <c r="L182" s="167" t="s">
        <v>6200</v>
      </c>
      <c r="M182" s="223"/>
      <c r="N182" s="223"/>
      <c r="O182" s="167" t="s">
        <v>1222</v>
      </c>
      <c r="P182" s="223"/>
      <c r="Q182" s="223"/>
      <c r="R182" s="223"/>
      <c r="S182" s="167" t="s">
        <v>2134</v>
      </c>
      <c r="T182" s="223"/>
      <c r="U182" s="223"/>
      <c r="V182" s="223"/>
      <c r="W182" s="92"/>
      <c r="X182" s="273"/>
      <c r="Y182" s="273"/>
      <c r="Z182" s="199" t="s">
        <v>2136</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6202</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6203</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4652</v>
      </c>
      <c r="DS182" s="287"/>
      <c r="DT182" s="287"/>
      <c r="DU182" s="287"/>
      <c r="DV182" s="287"/>
      <c r="DW182" s="287"/>
      <c r="DX182" s="287"/>
      <c r="DY182" s="287"/>
      <c r="DZ182" s="287"/>
      <c r="EA182" s="287"/>
      <c r="EB182" s="320" t="s">
        <v>6206</v>
      </c>
    </row>
    <row r="183">
      <c r="A183" s="746" t="s">
        <v>6207</v>
      </c>
      <c r="B183" s="82" t="s">
        <v>6208</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6210</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3397</v>
      </c>
      <c r="CK184" s="284"/>
      <c r="CL184" s="177" t="s">
        <v>4718</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1960</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3715</v>
      </c>
      <c r="C187" s="83" t="s">
        <v>1415</v>
      </c>
      <c r="D187" s="84" t="s">
        <v>1415</v>
      </c>
      <c r="E187" s="85" t="s">
        <v>1415</v>
      </c>
      <c r="F187" s="86" t="s">
        <v>1415</v>
      </c>
      <c r="G187" s="82" t="s">
        <v>3442</v>
      </c>
      <c r="H187" s="98"/>
      <c r="I187" s="93" t="s">
        <v>6226</v>
      </c>
      <c r="J187" s="93" t="s">
        <v>1363</v>
      </c>
      <c r="K187" s="93" t="s">
        <v>1059</v>
      </c>
      <c r="L187" s="93" t="s">
        <v>6227</v>
      </c>
      <c r="M187" s="93" t="s">
        <v>6228</v>
      </c>
      <c r="N187" s="93" t="s">
        <v>6229</v>
      </c>
      <c r="O187" s="93" t="s">
        <v>6230</v>
      </c>
      <c r="P187" s="93" t="s">
        <v>4608</v>
      </c>
      <c r="Q187" s="98"/>
      <c r="R187" s="98"/>
      <c r="S187" s="98"/>
      <c r="T187" s="98"/>
      <c r="U187" s="98"/>
      <c r="V187" s="98"/>
      <c r="W187" s="92"/>
      <c r="X187" s="93" t="s">
        <v>336</v>
      </c>
      <c r="Y187" s="93" t="s">
        <v>2162</v>
      </c>
      <c r="Z187" s="93" t="s">
        <v>3292</v>
      </c>
      <c r="AA187" s="93" t="s">
        <v>6231</v>
      </c>
      <c r="AB187" s="93" t="s">
        <v>6232</v>
      </c>
      <c r="AC187" s="93" t="s">
        <v>3254</v>
      </c>
      <c r="AD187" s="98"/>
      <c r="AE187" s="93" t="s">
        <v>1911</v>
      </c>
      <c r="AF187" s="93" t="s">
        <v>1265</v>
      </c>
      <c r="AG187" s="98"/>
      <c r="AH187" s="98"/>
      <c r="AI187" s="98"/>
      <c r="AJ187" s="98"/>
      <c r="AK187" s="92"/>
      <c r="AL187" s="93" t="s">
        <v>4989</v>
      </c>
      <c r="AM187" s="93" t="s">
        <v>1281</v>
      </c>
      <c r="AN187" s="93" t="s">
        <v>6233</v>
      </c>
      <c r="AO187" s="93" t="s">
        <v>6234</v>
      </c>
      <c r="AP187" s="93" t="s">
        <v>6235</v>
      </c>
      <c r="AQ187" s="93"/>
      <c r="AR187" s="93" t="s">
        <v>4687</v>
      </c>
      <c r="AS187" s="93" t="s">
        <v>6236</v>
      </c>
      <c r="AT187" s="93" t="s">
        <v>3792</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5968</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2763</v>
      </c>
      <c r="CI187" s="93" t="s">
        <v>6252</v>
      </c>
      <c r="CJ187" s="93" t="s">
        <v>4214</v>
      </c>
      <c r="CK187" s="93" t="s">
        <v>6253</v>
      </c>
      <c r="CL187" s="93" t="s">
        <v>197</v>
      </c>
      <c r="CM187" s="93" t="s">
        <v>1428</v>
      </c>
      <c r="CN187" s="98"/>
      <c r="CO187" s="98"/>
      <c r="CP187" s="98"/>
      <c r="CQ187" s="98"/>
      <c r="CR187" s="98"/>
      <c r="CS187" s="101"/>
      <c r="CT187" s="93" t="s">
        <v>6254</v>
      </c>
      <c r="CU187" s="93" t="s">
        <v>2039</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6262</v>
      </c>
      <c r="B189" s="82" t="s">
        <v>6263</v>
      </c>
      <c r="C189" s="83" t="s">
        <v>1415</v>
      </c>
      <c r="D189" s="84" t="s">
        <v>1415</v>
      </c>
      <c r="E189" s="85" t="s">
        <v>1415</v>
      </c>
      <c r="F189" s="86" t="s">
        <v>1415</v>
      </c>
      <c r="G189" s="82" t="s">
        <v>3987</v>
      </c>
      <c r="H189" s="93" t="s">
        <v>6264</v>
      </c>
      <c r="I189" s="93" t="s">
        <v>6265</v>
      </c>
      <c r="J189" s="93" t="s">
        <v>6266</v>
      </c>
      <c r="K189" s="93" t="s">
        <v>1614</v>
      </c>
      <c r="L189" s="93" t="s">
        <v>4004</v>
      </c>
      <c r="M189" s="93" t="s">
        <v>6267</v>
      </c>
      <c r="N189" s="93" t="s">
        <v>6268</v>
      </c>
      <c r="O189" s="93" t="s">
        <v>4410</v>
      </c>
      <c r="P189" s="93" t="s">
        <v>4651</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3399</v>
      </c>
      <c r="BB189" s="98"/>
      <c r="BC189" s="93" t="s">
        <v>2527</v>
      </c>
      <c r="BD189" s="98"/>
      <c r="BE189" s="98"/>
      <c r="BF189" s="98"/>
      <c r="BG189" s="98"/>
      <c r="BH189" s="93" t="s">
        <v>3869</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5899</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2692</v>
      </c>
      <c r="H190" s="167"/>
      <c r="I190" s="167" t="s">
        <v>6276</v>
      </c>
      <c r="J190" s="167" t="s">
        <v>3431</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6277</v>
      </c>
      <c r="BE190" s="173"/>
      <c r="BF190" s="173"/>
      <c r="BG190" s="173"/>
      <c r="BH190" s="174" t="s">
        <v>4437</v>
      </c>
      <c r="BI190" s="173"/>
      <c r="BJ190" s="173"/>
      <c r="BK190" s="173"/>
      <c r="BL190" s="173"/>
      <c r="BM190" s="173"/>
      <c r="BN190" s="173"/>
      <c r="BO190" s="173"/>
      <c r="BP190" s="277"/>
      <c r="BQ190" s="280"/>
      <c r="BR190" s="175" t="s">
        <v>4797</v>
      </c>
      <c r="BS190" s="175" t="s">
        <v>6278</v>
      </c>
      <c r="BT190" s="175" t="s">
        <v>5396</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6283</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6284</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2095</v>
      </c>
      <c r="C196" s="104" t="s">
        <v>1415</v>
      </c>
      <c r="D196" s="105" t="s">
        <v>1415</v>
      </c>
      <c r="E196" s="106" t="s">
        <v>1415</v>
      </c>
      <c r="F196" s="107" t="s">
        <v>1063</v>
      </c>
      <c r="G196" s="103" t="s">
        <v>1063</v>
      </c>
      <c r="H196" s="112" t="s">
        <v>6291</v>
      </c>
      <c r="I196" s="223"/>
      <c r="J196" s="223"/>
      <c r="K196" s="112" t="s">
        <v>4332</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3032</v>
      </c>
      <c r="AN196" s="274"/>
      <c r="AO196" s="121" t="s">
        <v>6292</v>
      </c>
      <c r="AP196" s="274"/>
      <c r="AQ196" s="274"/>
      <c r="AR196" s="274"/>
      <c r="AS196" s="274"/>
      <c r="AT196" s="274"/>
      <c r="AU196" s="274"/>
      <c r="AV196" s="274"/>
      <c r="AW196" s="274"/>
      <c r="AX196" s="121" t="s">
        <v>518</v>
      </c>
      <c r="AY196" s="274"/>
      <c r="AZ196" s="275"/>
      <c r="BA196" s="127" t="s">
        <v>6293</v>
      </c>
      <c r="BB196" s="173"/>
      <c r="BC196" s="127" t="s">
        <v>4699</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5783</v>
      </c>
      <c r="DO196" s="146" t="s">
        <v>6295</v>
      </c>
      <c r="DP196" s="287"/>
      <c r="DQ196" s="287"/>
      <c r="DR196" s="287"/>
      <c r="DS196" s="287"/>
      <c r="DT196" s="287"/>
      <c r="DU196" s="287"/>
      <c r="DV196" s="287"/>
      <c r="DW196" s="287"/>
      <c r="DX196" s="287"/>
      <c r="DY196" s="287"/>
      <c r="DZ196" s="287"/>
      <c r="EA196" s="287"/>
      <c r="EB196" s="143" t="s">
        <v>1909</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4996</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3124</v>
      </c>
      <c r="C200" s="104" t="s">
        <v>1415</v>
      </c>
      <c r="D200" s="105" t="s">
        <v>1415</v>
      </c>
      <c r="E200" s="106" t="s">
        <v>1415</v>
      </c>
      <c r="F200" s="107" t="s">
        <v>1415</v>
      </c>
      <c r="G200" s="103" t="s">
        <v>543</v>
      </c>
      <c r="H200" s="223"/>
      <c r="I200" s="167"/>
      <c r="J200" s="223"/>
      <c r="K200" s="167" t="s">
        <v>4866</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6304</v>
      </c>
      <c r="B202" s="103" t="s">
        <v>6002</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5956</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4104</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0" t="s">
        <v>6309</v>
      </c>
      <c r="B203" s="82" t="s">
        <v>6002</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2"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6321</v>
      </c>
      <c r="D1" s="767" t="s">
        <v>1551</v>
      </c>
      <c r="E1" s="768" t="s">
        <v>6322</v>
      </c>
      <c r="F1" s="767" t="s">
        <v>6323</v>
      </c>
      <c r="G1" s="767" t="s">
        <v>1060</v>
      </c>
      <c r="H1" s="769" t="s">
        <v>3096</v>
      </c>
      <c r="I1" s="767" t="s">
        <v>6324</v>
      </c>
      <c r="J1" s="767" t="s">
        <v>6325</v>
      </c>
      <c r="K1" s="767" t="s">
        <v>6326</v>
      </c>
      <c r="L1" s="768" t="s">
        <v>6327</v>
      </c>
      <c r="M1" s="767" t="s">
        <v>736</v>
      </c>
      <c r="N1" s="767" t="s">
        <v>6328</v>
      </c>
      <c r="O1" s="767" t="s">
        <v>985</v>
      </c>
      <c r="P1" s="770" t="s">
        <v>6329</v>
      </c>
      <c r="Q1" s="767" t="s">
        <v>1879</v>
      </c>
      <c r="R1" s="767" t="s">
        <v>6330</v>
      </c>
      <c r="S1" s="767" t="s">
        <v>6331</v>
      </c>
      <c r="T1" s="768" t="s">
        <v>6332</v>
      </c>
      <c r="U1" s="767" t="s">
        <v>6333</v>
      </c>
      <c r="V1" s="767" t="s">
        <v>6334</v>
      </c>
      <c r="W1" s="767" t="s">
        <v>3985</v>
      </c>
      <c r="X1" s="767" t="s">
        <v>6335</v>
      </c>
      <c r="Y1" s="767" t="s">
        <v>6336</v>
      </c>
      <c r="Z1" s="767" t="s">
        <v>4062</v>
      </c>
      <c r="AA1" s="767" t="s">
        <v>3597</v>
      </c>
      <c r="AB1" s="767" t="s">
        <v>6337</v>
      </c>
      <c r="AC1" s="767" t="s">
        <v>6338</v>
      </c>
      <c r="AD1" s="767" t="s">
        <v>6339</v>
      </c>
      <c r="AE1" s="767" t="s">
        <v>1198</v>
      </c>
      <c r="AF1" s="767" t="s">
        <v>216</v>
      </c>
      <c r="AG1" s="767" t="s">
        <v>1722</v>
      </c>
      <c r="AH1" s="767" t="s">
        <v>2008</v>
      </c>
      <c r="AI1" s="767" t="s">
        <v>6340</v>
      </c>
      <c r="AJ1" s="767" t="s">
        <v>6341</v>
      </c>
      <c r="AK1" s="767" t="s">
        <v>1945</v>
      </c>
      <c r="AL1" s="767" t="s">
        <v>6342</v>
      </c>
      <c r="AM1" s="767" t="s">
        <v>6343</v>
      </c>
      <c r="AN1" s="767" t="s">
        <v>5979</v>
      </c>
      <c r="AO1" s="767" t="s">
        <v>6344</v>
      </c>
      <c r="AP1" s="767" t="s">
        <v>6345</v>
      </c>
      <c r="AQ1" s="767" t="s">
        <v>5695</v>
      </c>
      <c r="AR1" s="767" t="s">
        <v>3234</v>
      </c>
      <c r="AS1" s="767" t="s">
        <v>6346</v>
      </c>
      <c r="AT1" s="767" t="s">
        <v>3917</v>
      </c>
      <c r="AU1" s="767" t="s">
        <v>5383</v>
      </c>
      <c r="AV1" s="767" t="s">
        <v>6347</v>
      </c>
      <c r="AW1" s="767" t="s">
        <v>6348</v>
      </c>
      <c r="AX1" s="768" t="s">
        <v>6349</v>
      </c>
      <c r="AY1" s="767" t="s">
        <v>6350</v>
      </c>
      <c r="AZ1" s="767" t="s">
        <v>6351</v>
      </c>
      <c r="BA1" s="767" t="s">
        <v>1630</v>
      </c>
      <c r="BB1" s="767" t="s">
        <v>6352</v>
      </c>
      <c r="BC1" s="771" t="s">
        <v>6318</v>
      </c>
      <c r="BD1" s="771" t="s">
        <v>6353</v>
      </c>
      <c r="BE1" s="767" t="s">
        <v>912</v>
      </c>
      <c r="BF1" s="767"/>
      <c r="BG1" s="767"/>
      <c r="BH1" s="772"/>
      <c r="BI1" s="772"/>
      <c r="BJ1" s="772"/>
    </row>
    <row r="2" ht="15.75" customHeight="1">
      <c r="A2" s="773" t="s">
        <v>6354</v>
      </c>
      <c r="B2" s="774"/>
      <c r="C2" s="775"/>
      <c r="D2" s="776">
        <f t="shared" ref="D2:BJ2" si="1">COUNTIF(D4:D327,"*")</f>
        <v>173</v>
      </c>
      <c r="E2" s="776">
        <f t="shared" si="1"/>
        <v>149</v>
      </c>
      <c r="F2" s="776">
        <f t="shared" si="1"/>
        <v>125</v>
      </c>
      <c r="G2" s="776">
        <f t="shared" si="1"/>
        <v>116</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6355</v>
      </c>
      <c r="B4" s="783" t="s">
        <v>6356</v>
      </c>
      <c r="C4" s="784" t="s">
        <v>335</v>
      </c>
      <c r="D4" s="785" t="s">
        <v>837</v>
      </c>
      <c r="E4" s="786" t="s">
        <v>335</v>
      </c>
      <c r="F4" s="787" t="s">
        <v>1325</v>
      </c>
      <c r="G4" s="788" t="s">
        <v>6357</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6358</v>
      </c>
      <c r="B5" s="783" t="s">
        <v>6359</v>
      </c>
      <c r="C5" s="784" t="s">
        <v>6360</v>
      </c>
      <c r="D5" s="793" t="s">
        <v>6361</v>
      </c>
      <c r="E5" s="793" t="s">
        <v>6362</v>
      </c>
      <c r="F5" s="787" t="s">
        <v>6363</v>
      </c>
      <c r="G5" s="793"/>
      <c r="H5" s="794"/>
      <c r="I5" s="793" t="s">
        <v>6364</v>
      </c>
      <c r="J5" s="793"/>
      <c r="K5" s="793" t="s">
        <v>4872</v>
      </c>
      <c r="L5" s="793"/>
      <c r="M5" s="793"/>
      <c r="N5" s="793" t="s">
        <v>6365</v>
      </c>
      <c r="O5" s="793" t="str">
        <f>HYPERLINK("https://youtu.be/y9FQ4EcrohI", "1:21.52")</f>
        <v>1:21.52</v>
      </c>
      <c r="P5" s="791" t="s">
        <v>6366</v>
      </c>
      <c r="Q5" s="793"/>
      <c r="R5" s="793" t="s">
        <v>6360</v>
      </c>
      <c r="S5" s="793" t="s">
        <v>2575</v>
      </c>
      <c r="T5" s="793"/>
      <c r="U5" s="793"/>
      <c r="V5" s="793"/>
      <c r="W5" s="793"/>
      <c r="X5" s="793"/>
      <c r="Y5" s="793"/>
      <c r="Z5" s="793" t="s">
        <v>6367</v>
      </c>
      <c r="AA5" s="793"/>
      <c r="AB5" s="793"/>
      <c r="AC5" s="793"/>
      <c r="AD5" s="793" t="s">
        <v>6368</v>
      </c>
      <c r="AE5" s="793"/>
      <c r="AF5" s="793"/>
      <c r="AG5" s="793"/>
      <c r="AH5" s="793"/>
      <c r="AI5" s="793"/>
      <c r="AJ5" s="793"/>
      <c r="AK5" s="793"/>
      <c r="AL5" s="793"/>
      <c r="AM5" s="793"/>
      <c r="AN5" s="793" t="s">
        <v>5981</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6369</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6370</v>
      </c>
      <c r="Q6" s="790" t="s">
        <v>100</v>
      </c>
      <c r="R6" s="790"/>
      <c r="S6" s="790"/>
      <c r="T6" s="790"/>
      <c r="U6" s="790"/>
      <c r="V6" s="790"/>
      <c r="W6" s="790"/>
      <c r="X6" s="790"/>
      <c r="Y6" s="790"/>
      <c r="Z6" s="790"/>
      <c r="AA6" s="788" t="s">
        <v>6371</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6372</v>
      </c>
      <c r="B7" s="801" t="s">
        <v>6356</v>
      </c>
      <c r="C7" s="784" t="s">
        <v>6373</v>
      </c>
      <c r="D7" s="793" t="s">
        <v>3080</v>
      </c>
      <c r="E7" s="793" t="s">
        <v>6373</v>
      </c>
      <c r="F7" s="802"/>
      <c r="G7" s="793"/>
      <c r="H7" s="803" t="s">
        <v>1155</v>
      </c>
      <c r="I7" s="793" t="s">
        <v>1283</v>
      </c>
      <c r="J7" s="793"/>
      <c r="K7" s="793"/>
      <c r="L7" s="793" t="s">
        <v>1141</v>
      </c>
      <c r="M7" s="793" t="s">
        <v>1141</v>
      </c>
      <c r="N7" s="793" t="s">
        <v>6374</v>
      </c>
      <c r="O7" s="793"/>
      <c r="P7" s="791"/>
      <c r="Q7" s="793" t="s">
        <v>925</v>
      </c>
      <c r="R7" s="793" t="s">
        <v>3791</v>
      </c>
      <c r="S7" s="793" t="s">
        <v>6375</v>
      </c>
      <c r="T7" s="793" t="s">
        <v>6376</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6377</v>
      </c>
      <c r="B8" s="801" t="s">
        <v>6359</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6378</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6369</v>
      </c>
      <c r="C9" s="784" t="s">
        <v>6379</v>
      </c>
      <c r="D9" s="790"/>
      <c r="E9" s="788" t="s">
        <v>1241</v>
      </c>
      <c r="F9" s="787" t="s">
        <v>2072</v>
      </c>
      <c r="G9" s="790"/>
      <c r="H9" s="805" t="s">
        <v>964</v>
      </c>
      <c r="I9" s="790"/>
      <c r="J9" s="790"/>
      <c r="K9" s="790"/>
      <c r="L9" s="790"/>
      <c r="M9" s="790"/>
      <c r="N9" s="790"/>
      <c r="O9" s="788" t="s">
        <v>6379</v>
      </c>
      <c r="P9" s="791"/>
      <c r="Q9" s="790"/>
      <c r="R9" s="790"/>
      <c r="S9" s="790"/>
      <c r="T9" s="790"/>
      <c r="U9" s="790"/>
      <c r="V9" s="790"/>
      <c r="W9" s="790"/>
      <c r="X9" s="788" t="s">
        <v>6380</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6381</v>
      </c>
      <c r="B10" s="783" t="s">
        <v>6382</v>
      </c>
      <c r="C10" s="784" t="s">
        <v>2823</v>
      </c>
      <c r="D10" s="793" t="s">
        <v>1704</v>
      </c>
      <c r="E10" s="793" t="s">
        <v>2823</v>
      </c>
      <c r="F10" s="787" t="s">
        <v>6383</v>
      </c>
      <c r="G10" s="793"/>
      <c r="H10" s="789"/>
      <c r="I10" s="793" t="s">
        <v>6384</v>
      </c>
      <c r="J10" s="793"/>
      <c r="K10" s="793" t="s">
        <v>4079</v>
      </c>
      <c r="L10" s="793"/>
      <c r="M10" s="793" t="s">
        <v>3099</v>
      </c>
      <c r="N10" s="793" t="s">
        <v>6385</v>
      </c>
      <c r="O10" s="793"/>
      <c r="P10" s="791" t="s">
        <v>3306</v>
      </c>
      <c r="Q10" s="793" t="s">
        <v>3099</v>
      </c>
      <c r="R10" s="793"/>
      <c r="S10" s="793" t="s">
        <v>4291</v>
      </c>
      <c r="T10" s="793"/>
      <c r="U10" s="793" t="s">
        <v>2717</v>
      </c>
      <c r="V10" s="793"/>
      <c r="W10" s="793"/>
      <c r="X10" s="793"/>
      <c r="Y10" s="793"/>
      <c r="Z10" s="793" t="s">
        <v>6386</v>
      </c>
      <c r="AA10" s="793" t="s">
        <v>648</v>
      </c>
      <c r="AB10" s="793"/>
      <c r="AC10" s="793"/>
      <c r="AD10" s="793"/>
      <c r="AE10" s="793"/>
      <c r="AF10" s="793"/>
      <c r="AG10" s="793"/>
      <c r="AH10" s="793"/>
      <c r="AI10" s="793"/>
      <c r="AJ10" s="793"/>
      <c r="AK10" s="793"/>
      <c r="AL10" s="793" t="s">
        <v>1954</v>
      </c>
      <c r="AM10" s="793"/>
      <c r="AN10" s="793" t="s">
        <v>5924</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6387</v>
      </c>
      <c r="C11" s="784" t="s">
        <v>4240</v>
      </c>
      <c r="D11" s="798" t="s">
        <v>1557</v>
      </c>
      <c r="E11" s="788" t="s">
        <v>337</v>
      </c>
      <c r="F11" s="787" t="s">
        <v>1327</v>
      </c>
      <c r="G11" s="788" t="s">
        <v>4240</v>
      </c>
      <c r="H11" s="803" t="s">
        <v>3099</v>
      </c>
      <c r="I11" s="790" t="s">
        <v>6388</v>
      </c>
      <c r="J11" s="788" t="s">
        <v>722</v>
      </c>
      <c r="K11" s="790"/>
      <c r="L11" s="790" t="s">
        <v>2336</v>
      </c>
      <c r="M11" s="788" t="s">
        <v>2098</v>
      </c>
      <c r="N11" s="790" t="s">
        <v>6389</v>
      </c>
      <c r="O11" s="788" t="s">
        <v>6390</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6372</v>
      </c>
      <c r="B12" s="807" t="s">
        <v>6382</v>
      </c>
      <c r="C12" s="784" t="s">
        <v>5989</v>
      </c>
      <c r="D12" s="793" t="s">
        <v>1268</v>
      </c>
      <c r="E12" s="793" t="s">
        <v>5989</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6178</v>
      </c>
      <c r="AA12" s="793"/>
      <c r="AB12" s="793"/>
      <c r="AC12" s="793"/>
      <c r="AD12" s="793" t="s">
        <v>657</v>
      </c>
      <c r="AE12" s="793" t="s">
        <v>6391</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6387</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6377</v>
      </c>
      <c r="B14" s="809" t="s">
        <v>6392</v>
      </c>
      <c r="C14" s="784" t="s">
        <v>6393</v>
      </c>
      <c r="D14" s="793" t="s">
        <v>5422</v>
      </c>
      <c r="E14" s="793"/>
      <c r="F14" s="802"/>
      <c r="G14" s="793"/>
      <c r="H14" s="810" t="s">
        <v>4849</v>
      </c>
      <c r="I14" s="793"/>
      <c r="J14" s="793"/>
      <c r="K14" s="793"/>
      <c r="L14" s="793"/>
      <c r="M14" s="793" t="s">
        <v>6393</v>
      </c>
      <c r="N14" s="793"/>
      <c r="O14" s="793"/>
      <c r="P14" s="791"/>
      <c r="Q14" s="793"/>
      <c r="R14" s="793"/>
      <c r="S14" s="793" t="s">
        <v>6394</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6395</v>
      </c>
      <c r="C15" s="784" t="s">
        <v>6396</v>
      </c>
      <c r="D15" s="790" t="s">
        <v>6397</v>
      </c>
      <c r="E15" s="788" t="s">
        <v>1098</v>
      </c>
      <c r="F15" s="787" t="s">
        <v>2209</v>
      </c>
      <c r="G15" s="790" t="s">
        <v>6398</v>
      </c>
      <c r="H15" s="794"/>
      <c r="I15" s="790"/>
      <c r="J15" s="788" t="s">
        <v>6399</v>
      </c>
      <c r="K15" s="790"/>
      <c r="L15" s="790" t="s">
        <v>6399</v>
      </c>
      <c r="M15" s="790"/>
      <c r="N15" s="790"/>
      <c r="O15" s="788" t="s">
        <v>1842</v>
      </c>
      <c r="P15" s="791" t="s">
        <v>6400</v>
      </c>
      <c r="Q15" s="790" t="s">
        <v>6401</v>
      </c>
      <c r="R15" s="790"/>
      <c r="S15" s="790"/>
      <c r="T15" s="790" t="s">
        <v>6393</v>
      </c>
      <c r="U15" s="790"/>
      <c r="V15" s="790" t="s">
        <v>6399</v>
      </c>
      <c r="W15" s="790"/>
      <c r="X15" s="788" t="s">
        <v>1842</v>
      </c>
      <c r="Y15" s="790"/>
      <c r="Z15" s="790"/>
      <c r="AA15" s="790"/>
      <c r="AB15" s="790"/>
      <c r="AC15" s="790"/>
      <c r="AD15" s="790"/>
      <c r="AE15" s="790"/>
      <c r="AF15" s="788" t="s">
        <v>6396</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6402</v>
      </c>
      <c r="B16" s="801" t="s">
        <v>6403</v>
      </c>
      <c r="C16" s="784" t="s">
        <v>2428</v>
      </c>
      <c r="D16" s="811" t="s">
        <v>1265</v>
      </c>
      <c r="E16" s="793" t="s">
        <v>2428</v>
      </c>
      <c r="F16" s="802"/>
      <c r="G16" s="793"/>
      <c r="H16" s="789"/>
      <c r="I16" s="793" t="str">
        <f>HYPERLINK("https://youtu.be/t-1yqXLdZMA","38.05")</f>
        <v>38.05</v>
      </c>
      <c r="J16" s="793" t="s">
        <v>6404</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6405</v>
      </c>
      <c r="B17" s="801" t="s">
        <v>6403</v>
      </c>
      <c r="C17" s="812"/>
      <c r="D17" s="813" t="s">
        <v>6406</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6407</v>
      </c>
      <c r="B18" s="783" t="s">
        <v>6408</v>
      </c>
      <c r="C18" s="784" t="s">
        <v>1779</v>
      </c>
      <c r="D18" s="793" t="s">
        <v>4638</v>
      </c>
      <c r="E18" s="793" t="s">
        <v>1174</v>
      </c>
      <c r="F18" s="787" t="s">
        <v>4437</v>
      </c>
      <c r="G18" s="793"/>
      <c r="H18" s="794"/>
      <c r="I18" s="793" t="s">
        <v>4193</v>
      </c>
      <c r="J18" s="793"/>
      <c r="K18" s="793" t="s">
        <v>6409</v>
      </c>
      <c r="L18" s="793"/>
      <c r="M18" s="793" t="s">
        <v>6410</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6411</v>
      </c>
      <c r="C19" s="784" t="s">
        <v>2859</v>
      </c>
      <c r="D19" s="793"/>
      <c r="E19" s="793" t="s">
        <v>968</v>
      </c>
      <c r="F19" s="802"/>
      <c r="G19" s="793"/>
      <c r="H19" s="789"/>
      <c r="I19" s="793"/>
      <c r="J19" s="793"/>
      <c r="K19" s="793" t="s">
        <v>6412</v>
      </c>
      <c r="L19" s="793"/>
      <c r="M19" s="793"/>
      <c r="N19" s="793"/>
      <c r="O19" s="793"/>
      <c r="P19" s="791"/>
      <c r="Q19" s="793" t="s">
        <v>6413</v>
      </c>
      <c r="R19" s="793" t="s">
        <v>6414</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6415</v>
      </c>
      <c r="C20" s="784" t="s">
        <v>6416</v>
      </c>
      <c r="D20" s="793" t="s">
        <v>1559</v>
      </c>
      <c r="E20" s="793" t="s">
        <v>6416</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6417</v>
      </c>
      <c r="B21" s="783" t="s">
        <v>6418</v>
      </c>
      <c r="C21" s="784" t="s">
        <v>6393</v>
      </c>
      <c r="D21" s="814"/>
      <c r="E21" s="814" t="s">
        <v>159</v>
      </c>
      <c r="F21" s="802" t="s">
        <v>4145</v>
      </c>
      <c r="G21" s="814"/>
      <c r="H21" s="789"/>
      <c r="I21" s="814"/>
      <c r="J21" s="814"/>
      <c r="K21" s="814"/>
      <c r="L21" s="814"/>
      <c r="M21" s="814"/>
      <c r="N21" s="814"/>
      <c r="O21" s="814"/>
      <c r="P21" s="815"/>
      <c r="Q21" s="814" t="s">
        <v>6419</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6420</v>
      </c>
      <c r="C22" s="784" t="s">
        <v>6421</v>
      </c>
      <c r="D22" s="793"/>
      <c r="E22" s="793" t="s">
        <v>3822</v>
      </c>
      <c r="F22" s="802"/>
      <c r="G22" s="793" t="s">
        <v>6422</v>
      </c>
      <c r="H22" s="805" t="s">
        <v>534</v>
      </c>
      <c r="I22" s="793"/>
      <c r="J22" s="793"/>
      <c r="K22" s="793"/>
      <c r="L22" s="793" t="s">
        <v>784</v>
      </c>
      <c r="M22" s="793"/>
      <c r="N22" s="793"/>
      <c r="O22" s="793"/>
      <c r="P22" s="791"/>
      <c r="Q22" s="793" t="s">
        <v>3111</v>
      </c>
      <c r="R22" s="793"/>
      <c r="S22" s="793"/>
      <c r="T22" s="793"/>
      <c r="U22" s="793"/>
      <c r="V22" s="793"/>
      <c r="W22" s="793"/>
      <c r="X22" s="793" t="s">
        <v>6423</v>
      </c>
      <c r="Y22" s="793"/>
      <c r="Z22" s="793"/>
      <c r="AA22" s="793"/>
      <c r="AB22" s="793"/>
      <c r="AC22" s="793"/>
      <c r="AD22" s="793"/>
      <c r="AE22" s="793"/>
      <c r="AF22" s="793" t="s">
        <v>6421</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6424</v>
      </c>
      <c r="B23" s="783" t="s">
        <v>6425</v>
      </c>
      <c r="C23" s="784" t="s">
        <v>251</v>
      </c>
      <c r="D23" s="793"/>
      <c r="E23" s="793" t="s">
        <v>251</v>
      </c>
      <c r="F23" s="802"/>
      <c r="G23" s="793"/>
      <c r="H23" s="789"/>
      <c r="I23" s="793"/>
      <c r="J23" s="793"/>
      <c r="K23" s="793"/>
      <c r="L23" s="793"/>
      <c r="M23" s="793"/>
      <c r="N23" s="793" t="s">
        <v>6426</v>
      </c>
      <c r="O23" s="793"/>
      <c r="P23" s="791"/>
      <c r="Q23" s="793" t="s">
        <v>6427</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6428</v>
      </c>
      <c r="C24" s="784" t="s">
        <v>6429</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6430</v>
      </c>
      <c r="C25" s="784" t="s">
        <v>2826</v>
      </c>
      <c r="D25" s="788" t="s">
        <v>1561</v>
      </c>
      <c r="E25" s="793" t="s">
        <v>6431</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6432</v>
      </c>
      <c r="C26" s="784" t="s">
        <v>6433</v>
      </c>
      <c r="D26" s="793"/>
      <c r="E26" s="793" t="s">
        <v>6433</v>
      </c>
      <c r="F26" s="787" t="s">
        <v>1331</v>
      </c>
      <c r="G26" s="793"/>
      <c r="H26" s="794"/>
      <c r="I26" s="793"/>
      <c r="J26" s="793" t="s">
        <v>6434</v>
      </c>
      <c r="K26" s="793" t="s">
        <v>6435</v>
      </c>
      <c r="L26" s="793"/>
      <c r="M26" s="793"/>
      <c r="N26" s="793"/>
      <c r="O26" s="793" t="s">
        <v>6436</v>
      </c>
      <c r="P26" s="791" t="s">
        <v>6437</v>
      </c>
      <c r="Q26" s="793" t="s">
        <v>6438</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6372</v>
      </c>
      <c r="B27" s="801" t="s">
        <v>6439</v>
      </c>
      <c r="C27" s="784" t="s">
        <v>5292</v>
      </c>
      <c r="D27" s="793" t="s">
        <v>478</v>
      </c>
      <c r="E27" s="793" t="s">
        <v>5292</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6440</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6441</v>
      </c>
      <c r="C28" s="784" t="s">
        <v>2784</v>
      </c>
      <c r="D28" s="793"/>
      <c r="E28" s="793" t="s">
        <v>2784</v>
      </c>
      <c r="F28" s="802"/>
      <c r="G28" s="793"/>
      <c r="H28" s="794"/>
      <c r="I28" s="793"/>
      <c r="J28" s="793"/>
      <c r="K28" s="793" t="s">
        <v>6442</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6443</v>
      </c>
      <c r="C29" s="784" t="s">
        <v>4231</v>
      </c>
      <c r="D29" s="793"/>
      <c r="E29" s="793" t="s">
        <v>1820</v>
      </c>
      <c r="F29" s="802"/>
      <c r="G29" s="793"/>
      <c r="H29" s="810" t="s">
        <v>6442</v>
      </c>
      <c r="I29" s="793" t="s">
        <v>4806</v>
      </c>
      <c r="J29" s="793" t="s">
        <v>770</v>
      </c>
      <c r="K29" s="793" t="s">
        <v>3394</v>
      </c>
      <c r="L29" s="793"/>
      <c r="M29" s="793" t="s">
        <v>1444</v>
      </c>
      <c r="N29" s="793" t="s">
        <v>6442</v>
      </c>
      <c r="O29" s="793"/>
      <c r="P29" s="791"/>
      <c r="Q29" s="793"/>
      <c r="R29" s="793"/>
      <c r="S29" s="793"/>
      <c r="T29" s="793"/>
      <c r="U29" s="793"/>
      <c r="V29" s="793"/>
      <c r="W29" s="793" t="s">
        <v>450</v>
      </c>
      <c r="X29" s="793"/>
      <c r="Y29" s="793"/>
      <c r="Z29" s="793" t="s">
        <v>6444</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6445</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6446</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6447</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6448</v>
      </c>
      <c r="C33" s="784" t="s">
        <v>2827</v>
      </c>
      <c r="D33" s="793"/>
      <c r="E33" s="793" t="s">
        <v>3394</v>
      </c>
      <c r="F33" s="802"/>
      <c r="G33" s="793"/>
      <c r="H33" s="789"/>
      <c r="I33" s="793"/>
      <c r="J33" s="793" t="s">
        <v>2827</v>
      </c>
      <c r="K33" s="793" t="s">
        <v>3810</v>
      </c>
      <c r="L33" s="793"/>
      <c r="M33" s="793" t="s">
        <v>4818</v>
      </c>
      <c r="N33" s="793"/>
      <c r="O33" s="793"/>
      <c r="P33" s="791"/>
      <c r="Q33" s="793" t="s">
        <v>6449</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6450</v>
      </c>
      <c r="C34" s="784" t="s">
        <v>4125</v>
      </c>
      <c r="D34" s="793"/>
      <c r="E34" s="793" t="s">
        <v>3786</v>
      </c>
      <c r="F34" s="802"/>
      <c r="G34" s="793"/>
      <c r="H34" s="794"/>
      <c r="I34" s="793"/>
      <c r="J34" s="793" t="s">
        <v>4125</v>
      </c>
      <c r="K34" s="793" t="s">
        <v>6451</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6452</v>
      </c>
      <c r="C35" s="784" t="s">
        <v>2304</v>
      </c>
      <c r="D35" s="793" t="s">
        <v>1562</v>
      </c>
      <c r="E35" s="793" t="s">
        <v>2827</v>
      </c>
      <c r="F35" s="802"/>
      <c r="G35" s="793"/>
      <c r="H35" s="810" t="s">
        <v>2766</v>
      </c>
      <c r="I35" s="793" t="s">
        <v>6453</v>
      </c>
      <c r="J35" s="793" t="s">
        <v>2304</v>
      </c>
      <c r="K35" s="793" t="s">
        <v>2259</v>
      </c>
      <c r="L35" s="793"/>
      <c r="M35" s="793" t="s">
        <v>6451</v>
      </c>
      <c r="N35" s="793"/>
      <c r="O35" s="793"/>
      <c r="P35" s="791"/>
      <c r="Q35" s="793" t="s">
        <v>1742</v>
      </c>
      <c r="R35" s="793"/>
      <c r="S35" s="793"/>
      <c r="T35" s="793"/>
      <c r="U35" s="793" t="s">
        <v>5769</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6454</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6377</v>
      </c>
      <c r="B37" s="801" t="s">
        <v>6455</v>
      </c>
      <c r="C37" s="784" t="s">
        <v>4284</v>
      </c>
      <c r="D37" s="793" t="s">
        <v>6456</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6457</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6458</v>
      </c>
      <c r="C38" s="784" t="s">
        <v>2532</v>
      </c>
      <c r="D38" s="793" t="s">
        <v>3259</v>
      </c>
      <c r="E38" s="793" t="s">
        <v>3518</v>
      </c>
      <c r="F38" s="787" t="s">
        <v>708</v>
      </c>
      <c r="G38" s="793" t="s">
        <v>6459</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6402</v>
      </c>
      <c r="B39" s="801" t="s">
        <v>6403</v>
      </c>
      <c r="C39" s="784" t="s">
        <v>4814</v>
      </c>
      <c r="D39" s="798" t="s">
        <v>644</v>
      </c>
      <c r="E39" s="793" t="s">
        <v>2839</v>
      </c>
      <c r="F39" s="802"/>
      <c r="G39" s="793"/>
      <c r="H39" s="789"/>
      <c r="I39" s="793" t="s">
        <v>1725</v>
      </c>
      <c r="J39" s="793"/>
      <c r="K39" s="793" t="s">
        <v>6460</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6461</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6462</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6463</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6405</v>
      </c>
      <c r="B43" s="801" t="s">
        <v>6403</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6464</v>
      </c>
      <c r="C44" s="812"/>
      <c r="D44" s="813" t="s">
        <v>6465</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6466</v>
      </c>
      <c r="B45" s="783" t="s">
        <v>6467</v>
      </c>
      <c r="C45" s="784" t="s">
        <v>999</v>
      </c>
      <c r="D45" s="793" t="s">
        <v>5172</v>
      </c>
      <c r="E45" s="793" t="s">
        <v>6468</v>
      </c>
      <c r="F45" s="802"/>
      <c r="G45" s="793" t="s">
        <v>5186</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6469</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6470</v>
      </c>
      <c r="B47" s="783" t="s">
        <v>6471</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6356</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6472</v>
      </c>
      <c r="B50" s="832" t="s">
        <v>6473</v>
      </c>
      <c r="C50" s="833" t="s">
        <v>1913</v>
      </c>
      <c r="D50" s="793"/>
      <c r="E50" s="793" t="s">
        <v>1478</v>
      </c>
      <c r="F50" s="787" t="s">
        <v>1872</v>
      </c>
      <c r="G50" s="793"/>
      <c r="H50" s="789"/>
      <c r="I50" s="793" t="s">
        <v>6016</v>
      </c>
      <c r="J50" s="793" t="s">
        <v>1913</v>
      </c>
      <c r="K50" s="793" t="s">
        <v>4586</v>
      </c>
      <c r="L50" s="793" t="s">
        <v>837</v>
      </c>
      <c r="M50" s="793" t="s">
        <v>751</v>
      </c>
      <c r="N50" s="793" t="s">
        <v>2906</v>
      </c>
      <c r="O50" s="793"/>
      <c r="P50" s="791" t="s">
        <v>3326</v>
      </c>
      <c r="Q50" s="793" t="s">
        <v>119</v>
      </c>
      <c r="R50" s="793" t="s">
        <v>6474</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6475</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5747</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6476</v>
      </c>
      <c r="C52" s="833">
        <v>52.89</v>
      </c>
      <c r="D52" s="839" t="s">
        <v>4600</v>
      </c>
      <c r="E52" s="840"/>
      <c r="F52" s="802"/>
      <c r="G52" s="840"/>
      <c r="H52" s="789"/>
      <c r="I52" s="840"/>
      <c r="J52" s="840"/>
      <c r="K52" s="840"/>
      <c r="L52" s="840"/>
      <c r="M52" s="840"/>
      <c r="N52" s="841" t="s">
        <v>6477</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6478</v>
      </c>
      <c r="C53" s="833" t="s">
        <v>238</v>
      </c>
      <c r="D53" s="793" t="s">
        <v>491</v>
      </c>
      <c r="E53" s="839" t="s">
        <v>350</v>
      </c>
      <c r="F53" s="787" t="s">
        <v>1337</v>
      </c>
      <c r="G53" s="787" t="s">
        <v>366</v>
      </c>
      <c r="H53" s="842" t="s">
        <v>3102</v>
      </c>
      <c r="I53" s="839"/>
      <c r="J53" s="839"/>
      <c r="K53" s="839"/>
      <c r="L53" s="839"/>
      <c r="M53" s="839"/>
      <c r="N53" s="839"/>
      <c r="O53" s="839" t="s">
        <v>6479</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6377</v>
      </c>
      <c r="B54" s="844" t="s">
        <v>6473</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6475</v>
      </c>
      <c r="C55" s="833" t="s">
        <v>128</v>
      </c>
      <c r="D55" s="839"/>
      <c r="E55" s="839" t="s">
        <v>6480</v>
      </c>
      <c r="F55" s="802"/>
      <c r="G55" s="839" t="s">
        <v>128</v>
      </c>
      <c r="H55" s="838"/>
      <c r="I55" s="839"/>
      <c r="J55" s="839"/>
      <c r="K55" s="839"/>
      <c r="L55" s="839"/>
      <c r="M55" s="839"/>
      <c r="N55" s="839"/>
      <c r="O55" s="839"/>
      <c r="P55" s="791" t="s">
        <v>6481</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6476</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6478</v>
      </c>
      <c r="C57" s="833" t="s">
        <v>415</v>
      </c>
      <c r="D57" s="839"/>
      <c r="E57" s="839" t="s">
        <v>135</v>
      </c>
      <c r="F57" s="787" t="s">
        <v>6482</v>
      </c>
      <c r="G57" s="787" t="s">
        <v>618</v>
      </c>
      <c r="H57" s="842" t="s">
        <v>3257</v>
      </c>
      <c r="I57" s="839"/>
      <c r="J57" s="839"/>
      <c r="K57" s="839"/>
      <c r="L57" s="839"/>
      <c r="M57" s="839"/>
      <c r="N57" s="839"/>
      <c r="O57" s="787" t="s">
        <v>3867</v>
      </c>
      <c r="P57" s="791" t="s">
        <v>6483</v>
      </c>
      <c r="Q57" s="839" t="s">
        <v>6413</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6372</v>
      </c>
      <c r="B58" s="846" t="s">
        <v>6356</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6358</v>
      </c>
      <c r="B59" s="832" t="s">
        <v>6356</v>
      </c>
      <c r="C59" s="833" t="s">
        <v>2016</v>
      </c>
      <c r="D59" s="823" t="s">
        <v>6484</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6372</v>
      </c>
      <c r="B60" s="844" t="s">
        <v>6485</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6486</v>
      </c>
      <c r="AB60" s="823"/>
      <c r="AC60" s="823"/>
      <c r="AD60" s="823"/>
      <c r="AE60" s="823"/>
      <c r="AF60" s="823"/>
      <c r="AG60" s="823"/>
      <c r="AH60" s="823"/>
      <c r="AI60" s="823"/>
      <c r="AJ60" s="823"/>
      <c r="AK60" s="823"/>
      <c r="AL60" s="823"/>
      <c r="AM60" s="823"/>
      <c r="AN60" s="823"/>
      <c r="AO60" s="823"/>
      <c r="AP60" s="786" t="s">
        <v>6487</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6488</v>
      </c>
      <c r="C61" s="833" t="s">
        <v>204</v>
      </c>
      <c r="D61" s="791" t="s">
        <v>6413</v>
      </c>
      <c r="E61" s="791"/>
      <c r="F61" s="802"/>
      <c r="G61" s="820" t="s">
        <v>204</v>
      </c>
      <c r="H61" s="842" t="s">
        <v>2362</v>
      </c>
      <c r="I61" s="791"/>
      <c r="J61" s="791"/>
      <c r="K61" s="791"/>
      <c r="L61" s="791"/>
      <c r="M61" s="791"/>
      <c r="N61" s="791"/>
      <c r="O61" s="791"/>
      <c r="P61" s="791"/>
      <c r="Q61" s="791"/>
      <c r="R61" s="788" t="s">
        <v>6489</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6377</v>
      </c>
      <c r="B62" s="844" t="s">
        <v>6485</v>
      </c>
      <c r="C62" s="833" t="s">
        <v>6101</v>
      </c>
      <c r="D62" s="791" t="s">
        <v>4201</v>
      </c>
      <c r="E62" s="791"/>
      <c r="F62" s="802"/>
      <c r="G62" s="791"/>
      <c r="H62" s="789"/>
      <c r="I62" s="791"/>
      <c r="J62" s="820" t="s">
        <v>6101</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6488</v>
      </c>
      <c r="C63" s="833" t="s">
        <v>2316</v>
      </c>
      <c r="D63" s="793" t="s">
        <v>2343</v>
      </c>
      <c r="E63" s="793" t="s">
        <v>3428</v>
      </c>
      <c r="F63" s="802"/>
      <c r="G63" s="793" t="s">
        <v>569</v>
      </c>
      <c r="H63" s="842" t="s">
        <v>2045</v>
      </c>
      <c r="I63" s="793"/>
      <c r="J63" s="793" t="s">
        <v>6490</v>
      </c>
      <c r="K63" s="793"/>
      <c r="L63" s="793"/>
      <c r="M63" s="793" t="s">
        <v>3428</v>
      </c>
      <c r="N63" s="793"/>
      <c r="O63" s="793"/>
      <c r="P63" s="791"/>
      <c r="Q63" s="793"/>
      <c r="R63" s="793"/>
      <c r="S63" s="793"/>
      <c r="T63" s="793" t="s">
        <v>2837</v>
      </c>
      <c r="U63" s="793"/>
      <c r="V63" s="793" t="s">
        <v>3155</v>
      </c>
      <c r="W63" s="793" t="s">
        <v>5047</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6491</v>
      </c>
      <c r="B64" s="832" t="s">
        <v>6492</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6493</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6494</v>
      </c>
      <c r="C66" s="833" t="s">
        <v>657</v>
      </c>
      <c r="D66" s="793" t="s">
        <v>1339</v>
      </c>
      <c r="E66" s="823" t="s">
        <v>838</v>
      </c>
      <c r="F66" s="787" t="s">
        <v>1339</v>
      </c>
      <c r="G66" s="823" t="s">
        <v>1208</v>
      </c>
      <c r="H66" s="789"/>
      <c r="I66" s="823" t="s">
        <v>1427</v>
      </c>
      <c r="J66" s="823" t="s">
        <v>4296</v>
      </c>
      <c r="K66" s="823" t="s">
        <v>2876</v>
      </c>
      <c r="L66" s="823" t="s">
        <v>6495</v>
      </c>
      <c r="M66" s="823" t="s">
        <v>5746</v>
      </c>
      <c r="N66" s="823" t="s">
        <v>358</v>
      </c>
      <c r="O66" s="823" t="s">
        <v>6496</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6497</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6498</v>
      </c>
      <c r="B67" s="832" t="s">
        <v>6499</v>
      </c>
      <c r="C67" s="833" t="s">
        <v>2151</v>
      </c>
      <c r="D67" s="793"/>
      <c r="E67" s="793" t="s">
        <v>2151</v>
      </c>
      <c r="F67" s="787" t="s">
        <v>6280</v>
      </c>
      <c r="G67" s="793"/>
      <c r="H67" s="838"/>
      <c r="I67" s="793" t="s">
        <v>6500</v>
      </c>
      <c r="J67" s="793"/>
      <c r="K67" s="793" t="s">
        <v>6501</v>
      </c>
      <c r="L67" s="793"/>
      <c r="M67" s="793"/>
      <c r="N67" s="793" t="s">
        <v>6502</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6503</v>
      </c>
      <c r="C68" s="833" t="s">
        <v>353</v>
      </c>
      <c r="D68" s="793" t="s">
        <v>1477</v>
      </c>
      <c r="E68" s="793" t="s">
        <v>353</v>
      </c>
      <c r="F68" s="787" t="s">
        <v>1340</v>
      </c>
      <c r="G68" s="793" t="s">
        <v>1537</v>
      </c>
      <c r="H68" s="810" t="s">
        <v>1340</v>
      </c>
      <c r="I68" s="793" t="s">
        <v>1428</v>
      </c>
      <c r="J68" s="793" t="s">
        <v>4867</v>
      </c>
      <c r="K68" s="793" t="s">
        <v>6504</v>
      </c>
      <c r="L68" s="793" t="s">
        <v>839</v>
      </c>
      <c r="M68" s="793" t="s">
        <v>753</v>
      </c>
      <c r="N68" s="793" t="s">
        <v>1269</v>
      </c>
      <c r="O68" s="793" t="s">
        <v>2313</v>
      </c>
      <c r="P68" s="791" t="s">
        <v>3814</v>
      </c>
      <c r="Q68" s="793" t="s">
        <v>6505</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6372</v>
      </c>
      <c r="B69" s="844" t="s">
        <v>6506</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6507</v>
      </c>
      <c r="C70" s="833" t="s">
        <v>5919</v>
      </c>
      <c r="D70" s="793" t="s">
        <v>1568</v>
      </c>
      <c r="E70" s="793" t="s">
        <v>754</v>
      </c>
      <c r="F70" s="787" t="s">
        <v>1341</v>
      </c>
      <c r="G70" s="793" t="s">
        <v>5919</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6508</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6509</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6377</v>
      </c>
      <c r="B71" s="844" t="s">
        <v>6499</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6510</v>
      </c>
      <c r="C72" s="833" t="s">
        <v>2723</v>
      </c>
      <c r="D72" s="793" t="s">
        <v>2528</v>
      </c>
      <c r="E72" s="793" t="s">
        <v>2426</v>
      </c>
      <c r="F72" s="787" t="s">
        <v>6511</v>
      </c>
      <c r="G72" s="793"/>
      <c r="H72" s="810" t="s">
        <v>4082</v>
      </c>
      <c r="I72" s="793"/>
      <c r="J72" s="793"/>
      <c r="K72" s="793"/>
      <c r="L72" s="793"/>
      <c r="M72" s="793" t="s">
        <v>6512</v>
      </c>
      <c r="N72" s="793"/>
      <c r="O72" s="793"/>
      <c r="P72" s="791" t="s">
        <v>6513</v>
      </c>
      <c r="Q72" s="793"/>
      <c r="R72" s="793"/>
      <c r="S72" s="793" t="s">
        <v>3852</v>
      </c>
      <c r="T72" s="793"/>
      <c r="U72" s="793"/>
      <c r="V72" s="793" t="s">
        <v>6513</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6514</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6402</v>
      </c>
      <c r="B74" s="844" t="s">
        <v>6403</v>
      </c>
      <c r="C74" s="833" t="s">
        <v>6515</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6405</v>
      </c>
      <c r="B75" s="844" t="s">
        <v>6403</v>
      </c>
      <c r="C75" s="854"/>
      <c r="D75" s="813" t="s">
        <v>6516</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6417</v>
      </c>
      <c r="B76" s="832" t="s">
        <v>6517</v>
      </c>
      <c r="C76" s="833" t="s">
        <v>2208</v>
      </c>
      <c r="D76" s="793"/>
      <c r="E76" s="793" t="s">
        <v>2208</v>
      </c>
      <c r="F76" s="787" t="s">
        <v>6518</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6519</v>
      </c>
      <c r="C77" s="833" t="s">
        <v>2547</v>
      </c>
      <c r="D77" s="793" t="s">
        <v>3504</v>
      </c>
      <c r="E77" s="793" t="s">
        <v>2547</v>
      </c>
      <c r="F77" s="802"/>
      <c r="G77" s="793"/>
      <c r="H77" s="789"/>
      <c r="I77" s="793"/>
      <c r="J77" s="793"/>
      <c r="K77" s="793" t="s">
        <v>6520</v>
      </c>
      <c r="L77" s="793" t="s">
        <v>5111</v>
      </c>
      <c r="M77" s="793"/>
      <c r="N77" s="793" t="str">
        <f>HYPERLINK("https://youtu.be/HUwmtKe7cOY","56.54")</f>
        <v>56.54</v>
      </c>
      <c r="O77" s="793"/>
      <c r="P77" s="791" t="s">
        <v>3657</v>
      </c>
      <c r="Q77" s="793"/>
      <c r="R77" s="793"/>
      <c r="S77" s="793"/>
      <c r="T77" s="793"/>
      <c r="U77" s="793" t="s">
        <v>2267</v>
      </c>
      <c r="V77" s="793"/>
      <c r="W77" s="793"/>
      <c r="X77" s="793"/>
      <c r="Y77" s="793"/>
      <c r="Z77" s="793"/>
      <c r="AA77" s="793" t="s">
        <v>6521</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6522</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6523</v>
      </c>
      <c r="B79" s="832" t="s">
        <v>6524</v>
      </c>
      <c r="C79" s="833" t="s">
        <v>3358</v>
      </c>
      <c r="D79" s="793"/>
      <c r="E79" s="793" t="s">
        <v>6525</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6526</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6527</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6528</v>
      </c>
      <c r="C81" s="833" t="s">
        <v>6257</v>
      </c>
      <c r="D81" s="839"/>
      <c r="E81" s="839" t="s">
        <v>6529</v>
      </c>
      <c r="F81" s="787" t="s">
        <v>1344</v>
      </c>
      <c r="G81" s="839" t="s">
        <v>1078</v>
      </c>
      <c r="H81" s="789"/>
      <c r="I81" s="839" t="s">
        <v>2879</v>
      </c>
      <c r="J81" s="839"/>
      <c r="K81" s="839" t="s">
        <v>6530</v>
      </c>
      <c r="L81" s="839" t="s">
        <v>757</v>
      </c>
      <c r="M81" s="839" t="s">
        <v>757</v>
      </c>
      <c r="N81" s="839" t="s">
        <v>6257</v>
      </c>
      <c r="O81" s="839" t="s">
        <v>661</v>
      </c>
      <c r="P81" s="791" t="s">
        <v>6531</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6532</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6533</v>
      </c>
      <c r="B82" s="846" t="s">
        <v>6356</v>
      </c>
      <c r="C82" s="856" t="s">
        <v>6534</v>
      </c>
      <c r="D82" s="788" t="s">
        <v>6534</v>
      </c>
      <c r="E82" s="839"/>
      <c r="F82" s="802"/>
      <c r="G82" s="839" t="s">
        <v>4815</v>
      </c>
      <c r="H82" s="842" t="s">
        <v>6535</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6536</v>
      </c>
      <c r="B83" s="846" t="s">
        <v>6356</v>
      </c>
      <c r="C83" s="856" t="s">
        <v>6537</v>
      </c>
      <c r="D83" s="788" t="s">
        <v>6537</v>
      </c>
      <c r="E83" s="839"/>
      <c r="F83" s="802"/>
      <c r="G83" s="839"/>
      <c r="H83" s="810" t="s">
        <v>6538</v>
      </c>
      <c r="I83" s="839"/>
      <c r="J83" s="839"/>
      <c r="K83" s="839"/>
      <c r="L83" s="839"/>
      <c r="M83" s="839"/>
      <c r="N83" s="839"/>
      <c r="O83" s="839"/>
      <c r="P83" s="791"/>
      <c r="Q83" s="839"/>
      <c r="R83" s="839"/>
      <c r="S83" s="839"/>
      <c r="T83" s="839"/>
      <c r="U83" s="839"/>
      <c r="V83" s="839"/>
      <c r="W83" s="839"/>
      <c r="X83" s="839"/>
      <c r="Y83" s="839"/>
      <c r="Z83" s="839"/>
      <c r="AA83" s="788" t="s">
        <v>6539</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6466</v>
      </c>
      <c r="B84" s="832" t="s">
        <v>6467</v>
      </c>
      <c r="C84" s="833" t="s">
        <v>5245</v>
      </c>
      <c r="D84" s="793" t="s">
        <v>6540</v>
      </c>
      <c r="E84" s="793" t="s">
        <v>5245</v>
      </c>
      <c r="F84" s="802"/>
      <c r="G84" s="793" t="s">
        <v>5245</v>
      </c>
      <c r="H84" s="838"/>
      <c r="I84" s="793" t="s">
        <v>5021</v>
      </c>
      <c r="J84" s="793"/>
      <c r="K84" s="793" t="s">
        <v>4668</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6541</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6542</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6543</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6544</v>
      </c>
      <c r="C87" s="833" t="s">
        <v>1079</v>
      </c>
      <c r="D87" s="793" t="s">
        <v>1571</v>
      </c>
      <c r="E87" s="788" t="s">
        <v>358</v>
      </c>
      <c r="F87" s="787" t="s">
        <v>1345</v>
      </c>
      <c r="G87" s="788" t="s">
        <v>1079</v>
      </c>
      <c r="H87" s="789"/>
      <c r="I87" s="790"/>
      <c r="J87" s="788" t="s">
        <v>6545</v>
      </c>
      <c r="K87" s="790"/>
      <c r="L87" s="790" t="s">
        <v>122</v>
      </c>
      <c r="M87" s="788" t="s">
        <v>5857</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6546</v>
      </c>
      <c r="C88" s="833" t="s">
        <v>2470</v>
      </c>
      <c r="D88" s="793" t="s">
        <v>2470</v>
      </c>
      <c r="E88" s="793"/>
      <c r="F88" s="802"/>
      <c r="G88" s="790" t="s">
        <v>6547</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6470</v>
      </c>
      <c r="B89" s="832" t="s">
        <v>6548</v>
      </c>
      <c r="C89" s="833" t="s">
        <v>359</v>
      </c>
      <c r="D89" s="798" t="s">
        <v>1572</v>
      </c>
      <c r="E89" s="793" t="s">
        <v>1667</v>
      </c>
      <c r="F89" s="787" t="s">
        <v>4925</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6356</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4189</v>
      </c>
      <c r="D92" s="798" t="s">
        <v>1575</v>
      </c>
      <c r="E92" s="866" t="s">
        <v>2378</v>
      </c>
      <c r="F92" s="787" t="s">
        <v>5827</v>
      </c>
      <c r="G92" s="866"/>
      <c r="H92" s="789"/>
      <c r="I92" s="866" t="str">
        <f>HYPERLINK("https://youtu.be/ycBfir2aflI","41.70")</f>
        <v>41.70</v>
      </c>
      <c r="J92" s="866" t="s">
        <v>6388</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8" t="s">
        <v>1576</v>
      </c>
      <c r="E93" s="872"/>
      <c r="F93" s="787" t="s">
        <v>6480</v>
      </c>
      <c r="G93" s="872"/>
      <c r="H93" s="873"/>
      <c r="I93" s="872" t="s">
        <v>3210</v>
      </c>
      <c r="J93" s="872" t="s">
        <v>4139</v>
      </c>
      <c r="K93" s="872" t="s">
        <v>1234</v>
      </c>
      <c r="L93" s="872" t="s">
        <v>846</v>
      </c>
      <c r="M93" s="872" t="s">
        <v>761</v>
      </c>
      <c r="N93" s="872" t="s">
        <v>3574</v>
      </c>
      <c r="O93" s="872" t="s">
        <v>1614</v>
      </c>
      <c r="P93" s="874" t="s">
        <v>2739</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6377</v>
      </c>
      <c r="B94" s="875"/>
      <c r="C94" s="865" t="s">
        <v>3232</v>
      </c>
      <c r="D94" s="876" t="s">
        <v>4554</v>
      </c>
      <c r="E94" s="872"/>
      <c r="F94" s="787" t="s">
        <v>5869</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6402</v>
      </c>
      <c r="B95" s="871" t="s">
        <v>6403</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5791</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6405</v>
      </c>
      <c r="B96" s="871" t="s">
        <v>6403</v>
      </c>
      <c r="C96" s="865"/>
      <c r="D96" s="811" t="s">
        <v>6550</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6551</v>
      </c>
      <c r="B97" s="877" t="s">
        <v>6552</v>
      </c>
      <c r="C97" s="865" t="s">
        <v>1512</v>
      </c>
      <c r="D97" s="811" t="s">
        <v>6553</v>
      </c>
      <c r="E97" s="872"/>
      <c r="F97" s="787" t="s">
        <v>1350</v>
      </c>
      <c r="G97" s="872"/>
      <c r="H97" s="789"/>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8" t="s">
        <v>1577</v>
      </c>
      <c r="E98" s="872"/>
      <c r="F98" s="802"/>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6491</v>
      </c>
      <c r="B99" s="877" t="s">
        <v>6558</v>
      </c>
      <c r="C99" s="865" t="s">
        <v>5574</v>
      </c>
      <c r="D99" s="811" t="s">
        <v>6559</v>
      </c>
      <c r="E99" s="872"/>
      <c r="F99" s="787" t="s">
        <v>608</v>
      </c>
      <c r="G99" s="872"/>
      <c r="H99" s="789"/>
      <c r="I99" s="872"/>
      <c r="J99" s="872" t="s">
        <v>6560</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3571</v>
      </c>
      <c r="E100" s="872"/>
      <c r="F100" s="787" t="s">
        <v>131</v>
      </c>
      <c r="G100" s="872"/>
      <c r="H100" s="873"/>
      <c r="I100" s="872" t="s">
        <v>6564</v>
      </c>
      <c r="J100" s="872" t="s">
        <v>6565</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6372</v>
      </c>
      <c r="B101" s="871" t="s">
        <v>6562</v>
      </c>
      <c r="C101" s="784" t="s">
        <v>2116</v>
      </c>
      <c r="D101" s="798" t="s">
        <v>6489</v>
      </c>
      <c r="E101" s="866" t="s">
        <v>367</v>
      </c>
      <c r="F101" s="787" t="s">
        <v>6566</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6567</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6552</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6568</v>
      </c>
      <c r="B103" s="882" t="s">
        <v>6356</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6403</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8" t="s">
        <v>1580</v>
      </c>
      <c r="E105" s="872"/>
      <c r="F105" s="787" t="s">
        <v>1353</v>
      </c>
      <c r="G105" s="872"/>
      <c r="H105" s="789"/>
      <c r="I105" s="872" t="s">
        <v>6570</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6466</v>
      </c>
      <c r="B106" s="877" t="s">
        <v>6467</v>
      </c>
      <c r="C106" s="865" t="s">
        <v>1059</v>
      </c>
      <c r="D106" s="866" t="s">
        <v>1549</v>
      </c>
      <c r="E106" s="866" t="s">
        <v>5869</v>
      </c>
      <c r="F106" s="802"/>
      <c r="G106" s="866" t="s">
        <v>5869</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5869</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6469</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6470</v>
      </c>
      <c r="B108" s="877" t="s">
        <v>6571</v>
      </c>
      <c r="C108" s="865" t="s">
        <v>2195</v>
      </c>
      <c r="D108" s="872"/>
      <c r="E108" s="872"/>
      <c r="F108" s="787" t="s">
        <v>4224</v>
      </c>
      <c r="G108" s="872"/>
      <c r="H108" s="873"/>
      <c r="I108" s="872"/>
      <c r="J108" s="872"/>
      <c r="K108" s="872" t="s">
        <v>3900</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5984</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6572</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6573</v>
      </c>
      <c r="C110" s="865" t="s">
        <v>6574</v>
      </c>
      <c r="D110" s="793" t="s">
        <v>1581</v>
      </c>
      <c r="E110" s="866" t="s">
        <v>6574</v>
      </c>
      <c r="F110" s="802"/>
      <c r="G110" s="866"/>
      <c r="H110" s="799" t="s">
        <v>1974</v>
      </c>
      <c r="I110" s="866" t="s">
        <v>257</v>
      </c>
      <c r="J110" s="866" t="s">
        <v>4946</v>
      </c>
      <c r="K110" s="866" t="s">
        <v>934</v>
      </c>
      <c r="L110" s="866"/>
      <c r="M110" s="866" t="s">
        <v>768</v>
      </c>
      <c r="N110" s="866"/>
      <c r="O110" s="866" t="s">
        <v>2245</v>
      </c>
      <c r="P110" s="867" t="s">
        <v>5903</v>
      </c>
      <c r="Q110" s="866" t="s">
        <v>6575</v>
      </c>
      <c r="R110" s="866" t="s">
        <v>3151</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2"/>
      <c r="G111" s="872"/>
      <c r="H111" s="789"/>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6580</v>
      </c>
      <c r="B112" s="882" t="s">
        <v>6356</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2785</v>
      </c>
      <c r="D113" s="798" t="s">
        <v>6581</v>
      </c>
      <c r="E113" s="872"/>
      <c r="F113" s="802"/>
      <c r="G113" s="872"/>
      <c r="H113" s="789"/>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4043</v>
      </c>
      <c r="D115" s="866" t="s">
        <v>6584</v>
      </c>
      <c r="E115" s="866" t="s">
        <v>6585</v>
      </c>
      <c r="F115" s="802"/>
      <c r="G115" s="866" t="s">
        <v>4043</v>
      </c>
      <c r="H115" s="789"/>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6589</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6590</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2172</v>
      </c>
      <c r="D118" s="793" t="s">
        <v>655</v>
      </c>
      <c r="E118" s="872"/>
      <c r="F118" s="787" t="s">
        <v>1259</v>
      </c>
      <c r="G118" s="872"/>
      <c r="H118" s="900" t="s">
        <v>2172</v>
      </c>
      <c r="I118" s="872"/>
      <c r="J118" s="872" t="s">
        <v>2652</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6594</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6377</v>
      </c>
      <c r="B121" s="905" t="s">
        <v>6356</v>
      </c>
      <c r="C121" s="865" t="s">
        <v>6595</v>
      </c>
      <c r="D121" s="872"/>
      <c r="E121" s="872"/>
      <c r="F121" s="787" t="s">
        <v>6596</v>
      </c>
      <c r="G121" s="787" t="s">
        <v>6595</v>
      </c>
      <c r="H121" s="810"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3" t="s">
        <v>863</v>
      </c>
      <c r="E122" s="872"/>
      <c r="F122" s="787" t="s">
        <v>1359</v>
      </c>
      <c r="G122" s="872"/>
      <c r="H122" s="900" t="s">
        <v>2984</v>
      </c>
      <c r="I122" s="880" t="str">
        <f>HYPERLINK("https://youtu.be/6f5dBhAmU1g","42.10")</f>
        <v>42.10</v>
      </c>
      <c r="J122" s="872" t="s">
        <v>6598</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6372</v>
      </c>
      <c r="B123" s="905" t="s">
        <v>6356</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6599</v>
      </c>
      <c r="D124" s="866"/>
      <c r="E124" s="866" t="s">
        <v>6599</v>
      </c>
      <c r="F124" s="787" t="s">
        <v>6600</v>
      </c>
      <c r="G124" s="866"/>
      <c r="H124" s="900" t="s">
        <v>6601</v>
      </c>
      <c r="I124" s="866"/>
      <c r="J124" s="866"/>
      <c r="K124" s="866"/>
      <c r="L124" s="866" t="s">
        <v>2929</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6402</v>
      </c>
      <c r="B125" s="902" t="s">
        <v>6603</v>
      </c>
      <c r="C125" s="865" t="s">
        <v>6604</v>
      </c>
      <c r="D125" s="872" t="s">
        <v>5804</v>
      </c>
      <c r="E125" s="872"/>
      <c r="F125" s="802"/>
      <c r="G125" s="872"/>
      <c r="H125" s="789"/>
      <c r="I125" s="872"/>
      <c r="J125" s="872"/>
      <c r="K125" s="872" t="s">
        <v>6067</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6405</v>
      </c>
      <c r="B127" s="905" t="s">
        <v>6603</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6491</v>
      </c>
      <c r="B129" s="896" t="s">
        <v>6607</v>
      </c>
      <c r="C129" s="865" t="s">
        <v>6608</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6610</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3" t="s">
        <v>774</v>
      </c>
      <c r="E132" s="787" t="s">
        <v>377</v>
      </c>
      <c r="F132" s="787" t="s">
        <v>1360</v>
      </c>
      <c r="G132" s="907" t="s">
        <v>3121</v>
      </c>
      <c r="H132" s="885" t="s">
        <v>3104</v>
      </c>
      <c r="I132" s="787" t="s">
        <v>5366</v>
      </c>
      <c r="J132" s="802"/>
      <c r="K132" s="802"/>
      <c r="L132" s="787" t="s">
        <v>855</v>
      </c>
      <c r="M132" s="787" t="s">
        <v>4825</v>
      </c>
      <c r="N132" s="802"/>
      <c r="O132" s="787" t="s">
        <v>6612</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6613</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6407</v>
      </c>
      <c r="B133" s="896" t="s">
        <v>6614</v>
      </c>
      <c r="C133" s="865" t="s">
        <v>562</v>
      </c>
      <c r="D133" s="872" t="s">
        <v>4331</v>
      </c>
      <c r="E133" s="872"/>
      <c r="F133" s="802"/>
      <c r="G133" s="872"/>
      <c r="H133" s="789"/>
      <c r="I133" s="872"/>
      <c r="J133" s="787" t="s">
        <v>5558</v>
      </c>
      <c r="K133" s="872" t="s">
        <v>1739</v>
      </c>
      <c r="L133" s="872"/>
      <c r="M133" s="872"/>
      <c r="N133" s="872" t="str">
        <f>HYPERLINK("https://youtu.be/wzsts4r5VHY","56.24")</f>
        <v>56.24</v>
      </c>
      <c r="O133" s="787"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4506</v>
      </c>
      <c r="D134" s="908"/>
      <c r="E134" s="908"/>
      <c r="F134" s="802"/>
      <c r="G134" s="908"/>
      <c r="H134" s="897"/>
      <c r="I134" s="908"/>
      <c r="J134" s="787" t="s">
        <v>6618</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6619</v>
      </c>
      <c r="C135" s="865" t="s">
        <v>6620</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6417</v>
      </c>
      <c r="B136" s="896" t="s">
        <v>6621</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6622</v>
      </c>
      <c r="C137" s="865" t="s">
        <v>6623</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6424</v>
      </c>
      <c r="B138" s="896" t="s">
        <v>6624</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6625</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6624</v>
      </c>
      <c r="C140" s="865" t="s">
        <v>4078</v>
      </c>
      <c r="D140" s="866" t="s">
        <v>5282</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6625</v>
      </c>
      <c r="C141" s="865" t="s">
        <v>1441</v>
      </c>
      <c r="D141" s="798" t="s">
        <v>1587</v>
      </c>
      <c r="E141" s="866" t="s">
        <v>5370</v>
      </c>
      <c r="F141" s="787" t="s">
        <v>3151</v>
      </c>
      <c r="G141" s="866" t="s">
        <v>5370</v>
      </c>
      <c r="H141" s="885" t="s">
        <v>148</v>
      </c>
      <c r="I141" s="866" t="str">
        <f>HYPERLINK("https://youtu.be/NPrbRwZDn1I","27.54")</f>
        <v>27.54</v>
      </c>
      <c r="J141" s="866" t="s">
        <v>503</v>
      </c>
      <c r="K141" s="866" t="s">
        <v>6575</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6627</v>
      </c>
      <c r="D142" s="908"/>
      <c r="E142" s="908"/>
      <c r="F142" s="787" t="s">
        <v>2685</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6628</v>
      </c>
      <c r="B143" s="905" t="s">
        <v>6629</v>
      </c>
      <c r="C143" s="865" t="s">
        <v>6630</v>
      </c>
      <c r="D143" s="866" t="s">
        <v>6631</v>
      </c>
      <c r="E143" s="866" t="s">
        <v>6630</v>
      </c>
      <c r="F143" s="802"/>
      <c r="G143" s="866"/>
      <c r="H143" s="789"/>
      <c r="I143" s="866" t="s">
        <v>6632</v>
      </c>
      <c r="J143" s="866" t="s">
        <v>6633</v>
      </c>
      <c r="K143" s="866"/>
      <c r="L143" s="866" t="s">
        <v>860</v>
      </c>
      <c r="M143" s="866"/>
      <c r="N143" s="866" t="s">
        <v>6634</v>
      </c>
      <c r="O143" s="866"/>
      <c r="P143" s="867"/>
      <c r="Q143" s="866"/>
      <c r="R143" s="866"/>
      <c r="S143" s="866"/>
      <c r="T143" s="866" t="s">
        <v>6635</v>
      </c>
      <c r="U143" s="866" t="s">
        <v>4984</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2"/>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6641</v>
      </c>
      <c r="C145" s="865" t="s">
        <v>6642</v>
      </c>
      <c r="D145" s="839" t="s">
        <v>1589</v>
      </c>
      <c r="E145" s="787" t="s">
        <v>382</v>
      </c>
      <c r="F145" s="802"/>
      <c r="G145" s="802" t="s">
        <v>6643</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6644</v>
      </c>
      <c r="C146" s="784" t="s">
        <v>3445</v>
      </c>
      <c r="D146" s="798" t="s">
        <v>1588</v>
      </c>
      <c r="E146" s="872"/>
      <c r="F146" s="787" t="s">
        <v>1364</v>
      </c>
      <c r="G146" s="872"/>
      <c r="H146" s="897"/>
      <c r="I146" s="872"/>
      <c r="J146" s="872"/>
      <c r="K146" s="872"/>
      <c r="L146" s="872"/>
      <c r="M146" s="872" t="s">
        <v>6645</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6646</v>
      </c>
      <c r="B147" s="905" t="s">
        <v>6629</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6641</v>
      </c>
      <c r="C149" s="784" t="s">
        <v>2622</v>
      </c>
      <c r="D149" s="909" t="s">
        <v>6647</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4" t="s">
        <v>1428</v>
      </c>
      <c r="D150" s="909"/>
      <c r="E150" s="909"/>
      <c r="F150" s="787" t="s">
        <v>6648</v>
      </c>
      <c r="G150" s="909" t="s">
        <v>6649</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6650</v>
      </c>
      <c r="B151" s="905" t="s">
        <v>6651</v>
      </c>
      <c r="C151" s="865" t="s">
        <v>6652</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6654</v>
      </c>
      <c r="B153" s="905" t="s">
        <v>6655</v>
      </c>
      <c r="C153" s="784" t="s">
        <v>6656</v>
      </c>
      <c r="D153" s="909"/>
      <c r="E153" s="909"/>
      <c r="F153" s="787" t="s">
        <v>6657</v>
      </c>
      <c r="G153" s="866" t="s">
        <v>6658</v>
      </c>
      <c r="H153" s="810" t="s">
        <v>684</v>
      </c>
      <c r="I153" s="909" t="s">
        <v>6659</v>
      </c>
      <c r="J153" s="909"/>
      <c r="K153" s="909"/>
      <c r="L153" s="909"/>
      <c r="M153" s="866" t="s">
        <v>1390</v>
      </c>
      <c r="N153" s="909"/>
      <c r="O153" s="909"/>
      <c r="P153" s="867"/>
      <c r="Q153" s="909"/>
      <c r="R153" s="909"/>
      <c r="S153" s="787"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6660</v>
      </c>
      <c r="C154" s="865" t="s">
        <v>6661</v>
      </c>
      <c r="D154" s="909"/>
      <c r="E154" s="909"/>
      <c r="F154" s="802"/>
      <c r="G154" s="866" t="s">
        <v>6662</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6663</v>
      </c>
      <c r="C155" s="865" t="s">
        <v>6664</v>
      </c>
      <c r="D155" s="909"/>
      <c r="E155" s="909"/>
      <c r="F155" s="802"/>
      <c r="G155" s="866" t="s">
        <v>6664</v>
      </c>
      <c r="H155" s="789"/>
      <c r="I155" s="909" t="s">
        <v>6665</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6666</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6402</v>
      </c>
      <c r="B157" s="902" t="s">
        <v>6356</v>
      </c>
      <c r="C157" s="865" t="s">
        <v>1520</v>
      </c>
      <c r="D157" s="811" t="s">
        <v>1591</v>
      </c>
      <c r="E157" s="866" t="s">
        <v>6667</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6405</v>
      </c>
      <c r="B158" s="902" t="s">
        <v>6356</v>
      </c>
      <c r="C158" s="865"/>
      <c r="D158" s="813" t="s">
        <v>6668</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6466</v>
      </c>
      <c r="B159" s="910" t="s">
        <v>6669</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6670</v>
      </c>
      <c r="C160" s="865" t="s">
        <v>2382</v>
      </c>
      <c r="D160" s="793" t="s">
        <v>1590</v>
      </c>
      <c r="E160" s="866" t="s">
        <v>6671</v>
      </c>
      <c r="F160" s="802"/>
      <c r="G160" s="866" t="s">
        <v>6672</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6470</v>
      </c>
      <c r="B161" s="910" t="s">
        <v>6673</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6377</v>
      </c>
      <c r="B162" s="905" t="s">
        <v>6356</v>
      </c>
      <c r="C162" s="865" t="s">
        <v>6674</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6675</v>
      </c>
      <c r="B165" s="918" t="s">
        <v>6676</v>
      </c>
      <c r="C165" s="865" t="s">
        <v>6677</v>
      </c>
      <c r="D165" s="793" t="s">
        <v>6678</v>
      </c>
      <c r="E165" s="793" t="s">
        <v>6679</v>
      </c>
      <c r="F165" s="787" t="s">
        <v>6680</v>
      </c>
      <c r="G165" s="793" t="s">
        <v>6679</v>
      </c>
      <c r="H165" s="799" t="s">
        <v>6681</v>
      </c>
      <c r="I165" s="793"/>
      <c r="J165" s="793" t="s">
        <v>6682</v>
      </c>
      <c r="K165" s="793" t="s">
        <v>6683</v>
      </c>
      <c r="L165" s="793" t="s">
        <v>6681</v>
      </c>
      <c r="M165" s="793" t="s">
        <v>6681</v>
      </c>
      <c r="N165" s="793"/>
      <c r="O165" s="793"/>
      <c r="P165" s="791" t="s">
        <v>6679</v>
      </c>
      <c r="Q165" s="793"/>
      <c r="R165" s="793" t="s">
        <v>2230</v>
      </c>
      <c r="S165" s="793" t="s">
        <v>6684</v>
      </c>
      <c r="T165" s="793"/>
      <c r="U165" s="793"/>
      <c r="V165" s="793"/>
      <c r="W165" s="793"/>
      <c r="X165" s="793"/>
      <c r="Y165" s="793"/>
      <c r="Z165" s="793"/>
      <c r="AA165" s="793"/>
      <c r="AB165" s="793" t="s">
        <v>6658</v>
      </c>
      <c r="AC165" s="793" t="s">
        <v>6680</v>
      </c>
      <c r="AD165" s="793"/>
      <c r="AE165" s="793"/>
      <c r="AF165" s="793" t="s">
        <v>6677</v>
      </c>
      <c r="AG165" s="793"/>
      <c r="AH165" s="793"/>
      <c r="AI165" s="793"/>
      <c r="AJ165" s="793"/>
      <c r="AK165" s="793" t="s">
        <v>6683</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6685</v>
      </c>
      <c r="C166" s="865" t="s">
        <v>6686</v>
      </c>
      <c r="D166" s="793"/>
      <c r="E166" s="793" t="s">
        <v>6682</v>
      </c>
      <c r="F166" s="802"/>
      <c r="G166" s="793" t="s">
        <v>6686</v>
      </c>
      <c r="H166" s="922"/>
      <c r="I166" s="793"/>
      <c r="J166" s="793"/>
      <c r="K166" s="793"/>
      <c r="L166" s="793"/>
      <c r="M166" s="793"/>
      <c r="N166" s="793"/>
      <c r="O166" s="793"/>
      <c r="P166" s="791" t="s">
        <v>6687</v>
      </c>
      <c r="Q166" s="793"/>
      <c r="R166" s="793"/>
      <c r="S166" s="793"/>
      <c r="T166" s="793" t="s">
        <v>6682</v>
      </c>
      <c r="U166" s="793"/>
      <c r="V166" s="793"/>
      <c r="W166" s="793"/>
      <c r="X166" s="793"/>
      <c r="Y166" s="793" t="s">
        <v>6679</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6688</v>
      </c>
      <c r="B167" s="918" t="s">
        <v>6356</v>
      </c>
      <c r="C167" s="865" t="s">
        <v>1924</v>
      </c>
      <c r="D167" s="793" t="s">
        <v>5341</v>
      </c>
      <c r="E167" s="793" t="s">
        <v>6689</v>
      </c>
      <c r="F167" s="787" t="s">
        <v>6690</v>
      </c>
      <c r="G167" s="793" t="s">
        <v>2912</v>
      </c>
      <c r="H167" s="810" t="s">
        <v>6690</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6372</v>
      </c>
      <c r="B168" s="924" t="s">
        <v>6356</v>
      </c>
      <c r="C168" s="865" t="s">
        <v>6691</v>
      </c>
      <c r="D168" s="851"/>
      <c r="E168" s="851" t="s">
        <v>6692</v>
      </c>
      <c r="F168" s="802"/>
      <c r="G168" s="851" t="s">
        <v>6691</v>
      </c>
      <c r="H168" s="925" t="s">
        <v>6693</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6358</v>
      </c>
      <c r="B169" s="926" t="s">
        <v>6694</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6695</v>
      </c>
      <c r="C170" s="865" t="s">
        <v>6696</v>
      </c>
      <c r="D170" s="793" t="s">
        <v>6697</v>
      </c>
      <c r="E170" s="793" t="s">
        <v>6696</v>
      </c>
      <c r="F170" s="787" t="s">
        <v>1370</v>
      </c>
      <c r="G170" s="793" t="s">
        <v>6016</v>
      </c>
      <c r="H170" s="799" t="s">
        <v>157</v>
      </c>
      <c r="I170" s="793"/>
      <c r="J170" s="793" t="s">
        <v>606</v>
      </c>
      <c r="K170" s="793" t="s">
        <v>355</v>
      </c>
      <c r="L170" s="793"/>
      <c r="M170" s="793"/>
      <c r="N170" s="793" t="s">
        <v>2497</v>
      </c>
      <c r="O170" s="793" t="s">
        <v>6698</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6372</v>
      </c>
      <c r="B171" s="928" t="s">
        <v>6699</v>
      </c>
      <c r="C171" s="865" t="s">
        <v>6700</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6701</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6702</v>
      </c>
      <c r="C172" s="865" t="s">
        <v>6703</v>
      </c>
      <c r="D172" s="793" t="s">
        <v>1593</v>
      </c>
      <c r="E172" s="793" t="s">
        <v>6703</v>
      </c>
      <c r="F172" s="787" t="s">
        <v>1371</v>
      </c>
      <c r="G172" s="793" t="s">
        <v>2996</v>
      </c>
      <c r="H172" s="885" t="s">
        <v>3107</v>
      </c>
      <c r="I172" s="793" t="s">
        <v>1458</v>
      </c>
      <c r="J172" s="793" t="s">
        <v>2059</v>
      </c>
      <c r="K172" s="793" t="s">
        <v>5286</v>
      </c>
      <c r="L172" s="793" t="s">
        <v>868</v>
      </c>
      <c r="M172" s="793" t="s">
        <v>2816</v>
      </c>
      <c r="N172" s="793" t="s">
        <v>1840</v>
      </c>
      <c r="O172" s="793" t="s">
        <v>6704</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5228</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6492</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6492</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6402</v>
      </c>
      <c r="B178" s="928" t="s">
        <v>6356</v>
      </c>
      <c r="C178" s="865" t="str">
        <f>HYPERLINK("https://www.youtube.com/watch?v=_HQgQjbTLjM","1:11.32")</f>
        <v>1:11.32</v>
      </c>
      <c r="D178" s="798" t="s">
        <v>1598</v>
      </c>
      <c r="E178" s="927"/>
      <c r="F178" s="787" t="s">
        <v>1377</v>
      </c>
      <c r="G178" s="927"/>
      <c r="H178" s="922"/>
      <c r="I178" s="927" t="s">
        <v>1474</v>
      </c>
      <c r="J178" s="927" t="s">
        <v>6716</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6405</v>
      </c>
      <c r="B179" s="928" t="s">
        <v>6356</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6381</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3416</v>
      </c>
      <c r="E183" s="927"/>
      <c r="F183" s="802"/>
      <c r="G183" s="927"/>
      <c r="H183" s="810" t="s">
        <v>6725</v>
      </c>
      <c r="I183" s="927" t="s">
        <v>6158</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6372</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6498</v>
      </c>
      <c r="B189" s="933" t="s">
        <v>6736</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5304</v>
      </c>
      <c r="D190" s="927" t="s">
        <v>6069</v>
      </c>
      <c r="E190" s="927"/>
      <c r="F190" s="787" t="s">
        <v>6300</v>
      </c>
      <c r="G190" s="927"/>
      <c r="H190" s="925" t="s">
        <v>654</v>
      </c>
      <c r="I190" s="927"/>
      <c r="J190" s="927"/>
      <c r="K190" s="927" t="s">
        <v>5532</v>
      </c>
      <c r="L190" s="927" t="s">
        <v>1675</v>
      </c>
      <c r="M190" s="927"/>
      <c r="N190" s="927" t="s">
        <v>4641</v>
      </c>
      <c r="O190" s="927"/>
      <c r="P190" s="808"/>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5668</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6372</v>
      </c>
      <c r="B194" s="928" t="s">
        <v>6736</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5705</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6377</v>
      </c>
      <c r="B199" s="928" t="s">
        <v>6356</v>
      </c>
      <c r="C199" s="865" t="s">
        <v>980</v>
      </c>
      <c r="D199" s="790" t="s">
        <v>5794</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6356</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6402</v>
      </c>
      <c r="B201" s="928" t="s">
        <v>6356</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6405</v>
      </c>
      <c r="B202" s="928" t="s">
        <v>6356</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6568</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6377</v>
      </c>
      <c r="B204" s="928" t="s">
        <v>6356</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6424</v>
      </c>
      <c r="B205" s="926" t="s">
        <v>6766</v>
      </c>
      <c r="C205" s="865"/>
      <c r="D205" s="927"/>
      <c r="E205" s="927"/>
      <c r="F205" s="802"/>
      <c r="G205" s="927"/>
      <c r="H205" s="925" t="s">
        <v>6484</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6598</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6466</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6470</v>
      </c>
      <c r="B209" s="926" t="s">
        <v>6774</v>
      </c>
      <c r="C209" s="865" t="s">
        <v>1464</v>
      </c>
      <c r="D209" s="798" t="s">
        <v>1597</v>
      </c>
      <c r="E209" s="927"/>
      <c r="F209" s="802"/>
      <c r="G209" s="927"/>
      <c r="H209" s="922"/>
      <c r="I209" s="927" t="s">
        <v>1464</v>
      </c>
      <c r="J209" s="927" t="s">
        <v>6775</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6381</v>
      </c>
      <c r="B214" s="944" t="s">
        <v>6356</v>
      </c>
      <c r="C214" s="865" t="str">
        <f>HYPERLINK("https://www.youtube.com/watch?v=aWzlUqH0LaM","41.87")</f>
        <v>41.87</v>
      </c>
      <c r="D214" s="876"/>
      <c r="E214" s="872"/>
      <c r="F214" s="787" t="s">
        <v>6782</v>
      </c>
      <c r="G214" s="866" t="s">
        <v>309</v>
      </c>
      <c r="H214" s="789"/>
      <c r="I214" s="866" t="s">
        <v>1637</v>
      </c>
      <c r="J214" s="872"/>
      <c r="K214" s="866" t="s">
        <v>6270</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6056</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6377</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6657</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6568</v>
      </c>
      <c r="B225" s="944" t="s">
        <v>6356</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6356</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6424</v>
      </c>
      <c r="B227" s="944" t="s">
        <v>6811</v>
      </c>
      <c r="C227" s="865" t="s">
        <v>6812</v>
      </c>
      <c r="D227" s="872" t="s">
        <v>4175</v>
      </c>
      <c r="E227" s="872"/>
      <c r="F227" s="802"/>
      <c r="G227" s="872"/>
      <c r="H227" s="947"/>
      <c r="I227" s="872"/>
      <c r="J227" s="872"/>
      <c r="K227" s="866" t="s">
        <v>5355</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3362</v>
      </c>
      <c r="L228" s="872"/>
      <c r="M228" s="872"/>
      <c r="N228" s="872" t="s">
        <v>4283</v>
      </c>
      <c r="O228" s="866" t="s">
        <v>1383</v>
      </c>
      <c r="P228" s="874" t="s">
        <v>2133</v>
      </c>
      <c r="Q228" s="872" t="s">
        <v>1854</v>
      </c>
      <c r="R228" s="787" t="s">
        <v>5606</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6372</v>
      </c>
      <c r="B230" s="963" t="s">
        <v>6816</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6377</v>
      </c>
      <c r="B234" s="963" t="s">
        <v>6824</v>
      </c>
      <c r="C234" s="865" t="s">
        <v>5621</v>
      </c>
      <c r="D234" s="964"/>
      <c r="E234" s="866" t="s">
        <v>5629</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3292</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6402</v>
      </c>
      <c r="B237" s="967" t="s">
        <v>6403</v>
      </c>
      <c r="C237" s="865" t="s">
        <v>6829</v>
      </c>
      <c r="D237" s="798" t="s">
        <v>1609</v>
      </c>
      <c r="E237" s="872"/>
      <c r="F237" s="802"/>
      <c r="G237" s="872"/>
      <c r="H237" s="947"/>
      <c r="I237" s="872" t="s">
        <v>1925</v>
      </c>
      <c r="J237" s="866" t="s">
        <v>1465</v>
      </c>
      <c r="K237" s="872" t="s">
        <v>6830</v>
      </c>
      <c r="L237" s="872" t="s">
        <v>5819</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6405</v>
      </c>
      <c r="B238" s="967" t="s">
        <v>6403</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6466</v>
      </c>
      <c r="B239" s="944" t="s">
        <v>6768</v>
      </c>
      <c r="C239" s="865" t="s">
        <v>5417</v>
      </c>
      <c r="D239" s="866" t="s">
        <v>1321</v>
      </c>
      <c r="E239" s="866" t="s">
        <v>2592</v>
      </c>
      <c r="F239" s="802"/>
      <c r="G239" s="866" t="s">
        <v>5417</v>
      </c>
      <c r="H239" s="810" t="s">
        <v>4099</v>
      </c>
      <c r="I239" s="866"/>
      <c r="J239" s="866"/>
      <c r="K239" s="866" t="s">
        <v>5524</v>
      </c>
      <c r="L239" s="866"/>
      <c r="M239" s="866"/>
      <c r="N239" s="866" t="s">
        <v>5173</v>
      </c>
      <c r="O239" s="866" t="s">
        <v>4099</v>
      </c>
      <c r="P239" s="867" t="s">
        <v>5455</v>
      </c>
      <c r="Q239" s="866"/>
      <c r="R239" s="866" t="s">
        <v>5417</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6356</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6356</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6355</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6205</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6162</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6358</v>
      </c>
      <c r="B257" s="976" t="s">
        <v>6356</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6491</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6508</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5671</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6407</v>
      </c>
      <c r="B262" s="976" t="s">
        <v>6864</v>
      </c>
      <c r="C262" s="865" t="s">
        <v>6865</v>
      </c>
      <c r="D262" s="866" t="s">
        <v>6505</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5103</v>
      </c>
      <c r="E263" s="866" t="s">
        <v>3335</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3523</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6568</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6372</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6377</v>
      </c>
      <c r="B267" s="990" t="s">
        <v>6356</v>
      </c>
      <c r="C267" s="865" t="s">
        <v>5635</v>
      </c>
      <c r="D267" s="866" t="s">
        <v>5657</v>
      </c>
      <c r="E267" s="866" t="s">
        <v>2778</v>
      </c>
      <c r="F267" s="787" t="s">
        <v>5598</v>
      </c>
      <c r="G267" s="866" t="s">
        <v>5635</v>
      </c>
      <c r="H267" s="799" t="s">
        <v>6883</v>
      </c>
      <c r="I267" s="866"/>
      <c r="J267" s="866" t="s">
        <v>5173</v>
      </c>
      <c r="K267" s="866"/>
      <c r="L267" s="866" t="s">
        <v>6884</v>
      </c>
      <c r="M267" s="866"/>
      <c r="N267" s="866"/>
      <c r="O267" s="866" t="s">
        <v>5635</v>
      </c>
      <c r="P267" s="867"/>
      <c r="Q267" s="866"/>
      <c r="R267" s="787" t="s">
        <v>6885</v>
      </c>
      <c r="S267" s="866"/>
      <c r="T267" s="866" t="s">
        <v>5635</v>
      </c>
      <c r="U267" s="866"/>
      <c r="V267" s="866" t="s">
        <v>4099</v>
      </c>
      <c r="W267" s="866" t="s">
        <v>6158</v>
      </c>
      <c r="X267" s="866" t="s">
        <v>6886</v>
      </c>
      <c r="Y267" s="866" t="s">
        <v>6047</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6405</v>
      </c>
      <c r="B268" s="990" t="s">
        <v>6356</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6523</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6533</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6466</v>
      </c>
      <c r="B271" s="976" t="s">
        <v>6896</v>
      </c>
      <c r="C271" s="865" t="s">
        <v>4199</v>
      </c>
      <c r="D271" s="802"/>
      <c r="E271" s="787" t="s">
        <v>4272</v>
      </c>
      <c r="F271" s="787" t="s">
        <v>3293</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6124</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6470</v>
      </c>
      <c r="B274" s="976" t="s">
        <v>6356</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6580</v>
      </c>
      <c r="B275" s="976" t="s">
        <v>6552</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6556</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6356</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5879</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5995</v>
      </c>
      <c r="D285" s="866"/>
      <c r="E285" s="866" t="s">
        <v>5995</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6372</v>
      </c>
      <c r="B291" s="1009" t="s">
        <v>6403</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6413</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6359</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6467</v>
      </c>
      <c r="C306" s="865" t="s">
        <v>6949</v>
      </c>
      <c r="D306" s="802"/>
      <c r="E306" s="787" t="s">
        <v>6949</v>
      </c>
      <c r="F306" s="802"/>
      <c r="G306" s="802"/>
      <c r="H306" s="842" t="s">
        <v>6950</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6469</v>
      </c>
      <c r="C307" s="865" t="s">
        <v>6210</v>
      </c>
      <c r="D307" s="802" t="s">
        <v>5078</v>
      </c>
      <c r="E307" s="787" t="s">
        <v>4471</v>
      </c>
      <c r="F307" s="802"/>
      <c r="G307" s="787" t="s">
        <v>6210</v>
      </c>
      <c r="H307" s="810" t="s">
        <v>5366</v>
      </c>
      <c r="I307" s="802"/>
      <c r="J307" s="802"/>
      <c r="K307" s="802"/>
      <c r="L307" s="802"/>
      <c r="M307" s="802"/>
      <c r="N307" s="802"/>
      <c r="O307" s="802"/>
      <c r="P307" s="867"/>
      <c r="Q307" s="802"/>
      <c r="R307" s="787" t="s">
        <v>6612</v>
      </c>
      <c r="S307" s="802"/>
      <c r="T307" s="802"/>
      <c r="U307" s="802"/>
      <c r="V307" s="787" t="s">
        <v>5871</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6612</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6951</v>
      </c>
      <c r="B308" s="1010" t="s">
        <v>6356</v>
      </c>
      <c r="C308" s="865" t="s">
        <v>2412</v>
      </c>
      <c r="D308" s="816"/>
      <c r="E308" s="1017" t="s">
        <v>1779</v>
      </c>
      <c r="F308" s="802"/>
      <c r="G308" s="1017" t="s">
        <v>2412</v>
      </c>
      <c r="H308" s="1018" t="s">
        <v>2981</v>
      </c>
      <c r="I308" s="816"/>
      <c r="J308" s="1017" t="s">
        <v>1779</v>
      </c>
      <c r="K308" s="816"/>
      <c r="L308" s="1017" t="s">
        <v>6952</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6953</v>
      </c>
      <c r="B309" s="1010" t="s">
        <v>6954</v>
      </c>
      <c r="C309" s="865" t="s">
        <v>6955</v>
      </c>
      <c r="D309" s="802"/>
      <c r="E309" s="787" t="s">
        <v>6955</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6956</v>
      </c>
      <c r="C310" s="865" t="s">
        <v>6957</v>
      </c>
      <c r="D310" s="802"/>
      <c r="E310" s="787" t="s">
        <v>6958</v>
      </c>
      <c r="F310" s="802"/>
      <c r="G310" s="802" t="s">
        <v>1423</v>
      </c>
      <c r="H310" s="842" t="s">
        <v>6959</v>
      </c>
      <c r="I310" s="802"/>
      <c r="J310" s="802"/>
      <c r="K310" s="802"/>
      <c r="L310" s="802"/>
      <c r="M310" s="802"/>
      <c r="N310" s="802"/>
      <c r="O310" s="802"/>
      <c r="P310" s="867"/>
      <c r="Q310" s="802"/>
      <c r="R310" s="802"/>
      <c r="S310" s="802"/>
      <c r="T310" s="802"/>
      <c r="U310" s="802"/>
      <c r="V310" s="802"/>
      <c r="W310" s="802"/>
      <c r="X310" s="787" t="s">
        <v>6957</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6960</v>
      </c>
      <c r="B311" s="1010" t="s">
        <v>6961</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6962</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6963</v>
      </c>
      <c r="C313" s="865" t="s">
        <v>6964</v>
      </c>
      <c r="D313" s="802"/>
      <c r="E313" s="787" t="s">
        <v>6964</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6965</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6966</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6967</v>
      </c>
      <c r="C316" s="865" t="s">
        <v>6968</v>
      </c>
      <c r="D316" s="802"/>
      <c r="E316" s="787" t="s">
        <v>3938</v>
      </c>
      <c r="F316" s="802"/>
      <c r="G316" s="787" t="s">
        <v>6968</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6969</v>
      </c>
      <c r="C317" s="865" t="s">
        <v>6970</v>
      </c>
      <c r="D317" s="872" t="s">
        <v>6971</v>
      </c>
      <c r="E317" s="872"/>
      <c r="F317" s="802"/>
      <c r="G317" s="787" t="s">
        <v>6972</v>
      </c>
      <c r="H317" s="1020" t="str">
        <f>HYPERLINK("https://youtu.be/wR4-nYMM6Xk","10.74")</f>
        <v>10.74</v>
      </c>
      <c r="I317" s="872"/>
      <c r="J317" s="872"/>
      <c r="K317" s="872"/>
      <c r="L317" s="872"/>
      <c r="M317" s="872"/>
      <c r="N317" s="872"/>
      <c r="O317" s="872"/>
      <c r="P317" s="874"/>
      <c r="Q317" s="872"/>
      <c r="R317" s="787" t="s">
        <v>6973</v>
      </c>
      <c r="S317" s="872"/>
      <c r="T317" s="787" t="s">
        <v>6974</v>
      </c>
      <c r="U317" s="872"/>
      <c r="V317" s="872"/>
      <c r="W317" s="872"/>
      <c r="X317" s="787"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6975</v>
      </c>
      <c r="B318" s="1010" t="s">
        <v>6356</v>
      </c>
      <c r="C318" s="865" t="s">
        <v>527</v>
      </c>
      <c r="D318" s="876" t="s">
        <v>5440</v>
      </c>
      <c r="E318" s="872"/>
      <c r="F318" s="802"/>
      <c r="G318" s="787" t="s">
        <v>527</v>
      </c>
      <c r="H318" s="1018" t="s">
        <v>6976</v>
      </c>
      <c r="I318" s="872"/>
      <c r="J318" s="787" t="s">
        <v>3976</v>
      </c>
      <c r="K318" s="872"/>
      <c r="L318" s="872"/>
      <c r="M318" s="872"/>
      <c r="N318" s="872"/>
      <c r="O318" s="872"/>
      <c r="P318" s="874"/>
      <c r="Q318" s="872"/>
      <c r="R318" s="872" t="s">
        <v>6977</v>
      </c>
      <c r="S318" s="872"/>
      <c r="T318" s="872"/>
      <c r="U318" s="872"/>
      <c r="V318" s="872" t="s">
        <v>6284</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6980</v>
      </c>
      <c r="C320" s="784" t="s">
        <v>6981</v>
      </c>
      <c r="D320" s="802" t="s">
        <v>1011</v>
      </c>
      <c r="E320" s="787" t="s">
        <v>6982</v>
      </c>
      <c r="F320" s="802"/>
      <c r="G320" s="802"/>
      <c r="H320" s="842" t="s">
        <v>6983</v>
      </c>
      <c r="I320" s="802"/>
      <c r="J320" s="787" t="s">
        <v>6984</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6985</v>
      </c>
      <c r="C321" s="784" t="s">
        <v>6986</v>
      </c>
      <c r="D321" s="802"/>
      <c r="E321" s="802"/>
      <c r="F321" s="802"/>
      <c r="G321" s="802" t="s">
        <v>6987</v>
      </c>
      <c r="H321" s="810" t="s">
        <v>6988</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6986</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6989</v>
      </c>
      <c r="B322" s="1002" t="s">
        <v>6990</v>
      </c>
      <c r="C322" s="865" t="s">
        <v>5657</v>
      </c>
      <c r="D322" s="1021"/>
      <c r="E322" s="1021"/>
      <c r="F322" s="802"/>
      <c r="G322" s="787" t="s">
        <v>1297</v>
      </c>
      <c r="H322" s="842" t="s">
        <v>315</v>
      </c>
      <c r="I322" s="1021"/>
      <c r="J322" s="787" t="s">
        <v>5657</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4605</v>
      </c>
      <c r="D323" s="802"/>
      <c r="E323" s="787" t="s">
        <v>6072</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6992</v>
      </c>
      <c r="B324" s="1010" t="s">
        <v>6356</v>
      </c>
      <c r="C324" s="865" t="s">
        <v>6993</v>
      </c>
      <c r="D324" s="908"/>
      <c r="E324" s="908"/>
      <c r="F324" s="802"/>
      <c r="G324" s="787" t="s">
        <v>6993</v>
      </c>
      <c r="H324" s="838"/>
      <c r="I324" s="908"/>
      <c r="J324" s="908"/>
      <c r="K324" s="908"/>
      <c r="L324" s="908"/>
      <c r="M324" s="787"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6997</v>
      </c>
      <c r="C326" s="865" t="s">
        <v>754</v>
      </c>
      <c r="D326" s="867"/>
      <c r="E326" s="867"/>
      <c r="F326" s="802"/>
      <c r="G326" s="787" t="s">
        <v>754</v>
      </c>
      <c r="H326" s="842" t="s">
        <v>6950</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6580</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6336</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6542</v>
      </c>
      <c r="U4" s="1067"/>
      <c r="V4" s="1068" t="s">
        <v>7042</v>
      </c>
      <c r="W4" s="1063"/>
      <c r="X4" s="1069" t="s">
        <v>138</v>
      </c>
      <c r="Y4" s="1069" t="s">
        <v>7043</v>
      </c>
      <c r="Z4" s="1070" t="s">
        <v>4439</v>
      </c>
      <c r="AA4" s="1071" t="s">
        <v>2249</v>
      </c>
      <c r="AB4" s="1071" t="s">
        <v>791</v>
      </c>
      <c r="AC4" s="1072" t="s">
        <v>2807</v>
      </c>
      <c r="AD4" s="1072" t="s">
        <v>1214</v>
      </c>
      <c r="AE4" s="1071" t="s">
        <v>5582</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5986</v>
      </c>
      <c r="AX4" s="1080" t="s">
        <v>3727</v>
      </c>
      <c r="AY4" s="1075" t="s">
        <v>7048</v>
      </c>
      <c r="AZ4" s="1063"/>
      <c r="BA4" s="1081"/>
      <c r="BB4" s="1082" t="s">
        <v>7049</v>
      </c>
      <c r="BC4" s="1083" t="s">
        <v>7050</v>
      </c>
      <c r="BD4" s="1081"/>
      <c r="BE4" s="1084" t="s">
        <v>7051</v>
      </c>
      <c r="BF4" s="1063"/>
      <c r="BG4" s="1085" t="s">
        <v>7052</v>
      </c>
      <c r="BH4" s="1086" t="s">
        <v>3352</v>
      </c>
      <c r="BI4" s="1086"/>
      <c r="BJ4" s="1086"/>
      <c r="BK4" s="1087" t="s">
        <v>1969</v>
      </c>
      <c r="BL4" s="1088"/>
      <c r="BM4" s="1086" t="s">
        <v>7053</v>
      </c>
      <c r="BN4" s="1063"/>
      <c r="BO4" s="1089" t="s">
        <v>7054</v>
      </c>
      <c r="BP4" s="1090"/>
      <c r="BQ4" s="1090"/>
      <c r="BR4" s="1091" t="s">
        <v>7055</v>
      </c>
      <c r="BS4" s="1090"/>
      <c r="BT4" s="1092" t="s">
        <v>148</v>
      </c>
      <c r="BU4" s="1090"/>
      <c r="BV4" s="1093" t="s">
        <v>3798</v>
      </c>
      <c r="BW4" s="1092" t="s">
        <v>5938</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3389</v>
      </c>
      <c r="F5" s="1058" t="s">
        <v>3987</v>
      </c>
      <c r="G5" s="1054" t="s">
        <v>1498</v>
      </c>
      <c r="H5" s="1099" t="s">
        <v>1604</v>
      </c>
      <c r="I5" s="1100" t="s">
        <v>2887</v>
      </c>
      <c r="J5" s="1062" t="s">
        <v>7058</v>
      </c>
      <c r="K5" s="1101" t="s">
        <v>5767</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6444</v>
      </c>
      <c r="AF5" s="1108"/>
      <c r="AG5" s="1109" t="s">
        <v>7064</v>
      </c>
      <c r="AH5" s="1074"/>
      <c r="AI5" s="1110"/>
      <c r="AJ5" s="1075"/>
      <c r="AK5" s="1075" t="s">
        <v>7065</v>
      </c>
      <c r="AL5" s="1076"/>
      <c r="AM5" s="1111" t="s">
        <v>3701</v>
      </c>
      <c r="AN5" s="1112" t="s">
        <v>3359</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6496</v>
      </c>
      <c r="BD5" s="1114"/>
      <c r="BE5" s="1115" t="s">
        <v>7070</v>
      </c>
      <c r="BF5" s="1063"/>
      <c r="BG5" s="1116" t="s">
        <v>7071</v>
      </c>
      <c r="BH5" s="1085" t="s">
        <v>1371</v>
      </c>
      <c r="BI5" s="1117" t="s">
        <v>5775</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3354</v>
      </c>
      <c r="CA5" s="1122"/>
      <c r="CB5" s="1122"/>
      <c r="CC5" s="1122"/>
      <c r="CD5" s="1096"/>
      <c r="CE5" s="1096"/>
      <c r="CF5" s="1096"/>
      <c r="CG5" s="1096"/>
      <c r="CH5" s="1096"/>
      <c r="CI5" s="1096"/>
      <c r="CJ5" s="1122"/>
      <c r="CK5" s="1122"/>
    </row>
    <row r="6">
      <c r="A6" s="1053" t="s">
        <v>7076</v>
      </c>
      <c r="B6" s="1054" t="s">
        <v>7077</v>
      </c>
      <c r="C6" s="1055" t="s">
        <v>2692</v>
      </c>
      <c r="D6" s="1056" t="s">
        <v>3389</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5040</v>
      </c>
      <c r="T6" s="1064" t="s">
        <v>5537</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5345</v>
      </c>
      <c r="BU6" s="1093" t="s">
        <v>2791</v>
      </c>
      <c r="BV6" s="1091"/>
      <c r="BW6" s="1092" t="s">
        <v>7095</v>
      </c>
      <c r="BX6" s="1102"/>
      <c r="BY6" s="1132" t="s">
        <v>3222</v>
      </c>
      <c r="BZ6" s="1133" t="s">
        <v>7096</v>
      </c>
      <c r="CA6" s="1134" t="s">
        <v>7097</v>
      </c>
      <c r="CB6" s="1122"/>
      <c r="CC6" s="1135"/>
      <c r="CD6" s="1134" t="s">
        <v>7098</v>
      </c>
      <c r="CE6" s="1136" t="s">
        <v>7099</v>
      </c>
      <c r="CF6" s="1134" t="s">
        <v>7100</v>
      </c>
      <c r="CG6" s="1121" t="s">
        <v>5077</v>
      </c>
      <c r="CH6" s="1094" t="s">
        <v>7101</v>
      </c>
      <c r="CI6" s="1096"/>
      <c r="CJ6" s="1134" t="s">
        <v>2167</v>
      </c>
      <c r="CK6" s="1134" t="s">
        <v>3808</v>
      </c>
    </row>
    <row r="7">
      <c r="A7" s="1137" t="s">
        <v>1551</v>
      </c>
      <c r="B7" s="1054" t="s">
        <v>7102</v>
      </c>
      <c r="C7" s="1055" t="s">
        <v>828</v>
      </c>
      <c r="D7" s="1056" t="s">
        <v>334</v>
      </c>
      <c r="E7" s="1057" t="s">
        <v>1064</v>
      </c>
      <c r="F7" s="1058" t="s">
        <v>2762</v>
      </c>
      <c r="G7" s="1054" t="s">
        <v>5697</v>
      </c>
      <c r="H7" s="1099" t="s">
        <v>1361</v>
      </c>
      <c r="I7" s="1124" t="s">
        <v>7103</v>
      </c>
      <c r="J7" s="1059"/>
      <c r="K7" s="1060" t="s">
        <v>7104</v>
      </c>
      <c r="L7" s="1124" t="s">
        <v>7105</v>
      </c>
      <c r="M7" s="1059"/>
      <c r="N7" s="1061" t="s">
        <v>7106</v>
      </c>
      <c r="O7" s="1059"/>
      <c r="P7" s="1102"/>
      <c r="Q7" s="1064" t="s">
        <v>4147</v>
      </c>
      <c r="R7" s="1104" t="s">
        <v>3057</v>
      </c>
      <c r="S7" s="1105" t="s">
        <v>5750</v>
      </c>
      <c r="T7" s="1138" t="s">
        <v>5279</v>
      </c>
      <c r="U7" s="1138" t="s">
        <v>7107</v>
      </c>
      <c r="V7" s="1103" t="s">
        <v>7108</v>
      </c>
      <c r="W7" s="1102"/>
      <c r="X7" s="1107" t="s">
        <v>839</v>
      </c>
      <c r="Y7" s="1107" t="s">
        <v>7109</v>
      </c>
      <c r="Z7" s="1106" t="s">
        <v>6559</v>
      </c>
      <c r="AA7" s="1139" t="s">
        <v>4827</v>
      </c>
      <c r="AB7" s="1069" t="s">
        <v>4880</v>
      </c>
      <c r="AC7" s="1069" t="s">
        <v>5000</v>
      </c>
      <c r="AD7" s="1107" t="s">
        <v>4885</v>
      </c>
      <c r="AE7" s="1069" t="s">
        <v>6412</v>
      </c>
      <c r="AF7" s="1069"/>
      <c r="AG7" s="1140"/>
      <c r="AH7" s="1141" t="s">
        <v>7110</v>
      </c>
      <c r="AI7" s="1102"/>
      <c r="AJ7" s="1075"/>
      <c r="AK7" s="1075" t="s">
        <v>7111</v>
      </c>
      <c r="AL7" s="1075" t="s">
        <v>5463</v>
      </c>
      <c r="AM7" s="1075" t="s">
        <v>557</v>
      </c>
      <c r="AN7" s="1080" t="s">
        <v>7112</v>
      </c>
      <c r="AO7" s="1076"/>
      <c r="AP7" s="1080" t="s">
        <v>7113</v>
      </c>
      <c r="AQ7" s="1142" t="s">
        <v>5035</v>
      </c>
      <c r="AR7" s="1075" t="s">
        <v>7114</v>
      </c>
      <c r="AS7" s="1112" t="s">
        <v>7115</v>
      </c>
      <c r="AT7" s="1111"/>
      <c r="AU7" s="1075" t="s">
        <v>7116</v>
      </c>
      <c r="AV7" s="1076"/>
      <c r="AW7" s="1075" t="s">
        <v>471</v>
      </c>
      <c r="AX7" s="1080" t="s">
        <v>7117</v>
      </c>
      <c r="AY7" s="1112" t="s">
        <v>1926</v>
      </c>
      <c r="AZ7" s="1063"/>
      <c r="BA7" s="1127" t="s">
        <v>7118</v>
      </c>
      <c r="BB7" s="1083" t="s">
        <v>7119</v>
      </c>
      <c r="BC7" s="1143" t="s">
        <v>3370</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6576</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3499</v>
      </c>
      <c r="CJ7" s="1132" t="s">
        <v>4962</v>
      </c>
      <c r="CK7" s="1122"/>
    </row>
    <row r="8">
      <c r="A8" s="1149" t="s">
        <v>7135</v>
      </c>
      <c r="B8" s="1150" t="s">
        <v>7136</v>
      </c>
      <c r="C8" s="1055" t="s">
        <v>828</v>
      </c>
      <c r="D8" s="1056" t="s">
        <v>3389</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5106</v>
      </c>
      <c r="U8" s="1103" t="s">
        <v>7144</v>
      </c>
      <c r="V8" s="1066" t="s">
        <v>7145</v>
      </c>
      <c r="W8" s="1102"/>
      <c r="X8" s="1071" t="s">
        <v>920</v>
      </c>
      <c r="Y8" s="1070" t="s">
        <v>7146</v>
      </c>
      <c r="Z8" s="1106" t="s">
        <v>7147</v>
      </c>
      <c r="AA8" s="1106" t="s">
        <v>7148</v>
      </c>
      <c r="AB8" s="1139" t="s">
        <v>4301</v>
      </c>
      <c r="AC8" s="1106" t="s">
        <v>5619</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3371</v>
      </c>
      <c r="BI8" s="1085" t="s">
        <v>607</v>
      </c>
      <c r="BJ8" s="1086" t="s">
        <v>7166</v>
      </c>
      <c r="BK8" s="1085" t="s">
        <v>7167</v>
      </c>
      <c r="BL8" s="1085" t="s">
        <v>7168</v>
      </c>
      <c r="BM8" s="1085" t="s">
        <v>7169</v>
      </c>
      <c r="BN8" s="1102"/>
      <c r="BO8" s="1092" t="s">
        <v>2461</v>
      </c>
      <c r="BP8" s="1093" t="s">
        <v>5636</v>
      </c>
      <c r="BQ8" s="1092" t="s">
        <v>6158</v>
      </c>
      <c r="BR8" s="1092" t="s">
        <v>3971</v>
      </c>
      <c r="BS8" s="1092" t="s">
        <v>815</v>
      </c>
      <c r="BT8" s="1092" t="s">
        <v>1281</v>
      </c>
      <c r="BU8" s="1120" t="s">
        <v>3971</v>
      </c>
      <c r="BV8" s="1119" t="s">
        <v>7170</v>
      </c>
      <c r="BW8" s="1092" t="s">
        <v>7171</v>
      </c>
      <c r="BX8" s="1102"/>
      <c r="BY8" s="1121" t="s">
        <v>7172</v>
      </c>
      <c r="BZ8" s="1132" t="s">
        <v>5137</v>
      </c>
      <c r="CA8" s="1148" t="s">
        <v>2338</v>
      </c>
      <c r="CB8" s="1132" t="s">
        <v>3409</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6636</v>
      </c>
      <c r="R9" s="1065"/>
      <c r="S9" s="1065"/>
      <c r="T9" s="1159" t="s">
        <v>5704</v>
      </c>
      <c r="U9" s="1064"/>
      <c r="V9" s="1138" t="s">
        <v>7180</v>
      </c>
      <c r="W9" s="1102"/>
      <c r="X9" s="1106" t="s">
        <v>586</v>
      </c>
      <c r="Y9" s="1160" t="s">
        <v>6554</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5817</v>
      </c>
      <c r="AM9" s="1080" t="s">
        <v>654</v>
      </c>
      <c r="AN9" s="1163"/>
      <c r="AO9" s="1080" t="s">
        <v>5643</v>
      </c>
      <c r="AP9" s="1111" t="s">
        <v>7185</v>
      </c>
      <c r="AQ9" s="1164" t="s">
        <v>5717</v>
      </c>
      <c r="AR9" s="1076"/>
      <c r="AS9" s="1076"/>
      <c r="AT9" s="1111"/>
      <c r="AU9" s="1076"/>
      <c r="AV9" s="1111" t="s">
        <v>7186</v>
      </c>
      <c r="AW9" s="1111" t="s">
        <v>891</v>
      </c>
      <c r="AX9" s="1142" t="s">
        <v>7187</v>
      </c>
      <c r="AY9" s="1142" t="s">
        <v>7188</v>
      </c>
      <c r="AZ9" s="1063"/>
      <c r="BA9" s="1165"/>
      <c r="BB9" s="1166" t="s">
        <v>7189</v>
      </c>
      <c r="BC9" s="1083" t="s">
        <v>5303</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6002</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6016</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6391</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3389</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5245</v>
      </c>
      <c r="U11" s="1064"/>
      <c r="V11" s="1138" t="s">
        <v>7224</v>
      </c>
      <c r="W11" s="1102"/>
      <c r="X11" s="1140"/>
      <c r="Y11" s="1107" t="s">
        <v>7225</v>
      </c>
      <c r="Z11" s="1160" t="s">
        <v>7221</v>
      </c>
      <c r="AA11" s="1160" t="s">
        <v>7226</v>
      </c>
      <c r="AB11" s="1072" t="s">
        <v>6069</v>
      </c>
      <c r="AC11" s="1107" t="s">
        <v>2722</v>
      </c>
      <c r="AD11" s="1106" t="s">
        <v>2421</v>
      </c>
      <c r="AE11" s="1070" t="s">
        <v>1248</v>
      </c>
      <c r="AF11" s="1108"/>
      <c r="AG11" s="1160" t="s">
        <v>7227</v>
      </c>
      <c r="AH11" s="1074"/>
      <c r="AI11" s="1102"/>
      <c r="AJ11" s="1175"/>
      <c r="AK11" s="1080" t="s">
        <v>7228</v>
      </c>
      <c r="AL11" s="1076"/>
      <c r="AM11" s="1176"/>
      <c r="AN11" s="1176" t="s">
        <v>6027</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5375</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5187</v>
      </c>
      <c r="U12" s="1068" t="s">
        <v>7250</v>
      </c>
      <c r="V12" s="1068" t="s">
        <v>7251</v>
      </c>
      <c r="W12" s="1102"/>
      <c r="X12" s="1106" t="s">
        <v>2645</v>
      </c>
      <c r="Y12" s="1071" t="s">
        <v>7252</v>
      </c>
      <c r="Z12" s="1106" t="s">
        <v>7253</v>
      </c>
      <c r="AA12" s="1106" t="s">
        <v>7148</v>
      </c>
      <c r="AB12" s="1106" t="s">
        <v>6119</v>
      </c>
      <c r="AC12" s="1106" t="s">
        <v>7254</v>
      </c>
      <c r="AD12" s="1106" t="s">
        <v>1059</v>
      </c>
      <c r="AE12" s="1106" t="s">
        <v>7255</v>
      </c>
      <c r="AF12" s="1108"/>
      <c r="AG12" s="1106" t="s">
        <v>7256</v>
      </c>
      <c r="AH12" s="1074"/>
      <c r="AI12" s="1102"/>
      <c r="AJ12" s="1175"/>
      <c r="AK12" s="1113" t="s">
        <v>2013</v>
      </c>
      <c r="AL12" s="1076"/>
      <c r="AM12" s="1080" t="s">
        <v>4220</v>
      </c>
      <c r="AN12" s="1076"/>
      <c r="AO12" s="1076"/>
      <c r="AP12" s="1080" t="s">
        <v>3372</v>
      </c>
      <c r="AQ12" s="1076"/>
      <c r="AR12" s="1077" t="s">
        <v>7257</v>
      </c>
      <c r="AS12" s="1080" t="s">
        <v>7258</v>
      </c>
      <c r="AT12" s="1111"/>
      <c r="AU12" s="1112" t="s">
        <v>7259</v>
      </c>
      <c r="AV12" s="1076"/>
      <c r="AW12" s="1080" t="s">
        <v>5338</v>
      </c>
      <c r="AX12" s="1080" t="s">
        <v>4720</v>
      </c>
      <c r="AY12" s="1080" t="s">
        <v>7260</v>
      </c>
      <c r="AZ12" s="1063"/>
      <c r="BA12" s="1083" t="s">
        <v>7261</v>
      </c>
      <c r="BB12" s="1083" t="s">
        <v>7262</v>
      </c>
      <c r="BC12" s="1083" t="s">
        <v>5235</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5925</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3296</v>
      </c>
      <c r="BD13" s="1081"/>
      <c r="BE13" s="1115" t="s">
        <v>7285</v>
      </c>
      <c r="BF13" s="1063"/>
      <c r="BG13" s="1086" t="s">
        <v>5913</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6325</v>
      </c>
      <c r="B14" s="1054" t="s">
        <v>7293</v>
      </c>
      <c r="C14" s="1055" t="s">
        <v>1415</v>
      </c>
      <c r="D14" s="1056" t="s">
        <v>438</v>
      </c>
      <c r="E14" s="1057" t="s">
        <v>438</v>
      </c>
      <c r="F14" s="1058" t="s">
        <v>5548</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3330</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5610</v>
      </c>
      <c r="U15" s="1064" t="s">
        <v>7324</v>
      </c>
      <c r="V15" s="1064" t="s">
        <v>7325</v>
      </c>
      <c r="W15" s="1102"/>
      <c r="X15" s="1069" t="s">
        <v>3865</v>
      </c>
      <c r="Y15" s="1069" t="s">
        <v>7326</v>
      </c>
      <c r="Z15" s="1107" t="s">
        <v>7327</v>
      </c>
      <c r="AA15" s="1189" t="s">
        <v>7328</v>
      </c>
      <c r="AB15" s="1069" t="s">
        <v>7329</v>
      </c>
      <c r="AC15" s="1069" t="s">
        <v>7330</v>
      </c>
      <c r="AD15" s="1139" t="s">
        <v>1701</v>
      </c>
      <c r="AE15" s="1106" t="s">
        <v>5388</v>
      </c>
      <c r="AF15" s="1069" t="s">
        <v>7331</v>
      </c>
      <c r="AG15" s="1069" t="s">
        <v>7332</v>
      </c>
      <c r="AH15" s="1190" t="s">
        <v>7333</v>
      </c>
      <c r="AI15" s="1102"/>
      <c r="AJ15" s="1154"/>
      <c r="AK15" s="1080" t="s">
        <v>7334</v>
      </c>
      <c r="AL15" s="1075"/>
      <c r="AM15" s="1075" t="s">
        <v>3324</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4936</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6360</v>
      </c>
      <c r="AB16" s="1107" t="s">
        <v>1647</v>
      </c>
      <c r="AC16" s="1107" t="s">
        <v>3499</v>
      </c>
      <c r="AD16" s="1160" t="s">
        <v>200</v>
      </c>
      <c r="AE16" s="1107" t="s">
        <v>4618</v>
      </c>
      <c r="AF16" s="1069"/>
      <c r="AG16" s="1107" t="s">
        <v>7363</v>
      </c>
      <c r="AH16" s="1074"/>
      <c r="AI16" s="1102"/>
      <c r="AJ16" s="1076"/>
      <c r="AK16" s="1111" t="s">
        <v>5533</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3470</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5635</v>
      </c>
      <c r="AE17" s="1107" t="s">
        <v>6648</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5956</v>
      </c>
      <c r="AX17" s="1075" t="s">
        <v>7388</v>
      </c>
      <c r="AY17" s="1075" t="s">
        <v>6062</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5859</v>
      </c>
      <c r="CA17" s="1122"/>
      <c r="CB17" s="1122"/>
      <c r="CC17" s="1122"/>
      <c r="CD17" s="1096"/>
      <c r="CE17" s="1095" t="s">
        <v>5748</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3265</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6540</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6334</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5750</v>
      </c>
      <c r="T19" s="1064" t="s">
        <v>5088</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5685</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5391</v>
      </c>
      <c r="BU20" s="1090"/>
      <c r="BV20" s="1146" t="s">
        <v>7433</v>
      </c>
      <c r="BW20" s="1119" t="s">
        <v>7434</v>
      </c>
      <c r="BX20" s="1102"/>
      <c r="BY20" s="1134" t="s">
        <v>3407</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5083</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6202</v>
      </c>
      <c r="Y21" s="1140"/>
      <c r="Z21" s="1069" t="s">
        <v>4858</v>
      </c>
      <c r="AA21" s="1069" t="s">
        <v>7440</v>
      </c>
      <c r="AB21" s="1069" t="s">
        <v>2921</v>
      </c>
      <c r="AC21" s="1069" t="s">
        <v>1668</v>
      </c>
      <c r="AD21" s="1069" t="s">
        <v>6393</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5913</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3373</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5685</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5106</v>
      </c>
      <c r="U23" s="1064"/>
      <c r="V23" s="1138" t="s">
        <v>7477</v>
      </c>
      <c r="W23" s="1102"/>
      <c r="X23" s="1107" t="s">
        <v>2132</v>
      </c>
      <c r="Y23" s="1140"/>
      <c r="Z23" s="1107" t="s">
        <v>1907</v>
      </c>
      <c r="AA23" s="1194"/>
      <c r="AB23" s="1107" t="s">
        <v>5220</v>
      </c>
      <c r="AC23" s="1140"/>
      <c r="AD23" s="1140"/>
      <c r="AE23" s="1107" t="s">
        <v>4409</v>
      </c>
      <c r="AF23" s="1069"/>
      <c r="AG23" s="1107" t="s">
        <v>7478</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3387</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6977</v>
      </c>
      <c r="AE24" s="1069" t="s">
        <v>145</v>
      </c>
      <c r="AF24" s="1069"/>
      <c r="AG24" s="1069" t="s">
        <v>7490</v>
      </c>
      <c r="AH24" s="1207" t="s">
        <v>7491</v>
      </c>
      <c r="AI24" s="1102"/>
      <c r="AJ24" s="1075"/>
      <c r="AK24" s="1075" t="s">
        <v>5607</v>
      </c>
      <c r="AL24" s="1076"/>
      <c r="AM24" s="1075" t="s">
        <v>2584</v>
      </c>
      <c r="AN24" s="1076"/>
      <c r="AO24" s="1076"/>
      <c r="AP24" s="1075" t="s">
        <v>1982</v>
      </c>
      <c r="AQ24" s="1076"/>
      <c r="AR24" s="1075" t="s">
        <v>7492</v>
      </c>
      <c r="AS24" s="1075" t="s">
        <v>3464</v>
      </c>
      <c r="AT24" s="1111"/>
      <c r="AU24" s="1076"/>
      <c r="AV24" s="1142" t="s">
        <v>7493</v>
      </c>
      <c r="AW24" s="1075" t="s">
        <v>803</v>
      </c>
      <c r="AX24" s="1075" t="s">
        <v>7494</v>
      </c>
      <c r="AY24" s="1075" t="s">
        <v>7495</v>
      </c>
      <c r="AZ24" s="1063"/>
      <c r="BA24" s="1165"/>
      <c r="BB24" s="1083" t="s">
        <v>7496</v>
      </c>
      <c r="BC24" s="1115" t="s">
        <v>6124</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6337</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4931</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6349</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6371</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3389</v>
      </c>
      <c r="G28" s="1054" t="s">
        <v>5165</v>
      </c>
      <c r="H28" s="1173" t="s">
        <v>1353</v>
      </c>
      <c r="I28" s="1059"/>
      <c r="J28" s="1059"/>
      <c r="K28" s="1059"/>
      <c r="L28" s="1060" t="s">
        <v>1485</v>
      </c>
      <c r="M28" s="1059"/>
      <c r="N28" s="1099" t="s">
        <v>7544</v>
      </c>
      <c r="O28" s="1059"/>
      <c r="P28" s="1102"/>
      <c r="Q28" s="1213" t="s">
        <v>7545</v>
      </c>
      <c r="R28" s="1065"/>
      <c r="S28" s="1064" t="s">
        <v>5811</v>
      </c>
      <c r="T28" s="1068" t="s">
        <v>618</v>
      </c>
      <c r="U28" s="1214" t="s">
        <v>7546</v>
      </c>
      <c r="V28" s="1064" t="s">
        <v>7547</v>
      </c>
      <c r="W28" s="1102"/>
      <c r="X28" s="1140"/>
      <c r="Y28" s="1069" t="s">
        <v>4073</v>
      </c>
      <c r="Z28" s="1069" t="s">
        <v>5217</v>
      </c>
      <c r="AA28" s="1215" t="s">
        <v>1760</v>
      </c>
      <c r="AB28" s="1069" t="s">
        <v>6106</v>
      </c>
      <c r="AC28" s="1069" t="s">
        <v>3425</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6331</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5864</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5233</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5551</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6045</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5685</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6014</v>
      </c>
      <c r="H34" s="1060" t="s">
        <v>6170</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6384</v>
      </c>
      <c r="CA34" s="1122"/>
      <c r="CB34" s="1122"/>
      <c r="CC34" s="1122"/>
      <c r="CD34" s="1096"/>
      <c r="CE34" s="1096"/>
      <c r="CF34" s="1096"/>
      <c r="CG34" s="1096"/>
      <c r="CH34" s="1096"/>
      <c r="CI34" s="1096"/>
      <c r="CJ34" s="1122"/>
      <c r="CK34" s="1122"/>
    </row>
    <row r="35">
      <c r="A35" s="1053" t="s">
        <v>6089</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5870</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6634</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7662</v>
      </c>
      <c r="C37" s="1055" t="s">
        <v>738</v>
      </c>
      <c r="D37" s="1056" t="s">
        <v>1415</v>
      </c>
      <c r="E37" s="1057" t="s">
        <v>1415</v>
      </c>
      <c r="F37" s="1058" t="s">
        <v>738</v>
      </c>
      <c r="G37" s="1054" t="s">
        <v>1063</v>
      </c>
      <c r="H37" s="1060" t="s">
        <v>927</v>
      </c>
      <c r="I37" s="1059"/>
      <c r="J37" s="1059"/>
      <c r="K37" s="1059"/>
      <c r="L37" s="1059"/>
      <c r="M37" s="1059"/>
      <c r="N37" s="1060" t="s">
        <v>7663</v>
      </c>
      <c r="O37" s="1059"/>
      <c r="P37" s="1102"/>
      <c r="Q37" s="1065"/>
      <c r="R37" s="1065"/>
      <c r="S37" s="1171" t="s">
        <v>2842</v>
      </c>
      <c r="T37" s="1065"/>
      <c r="U37" s="1065"/>
      <c r="V37" s="1064" t="s">
        <v>7664</v>
      </c>
      <c r="W37" s="1102"/>
      <c r="X37" s="1140"/>
      <c r="Y37" s="1140"/>
      <c r="Z37" s="1069" t="s">
        <v>7414</v>
      </c>
      <c r="AA37" s="1194"/>
      <c r="AB37" s="1140"/>
      <c r="AC37" s="1140"/>
      <c r="AD37" s="1069" t="s">
        <v>4849</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6353</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5945</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5728</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5771</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6350</v>
      </c>
      <c r="B45" s="1054" t="s">
        <v>6002</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6002</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6351</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5934</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6176</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5698</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6021</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5970</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6549</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6014</v>
      </c>
      <c r="C3" s="1249" t="s">
        <v>738</v>
      </c>
      <c r="D3" s="1250" t="s">
        <v>738</v>
      </c>
      <c r="E3" s="1251" t="s">
        <v>438</v>
      </c>
      <c r="F3" s="1252" t="s">
        <v>828</v>
      </c>
      <c r="G3" s="1248" t="s">
        <v>828</v>
      </c>
      <c r="H3" s="1253"/>
      <c r="I3" s="1254"/>
      <c r="J3" s="1255"/>
      <c r="K3" s="1256"/>
      <c r="L3" s="1224"/>
      <c r="M3" s="1224"/>
      <c r="N3" s="1224"/>
      <c r="O3" s="1257"/>
      <c r="P3" s="1257"/>
      <c r="Q3" s="1258" t="s">
        <v>5989</v>
      </c>
      <c r="R3" s="1259"/>
      <c r="S3" s="1259"/>
      <c r="T3" s="1260" t="s">
        <v>6720</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5865</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6152</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6665</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6692</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5574</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6468</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6285</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6325</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6095</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6346</v>
      </c>
      <c r="B3" s="1054" t="s">
        <v>7858</v>
      </c>
      <c r="C3" s="1055" t="s">
        <v>333</v>
      </c>
      <c r="D3" s="1056" t="s">
        <v>438</v>
      </c>
      <c r="E3" s="1057" t="s">
        <v>543</v>
      </c>
      <c r="F3" s="1058" t="s">
        <v>2692</v>
      </c>
      <c r="G3" s="1054" t="s">
        <v>3442</v>
      </c>
      <c r="H3" s="811" t="s">
        <v>7859</v>
      </c>
      <c r="I3" s="1264" t="s">
        <v>7860</v>
      </c>
      <c r="J3" s="811" t="s">
        <v>7534</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3401</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6325</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7385</v>
      </c>
      <c r="V4" s="1258" t="s">
        <v>7916</v>
      </c>
      <c r="W4" s="798" t="s">
        <v>1361</v>
      </c>
      <c r="X4" s="798" t="s">
        <v>1725</v>
      </c>
      <c r="Y4" s="798" t="s">
        <v>1582</v>
      </c>
      <c r="Z4" s="1258" t="s">
        <v>3611</v>
      </c>
      <c r="AA4" s="1259"/>
      <c r="AB4" s="1306" t="s">
        <v>7917</v>
      </c>
      <c r="AC4" s="798" t="s">
        <v>3313</v>
      </c>
      <c r="AD4" s="798" t="s">
        <v>6210</v>
      </c>
      <c r="AE4" s="1259"/>
      <c r="AF4" s="1264" t="s">
        <v>7637</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6334</v>
      </c>
      <c r="B5" s="1054" t="s">
        <v>7929</v>
      </c>
      <c r="C5" s="1055" t="s">
        <v>828</v>
      </c>
      <c r="D5" s="1056" t="s">
        <v>332</v>
      </c>
      <c r="E5" s="1057" t="s">
        <v>1415</v>
      </c>
      <c r="F5" s="1058" t="s">
        <v>914</v>
      </c>
      <c r="G5" s="1054" t="s">
        <v>5548</v>
      </c>
      <c r="H5" s="811" t="s">
        <v>7930</v>
      </c>
      <c r="I5" s="811" t="s">
        <v>7591</v>
      </c>
      <c r="J5" s="811"/>
      <c r="K5" s="1265" t="s">
        <v>7931</v>
      </c>
      <c r="L5" s="1258" t="s">
        <v>7932</v>
      </c>
      <c r="M5" s="811"/>
      <c r="N5" s="811"/>
      <c r="O5" s="798" t="s">
        <v>7933</v>
      </c>
      <c r="P5" s="811" t="s">
        <v>7934</v>
      </c>
      <c r="Q5" s="811" t="s">
        <v>7935</v>
      </c>
      <c r="R5" s="1258" t="s">
        <v>7936</v>
      </c>
      <c r="S5" s="811"/>
      <c r="T5" s="1265" t="s">
        <v>7937</v>
      </c>
      <c r="U5" s="1265" t="s">
        <v>7938</v>
      </c>
      <c r="V5" s="811"/>
      <c r="W5" s="811" t="s">
        <v>6374</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6616</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6352</v>
      </c>
      <c r="B6" s="1054" t="s">
        <v>7956</v>
      </c>
      <c r="C6" s="1055" t="s">
        <v>987</v>
      </c>
      <c r="D6" s="1056" t="s">
        <v>333</v>
      </c>
      <c r="E6" s="1057" t="s">
        <v>828</v>
      </c>
      <c r="F6" s="1058" t="s">
        <v>7907</v>
      </c>
      <c r="G6" s="1054" t="s">
        <v>5728</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5972</v>
      </c>
      <c r="Y6" s="1265" t="s">
        <v>2534</v>
      </c>
      <c r="Z6" s="1224"/>
      <c r="AA6" s="1224"/>
      <c r="AB6" s="1224"/>
      <c r="AC6" s="1224"/>
      <c r="AD6" s="811" t="s">
        <v>7966</v>
      </c>
      <c r="AE6" s="1259"/>
      <c r="AF6" s="798" t="s">
        <v>464</v>
      </c>
      <c r="AG6" s="1259"/>
      <c r="AH6" s="1224"/>
      <c r="AI6" s="1224"/>
      <c r="AJ6" s="1258" t="s">
        <v>2207</v>
      </c>
      <c r="AK6" s="1265" t="s">
        <v>5960</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4577</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5548</v>
      </c>
      <c r="CM6" s="1314" t="s">
        <v>2218</v>
      </c>
      <c r="CN6" s="1314" t="s">
        <v>220</v>
      </c>
      <c r="CO6" s="1312"/>
      <c r="CP6" s="1312"/>
      <c r="CQ6" s="1312"/>
      <c r="CR6" s="1312"/>
      <c r="CS6" s="1314" t="s">
        <v>7982</v>
      </c>
      <c r="CT6" s="101"/>
    </row>
    <row r="7">
      <c r="A7" s="1315" t="s">
        <v>7135</v>
      </c>
      <c r="B7" s="1054" t="s">
        <v>7983</v>
      </c>
      <c r="C7" s="1055" t="s">
        <v>828</v>
      </c>
      <c r="D7" s="1056" t="s">
        <v>1064</v>
      </c>
      <c r="E7" s="1057" t="s">
        <v>1064</v>
      </c>
      <c r="F7" s="1058" t="s">
        <v>4914</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4471</v>
      </c>
      <c r="AE7" s="1259"/>
      <c r="AF7" s="798" t="s">
        <v>7992</v>
      </c>
      <c r="AG7" s="1253"/>
      <c r="AH7" s="1267" t="s">
        <v>1890</v>
      </c>
      <c r="AI7" s="1267" t="s">
        <v>1342</v>
      </c>
      <c r="AJ7" s="1267"/>
      <c r="AK7" s="811" t="s">
        <v>7993</v>
      </c>
      <c r="AL7" s="1267" t="s">
        <v>6130</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5685</v>
      </c>
      <c r="G8" s="1054" t="s">
        <v>7273</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3741</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3700</v>
      </c>
      <c r="BZ8" s="1259"/>
      <c r="CA8" s="1265" t="s">
        <v>1962</v>
      </c>
      <c r="CB8" s="1317" t="s">
        <v>2853</v>
      </c>
      <c r="CC8" s="1323" t="s">
        <v>3359</v>
      </c>
      <c r="CD8" s="1269"/>
      <c r="CE8" s="1324"/>
      <c r="CF8" s="1313"/>
      <c r="CG8" s="1324"/>
      <c r="CH8" s="1324"/>
      <c r="CI8" s="1324"/>
      <c r="CJ8" s="1324"/>
      <c r="CK8" s="1324"/>
      <c r="CL8" s="1324"/>
      <c r="CM8" s="1325" t="s">
        <v>3650</v>
      </c>
      <c r="CN8" s="1313"/>
      <c r="CO8" s="1324"/>
      <c r="CP8" s="1324"/>
      <c r="CQ8" s="1326" t="s">
        <v>8000</v>
      </c>
      <c r="CR8" s="1324"/>
      <c r="CS8" s="1324"/>
      <c r="CT8" s="1327"/>
    </row>
    <row r="9">
      <c r="A9" s="1328" t="s">
        <v>2902</v>
      </c>
      <c r="B9" s="1054" t="s">
        <v>6118</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3889</v>
      </c>
      <c r="V9" s="1257"/>
      <c r="W9" s="811" t="s">
        <v>4923</v>
      </c>
      <c r="X9" s="798" t="s">
        <v>3522</v>
      </c>
      <c r="Y9" s="798" t="s">
        <v>8034</v>
      </c>
      <c r="Z9" s="1224"/>
      <c r="AA9" s="1258" t="s">
        <v>5600</v>
      </c>
      <c r="AB9" s="1257"/>
      <c r="AC9" s="811" t="s">
        <v>5712</v>
      </c>
      <c r="AD9" s="811" t="s">
        <v>1978</v>
      </c>
      <c r="AE9" s="811"/>
      <c r="AF9" s="811" t="s">
        <v>5574</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4577</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3888</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5804</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5685</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4195</v>
      </c>
      <c r="Z11" s="1224"/>
      <c r="AA11" s="1265" t="s">
        <v>1565</v>
      </c>
      <c r="AB11" s="1257"/>
      <c r="AC11" s="798" t="s">
        <v>2208</v>
      </c>
      <c r="AD11" s="798" t="s">
        <v>2286</v>
      </c>
      <c r="AE11" s="798" t="s">
        <v>5945</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6350</v>
      </c>
      <c r="B12" s="1054" t="s">
        <v>8082</v>
      </c>
      <c r="C12" s="1055" t="s">
        <v>828</v>
      </c>
      <c r="D12" s="1056" t="s">
        <v>334</v>
      </c>
      <c r="E12" s="1057" t="s">
        <v>738</v>
      </c>
      <c r="F12" s="1058" t="s">
        <v>5685</v>
      </c>
      <c r="G12" s="1054" t="s">
        <v>4914</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5899</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8091</v>
      </c>
      <c r="C13" s="1055" t="s">
        <v>1415</v>
      </c>
      <c r="D13" s="1056" t="s">
        <v>738</v>
      </c>
      <c r="E13" s="1057" t="s">
        <v>1415</v>
      </c>
      <c r="F13" s="1058" t="s">
        <v>738</v>
      </c>
      <c r="G13" s="1054" t="s">
        <v>3840</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4816</v>
      </c>
      <c r="Y13" s="811" t="s">
        <v>377</v>
      </c>
      <c r="Z13" s="1267" t="s">
        <v>4785</v>
      </c>
      <c r="AA13" s="811" t="s">
        <v>8103</v>
      </c>
      <c r="AB13" s="1267"/>
      <c r="AC13" s="1267" t="s">
        <v>2204</v>
      </c>
      <c r="AD13" s="1267" t="s">
        <v>8104</v>
      </c>
      <c r="AE13" s="811" t="s">
        <v>5111</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4574</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6002</v>
      </c>
      <c r="CO13" s="1312" t="s">
        <v>1881</v>
      </c>
      <c r="CP13" s="1312" t="s">
        <v>7999</v>
      </c>
      <c r="CQ13" s="1312" t="s">
        <v>7996</v>
      </c>
      <c r="CR13" s="1324"/>
      <c r="CS13" s="1324"/>
      <c r="CT13" s="92"/>
    </row>
    <row r="14">
      <c r="A14" s="1349" t="s">
        <v>4828</v>
      </c>
      <c r="B14" s="1054" t="s">
        <v>8120</v>
      </c>
      <c r="C14" s="1055" t="s">
        <v>543</v>
      </c>
      <c r="D14" s="1056" t="s">
        <v>543</v>
      </c>
      <c r="E14" s="1057" t="s">
        <v>1415</v>
      </c>
      <c r="F14" s="1058" t="s">
        <v>3649</v>
      </c>
      <c r="G14" s="1054" t="s">
        <v>3987</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4735</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6002</v>
      </c>
      <c r="CO14" s="1324"/>
      <c r="CP14" s="1324"/>
      <c r="CQ14" s="1324"/>
      <c r="CR14" s="1350" t="s">
        <v>7273</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6357</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3550</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3605</v>
      </c>
      <c r="AE17" s="1259"/>
      <c r="AF17" s="1258" t="s">
        <v>8158</v>
      </c>
      <c r="AG17" s="1257"/>
      <c r="AH17" s="1258" t="s">
        <v>1699</v>
      </c>
      <c r="AI17" s="1258" t="s">
        <v>3025</v>
      </c>
      <c r="AJ17" s="1257"/>
      <c r="AK17" s="811" t="s">
        <v>4249</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4019</v>
      </c>
      <c r="T18" s="1267" t="s">
        <v>8166</v>
      </c>
      <c r="U18" s="811" t="s">
        <v>8167</v>
      </c>
      <c r="V18" s="1267"/>
      <c r="W18" s="1267" t="s">
        <v>4440</v>
      </c>
      <c r="X18" s="811" t="s">
        <v>3654</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4830</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4569</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4702</v>
      </c>
      <c r="B19" s="1054" t="s">
        <v>8182</v>
      </c>
      <c r="C19" s="1055" t="s">
        <v>1415</v>
      </c>
      <c r="D19" s="1056" t="s">
        <v>1415</v>
      </c>
      <c r="E19" s="1057" t="s">
        <v>1415</v>
      </c>
      <c r="F19" s="1058" t="s">
        <v>738</v>
      </c>
      <c r="G19" s="1054" t="s">
        <v>220</v>
      </c>
      <c r="H19" s="1329"/>
      <c r="I19" s="1329" t="s">
        <v>8183</v>
      </c>
      <c r="J19" s="811"/>
      <c r="K19" s="811" t="s">
        <v>7108</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3814</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4157</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6296</v>
      </c>
      <c r="B21" s="1054" t="s">
        <v>8211</v>
      </c>
      <c r="C21" s="1055" t="s">
        <v>1415</v>
      </c>
      <c r="D21" s="1056" t="s">
        <v>1415</v>
      </c>
      <c r="E21" s="1057" t="s">
        <v>1415</v>
      </c>
      <c r="F21" s="1058" t="s">
        <v>1415</v>
      </c>
      <c r="G21" s="1054" t="s">
        <v>5685</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4801</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6215</v>
      </c>
      <c r="C22" s="1055" t="s">
        <v>1415</v>
      </c>
      <c r="D22" s="1056" t="s">
        <v>1415</v>
      </c>
      <c r="E22" s="1057" t="s">
        <v>738</v>
      </c>
      <c r="F22" s="1058" t="s">
        <v>438</v>
      </c>
      <c r="G22" s="1054" t="s">
        <v>5685</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4822</v>
      </c>
      <c r="Z22" s="1224"/>
      <c r="AA22" s="1224"/>
      <c r="AB22" s="1257"/>
      <c r="AC22" s="1267" t="s">
        <v>8226</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5870</v>
      </c>
      <c r="X24" s="811"/>
      <c r="Y24" s="1224"/>
      <c r="Z24" s="1224"/>
      <c r="AA24" s="1224"/>
      <c r="AB24" s="1257"/>
      <c r="AC24" s="1267" t="s">
        <v>8253</v>
      </c>
      <c r="AD24" s="1267" t="s">
        <v>5720</v>
      </c>
      <c r="AE24" s="811"/>
      <c r="AF24" s="1267" t="s">
        <v>7336</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4888</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4797</v>
      </c>
    </row>
    <row r="25">
      <c r="A25" s="1320" t="s">
        <v>6340</v>
      </c>
      <c r="B25" s="1054" t="s">
        <v>440</v>
      </c>
      <c r="C25" s="1055" t="s">
        <v>1415</v>
      </c>
      <c r="D25" s="1056" t="s">
        <v>738</v>
      </c>
      <c r="E25" s="1057" t="s">
        <v>1415</v>
      </c>
      <c r="F25" s="1058" t="s">
        <v>828</v>
      </c>
      <c r="G25" s="1054" t="s">
        <v>220</v>
      </c>
      <c r="H25" s="1329"/>
      <c r="I25" s="1329" t="s">
        <v>8265</v>
      </c>
      <c r="J25" s="811"/>
      <c r="K25" s="811" t="s">
        <v>8266</v>
      </c>
      <c r="L25" s="1265" t="s">
        <v>3730</v>
      </c>
      <c r="M25" s="1224"/>
      <c r="N25" s="1224"/>
      <c r="O25" s="1224"/>
      <c r="P25" s="811" t="s">
        <v>8267</v>
      </c>
      <c r="Q25" s="1257"/>
      <c r="R25" s="798" t="s">
        <v>8268</v>
      </c>
      <c r="S25" s="1224"/>
      <c r="T25" s="1224"/>
      <c r="U25" s="811" t="s">
        <v>750</v>
      </c>
      <c r="V25" s="1267"/>
      <c r="W25" s="1267" t="s">
        <v>4364</v>
      </c>
      <c r="X25" s="811" t="s">
        <v>3456</v>
      </c>
      <c r="Y25" s="798" t="s">
        <v>8269</v>
      </c>
      <c r="Z25" s="1224"/>
      <c r="AA25" s="1224"/>
      <c r="AB25" s="1257"/>
      <c r="AC25" s="1267" t="s">
        <v>8270</v>
      </c>
      <c r="AD25" s="1267" t="s">
        <v>8271</v>
      </c>
      <c r="AE25" s="811"/>
      <c r="AF25" s="1267" t="s">
        <v>8272</v>
      </c>
      <c r="AG25" s="1267"/>
      <c r="AH25" s="1267" t="s">
        <v>8273</v>
      </c>
      <c r="AI25" s="1257"/>
      <c r="AJ25" s="1257"/>
      <c r="AK25" s="1272" t="s">
        <v>3777</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6353</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6521</v>
      </c>
      <c r="Y27" s="798" t="s">
        <v>6612</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5785</v>
      </c>
      <c r="Q28" s="1257"/>
      <c r="R28" s="1224"/>
      <c r="S28" s="811" t="s">
        <v>3274</v>
      </c>
      <c r="T28" s="811"/>
      <c r="U28" s="1267" t="s">
        <v>3718</v>
      </c>
      <c r="V28" s="1257"/>
      <c r="W28" s="1224"/>
      <c r="X28" s="811" t="s">
        <v>8285</v>
      </c>
      <c r="Y28" s="811" t="s">
        <v>5051</v>
      </c>
      <c r="Z28" s="1224"/>
      <c r="AA28" s="811" t="s">
        <v>8286</v>
      </c>
      <c r="AB28" s="1257"/>
      <c r="AC28" s="811" t="s">
        <v>8287</v>
      </c>
      <c r="AD28" s="811" t="s">
        <v>5320</v>
      </c>
      <c r="AE28" s="811" t="s">
        <v>8288</v>
      </c>
      <c r="AF28" s="811" t="s">
        <v>7606</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5400</v>
      </c>
      <c r="Z29" s="1224"/>
      <c r="AA29" s="1224"/>
      <c r="AB29" s="1257"/>
      <c r="AC29" s="1224"/>
      <c r="AD29" s="1224"/>
      <c r="AE29" s="1259"/>
      <c r="AF29" s="1265" t="s">
        <v>5614</v>
      </c>
      <c r="AG29" s="1257"/>
      <c r="AH29" s="1257"/>
      <c r="AI29" s="1257"/>
      <c r="AJ29" s="1257"/>
      <c r="AK29" s="1257"/>
      <c r="AL29" s="1224"/>
      <c r="AM29" s="1224"/>
      <c r="AN29" s="1224"/>
      <c r="AO29" s="1224"/>
      <c r="AP29" s="1224"/>
      <c r="AQ29" s="1224"/>
      <c r="AR29" s="1224"/>
      <c r="AS29" s="1224"/>
      <c r="AT29" s="1224"/>
      <c r="AU29" s="1224"/>
      <c r="AV29" s="1224"/>
      <c r="AW29" s="1224"/>
      <c r="AX29" s="811" t="s">
        <v>6413</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6413</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5859</v>
      </c>
      <c r="Z32" s="1224"/>
      <c r="AA32" s="1224"/>
      <c r="AB32" s="1257"/>
      <c r="AC32" s="1267" t="s">
        <v>8300</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5941</v>
      </c>
      <c r="B33" s="1054" t="s">
        <v>5728</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5548</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6345</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6337</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5970</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6241</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6335</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5742</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6290</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5726</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6020</v>
      </c>
      <c r="I2" s="1405" t="s">
        <v>3762</v>
      </c>
      <c r="J2" s="1406" t="s">
        <v>8379</v>
      </c>
      <c r="K2" s="1407" t="s">
        <v>4191</v>
      </c>
      <c r="L2" s="1407" t="s">
        <v>232</v>
      </c>
      <c r="M2" s="1408" t="s">
        <v>8380</v>
      </c>
      <c r="N2" s="1408" t="s">
        <v>8381</v>
      </c>
      <c r="O2" s="1408" t="s">
        <v>8382</v>
      </c>
      <c r="P2" s="1407" t="s">
        <v>1351</v>
      </c>
      <c r="Q2" s="1409" t="s">
        <v>8383</v>
      </c>
      <c r="R2" s="1410" t="s">
        <v>4448</v>
      </c>
      <c r="S2" s="1409" t="s">
        <v>815</v>
      </c>
      <c r="T2" s="1410" t="s">
        <v>8384</v>
      </c>
      <c r="U2" s="1409" t="s">
        <v>8385</v>
      </c>
      <c r="V2" s="1411">
        <v>58.55</v>
      </c>
      <c r="W2" s="1412" t="s">
        <v>8386</v>
      </c>
      <c r="X2" s="1413" t="s">
        <v>8387</v>
      </c>
      <c r="Y2" s="1413">
        <v>46.63</v>
      </c>
      <c r="Z2" s="1414" t="s">
        <v>8388</v>
      </c>
      <c r="AA2" s="1413" t="s">
        <v>3565</v>
      </c>
      <c r="AB2" s="1413" t="s">
        <v>8389</v>
      </c>
      <c r="AC2" s="1414" t="s">
        <v>4027</v>
      </c>
      <c r="AD2" s="1402" t="s">
        <v>762</v>
      </c>
      <c r="AE2" s="1403" t="s">
        <v>4705</v>
      </c>
      <c r="AF2" s="1415" t="s">
        <v>8390</v>
      </c>
      <c r="AG2" s="1415" t="s">
        <v>8391</v>
      </c>
      <c r="AH2" s="1415" t="s">
        <v>3789</v>
      </c>
      <c r="AI2" s="1416" t="s">
        <v>8392</v>
      </c>
      <c r="AJ2" s="1416" t="s">
        <v>8393</v>
      </c>
      <c r="AK2" s="1416" t="s">
        <v>8394</v>
      </c>
      <c r="AL2" s="1417" t="s">
        <v>6009</v>
      </c>
      <c r="AM2" s="1418" t="s">
        <v>3709</v>
      </c>
      <c r="AN2" s="1419" t="s">
        <v>8395</v>
      </c>
      <c r="AO2" s="1420" t="s">
        <v>6234</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0.049434490740740744</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7140</v>
      </c>
      <c r="S3" s="1430" t="s">
        <v>8381</v>
      </c>
      <c r="T3" s="1430" t="s">
        <v>8413</v>
      </c>
      <c r="U3" s="1431" t="s">
        <v>7695</v>
      </c>
      <c r="V3" s="1430" t="s">
        <v>4102</v>
      </c>
      <c r="W3" s="1432" t="s">
        <v>4132</v>
      </c>
      <c r="X3" s="1433" t="s">
        <v>2602</v>
      </c>
      <c r="Y3" s="1433" t="s">
        <v>5538</v>
      </c>
      <c r="Z3" s="1433" t="s">
        <v>442</v>
      </c>
      <c r="AA3" s="1433" t="s">
        <v>8414</v>
      </c>
      <c r="AB3" s="1432" t="s">
        <v>2813</v>
      </c>
      <c r="AC3" s="1433" t="s">
        <v>5031</v>
      </c>
      <c r="AD3" s="1427" t="s">
        <v>8415</v>
      </c>
      <c r="AE3" s="1427" t="s">
        <v>8416</v>
      </c>
      <c r="AF3" s="1434" t="s">
        <v>8417</v>
      </c>
      <c r="AG3" s="1435" t="s">
        <v>3884</v>
      </c>
      <c r="AH3" s="1435" t="s">
        <v>2788</v>
      </c>
      <c r="AI3" s="1435" t="s">
        <v>4147</v>
      </c>
      <c r="AJ3" s="1434" t="s">
        <v>8418</v>
      </c>
      <c r="AK3" s="1435" t="s">
        <v>8419</v>
      </c>
      <c r="AL3" s="1435" t="s">
        <v>5966</v>
      </c>
      <c r="AM3" s="1436" t="s">
        <v>2425</v>
      </c>
      <c r="AN3" s="1436" t="s">
        <v>3266</v>
      </c>
      <c r="AO3" s="1437" t="s">
        <v>7584</v>
      </c>
      <c r="AP3" s="1437" t="s">
        <v>8420</v>
      </c>
      <c r="AQ3" s="1437" t="s">
        <v>8421</v>
      </c>
      <c r="AR3" s="1437" t="s">
        <v>7358</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6052</v>
      </c>
      <c r="L4" s="1445" t="s">
        <v>3776</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4602</v>
      </c>
      <c r="AH4" s="1449" t="s">
        <v>5170</v>
      </c>
      <c r="AI4" s="1449" t="s">
        <v>8448</v>
      </c>
      <c r="AJ4" s="1449" t="s">
        <v>8449</v>
      </c>
      <c r="AK4" s="1449" t="s">
        <v>8450</v>
      </c>
      <c r="AL4" s="1449" t="s">
        <v>8451</v>
      </c>
      <c r="AM4" s="1450" t="s">
        <v>8452</v>
      </c>
      <c r="AN4" s="1451" t="s">
        <v>8453</v>
      </c>
      <c r="AO4" s="1450" t="s">
        <v>8454</v>
      </c>
      <c r="AP4" s="1451" t="s">
        <v>8455</v>
      </c>
      <c r="AQ4" s="1450" t="s">
        <v>8456</v>
      </c>
      <c r="AR4" s="1450" t="s">
        <v>6363</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6020</v>
      </c>
      <c r="I5" s="1458" t="s">
        <v>3762</v>
      </c>
      <c r="J5" s="1459" t="s">
        <v>5490</v>
      </c>
      <c r="K5" s="1460" t="s">
        <v>2080</v>
      </c>
      <c r="L5" s="1459" t="s">
        <v>8461</v>
      </c>
      <c r="M5" s="1461" t="s">
        <v>8380</v>
      </c>
      <c r="N5" s="1461" t="s">
        <v>8381</v>
      </c>
      <c r="O5" s="1459" t="s">
        <v>8462</v>
      </c>
      <c r="P5" s="1460" t="s">
        <v>4173</v>
      </c>
      <c r="Q5" s="1461" t="s">
        <v>8383</v>
      </c>
      <c r="R5" s="1459" t="s">
        <v>5016</v>
      </c>
      <c r="S5" s="1461" t="s">
        <v>815</v>
      </c>
      <c r="T5" s="1459" t="s">
        <v>8463</v>
      </c>
      <c r="U5" s="1461" t="s">
        <v>8385</v>
      </c>
      <c r="V5" s="1460" t="s">
        <v>8464</v>
      </c>
      <c r="W5" s="1458" t="s">
        <v>8386</v>
      </c>
      <c r="X5" s="1459" t="s">
        <v>8465</v>
      </c>
      <c r="Y5" s="1459" t="s">
        <v>7361</v>
      </c>
      <c r="Z5" s="1459" t="s">
        <v>5033</v>
      </c>
      <c r="AA5" s="1462" t="s">
        <v>5480</v>
      </c>
      <c r="AB5" s="1459" t="s">
        <v>520</v>
      </c>
      <c r="AC5" s="1461" t="s">
        <v>4027</v>
      </c>
      <c r="AD5" s="1459" t="s">
        <v>8466</v>
      </c>
      <c r="AE5" s="1463" t="s">
        <v>8467</v>
      </c>
      <c r="AF5" s="1463" t="s">
        <v>8468</v>
      </c>
      <c r="AG5" s="1464" t="s">
        <v>2320</v>
      </c>
      <c r="AH5" s="1459" t="s">
        <v>8469</v>
      </c>
      <c r="AI5" s="1461" t="s">
        <v>8392</v>
      </c>
      <c r="AJ5" s="1459" t="s">
        <v>8470</v>
      </c>
      <c r="AK5" s="1461" t="s">
        <v>8394</v>
      </c>
      <c r="AL5" s="1459" t="s">
        <v>4523</v>
      </c>
      <c r="AM5" s="1459" t="s">
        <v>8157</v>
      </c>
      <c r="AN5" s="1459" t="s">
        <v>5243</v>
      </c>
      <c r="AO5" s="1465" t="s">
        <v>8471</v>
      </c>
      <c r="AP5" s="1462" t="s">
        <v>8472</v>
      </c>
      <c r="AQ5" s="1462" t="s">
        <v>7539</v>
      </c>
      <c r="AR5" s="1466" t="s">
        <v>8473</v>
      </c>
      <c r="AS5" s="1459" t="s">
        <v>4421</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4448</v>
      </c>
      <c r="S6" s="1471" t="s">
        <v>8379</v>
      </c>
      <c r="T6" s="1472" t="s">
        <v>8384</v>
      </c>
      <c r="U6" s="1460" t="s">
        <v>8396</v>
      </c>
      <c r="V6" s="1473" t="s">
        <v>8226</v>
      </c>
      <c r="W6" s="1471" t="s">
        <v>8487</v>
      </c>
      <c r="X6" s="1472" t="s">
        <v>8387</v>
      </c>
      <c r="Y6" s="1474">
        <v>46.72</v>
      </c>
      <c r="Z6" s="1474" t="s">
        <v>3552</v>
      </c>
      <c r="AA6" s="1472" t="s">
        <v>3565</v>
      </c>
      <c r="AB6" s="1472" t="s">
        <v>8389</v>
      </c>
      <c r="AC6" s="1471" t="s">
        <v>5443</v>
      </c>
      <c r="AD6" s="1471" t="s">
        <v>7284</v>
      </c>
      <c r="AE6" s="1475" t="s">
        <v>4705</v>
      </c>
      <c r="AF6" s="1474" t="s">
        <v>8488</v>
      </c>
      <c r="AG6" s="1473" t="s">
        <v>8489</v>
      </c>
      <c r="AH6" s="1472" t="s">
        <v>3789</v>
      </c>
      <c r="AI6" s="1471" t="s">
        <v>5847</v>
      </c>
      <c r="AJ6" s="1474" t="s">
        <v>8490</v>
      </c>
      <c r="AK6" s="1474" t="s">
        <v>5730</v>
      </c>
      <c r="AL6" s="1475" t="s">
        <v>6009</v>
      </c>
      <c r="AM6" s="1472" t="s">
        <v>3709</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6336</v>
      </c>
      <c r="B7" s="1456" t="s">
        <v>8373</v>
      </c>
      <c r="C7" s="1457">
        <v>0.049444444444444444</v>
      </c>
      <c r="D7" s="1459" t="s">
        <v>8496</v>
      </c>
      <c r="E7" s="1459" t="s">
        <v>8497</v>
      </c>
      <c r="F7" s="1465" t="s">
        <v>8498</v>
      </c>
      <c r="G7" s="1461" t="s">
        <v>8378</v>
      </c>
      <c r="H7" s="1465" t="s">
        <v>8499</v>
      </c>
      <c r="I7" s="1465" t="s">
        <v>2780</v>
      </c>
      <c r="J7" s="1459" t="s">
        <v>8500</v>
      </c>
      <c r="K7" s="1465" t="s">
        <v>3381</v>
      </c>
      <c r="L7" s="1465" t="s">
        <v>4175</v>
      </c>
      <c r="M7" s="1465" t="s">
        <v>6277</v>
      </c>
      <c r="N7" s="1459" t="s">
        <v>8501</v>
      </c>
      <c r="O7" s="1465" t="s">
        <v>8502</v>
      </c>
      <c r="P7" s="1463" t="s">
        <v>6869</v>
      </c>
      <c r="Q7" s="1459" t="s">
        <v>8503</v>
      </c>
      <c r="R7" s="1465" t="s">
        <v>7174</v>
      </c>
      <c r="S7" s="1465" t="s">
        <v>3337</v>
      </c>
      <c r="T7" s="1463" t="s">
        <v>3263</v>
      </c>
      <c r="U7" s="1465" t="s">
        <v>8504</v>
      </c>
      <c r="V7" s="1465" t="s">
        <v>5161</v>
      </c>
      <c r="W7" s="1477" t="s">
        <v>8505</v>
      </c>
      <c r="X7" s="1463" t="s">
        <v>8506</v>
      </c>
      <c r="Y7" s="1478" t="s">
        <v>8507</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7103</v>
      </c>
      <c r="AL7" s="1465" t="s">
        <v>8512</v>
      </c>
      <c r="AM7" s="1459" t="s">
        <v>4494</v>
      </c>
      <c r="AN7" s="1459" t="s">
        <v>2651</v>
      </c>
      <c r="AO7" s="1459" t="s">
        <v>5782</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6797</v>
      </c>
      <c r="Y8" s="1478">
        <v>46.65</v>
      </c>
      <c r="Z8" s="1478" t="s">
        <v>8529</v>
      </c>
      <c r="AA8" s="1478" t="s">
        <v>2490</v>
      </c>
      <c r="AB8" s="1478" t="s">
        <v>8530</v>
      </c>
      <c r="AC8" s="1478">
        <v>47.89</v>
      </c>
      <c r="AD8" s="1478" t="s">
        <v>1898</v>
      </c>
      <c r="AE8" s="1478">
        <v>47.98</v>
      </c>
      <c r="AF8" s="1478" t="s">
        <v>8531</v>
      </c>
      <c r="AG8" s="1478" t="s">
        <v>8532</v>
      </c>
      <c r="AH8" s="1478">
        <v>57.45</v>
      </c>
      <c r="AI8" s="1474" t="s">
        <v>7041</v>
      </c>
      <c r="AJ8" s="1486" t="s">
        <v>8533</v>
      </c>
      <c r="AK8" s="1478" t="s">
        <v>5412</v>
      </c>
      <c r="AL8" s="1478">
        <v>56.23</v>
      </c>
      <c r="AM8" s="1485" t="s">
        <v>3909</v>
      </c>
      <c r="AN8" s="1485" t="s">
        <v>8534</v>
      </c>
      <c r="AO8" s="1478" t="s">
        <v>3643</v>
      </c>
      <c r="AP8" s="1478" t="s">
        <v>8535</v>
      </c>
      <c r="AQ8" s="1478" t="s">
        <v>8536</v>
      </c>
      <c r="AR8" s="1478" t="s">
        <v>4432</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6637</v>
      </c>
      <c r="L9" s="1472" t="s">
        <v>232</v>
      </c>
      <c r="M9" s="1490" t="s">
        <v>8544</v>
      </c>
      <c r="N9" s="1471" t="s">
        <v>8545</v>
      </c>
      <c r="O9" s="1490" t="s">
        <v>8546</v>
      </c>
      <c r="P9" s="1473" t="s">
        <v>6270</v>
      </c>
      <c r="Q9" s="1473" t="s">
        <v>8525</v>
      </c>
      <c r="R9" s="1473" t="s">
        <v>5569</v>
      </c>
      <c r="S9" s="1473" t="s">
        <v>2085</v>
      </c>
      <c r="T9" s="1473" t="s">
        <v>4012</v>
      </c>
      <c r="U9" s="1473" t="s">
        <v>8547</v>
      </c>
      <c r="V9" s="1270" t="s">
        <v>8548</v>
      </c>
      <c r="W9" s="1491" t="s">
        <v>8549</v>
      </c>
      <c r="X9" s="1473" t="s">
        <v>8550</v>
      </c>
      <c r="Y9" s="1472">
        <v>46.63</v>
      </c>
      <c r="Z9" s="1492" t="s">
        <v>306</v>
      </c>
      <c r="AA9" s="1471" t="s">
        <v>8551</v>
      </c>
      <c r="AB9" s="1472" t="s">
        <v>8389</v>
      </c>
      <c r="AC9" s="1473" t="s">
        <v>5441</v>
      </c>
      <c r="AD9" s="1473" t="s">
        <v>8552</v>
      </c>
      <c r="AE9" s="1474" t="s">
        <v>8553</v>
      </c>
      <c r="AF9" s="1471" t="s">
        <v>8554</v>
      </c>
      <c r="AG9" s="1478" t="s">
        <v>8555</v>
      </c>
      <c r="AH9" s="1473" t="s">
        <v>8469</v>
      </c>
      <c r="AI9" s="1270" t="s">
        <v>8556</v>
      </c>
      <c r="AJ9" s="1474" t="s">
        <v>8557</v>
      </c>
      <c r="AK9" s="1473" t="s">
        <v>1364</v>
      </c>
      <c r="AL9" s="1473" t="s">
        <v>5111</v>
      </c>
      <c r="AM9" s="1473" t="s">
        <v>4012</v>
      </c>
      <c r="AN9" s="1490" t="s">
        <v>8558</v>
      </c>
      <c r="AO9" s="1473" t="s">
        <v>8493</v>
      </c>
      <c r="AP9" s="1473" t="s">
        <v>8559</v>
      </c>
      <c r="AQ9" s="1473" t="s">
        <v>8560</v>
      </c>
      <c r="AR9" s="1473" t="s">
        <v>4578</v>
      </c>
      <c r="AS9" s="1473" t="s">
        <v>8561</v>
      </c>
      <c r="AT9" s="1493" t="s">
        <v>8398</v>
      </c>
      <c r="AU9" s="1494" t="s">
        <v>8562</v>
      </c>
      <c r="AV9" s="1463" t="str">
        <f t="shared" si="1"/>
        <v>2:59</v>
      </c>
      <c r="AW9" s="1495"/>
    </row>
    <row r="10">
      <c r="A10" s="1469" t="s">
        <v>6260</v>
      </c>
      <c r="B10" s="1496" t="s">
        <v>8373</v>
      </c>
      <c r="C10" s="1457">
        <v>0.04958333333333333</v>
      </c>
      <c r="D10" s="1270" t="s">
        <v>8563</v>
      </c>
      <c r="E10" s="1478" t="s">
        <v>6232</v>
      </c>
      <c r="F10" s="1478" t="s">
        <v>8564</v>
      </c>
      <c r="G10" s="1478" t="s">
        <v>8565</v>
      </c>
      <c r="H10" s="1485" t="s">
        <v>8566</v>
      </c>
      <c r="I10" s="1485" t="s">
        <v>5608</v>
      </c>
      <c r="J10" s="1485" t="s">
        <v>149</v>
      </c>
      <c r="K10" s="1485" t="s">
        <v>7274</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4169</v>
      </c>
      <c r="AA10" s="1478" t="s">
        <v>8575</v>
      </c>
      <c r="AB10" s="1478" t="s">
        <v>4595</v>
      </c>
      <c r="AC10" s="1485" t="s">
        <v>4800</v>
      </c>
      <c r="AD10" s="1485" t="s">
        <v>8576</v>
      </c>
      <c r="AE10" s="1478">
        <v>47.89</v>
      </c>
      <c r="AF10" s="1478" t="s">
        <v>8577</v>
      </c>
      <c r="AG10" s="1475" t="s">
        <v>8391</v>
      </c>
      <c r="AH10" s="1478">
        <v>57.71</v>
      </c>
      <c r="AI10" s="1485" t="s">
        <v>2179</v>
      </c>
      <c r="AJ10" s="1478" t="s">
        <v>8533</v>
      </c>
      <c r="AK10" s="1485" t="s">
        <v>7111</v>
      </c>
      <c r="AL10" s="1478">
        <v>56.69</v>
      </c>
      <c r="AM10" s="1485" t="s">
        <v>8578</v>
      </c>
      <c r="AN10" s="1485" t="s">
        <v>4127</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7496</v>
      </c>
      <c r="I11" s="1473" t="s">
        <v>8331</v>
      </c>
      <c r="J11" s="1471" t="s">
        <v>8588</v>
      </c>
      <c r="K11" s="1473" t="s">
        <v>8589</v>
      </c>
      <c r="L11" s="1473" t="s">
        <v>3219</v>
      </c>
      <c r="M11" s="1473" t="s">
        <v>8590</v>
      </c>
      <c r="N11" s="1473" t="s">
        <v>8591</v>
      </c>
      <c r="O11" s="1473" t="s">
        <v>8592</v>
      </c>
      <c r="P11" s="1473" t="s">
        <v>5945</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5612</v>
      </c>
      <c r="AE11" s="1474">
        <v>47.81</v>
      </c>
      <c r="AF11" s="1473" t="s">
        <v>8600</v>
      </c>
      <c r="AG11" s="1473" t="s">
        <v>8601</v>
      </c>
      <c r="AH11" s="1473" t="s">
        <v>747</v>
      </c>
      <c r="AI11" s="1473" t="s">
        <v>864</v>
      </c>
      <c r="AJ11" s="1473" t="s">
        <v>8602</v>
      </c>
      <c r="AK11" s="1473" t="s">
        <v>8603</v>
      </c>
      <c r="AL11" s="1473" t="s">
        <v>8604</v>
      </c>
      <c r="AM11" s="1473" t="s">
        <v>4494</v>
      </c>
      <c r="AN11" s="1483" t="s">
        <v>8395</v>
      </c>
      <c r="AO11" s="1483" t="s">
        <v>6234</v>
      </c>
      <c r="AP11" s="1473" t="s">
        <v>8605</v>
      </c>
      <c r="AQ11" s="1473" t="s">
        <v>3697</v>
      </c>
      <c r="AR11" s="1483" t="s">
        <v>416</v>
      </c>
      <c r="AS11" s="1473" t="s">
        <v>3188</v>
      </c>
      <c r="AT11" s="1473" t="s">
        <v>3526</v>
      </c>
      <c r="AU11" s="1494" t="s">
        <v>8606</v>
      </c>
      <c r="AV11" s="1463" t="str">
        <f t="shared" si="1"/>
        <v>2:27</v>
      </c>
      <c r="AW11" s="1501" t="s">
        <v>8607</v>
      </c>
    </row>
    <row r="12" ht="15.75" customHeight="1">
      <c r="A12" s="1502" t="s">
        <v>6334</v>
      </c>
      <c r="B12" s="1456" t="s">
        <v>8373</v>
      </c>
      <c r="C12" s="1457">
        <v>0.04967592592592593</v>
      </c>
      <c r="D12" s="1270" t="s">
        <v>8608</v>
      </c>
      <c r="E12" s="1465" t="s">
        <v>885</v>
      </c>
      <c r="F12" s="1465" t="s">
        <v>8609</v>
      </c>
      <c r="G12" s="1465" t="s">
        <v>8610</v>
      </c>
      <c r="H12" s="1270" t="s">
        <v>8611</v>
      </c>
      <c r="I12" s="1465" t="s">
        <v>8612</v>
      </c>
      <c r="J12" s="1465" t="s">
        <v>8613</v>
      </c>
      <c r="K12" s="1465" t="s">
        <v>8614</v>
      </c>
      <c r="L12" s="1465" t="s">
        <v>4427</v>
      </c>
      <c r="M12" s="1465" t="s">
        <v>8189</v>
      </c>
      <c r="N12" s="1465" t="s">
        <v>2175</v>
      </c>
      <c r="O12" s="1465" t="s">
        <v>3202</v>
      </c>
      <c r="P12" s="1465" t="s">
        <v>8612</v>
      </c>
      <c r="Q12" s="1465" t="s">
        <v>8615</v>
      </c>
      <c r="R12" s="1465" t="s">
        <v>1226</v>
      </c>
      <c r="S12" s="1503" t="s">
        <v>8616</v>
      </c>
      <c r="T12" s="1465" t="s">
        <v>4858</v>
      </c>
      <c r="U12" s="1465" t="s">
        <v>8617</v>
      </c>
      <c r="V12" s="1465" t="s">
        <v>8464</v>
      </c>
      <c r="W12" s="1465" t="s">
        <v>8618</v>
      </c>
      <c r="X12" s="1465" t="s">
        <v>961</v>
      </c>
      <c r="Y12" s="1465" t="s">
        <v>4312</v>
      </c>
      <c r="Z12" s="1465" t="s">
        <v>8619</v>
      </c>
      <c r="AA12" s="1465" t="s">
        <v>8620</v>
      </c>
      <c r="AB12" s="1465" t="s">
        <v>1907</v>
      </c>
      <c r="AC12" s="1465" t="s">
        <v>758</v>
      </c>
      <c r="AD12" s="1465" t="s">
        <v>8621</v>
      </c>
      <c r="AE12" s="1465" t="s">
        <v>6281</v>
      </c>
      <c r="AF12" s="1459" t="s">
        <v>8622</v>
      </c>
      <c r="AG12" s="1465" t="s">
        <v>8623</v>
      </c>
      <c r="AH12" s="1465" t="s">
        <v>4724</v>
      </c>
      <c r="AI12" s="1465" t="s">
        <v>2930</v>
      </c>
      <c r="AJ12" s="1465" t="s">
        <v>8624</v>
      </c>
      <c r="AK12" s="1465" t="s">
        <v>4177</v>
      </c>
      <c r="AL12" s="1465" t="s">
        <v>8625</v>
      </c>
      <c r="AM12" s="1465" t="s">
        <v>8626</v>
      </c>
      <c r="AN12" s="1270" t="s">
        <v>8482</v>
      </c>
      <c r="AO12" s="1465" t="s">
        <v>8627</v>
      </c>
      <c r="AP12" s="1465" t="s">
        <v>8628</v>
      </c>
      <c r="AQ12" s="1459" t="s">
        <v>8629</v>
      </c>
      <c r="AR12" s="1465" t="s">
        <v>8630</v>
      </c>
      <c r="AS12" s="1465" t="s">
        <v>1572</v>
      </c>
      <c r="AT12" s="1465" t="s">
        <v>8631</v>
      </c>
      <c r="AU12" s="1465" t="s">
        <v>8632</v>
      </c>
      <c r="AV12" s="1463" t="str">
        <f t="shared" si="1"/>
        <v>2:47</v>
      </c>
      <c r="AW12" s="1468" t="s">
        <v>8633</v>
      </c>
    </row>
    <row r="13" ht="15.75" customHeight="1">
      <c r="A13" s="1504" t="s">
        <v>2639</v>
      </c>
      <c r="B13" s="1456" t="s">
        <v>8373</v>
      </c>
      <c r="C13" s="1505">
        <v>0.04971064814814815</v>
      </c>
      <c r="D13" s="1464" t="s">
        <v>8634</v>
      </c>
      <c r="E13" s="1506" t="s">
        <v>509</v>
      </c>
      <c r="F13" s="1506" t="s">
        <v>8635</v>
      </c>
      <c r="G13" s="1506" t="s">
        <v>8636</v>
      </c>
      <c r="H13" s="1459" t="s">
        <v>8637</v>
      </c>
      <c r="I13" s="1507" t="s">
        <v>5652</v>
      </c>
      <c r="J13" s="1508" t="s">
        <v>8638</v>
      </c>
      <c r="K13" s="1508" t="s">
        <v>4261</v>
      </c>
      <c r="L13" s="1508" t="s">
        <v>4656</v>
      </c>
      <c r="M13" s="1508" t="s">
        <v>8590</v>
      </c>
      <c r="N13" s="1508" t="s">
        <v>2555</v>
      </c>
      <c r="O13" s="1508" t="s">
        <v>8639</v>
      </c>
      <c r="P13" s="1508" t="s">
        <v>8640</v>
      </c>
      <c r="Q13" s="1459" t="s">
        <v>8641</v>
      </c>
      <c r="R13" s="1509" t="s">
        <v>8642</v>
      </c>
      <c r="S13" s="1459" t="s">
        <v>1899</v>
      </c>
      <c r="T13" s="1509" t="s">
        <v>8643</v>
      </c>
      <c r="U13" s="1459" t="s">
        <v>7163</v>
      </c>
      <c r="V13" s="1509" t="s">
        <v>3401</v>
      </c>
      <c r="W13" s="1510" t="s">
        <v>8644</v>
      </c>
      <c r="X13" s="1510" t="s">
        <v>4039</v>
      </c>
      <c r="Y13" s="1510" t="s">
        <v>6878</v>
      </c>
      <c r="Z13" s="1510" t="s">
        <v>8645</v>
      </c>
      <c r="AA13" s="1510" t="s">
        <v>8489</v>
      </c>
      <c r="AB13" s="1510" t="s">
        <v>4413</v>
      </c>
      <c r="AC13" s="1510" t="s">
        <v>1148</v>
      </c>
      <c r="AD13" s="1506" t="s">
        <v>8646</v>
      </c>
      <c r="AE13" s="1506" t="s">
        <v>5275</v>
      </c>
      <c r="AF13" s="1511" t="s">
        <v>8647</v>
      </c>
      <c r="AG13" s="1511" t="s">
        <v>7656</v>
      </c>
      <c r="AH13" s="1511" t="s">
        <v>5285</v>
      </c>
      <c r="AI13" s="1511" t="s">
        <v>8648</v>
      </c>
      <c r="AJ13" s="1511" t="s">
        <v>8649</v>
      </c>
      <c r="AK13" s="1511" t="s">
        <v>8650</v>
      </c>
      <c r="AL13" s="1511" t="s">
        <v>4070</v>
      </c>
      <c r="AM13" s="1512" t="s">
        <v>8651</v>
      </c>
      <c r="AN13" s="1513" t="s">
        <v>4656</v>
      </c>
      <c r="AO13" s="1513" t="s">
        <v>8652</v>
      </c>
      <c r="AP13" s="1512" t="s">
        <v>8653</v>
      </c>
      <c r="AQ13" s="1512" t="s">
        <v>8654</v>
      </c>
      <c r="AR13" s="1513" t="s">
        <v>8655</v>
      </c>
      <c r="AS13" s="1512" t="s">
        <v>271</v>
      </c>
      <c r="AT13" s="1476" t="s">
        <v>8656</v>
      </c>
      <c r="AU13" s="1494" t="s">
        <v>8657</v>
      </c>
      <c r="AV13" s="1463" t="str">
        <f t="shared" si="1"/>
        <v>2:35</v>
      </c>
      <c r="AW13" s="1514" t="s">
        <v>8658</v>
      </c>
    </row>
    <row r="14" ht="15.75" customHeight="1">
      <c r="A14" s="1455" t="s">
        <v>6095</v>
      </c>
      <c r="B14" s="1515" t="s">
        <v>8373</v>
      </c>
      <c r="C14" s="1457">
        <v>0.04982638888888889</v>
      </c>
      <c r="D14" s="1464" t="s">
        <v>8659</v>
      </c>
      <c r="E14" s="1464" t="s">
        <v>4747</v>
      </c>
      <c r="F14" s="1464" t="s">
        <v>8660</v>
      </c>
      <c r="G14" s="1464" t="s">
        <v>8661</v>
      </c>
      <c r="H14" s="1464" t="s">
        <v>8662</v>
      </c>
      <c r="I14" s="1464" t="s">
        <v>5625</v>
      </c>
      <c r="J14" s="1464" t="s">
        <v>8663</v>
      </c>
      <c r="K14" s="1270" t="s">
        <v>8664</v>
      </c>
      <c r="L14" s="1464" t="s">
        <v>8665</v>
      </c>
      <c r="M14" s="1464" t="s">
        <v>8666</v>
      </c>
      <c r="N14" s="1464" t="s">
        <v>2020</v>
      </c>
      <c r="O14" s="1464" t="s">
        <v>8667</v>
      </c>
      <c r="P14" s="1270" t="s">
        <v>4475</v>
      </c>
      <c r="Q14" s="1464" t="s">
        <v>8668</v>
      </c>
      <c r="R14" s="1464" t="s">
        <v>1938</v>
      </c>
      <c r="S14" s="1464" t="s">
        <v>3337</v>
      </c>
      <c r="T14" s="1464" t="s">
        <v>8669</v>
      </c>
      <c r="U14" s="1464" t="s">
        <v>8670</v>
      </c>
      <c r="V14" s="1464" t="s">
        <v>6520</v>
      </c>
      <c r="W14" s="1464" t="s">
        <v>5429</v>
      </c>
      <c r="X14" s="1464" t="s">
        <v>8391</v>
      </c>
      <c r="Y14" s="1464" t="s">
        <v>8481</v>
      </c>
      <c r="Z14" s="1464" t="s">
        <v>6645</v>
      </c>
      <c r="AA14" s="1516" t="s">
        <v>8671</v>
      </c>
      <c r="AB14" s="1464" t="s">
        <v>5748</v>
      </c>
      <c r="AC14" s="1464" t="s">
        <v>1030</v>
      </c>
      <c r="AD14" s="1464" t="s">
        <v>7314</v>
      </c>
      <c r="AE14" s="1464" t="s">
        <v>4890</v>
      </c>
      <c r="AF14" s="1464" t="s">
        <v>8672</v>
      </c>
      <c r="AG14" s="1464" t="s">
        <v>1529</v>
      </c>
      <c r="AH14" s="1270" t="s">
        <v>8673</v>
      </c>
      <c r="AI14" s="1464" t="s">
        <v>8067</v>
      </c>
      <c r="AJ14" s="1464" t="s">
        <v>8674</v>
      </c>
      <c r="AK14" s="1464" t="s">
        <v>8675</v>
      </c>
      <c r="AL14" s="1464" t="s">
        <v>4405</v>
      </c>
      <c r="AM14" s="1464" t="s">
        <v>3409</v>
      </c>
      <c r="AN14" s="1464" t="s">
        <v>8676</v>
      </c>
      <c r="AO14" s="1464" t="s">
        <v>8515</v>
      </c>
      <c r="AP14" s="1517" t="s">
        <v>8396</v>
      </c>
      <c r="AQ14" s="1464" t="s">
        <v>8677</v>
      </c>
      <c r="AR14" s="1464" t="s">
        <v>8678</v>
      </c>
      <c r="AS14" s="1464" t="s">
        <v>8679</v>
      </c>
      <c r="AT14" s="1464" t="s">
        <v>8680</v>
      </c>
      <c r="AU14" s="1518" t="s">
        <v>8681</v>
      </c>
      <c r="AV14" s="1463" t="str">
        <f t="shared" si="1"/>
        <v>2:18</v>
      </c>
      <c r="AW14" s="1519" t="s">
        <v>8682</v>
      </c>
    </row>
    <row r="15" ht="15.75" customHeight="1">
      <c r="A15" s="1455" t="s">
        <v>2008</v>
      </c>
      <c r="B15" s="1456" t="s">
        <v>8373</v>
      </c>
      <c r="C15" s="1457">
        <v>0.049895833333333334</v>
      </c>
      <c r="D15" s="1270" t="s">
        <v>8683</v>
      </c>
      <c r="E15" s="1520" t="s">
        <v>885</v>
      </c>
      <c r="F15" s="1506" t="s">
        <v>8684</v>
      </c>
      <c r="G15" s="1520" t="s">
        <v>8685</v>
      </c>
      <c r="H15" s="1521" t="s">
        <v>8686</v>
      </c>
      <c r="I15" s="1507" t="s">
        <v>5489</v>
      </c>
      <c r="J15" s="1508" t="s">
        <v>8687</v>
      </c>
      <c r="K15" s="1522" t="s">
        <v>8688</v>
      </c>
      <c r="L15" s="1508" t="s">
        <v>8689</v>
      </c>
      <c r="M15" s="1508" t="s">
        <v>5035</v>
      </c>
      <c r="N15" s="1508" t="s">
        <v>8690</v>
      </c>
      <c r="O15" s="1522" t="s">
        <v>8691</v>
      </c>
      <c r="P15" s="1270" t="s">
        <v>8692</v>
      </c>
      <c r="Q15" s="1509" t="s">
        <v>3363</v>
      </c>
      <c r="R15" s="1523" t="s">
        <v>8693</v>
      </c>
      <c r="S15" s="1523" t="s">
        <v>8694</v>
      </c>
      <c r="T15" s="1523" t="s">
        <v>8695</v>
      </c>
      <c r="U15" s="1523" t="s">
        <v>8696</v>
      </c>
      <c r="V15" s="1509" t="s">
        <v>4456</v>
      </c>
      <c r="W15" s="1510" t="s">
        <v>8697</v>
      </c>
      <c r="X15" s="1524" t="s">
        <v>8698</v>
      </c>
      <c r="Y15" s="1510" t="s">
        <v>8699</v>
      </c>
      <c r="Z15" s="1510" t="s">
        <v>8700</v>
      </c>
      <c r="AA15" s="1510" t="s">
        <v>3189</v>
      </c>
      <c r="AB15" s="1524" t="s">
        <v>7626</v>
      </c>
      <c r="AC15" s="1524" t="s">
        <v>1219</v>
      </c>
      <c r="AD15" s="1520" t="s">
        <v>8701</v>
      </c>
      <c r="AE15" s="1520" t="s">
        <v>8702</v>
      </c>
      <c r="AF15" s="1525" t="s">
        <v>8703</v>
      </c>
      <c r="AG15" s="1511" t="s">
        <v>8704</v>
      </c>
      <c r="AH15" s="1511" t="s">
        <v>8705</v>
      </c>
      <c r="AI15" s="1511" t="s">
        <v>8601</v>
      </c>
      <c r="AJ15" s="1525" t="s">
        <v>8706</v>
      </c>
      <c r="AK15" s="1525" t="s">
        <v>892</v>
      </c>
      <c r="AL15" s="1511" t="s">
        <v>8707</v>
      </c>
      <c r="AM15" s="1513" t="s">
        <v>8708</v>
      </c>
      <c r="AN15" s="1512" t="s">
        <v>3039</v>
      </c>
      <c r="AO15" s="1513" t="s">
        <v>8709</v>
      </c>
      <c r="AP15" s="1512" t="s">
        <v>5576</v>
      </c>
      <c r="AQ15" s="1513" t="s">
        <v>8710</v>
      </c>
      <c r="AR15" s="1512" t="s">
        <v>1163</v>
      </c>
      <c r="AS15" s="1512" t="s">
        <v>3966</v>
      </c>
      <c r="AT15" s="1522" t="s">
        <v>6253</v>
      </c>
      <c r="AU15" s="1526" t="s">
        <v>8711</v>
      </c>
      <c r="AV15" s="1463" t="str">
        <f t="shared" si="1"/>
        <v>2:22</v>
      </c>
      <c r="AW15" s="1495" t="s">
        <v>8712</v>
      </c>
    </row>
    <row r="16">
      <c r="A16" s="1502" t="s">
        <v>1551</v>
      </c>
      <c r="B16" s="1500" t="s">
        <v>8373</v>
      </c>
      <c r="C16" s="1457">
        <v>0.04991898148148148</v>
      </c>
      <c r="D16" s="1527" t="s">
        <v>8713</v>
      </c>
      <c r="E16" s="1528" t="s">
        <v>8714</v>
      </c>
      <c r="F16" s="1528" t="s">
        <v>8715</v>
      </c>
      <c r="G16" s="1528" t="s">
        <v>8716</v>
      </c>
      <c r="H16" s="1528" t="s">
        <v>8717</v>
      </c>
      <c r="I16" s="1528">
        <v>48.07</v>
      </c>
      <c r="J16" s="1528" t="s">
        <v>8718</v>
      </c>
      <c r="K16" s="1528" t="s">
        <v>1702</v>
      </c>
      <c r="L16" s="1528">
        <v>56.32</v>
      </c>
      <c r="M16" s="1528" t="s">
        <v>862</v>
      </c>
      <c r="N16" s="1528" t="s">
        <v>8719</v>
      </c>
      <c r="O16" s="1528" t="s">
        <v>8720</v>
      </c>
      <c r="P16" s="1528">
        <v>47.77</v>
      </c>
      <c r="Q16" s="1528" t="s">
        <v>8721</v>
      </c>
      <c r="R16" s="1528" t="s">
        <v>7200</v>
      </c>
      <c r="S16" s="1528" t="s">
        <v>8722</v>
      </c>
      <c r="T16" s="1528" t="s">
        <v>4540</v>
      </c>
      <c r="U16" s="1528" t="s">
        <v>8723</v>
      </c>
      <c r="V16" s="1528">
        <v>59.79</v>
      </c>
      <c r="W16" s="1528" t="s">
        <v>8724</v>
      </c>
      <c r="X16" s="1528" t="s">
        <v>2070</v>
      </c>
      <c r="Y16" s="1528">
        <v>47.0</v>
      </c>
      <c r="Z16" s="1528" t="s">
        <v>8725</v>
      </c>
      <c r="AA16" s="1528" t="s">
        <v>8726</v>
      </c>
      <c r="AB16" s="1528" t="s">
        <v>7167</v>
      </c>
      <c r="AC16" s="1528">
        <v>47.56</v>
      </c>
      <c r="AD16" s="1528" t="s">
        <v>8415</v>
      </c>
      <c r="AE16" s="1528">
        <v>47.95</v>
      </c>
      <c r="AF16" s="1528" t="s">
        <v>8727</v>
      </c>
      <c r="AG16" s="1528" t="s">
        <v>8728</v>
      </c>
      <c r="AH16" s="1528">
        <v>57.67</v>
      </c>
      <c r="AI16" s="1528" t="s">
        <v>961</v>
      </c>
      <c r="AJ16" s="1528" t="s">
        <v>8729</v>
      </c>
      <c r="AK16" s="1528" t="s">
        <v>7651</v>
      </c>
      <c r="AL16" s="1528">
        <v>56.37</v>
      </c>
      <c r="AM16" s="1528" t="s">
        <v>8730</v>
      </c>
      <c r="AN16" s="1528">
        <v>55.92</v>
      </c>
      <c r="AO16" s="1528" t="s">
        <v>4432</v>
      </c>
      <c r="AP16" s="1528" t="s">
        <v>8293</v>
      </c>
      <c r="AQ16" s="1528" t="s">
        <v>8731</v>
      </c>
      <c r="AR16" s="1528" t="s">
        <v>6362</v>
      </c>
      <c r="AS16" s="1528">
        <v>46.83</v>
      </c>
      <c r="AT16" s="1529" t="s">
        <v>8732</v>
      </c>
      <c r="AU16" s="1485" t="s">
        <v>8733</v>
      </c>
      <c r="AV16" s="1463" t="str">
        <f t="shared" si="1"/>
        <v>1:53</v>
      </c>
      <c r="AW16" s="1501" t="s">
        <v>8734</v>
      </c>
    </row>
    <row r="17">
      <c r="A17" s="1502" t="s">
        <v>2093</v>
      </c>
      <c r="B17" s="1500" t="s">
        <v>8373</v>
      </c>
      <c r="C17" s="1530">
        <v>0.049930555555555554</v>
      </c>
      <c r="D17" s="1531" t="s">
        <v>8735</v>
      </c>
      <c r="E17" s="1485" t="s">
        <v>8380</v>
      </c>
      <c r="F17" s="1485" t="s">
        <v>4255</v>
      </c>
      <c r="G17" s="1485" t="s">
        <v>8736</v>
      </c>
      <c r="H17" s="1485" t="s">
        <v>8737</v>
      </c>
      <c r="I17" s="1485" t="s">
        <v>5608</v>
      </c>
      <c r="J17" s="1485" t="s">
        <v>6141</v>
      </c>
      <c r="K17" s="1485" t="s">
        <v>8738</v>
      </c>
      <c r="L17" s="1485" t="s">
        <v>4070</v>
      </c>
      <c r="M17" s="1485" t="s">
        <v>1093</v>
      </c>
      <c r="N17" s="1485" t="s">
        <v>8739</v>
      </c>
      <c r="O17" s="1485" t="s">
        <v>798</v>
      </c>
      <c r="P17" s="1478">
        <v>47.54</v>
      </c>
      <c r="Q17" s="1532" t="s">
        <v>5615</v>
      </c>
      <c r="R17" s="1478" t="s">
        <v>8740</v>
      </c>
      <c r="S17" s="1532" t="s">
        <v>8616</v>
      </c>
      <c r="T17" s="1478" t="s">
        <v>8741</v>
      </c>
      <c r="U17" s="1532" t="s">
        <v>8742</v>
      </c>
      <c r="V17" s="1533">
        <v>58.55</v>
      </c>
      <c r="W17" s="1532" t="s">
        <v>8743</v>
      </c>
      <c r="X17" s="1532" t="s">
        <v>8744</v>
      </c>
      <c r="Y17" s="1459" t="s">
        <v>8507</v>
      </c>
      <c r="Z17" s="1532" t="s">
        <v>8745</v>
      </c>
      <c r="AA17" s="1485" t="s">
        <v>8746</v>
      </c>
      <c r="AB17" s="1532" t="s">
        <v>8747</v>
      </c>
      <c r="AC17" s="1463">
        <v>47.2</v>
      </c>
      <c r="AD17" s="1532" t="s">
        <v>8748</v>
      </c>
      <c r="AE17" s="1478">
        <v>47.88</v>
      </c>
      <c r="AF17" s="1532" t="s">
        <v>8749</v>
      </c>
      <c r="AG17" s="1532" t="s">
        <v>8750</v>
      </c>
      <c r="AH17" s="1532">
        <v>57.68</v>
      </c>
      <c r="AI17" s="1532" t="s">
        <v>2750</v>
      </c>
      <c r="AJ17" s="1478" t="s">
        <v>8751</v>
      </c>
      <c r="AK17" s="1459" t="s">
        <v>8752</v>
      </c>
      <c r="AL17" s="1532">
        <v>55.92</v>
      </c>
      <c r="AM17" s="1532" t="s">
        <v>2792</v>
      </c>
      <c r="AN17" s="1459" t="s">
        <v>5656</v>
      </c>
      <c r="AO17" s="1532" t="s">
        <v>6630</v>
      </c>
      <c r="AP17" s="1532" t="s">
        <v>8753</v>
      </c>
      <c r="AQ17" s="1532" t="s">
        <v>7283</v>
      </c>
      <c r="AR17" s="1532" t="s">
        <v>8754</v>
      </c>
      <c r="AS17" s="1534">
        <v>42.83</v>
      </c>
      <c r="AT17" s="1478" t="s">
        <v>7870</v>
      </c>
      <c r="AU17" s="1494" t="s">
        <v>8755</v>
      </c>
      <c r="AV17" s="1463" t="str">
        <f t="shared" si="1"/>
        <v>4:29</v>
      </c>
      <c r="AW17" s="1501" t="s">
        <v>8756</v>
      </c>
    </row>
    <row r="18" ht="15.75" customHeight="1">
      <c r="A18" s="1502" t="s">
        <v>2251</v>
      </c>
      <c r="B18" s="1456" t="s">
        <v>8373</v>
      </c>
      <c r="C18" s="1457">
        <v>0.0499537037037037</v>
      </c>
      <c r="D18" s="1465" t="s">
        <v>8757</v>
      </c>
      <c r="E18" s="1465" t="s">
        <v>2700</v>
      </c>
      <c r="F18" s="1465" t="s">
        <v>8758</v>
      </c>
      <c r="G18" s="1459" t="s">
        <v>8759</v>
      </c>
      <c r="H18" s="1465" t="s">
        <v>8760</v>
      </c>
      <c r="I18" s="1535" t="s">
        <v>8702</v>
      </c>
      <c r="J18" s="1465" t="s">
        <v>1418</v>
      </c>
      <c r="K18" s="1465" t="s">
        <v>5152</v>
      </c>
      <c r="L18" s="1465" t="s">
        <v>8761</v>
      </c>
      <c r="M18" s="1465" t="s">
        <v>8762</v>
      </c>
      <c r="N18" s="1465" t="s">
        <v>8763</v>
      </c>
      <c r="O18" s="1465" t="s">
        <v>8764</v>
      </c>
      <c r="P18" s="1465" t="s">
        <v>8765</v>
      </c>
      <c r="Q18" s="1465" t="s">
        <v>4621</v>
      </c>
      <c r="R18" s="1509" t="s">
        <v>8766</v>
      </c>
      <c r="S18" s="1465" t="s">
        <v>4003</v>
      </c>
      <c r="T18" s="1465" t="s">
        <v>8596</v>
      </c>
      <c r="U18" s="1465" t="s">
        <v>8767</v>
      </c>
      <c r="V18" s="1465" t="s">
        <v>8768</v>
      </c>
      <c r="W18" s="1465" t="s">
        <v>8769</v>
      </c>
      <c r="X18" s="1465" t="s">
        <v>7627</v>
      </c>
      <c r="Y18" s="1465" t="s">
        <v>4268</v>
      </c>
      <c r="Z18" s="1465" t="s">
        <v>8770</v>
      </c>
      <c r="AA18" s="1465" t="s">
        <v>7627</v>
      </c>
      <c r="AB18" s="1465" t="s">
        <v>8591</v>
      </c>
      <c r="AC18" s="1465" t="s">
        <v>5538</v>
      </c>
      <c r="AD18" s="1465" t="s">
        <v>7678</v>
      </c>
      <c r="AE18" s="1465" t="s">
        <v>8771</v>
      </c>
      <c r="AF18" s="1465" t="s">
        <v>8772</v>
      </c>
      <c r="AG18" s="1465" t="s">
        <v>5040</v>
      </c>
      <c r="AH18" s="1465" t="s">
        <v>5188</v>
      </c>
      <c r="AI18" s="1465" t="s">
        <v>8773</v>
      </c>
      <c r="AJ18" s="1461" t="s">
        <v>8393</v>
      </c>
      <c r="AK18" s="1465" t="s">
        <v>2523</v>
      </c>
      <c r="AL18" s="1465" t="s">
        <v>8774</v>
      </c>
      <c r="AM18" s="1465" t="s">
        <v>8775</v>
      </c>
      <c r="AN18" s="1465" t="s">
        <v>553</v>
      </c>
      <c r="AO18" s="1465" t="s">
        <v>8776</v>
      </c>
      <c r="AP18" s="1465" t="s">
        <v>8777</v>
      </c>
      <c r="AQ18" s="1465" t="s">
        <v>4733</v>
      </c>
      <c r="AR18" s="1465" t="s">
        <v>6363</v>
      </c>
      <c r="AS18" s="1465" t="s">
        <v>8778</v>
      </c>
      <c r="AT18" s="1465" t="s">
        <v>2890</v>
      </c>
      <c r="AU18" s="1465" t="s">
        <v>8779</v>
      </c>
      <c r="AV18" s="1463" t="str">
        <f t="shared" si="1"/>
        <v>3:21</v>
      </c>
      <c r="AW18" s="1519" t="s">
        <v>8780</v>
      </c>
    </row>
    <row r="19" ht="15.75" customHeight="1">
      <c r="A19" s="1455" t="s">
        <v>8781</v>
      </c>
      <c r="B19" s="1456" t="s">
        <v>8373</v>
      </c>
      <c r="C19" s="1457">
        <v>0.049965277777777775</v>
      </c>
      <c r="D19" s="1270" t="s">
        <v>8782</v>
      </c>
      <c r="E19" s="1465" t="s">
        <v>4293</v>
      </c>
      <c r="F19" s="1465" t="s">
        <v>8783</v>
      </c>
      <c r="G19" s="1465" t="s">
        <v>8784</v>
      </c>
      <c r="H19" s="1463" t="s">
        <v>2276</v>
      </c>
      <c r="I19" s="1465" t="s">
        <v>1296</v>
      </c>
      <c r="J19" s="1465" t="s">
        <v>382</v>
      </c>
      <c r="K19" s="1465" t="s">
        <v>8785</v>
      </c>
      <c r="L19" s="1465" t="s">
        <v>5355</v>
      </c>
      <c r="M19" s="1465" t="s">
        <v>6277</v>
      </c>
      <c r="N19" s="1465" t="s">
        <v>8786</v>
      </c>
      <c r="O19" s="1465" t="s">
        <v>2605</v>
      </c>
      <c r="P19" s="1463" t="s">
        <v>5388</v>
      </c>
      <c r="Q19" s="1465" t="s">
        <v>8787</v>
      </c>
      <c r="R19" s="1465" t="s">
        <v>3167</v>
      </c>
      <c r="S19" s="1465" t="s">
        <v>7542</v>
      </c>
      <c r="T19" s="1465" t="s">
        <v>8157</v>
      </c>
      <c r="U19" s="1465" t="s">
        <v>8788</v>
      </c>
      <c r="V19" s="1465" t="s">
        <v>4961</v>
      </c>
      <c r="W19" s="1465" t="s">
        <v>8789</v>
      </c>
      <c r="X19" s="1463" t="s">
        <v>6636</v>
      </c>
      <c r="Y19" s="1463" t="s">
        <v>5474</v>
      </c>
      <c r="Z19" s="1465" t="s">
        <v>8790</v>
      </c>
      <c r="AA19" s="1465" t="s">
        <v>2320</v>
      </c>
      <c r="AB19" s="1465" t="s">
        <v>8791</v>
      </c>
      <c r="AC19" s="1465" t="s">
        <v>785</v>
      </c>
      <c r="AD19" s="1465" t="s">
        <v>5399</v>
      </c>
      <c r="AE19" s="1465" t="s">
        <v>8792</v>
      </c>
      <c r="AF19" s="1465" t="s">
        <v>873</v>
      </c>
      <c r="AG19" s="1465" t="s">
        <v>8793</v>
      </c>
      <c r="AH19" s="1465" t="s">
        <v>8794</v>
      </c>
      <c r="AI19" s="1465" t="s">
        <v>687</v>
      </c>
      <c r="AJ19" s="1463" t="s">
        <v>8795</v>
      </c>
      <c r="AK19" s="1511" t="s">
        <v>7452</v>
      </c>
      <c r="AL19" s="1465" t="s">
        <v>4613</v>
      </c>
      <c r="AM19" s="1465" t="s">
        <v>3565</v>
      </c>
      <c r="AN19" s="1463" t="s">
        <v>6009</v>
      </c>
      <c r="AO19" s="1463" t="s">
        <v>6363</v>
      </c>
      <c r="AP19" s="1463" t="s">
        <v>8796</v>
      </c>
      <c r="AQ19" s="1463" t="s">
        <v>8492</v>
      </c>
      <c r="AR19" s="1463" t="s">
        <v>489</v>
      </c>
      <c r="AS19" s="1463" t="s">
        <v>5643</v>
      </c>
      <c r="AT19" s="1463" t="s">
        <v>8672</v>
      </c>
      <c r="AU19" s="1465" t="s">
        <v>8797</v>
      </c>
      <c r="AV19" s="1463" t="str">
        <f t="shared" si="1"/>
        <v>3:46</v>
      </c>
      <c r="AW19" s="1536" t="s">
        <v>7950</v>
      </c>
    </row>
    <row r="20">
      <c r="A20" s="1502" t="s">
        <v>2027</v>
      </c>
      <c r="B20" s="1496" t="s">
        <v>8373</v>
      </c>
      <c r="C20" s="1537">
        <v>0.04990740740740741</v>
      </c>
      <c r="D20" s="1485" t="s">
        <v>8798</v>
      </c>
      <c r="E20" s="1485" t="s">
        <v>8799</v>
      </c>
      <c r="F20" s="1485" t="s">
        <v>8670</v>
      </c>
      <c r="G20" s="1485" t="s">
        <v>8800</v>
      </c>
      <c r="H20" s="1485" t="s">
        <v>8801</v>
      </c>
      <c r="I20" s="1485" t="s">
        <v>3721</v>
      </c>
      <c r="J20" s="1485" t="s">
        <v>8802</v>
      </c>
      <c r="K20" s="1538" t="s">
        <v>4191</v>
      </c>
      <c r="L20" s="1485" t="s">
        <v>8774</v>
      </c>
      <c r="M20" s="1485" t="s">
        <v>8803</v>
      </c>
      <c r="N20" s="1485" t="s">
        <v>7058</v>
      </c>
      <c r="O20" s="1485" t="s">
        <v>8804</v>
      </c>
      <c r="P20" s="1485" t="s">
        <v>6270</v>
      </c>
      <c r="Q20" s="1485" t="s">
        <v>8805</v>
      </c>
      <c r="R20" s="1485" t="s">
        <v>8740</v>
      </c>
      <c r="S20" s="1485" t="s">
        <v>8806</v>
      </c>
      <c r="T20" s="1485" t="s">
        <v>5700</v>
      </c>
      <c r="U20" s="1485" t="s">
        <v>8807</v>
      </c>
      <c r="V20" s="1485" t="s">
        <v>8808</v>
      </c>
      <c r="W20" s="1485" t="s">
        <v>5415</v>
      </c>
      <c r="X20" s="1485" t="s">
        <v>8809</v>
      </c>
      <c r="Y20" s="1485" t="s">
        <v>8507</v>
      </c>
      <c r="Z20" s="1485" t="s">
        <v>8810</v>
      </c>
      <c r="AA20" s="1485" t="s">
        <v>8746</v>
      </c>
      <c r="AB20" s="1485" t="s">
        <v>8747</v>
      </c>
      <c r="AC20" s="1485" t="s">
        <v>593</v>
      </c>
      <c r="AD20" s="1485" t="s">
        <v>8811</v>
      </c>
      <c r="AE20" s="1485" t="s">
        <v>5487</v>
      </c>
      <c r="AF20" s="1485" t="s">
        <v>8812</v>
      </c>
      <c r="AG20" s="1485" t="s">
        <v>8813</v>
      </c>
      <c r="AH20" s="1485" t="s">
        <v>2835</v>
      </c>
      <c r="AI20" s="1485" t="s">
        <v>8575</v>
      </c>
      <c r="AJ20" s="1485" t="s">
        <v>8814</v>
      </c>
      <c r="AK20" s="1485" t="s">
        <v>8815</v>
      </c>
      <c r="AL20" s="1485" t="s">
        <v>344</v>
      </c>
      <c r="AM20" s="1485" t="s">
        <v>2177</v>
      </c>
      <c r="AN20" s="1485" t="s">
        <v>232</v>
      </c>
      <c r="AO20" s="1485" t="s">
        <v>8816</v>
      </c>
      <c r="AP20" s="1485" t="s">
        <v>8817</v>
      </c>
      <c r="AQ20" s="1459" t="s">
        <v>7539</v>
      </c>
      <c r="AR20" s="1485" t="s">
        <v>2633</v>
      </c>
      <c r="AS20" s="1485" t="s">
        <v>926</v>
      </c>
      <c r="AT20" s="1485" t="s">
        <v>2434</v>
      </c>
      <c r="AU20" s="1465" t="s">
        <v>8818</v>
      </c>
      <c r="AV20" s="1463" t="str">
        <f t="shared" si="1"/>
        <v>2:24</v>
      </c>
      <c r="AW20" s="1536"/>
    </row>
    <row r="21" ht="15.75" customHeight="1">
      <c r="A21" s="1539" t="s">
        <v>6030</v>
      </c>
      <c r="B21" s="1456" t="s">
        <v>8373</v>
      </c>
      <c r="C21" s="1457">
        <v>0.05</v>
      </c>
      <c r="D21" s="1270" t="s">
        <v>8819</v>
      </c>
      <c r="E21" s="1465" t="s">
        <v>8189</v>
      </c>
      <c r="F21" s="1465" t="s">
        <v>8758</v>
      </c>
      <c r="G21" s="1463" t="s">
        <v>8820</v>
      </c>
      <c r="H21" s="1465" t="s">
        <v>8821</v>
      </c>
      <c r="I21" s="1463" t="s">
        <v>1916</v>
      </c>
      <c r="J21" s="1465" t="s">
        <v>2864</v>
      </c>
      <c r="K21" s="1465" t="s">
        <v>8822</v>
      </c>
      <c r="L21" s="1465" t="s">
        <v>3187</v>
      </c>
      <c r="M21" s="1465" t="s">
        <v>8823</v>
      </c>
      <c r="N21" s="1465" t="s">
        <v>8824</v>
      </c>
      <c r="O21" s="1465" t="s">
        <v>8743</v>
      </c>
      <c r="P21" s="1463" t="s">
        <v>3903</v>
      </c>
      <c r="Q21" s="1465" t="s">
        <v>8825</v>
      </c>
      <c r="R21" s="1465" t="s">
        <v>6559</v>
      </c>
      <c r="S21" s="1465" t="s">
        <v>6798</v>
      </c>
      <c r="T21" s="1465" t="s">
        <v>7202</v>
      </c>
      <c r="U21" s="1465" t="s">
        <v>8826</v>
      </c>
      <c r="V21" s="1465" t="s">
        <v>8827</v>
      </c>
      <c r="W21" s="1465" t="s">
        <v>8828</v>
      </c>
      <c r="X21" s="1465" t="s">
        <v>8829</v>
      </c>
      <c r="Y21" s="1465" t="s">
        <v>8830</v>
      </c>
      <c r="Z21" s="1465" t="s">
        <v>8831</v>
      </c>
      <c r="AA21" s="1465" t="s">
        <v>8832</v>
      </c>
      <c r="AB21" s="1465" t="s">
        <v>8833</v>
      </c>
      <c r="AC21" s="1463" t="s">
        <v>4909</v>
      </c>
      <c r="AD21" s="1465" t="s">
        <v>8834</v>
      </c>
      <c r="AE21" s="1463" t="s">
        <v>5462</v>
      </c>
      <c r="AF21" s="1540" t="s">
        <v>8390</v>
      </c>
      <c r="AG21" s="1465" t="s">
        <v>604</v>
      </c>
      <c r="AH21" s="1465" t="s">
        <v>6783</v>
      </c>
      <c r="AI21" s="1465" t="s">
        <v>194</v>
      </c>
      <c r="AJ21" s="1463" t="s">
        <v>8835</v>
      </c>
      <c r="AK21" s="1465" t="s">
        <v>8836</v>
      </c>
      <c r="AL21" s="1463" t="s">
        <v>3691</v>
      </c>
      <c r="AM21" s="1465" t="s">
        <v>1977</v>
      </c>
      <c r="AN21" s="1463" t="s">
        <v>2624</v>
      </c>
      <c r="AO21" s="1465" t="s">
        <v>3438</v>
      </c>
      <c r="AP21" s="1465" t="s">
        <v>8837</v>
      </c>
      <c r="AQ21" s="1463" t="s">
        <v>8838</v>
      </c>
      <c r="AR21" s="1465" t="s">
        <v>1669</v>
      </c>
      <c r="AS21" s="1463" t="s">
        <v>8679</v>
      </c>
      <c r="AT21" s="1465" t="s">
        <v>8839</v>
      </c>
      <c r="AU21" s="1465" t="s">
        <v>8840</v>
      </c>
      <c r="AV21" s="1463" t="str">
        <f t="shared" si="1"/>
        <v>1:53</v>
      </c>
      <c r="AW21" s="1536"/>
    </row>
    <row r="22" ht="15.75" customHeight="1">
      <c r="A22" s="1502" t="s">
        <v>2216</v>
      </c>
      <c r="B22" s="1541" t="s">
        <v>8401</v>
      </c>
      <c r="C22" s="1457">
        <v>0.050150462962962966</v>
      </c>
      <c r="D22" s="1506" t="s">
        <v>8841</v>
      </c>
      <c r="E22" s="1270" t="s">
        <v>7755</v>
      </c>
      <c r="F22" s="1270" t="s">
        <v>8842</v>
      </c>
      <c r="G22" s="1506" t="s">
        <v>8843</v>
      </c>
      <c r="H22" s="1542" t="s">
        <v>8406</v>
      </c>
      <c r="I22" s="1270" t="s">
        <v>6025</v>
      </c>
      <c r="J22" s="1270" t="s">
        <v>4239</v>
      </c>
      <c r="K22" s="1270" t="s">
        <v>8844</v>
      </c>
      <c r="L22" s="1270" t="s">
        <v>4724</v>
      </c>
      <c r="M22" s="1270" t="s">
        <v>8845</v>
      </c>
      <c r="N22" s="1508" t="s">
        <v>8846</v>
      </c>
      <c r="O22" s="1270" t="s">
        <v>8847</v>
      </c>
      <c r="P22" s="1508" t="s">
        <v>5441</v>
      </c>
      <c r="Q22" s="1270" t="s">
        <v>8848</v>
      </c>
      <c r="R22" s="1270" t="s">
        <v>8849</v>
      </c>
      <c r="S22" s="1509" t="s">
        <v>8850</v>
      </c>
      <c r="T22" s="1543" t="s">
        <v>8413</v>
      </c>
      <c r="U22" s="1509" t="s">
        <v>126</v>
      </c>
      <c r="V22" s="1270" t="s">
        <v>7992</v>
      </c>
      <c r="W22" s="1544" t="s">
        <v>4132</v>
      </c>
      <c r="X22" s="1270" t="s">
        <v>8851</v>
      </c>
      <c r="Y22" s="1270" t="s">
        <v>5117</v>
      </c>
      <c r="Z22" s="1545" t="s">
        <v>442</v>
      </c>
      <c r="AA22" s="1510" t="s">
        <v>4667</v>
      </c>
      <c r="AB22" s="1270" t="s">
        <v>3040</v>
      </c>
      <c r="AC22" s="1270" t="s">
        <v>412</v>
      </c>
      <c r="AD22" s="1270" t="s">
        <v>7678</v>
      </c>
      <c r="AE22" s="1546" t="s">
        <v>8416</v>
      </c>
      <c r="AF22" s="1466" t="s">
        <v>8852</v>
      </c>
      <c r="AG22" s="1545" t="s">
        <v>3884</v>
      </c>
      <c r="AH22" s="1270" t="s">
        <v>4919</v>
      </c>
      <c r="AI22" s="1511" t="s">
        <v>8853</v>
      </c>
      <c r="AJ22" s="1270" t="s">
        <v>8854</v>
      </c>
      <c r="AK22" s="1270" t="s">
        <v>1289</v>
      </c>
      <c r="AL22" s="1544" t="s">
        <v>5966</v>
      </c>
      <c r="AM22" s="1270" t="s">
        <v>8855</v>
      </c>
      <c r="AN22" s="1513" t="s">
        <v>8689</v>
      </c>
      <c r="AO22" s="1545" t="s">
        <v>7584</v>
      </c>
      <c r="AP22" s="1270" t="s">
        <v>8856</v>
      </c>
      <c r="AQ22" s="1547" t="s">
        <v>8421</v>
      </c>
      <c r="AR22" s="1270" t="s">
        <v>860</v>
      </c>
      <c r="AS22" s="1548" t="s">
        <v>5168</v>
      </c>
      <c r="AT22" s="1270" t="s">
        <v>8857</v>
      </c>
      <c r="AU22" s="1494" t="s">
        <v>8858</v>
      </c>
      <c r="AV22" s="1463" t="str">
        <f t="shared" si="1"/>
        <v>4:06</v>
      </c>
      <c r="AW22" s="1501" t="s">
        <v>8859</v>
      </c>
    </row>
    <row r="23">
      <c r="A23" s="1502" t="s">
        <v>6338</v>
      </c>
      <c r="B23" s="1496" t="s">
        <v>8401</v>
      </c>
      <c r="C23" s="1457">
        <v>0.05016203703703704</v>
      </c>
      <c r="D23" s="1478" t="s">
        <v>8860</v>
      </c>
      <c r="E23" s="1549" t="s">
        <v>8403</v>
      </c>
      <c r="F23" s="1478" t="s">
        <v>8861</v>
      </c>
      <c r="G23" s="1478" t="s">
        <v>8862</v>
      </c>
      <c r="H23" s="1478" t="s">
        <v>8863</v>
      </c>
      <c r="I23" s="1478" t="s">
        <v>4930</v>
      </c>
      <c r="J23" s="1478" t="s">
        <v>4083</v>
      </c>
      <c r="K23" s="1478" t="s">
        <v>8864</v>
      </c>
      <c r="L23" s="1270" t="s">
        <v>5002</v>
      </c>
      <c r="M23" s="1545" t="s">
        <v>8410</v>
      </c>
      <c r="N23" s="1478" t="s">
        <v>8865</v>
      </c>
      <c r="O23" s="1478" t="s">
        <v>8866</v>
      </c>
      <c r="P23" s="1478" t="s">
        <v>5763</v>
      </c>
      <c r="Q23" s="1478" t="s">
        <v>2672</v>
      </c>
      <c r="R23" s="1478" t="s">
        <v>899</v>
      </c>
      <c r="S23" s="1478" t="s">
        <v>8867</v>
      </c>
      <c r="T23" s="1478" t="s">
        <v>1301</v>
      </c>
      <c r="U23" s="1478" t="s">
        <v>8868</v>
      </c>
      <c r="V23" s="1478" t="s">
        <v>8869</v>
      </c>
      <c r="W23" s="1478" t="s">
        <v>8870</v>
      </c>
      <c r="X23" s="1478" t="s">
        <v>1367</v>
      </c>
      <c r="Y23" s="1478" t="s">
        <v>1096</v>
      </c>
      <c r="Z23" s="1478" t="s">
        <v>8745</v>
      </c>
      <c r="AA23" s="1550" t="s">
        <v>8414</v>
      </c>
      <c r="AB23" s="1478" t="s">
        <v>8871</v>
      </c>
      <c r="AC23" s="1478" t="s">
        <v>4705</v>
      </c>
      <c r="AD23" s="1478" t="s">
        <v>8872</v>
      </c>
      <c r="AE23" s="1478" t="s">
        <v>4815</v>
      </c>
      <c r="AF23" s="1478" t="s">
        <v>5626</v>
      </c>
      <c r="AG23" s="1478" t="s">
        <v>8873</v>
      </c>
      <c r="AH23" s="1478" t="s">
        <v>4333</v>
      </c>
      <c r="AI23" s="1549" t="s">
        <v>4147</v>
      </c>
      <c r="AJ23" s="1478" t="s">
        <v>8874</v>
      </c>
      <c r="AK23" s="1478" t="s">
        <v>8875</v>
      </c>
      <c r="AL23" s="1478" t="s">
        <v>2506</v>
      </c>
      <c r="AM23" s="1478" t="s">
        <v>4008</v>
      </c>
      <c r="AN23" s="1478" t="s">
        <v>5852</v>
      </c>
      <c r="AO23" s="1478" t="s">
        <v>8876</v>
      </c>
      <c r="AP23" s="1478" t="s">
        <v>8877</v>
      </c>
      <c r="AQ23" s="1478" t="s">
        <v>3993</v>
      </c>
      <c r="AR23" s="1550" t="s">
        <v>7358</v>
      </c>
      <c r="AS23" s="1478" t="s">
        <v>753</v>
      </c>
      <c r="AT23" s="1550" t="s">
        <v>8422</v>
      </c>
      <c r="AU23" s="1465" t="s">
        <v>8878</v>
      </c>
      <c r="AV23" s="1463" t="str">
        <f t="shared" si="1"/>
        <v>3:20</v>
      </c>
      <c r="AW23" s="1551"/>
    </row>
    <row r="24" ht="15.75" customHeight="1">
      <c r="A24" s="1469" t="s">
        <v>1413</v>
      </c>
      <c r="B24" s="1456" t="s">
        <v>8373</v>
      </c>
      <c r="C24" s="1457">
        <v>0.05025462962962963</v>
      </c>
      <c r="D24" s="1270" t="s">
        <v>8879</v>
      </c>
      <c r="E24" s="1506" t="s">
        <v>8880</v>
      </c>
      <c r="F24" s="1520" t="s">
        <v>8881</v>
      </c>
      <c r="G24" s="1459" t="s">
        <v>8882</v>
      </c>
      <c r="H24" s="1507" t="s">
        <v>8883</v>
      </c>
      <c r="I24" s="1507" t="s">
        <v>1048</v>
      </c>
      <c r="J24" s="1508" t="s">
        <v>8523</v>
      </c>
      <c r="K24" s="1522" t="s">
        <v>8884</v>
      </c>
      <c r="L24" s="1522" t="s">
        <v>5107</v>
      </c>
      <c r="M24" s="1552" t="str">
        <f>HYPERLINK("https://youtu.be/teAIifUZjFw","1:14.18")</f>
        <v>1:14.18</v>
      </c>
      <c r="N24" s="1522" t="s">
        <v>3743</v>
      </c>
      <c r="O24" s="1522" t="s">
        <v>8885</v>
      </c>
      <c r="P24" s="1522" t="s">
        <v>2019</v>
      </c>
      <c r="Q24" s="1523" t="s">
        <v>8886</v>
      </c>
      <c r="R24" s="1509" t="s">
        <v>8887</v>
      </c>
      <c r="S24" s="1509" t="s">
        <v>5420</v>
      </c>
      <c r="T24" s="1553" t="str">
        <f>HYPERLINK("https://youtu.be/AiXricVH5ss","1:24.99")</f>
        <v>1:24.99</v>
      </c>
      <c r="U24" s="1554" t="str">
        <f>HYPERLINK("https://www.twitch.tv/videos/450151935","2:00.31")</f>
        <v>2:00.31</v>
      </c>
      <c r="V24" s="1509" t="s">
        <v>8888</v>
      </c>
      <c r="W24" s="1555" t="str">
        <f>HYPERLINK("https://youtu.be/eafNhBoXVWA","1:46.09")</f>
        <v>1:46.09</v>
      </c>
      <c r="X24" s="1524" t="s">
        <v>4473</v>
      </c>
      <c r="Y24" s="1524" t="s">
        <v>8612</v>
      </c>
      <c r="Z24" s="1524" t="s">
        <v>8889</v>
      </c>
      <c r="AA24" s="1510" t="s">
        <v>8555</v>
      </c>
      <c r="AB24" s="1524" t="s">
        <v>6906</v>
      </c>
      <c r="AC24" s="1524" t="s">
        <v>7507</v>
      </c>
      <c r="AD24" s="1556" t="str">
        <f>HYPERLINK("https://youtu.be/8FEcTKESSh0","1:49.80")</f>
        <v>1:49.80</v>
      </c>
      <c r="AE24" s="1506" t="s">
        <v>6281</v>
      </c>
      <c r="AF24" s="1525" t="s">
        <v>8890</v>
      </c>
      <c r="AG24" s="1525" t="s">
        <v>8891</v>
      </c>
      <c r="AH24" s="1525" t="s">
        <v>8892</v>
      </c>
      <c r="AI24" s="1525" t="s">
        <v>4009</v>
      </c>
      <c r="AJ24" s="1525" t="s">
        <v>8893</v>
      </c>
      <c r="AK24" s="1511" t="s">
        <v>8741</v>
      </c>
      <c r="AL24" s="1525" t="s">
        <v>8894</v>
      </c>
      <c r="AM24" s="1513" t="s">
        <v>8708</v>
      </c>
      <c r="AN24" s="1513" t="s">
        <v>8158</v>
      </c>
      <c r="AO24" s="1513" t="s">
        <v>8895</v>
      </c>
      <c r="AP24" s="1512" t="s">
        <v>8896</v>
      </c>
      <c r="AQ24" s="1512" t="s">
        <v>8897</v>
      </c>
      <c r="AR24" s="1513" t="s">
        <v>8898</v>
      </c>
      <c r="AS24" s="1512" t="s">
        <v>5518</v>
      </c>
      <c r="AT24" s="1552" t="str">
        <f>HYPERLINK("https://youtu.be/xDirVtS1AZ4?t=4416","2:27.45")</f>
        <v>2:27.45</v>
      </c>
      <c r="AU24" s="1526" t="s">
        <v>8899</v>
      </c>
      <c r="AV24" s="1463" t="str">
        <f t="shared" si="1"/>
        <v>2:34</v>
      </c>
      <c r="AW24" s="1495" t="s">
        <v>8900</v>
      </c>
    </row>
    <row r="25">
      <c r="A25" s="1502" t="s">
        <v>6325</v>
      </c>
      <c r="B25" s="1496" t="s">
        <v>8373</v>
      </c>
      <c r="C25" s="1457">
        <v>0.0502662037037037</v>
      </c>
      <c r="D25" s="1270" t="s">
        <v>8901</v>
      </c>
      <c r="E25" s="1465" t="s">
        <v>8544</v>
      </c>
      <c r="F25" s="1465" t="s">
        <v>8902</v>
      </c>
      <c r="G25" s="1465" t="s">
        <v>8903</v>
      </c>
      <c r="H25" s="1465" t="s">
        <v>8904</v>
      </c>
      <c r="I25" s="1270" t="s">
        <v>261</v>
      </c>
      <c r="J25" s="1270" t="s">
        <v>8905</v>
      </c>
      <c r="K25" s="1465" t="s">
        <v>8822</v>
      </c>
      <c r="L25" s="1465" t="s">
        <v>4070</v>
      </c>
      <c r="M25" s="1270" t="s">
        <v>2655</v>
      </c>
      <c r="N25" s="1465" t="s">
        <v>8906</v>
      </c>
      <c r="O25" s="1465" t="s">
        <v>8907</v>
      </c>
      <c r="P25" s="1270" t="s">
        <v>8908</v>
      </c>
      <c r="Q25" s="1465" t="s">
        <v>8909</v>
      </c>
      <c r="R25" s="1270" t="s">
        <v>8910</v>
      </c>
      <c r="S25" s="1465" t="s">
        <v>8911</v>
      </c>
      <c r="T25" s="1270" t="s">
        <v>8912</v>
      </c>
      <c r="U25" s="1465" t="s">
        <v>1032</v>
      </c>
      <c r="V25" s="1270" t="s">
        <v>4961</v>
      </c>
      <c r="W25" s="1270" t="s">
        <v>7048</v>
      </c>
      <c r="X25" s="1270" t="s">
        <v>6636</v>
      </c>
      <c r="Y25" s="1270" t="s">
        <v>969</v>
      </c>
      <c r="Z25" s="1270" t="s">
        <v>8913</v>
      </c>
      <c r="AA25" s="1465" t="s">
        <v>8914</v>
      </c>
      <c r="AB25" s="1270" t="s">
        <v>7506</v>
      </c>
      <c r="AC25" s="1465" t="s">
        <v>8915</v>
      </c>
      <c r="AD25" s="1270" t="s">
        <v>6058</v>
      </c>
      <c r="AE25" s="1465" t="s">
        <v>8916</v>
      </c>
      <c r="AF25" s="1465" t="s">
        <v>8917</v>
      </c>
      <c r="AG25" s="1270" t="s">
        <v>2057</v>
      </c>
      <c r="AH25" s="1270" t="s">
        <v>2630</v>
      </c>
      <c r="AI25" s="1465" t="s">
        <v>8918</v>
      </c>
      <c r="AJ25" s="1270" t="s">
        <v>8919</v>
      </c>
      <c r="AK25" s="1270" t="s">
        <v>8387</v>
      </c>
      <c r="AL25" s="1270" t="s">
        <v>4613</v>
      </c>
      <c r="AM25" s="1270" t="s">
        <v>8920</v>
      </c>
      <c r="AN25" s="1270" t="s">
        <v>4613</v>
      </c>
      <c r="AO25" s="1270" t="s">
        <v>1912</v>
      </c>
      <c r="AP25" s="1465" t="s">
        <v>8921</v>
      </c>
      <c r="AQ25" s="1270" t="s">
        <v>2178</v>
      </c>
      <c r="AR25" s="1465" t="s">
        <v>8275</v>
      </c>
      <c r="AS25" s="1270" t="s">
        <v>1824</v>
      </c>
      <c r="AT25" s="1465" t="s">
        <v>8922</v>
      </c>
      <c r="AU25" s="1465" t="s">
        <v>8923</v>
      </c>
      <c r="AV25" s="1463" t="str">
        <f t="shared" si="1"/>
        <v>2:28</v>
      </c>
      <c r="AW25" s="1498" t="s">
        <v>8924</v>
      </c>
    </row>
    <row r="26">
      <c r="A26" s="1502" t="s">
        <v>8925</v>
      </c>
      <c r="B26" s="1557" t="s">
        <v>8373</v>
      </c>
      <c r="C26" s="1457">
        <v>0.0503125</v>
      </c>
      <c r="D26" s="1270" t="s">
        <v>8926</v>
      </c>
      <c r="E26" s="1506" t="s">
        <v>8927</v>
      </c>
      <c r="F26" s="1506" t="s">
        <v>8928</v>
      </c>
      <c r="G26" s="1506" t="s">
        <v>7985</v>
      </c>
      <c r="H26" s="1558" t="s">
        <v>8929</v>
      </c>
      <c r="I26" s="1558" t="s">
        <v>6877</v>
      </c>
      <c r="J26" s="1508" t="s">
        <v>1908</v>
      </c>
      <c r="K26" s="1508" t="s">
        <v>5864</v>
      </c>
      <c r="L26" s="1508" t="s">
        <v>3367</v>
      </c>
      <c r="M26" s="1508" t="s">
        <v>8930</v>
      </c>
      <c r="N26" s="1508" t="s">
        <v>8931</v>
      </c>
      <c r="O26" s="1508" t="s">
        <v>4132</v>
      </c>
      <c r="P26" s="1508" t="s">
        <v>5134</v>
      </c>
      <c r="Q26" s="1509" t="s">
        <v>8932</v>
      </c>
      <c r="R26" s="1509" t="s">
        <v>8933</v>
      </c>
      <c r="S26" s="1509" t="s">
        <v>545</v>
      </c>
      <c r="T26" s="1509" t="s">
        <v>8934</v>
      </c>
      <c r="U26" s="1509" t="s">
        <v>8935</v>
      </c>
      <c r="V26" s="1509" t="s">
        <v>8936</v>
      </c>
      <c r="W26" s="1510" t="s">
        <v>8937</v>
      </c>
      <c r="X26" s="1510" t="s">
        <v>4473</v>
      </c>
      <c r="Y26" s="1510" t="s">
        <v>1547</v>
      </c>
      <c r="Z26" s="1510" t="s">
        <v>2427</v>
      </c>
      <c r="AA26" s="1510" t="s">
        <v>8938</v>
      </c>
      <c r="AB26" s="1510" t="s">
        <v>3773</v>
      </c>
      <c r="AC26" s="1510" t="s">
        <v>8939</v>
      </c>
      <c r="AD26" s="1506" t="s">
        <v>8940</v>
      </c>
      <c r="AE26" s="1506" t="s">
        <v>8771</v>
      </c>
      <c r="AF26" s="1511" t="s">
        <v>8941</v>
      </c>
      <c r="AG26" s="1511" t="s">
        <v>7704</v>
      </c>
      <c r="AH26" s="1511" t="s">
        <v>8942</v>
      </c>
      <c r="AI26" s="1511" t="s">
        <v>5091</v>
      </c>
      <c r="AJ26" s="1511" t="s">
        <v>8943</v>
      </c>
      <c r="AK26" s="1511" t="s">
        <v>8944</v>
      </c>
      <c r="AL26" s="1511" t="s">
        <v>8604</v>
      </c>
      <c r="AM26" s="1513" t="s">
        <v>8648</v>
      </c>
      <c r="AN26" s="1513" t="s">
        <v>8945</v>
      </c>
      <c r="AO26" s="1513" t="s">
        <v>3262</v>
      </c>
      <c r="AP26" s="1513" t="s">
        <v>8946</v>
      </c>
      <c r="AQ26" s="1513" t="s">
        <v>8947</v>
      </c>
      <c r="AR26" s="1513" t="s">
        <v>2928</v>
      </c>
      <c r="AS26" s="1513" t="s">
        <v>301</v>
      </c>
      <c r="AT26" s="1508" t="s">
        <v>8948</v>
      </c>
      <c r="AU26" s="1494" t="s">
        <v>8949</v>
      </c>
      <c r="AV26" s="1463" t="str">
        <f t="shared" si="1"/>
        <v>2:59</v>
      </c>
      <c r="AW26" s="1501" t="s">
        <v>8950</v>
      </c>
    </row>
    <row r="27">
      <c r="A27" s="1559" t="s">
        <v>3096</v>
      </c>
      <c r="B27" s="1560" t="s">
        <v>8373</v>
      </c>
      <c r="C27" s="1561">
        <v>0.050318865740740744</v>
      </c>
      <c r="D27" s="1562" t="s">
        <v>8951</v>
      </c>
      <c r="E27" s="1562" t="s">
        <v>7455</v>
      </c>
      <c r="F27" s="1562" t="s">
        <v>8952</v>
      </c>
      <c r="G27" s="1563" t="s">
        <v>8953</v>
      </c>
      <c r="H27" s="1564" t="s">
        <v>8954</v>
      </c>
      <c r="I27" s="1565" t="s">
        <v>6023</v>
      </c>
      <c r="J27" s="1566" t="s">
        <v>8955</v>
      </c>
      <c r="K27" s="1567" t="s">
        <v>8956</v>
      </c>
      <c r="L27" s="1567" t="s">
        <v>6616</v>
      </c>
      <c r="M27" s="1567" t="s">
        <v>8957</v>
      </c>
      <c r="N27" s="1567" t="s">
        <v>8958</v>
      </c>
      <c r="O27" s="1566" t="s">
        <v>8959</v>
      </c>
      <c r="P27" s="1567" t="s">
        <v>8960</v>
      </c>
      <c r="Q27" s="1568" t="s">
        <v>601</v>
      </c>
      <c r="R27" s="1569" t="s">
        <v>5482</v>
      </c>
      <c r="S27" s="1568" t="s">
        <v>1052</v>
      </c>
      <c r="T27" s="1570" t="s">
        <v>4200</v>
      </c>
      <c r="U27" s="1571" t="s">
        <v>8961</v>
      </c>
      <c r="V27" s="1569" t="s">
        <v>8962</v>
      </c>
      <c r="W27" s="1572" t="s">
        <v>7369</v>
      </c>
      <c r="X27" s="1572" t="s">
        <v>7223</v>
      </c>
      <c r="Y27" s="1573" t="s">
        <v>6878</v>
      </c>
      <c r="Z27" s="1572" t="s">
        <v>224</v>
      </c>
      <c r="AA27" s="1572" t="s">
        <v>1786</v>
      </c>
      <c r="AB27" s="1574" t="s">
        <v>3599</v>
      </c>
      <c r="AC27" s="1574" t="s">
        <v>5031</v>
      </c>
      <c r="AD27" s="1562" t="s">
        <v>8963</v>
      </c>
      <c r="AE27" s="1575" t="s">
        <v>5487</v>
      </c>
      <c r="AF27" s="1576" t="s">
        <v>8964</v>
      </c>
      <c r="AG27" s="1577" t="s">
        <v>8750</v>
      </c>
      <c r="AH27" s="1577" t="s">
        <v>8965</v>
      </c>
      <c r="AI27" s="1577" t="s">
        <v>8966</v>
      </c>
      <c r="AJ27" s="1578" t="s">
        <v>8967</v>
      </c>
      <c r="AK27" s="1577" t="s">
        <v>8968</v>
      </c>
      <c r="AL27" s="1578" t="s">
        <v>2709</v>
      </c>
      <c r="AM27" s="1579" t="s">
        <v>8969</v>
      </c>
      <c r="AN27" s="1580" t="s">
        <v>5344</v>
      </c>
      <c r="AO27" s="1579" t="s">
        <v>8970</v>
      </c>
      <c r="AP27" s="1581" t="s">
        <v>8971</v>
      </c>
      <c r="AQ27" s="1579" t="s">
        <v>8731</v>
      </c>
      <c r="AR27" s="1581" t="s">
        <v>8972</v>
      </c>
      <c r="AS27" s="1582" t="s">
        <v>8973</v>
      </c>
      <c r="AT27" s="1567" t="s">
        <v>8974</v>
      </c>
      <c r="AU27" s="1583" t="s">
        <v>8975</v>
      </c>
      <c r="AV27" s="1583" t="str">
        <f t="shared" si="1"/>
        <v>2:46</v>
      </c>
      <c r="AW27" s="1584"/>
    </row>
    <row r="28" ht="15.75" customHeight="1">
      <c r="A28" s="1502" t="s">
        <v>2536</v>
      </c>
      <c r="B28" s="1500" t="s">
        <v>8401</v>
      </c>
      <c r="C28" s="1457">
        <v>0.050347222222222224</v>
      </c>
      <c r="D28" s="1270" t="s">
        <v>8976</v>
      </c>
      <c r="E28" s="1270" t="s">
        <v>8977</v>
      </c>
      <c r="F28" s="1270" t="s">
        <v>8978</v>
      </c>
      <c r="G28" s="1270" t="s">
        <v>8979</v>
      </c>
      <c r="H28" s="1270" t="s">
        <v>5853</v>
      </c>
      <c r="I28" s="1270" t="s">
        <v>693</v>
      </c>
      <c r="J28" s="1545" t="s">
        <v>8408</v>
      </c>
      <c r="K28" s="1545" t="s">
        <v>1095</v>
      </c>
      <c r="L28" s="1545" t="s">
        <v>8409</v>
      </c>
      <c r="M28" s="1508" t="s">
        <v>8957</v>
      </c>
      <c r="N28" s="1545" t="s">
        <v>2493</v>
      </c>
      <c r="O28" s="1270" t="s">
        <v>8980</v>
      </c>
      <c r="P28" s="1545" t="s">
        <v>5462</v>
      </c>
      <c r="Q28" s="1545" t="s">
        <v>8412</v>
      </c>
      <c r="R28" s="1545" t="s">
        <v>7140</v>
      </c>
      <c r="S28" s="1545" t="s">
        <v>8381</v>
      </c>
      <c r="T28" s="1270" t="s">
        <v>4573</v>
      </c>
      <c r="U28" s="1270" t="s">
        <v>8981</v>
      </c>
      <c r="V28" s="1545" t="s">
        <v>4102</v>
      </c>
      <c r="W28" s="1270" t="s">
        <v>7046</v>
      </c>
      <c r="X28" s="1270" t="s">
        <v>5700</v>
      </c>
      <c r="Y28" s="1545" t="s">
        <v>5538</v>
      </c>
      <c r="Z28" s="1270" t="s">
        <v>1133</v>
      </c>
      <c r="AA28" s="1270" t="s">
        <v>8982</v>
      </c>
      <c r="AB28" s="1270" t="s">
        <v>5719</v>
      </c>
      <c r="AC28" s="1270" t="s">
        <v>1900</v>
      </c>
      <c r="AD28" s="1270" t="s">
        <v>8983</v>
      </c>
      <c r="AE28" s="1270" t="s">
        <v>3181</v>
      </c>
      <c r="AF28" s="1270" t="s">
        <v>8984</v>
      </c>
      <c r="AG28" s="1270" t="s">
        <v>5536</v>
      </c>
      <c r="AH28" s="1270" t="s">
        <v>4601</v>
      </c>
      <c r="AI28" s="1270" t="s">
        <v>3323</v>
      </c>
      <c r="AJ28" s="1270" t="s">
        <v>8985</v>
      </c>
      <c r="AK28" s="1270" t="s">
        <v>2972</v>
      </c>
      <c r="AL28" s="1270" t="s">
        <v>8986</v>
      </c>
      <c r="AM28" s="1270" t="s">
        <v>8987</v>
      </c>
      <c r="AN28" s="1270" t="s">
        <v>4397</v>
      </c>
      <c r="AO28" s="1270" t="s">
        <v>7226</v>
      </c>
      <c r="AP28" s="1270" t="s">
        <v>8988</v>
      </c>
      <c r="AQ28" s="1270" t="s">
        <v>3692</v>
      </c>
      <c r="AR28" s="1270" t="s">
        <v>2928</v>
      </c>
      <c r="AS28" s="1270" t="s">
        <v>6505</v>
      </c>
      <c r="AT28" s="1270" t="s">
        <v>8989</v>
      </c>
      <c r="AU28" s="1511" t="s">
        <v>8423</v>
      </c>
      <c r="AV28" s="1463" t="str">
        <f t="shared" si="1"/>
        <v>2:37</v>
      </c>
      <c r="AW28" s="1585"/>
    </row>
    <row r="29" ht="15.75" customHeight="1">
      <c r="A29" s="1455" t="s">
        <v>8990</v>
      </c>
      <c r="B29" s="1515" t="s">
        <v>8401</v>
      </c>
      <c r="C29" s="1457">
        <v>0.05042824074074074</v>
      </c>
      <c r="D29" s="1270" t="s">
        <v>8659</v>
      </c>
      <c r="E29" s="1506" t="s">
        <v>6103</v>
      </c>
      <c r="F29" s="1506" t="s">
        <v>8991</v>
      </c>
      <c r="G29" s="1520" t="s">
        <v>8992</v>
      </c>
      <c r="H29" s="1507" t="s">
        <v>8993</v>
      </c>
      <c r="I29" s="1558" t="s">
        <v>3145</v>
      </c>
      <c r="J29" s="1508" t="s">
        <v>4768</v>
      </c>
      <c r="K29" s="1508" t="s">
        <v>8864</v>
      </c>
      <c r="L29" s="1508" t="s">
        <v>2468</v>
      </c>
      <c r="M29" s="1508" t="s">
        <v>2047</v>
      </c>
      <c r="N29" s="1508" t="s">
        <v>4178</v>
      </c>
      <c r="O29" s="1508" t="s">
        <v>8994</v>
      </c>
      <c r="P29" s="1522" t="s">
        <v>758</v>
      </c>
      <c r="Q29" s="1509" t="s">
        <v>8995</v>
      </c>
      <c r="R29" s="1509" t="s">
        <v>3337</v>
      </c>
      <c r="S29" s="1509" t="s">
        <v>7463</v>
      </c>
      <c r="T29" s="1523" t="s">
        <v>8575</v>
      </c>
      <c r="U29" s="1509" t="s">
        <v>8527</v>
      </c>
      <c r="V29" s="1523" t="s">
        <v>8996</v>
      </c>
      <c r="W29" s="1524" t="s">
        <v>7260</v>
      </c>
      <c r="X29" s="1586" t="s">
        <v>2602</v>
      </c>
      <c r="Y29" s="1524" t="s">
        <v>8997</v>
      </c>
      <c r="Z29" s="1510" t="s">
        <v>8998</v>
      </c>
      <c r="AA29" s="1524" t="s">
        <v>8966</v>
      </c>
      <c r="AB29" s="1270" t="s">
        <v>7327</v>
      </c>
      <c r="AC29" s="1524" t="s">
        <v>3541</v>
      </c>
      <c r="AD29" s="1546" t="s">
        <v>8415</v>
      </c>
      <c r="AE29" s="1506" t="s">
        <v>3181</v>
      </c>
      <c r="AF29" s="1511" t="s">
        <v>8999</v>
      </c>
      <c r="AG29" s="1525" t="s">
        <v>3883</v>
      </c>
      <c r="AH29" s="1525" t="s">
        <v>9000</v>
      </c>
      <c r="AI29" s="1463" t="s">
        <v>8914</v>
      </c>
      <c r="AJ29" s="1525" t="s">
        <v>9001</v>
      </c>
      <c r="AK29" s="1587" t="s">
        <v>8419</v>
      </c>
      <c r="AL29" s="1525" t="s">
        <v>3546</v>
      </c>
      <c r="AM29" s="1513" t="s">
        <v>9002</v>
      </c>
      <c r="AN29" s="1513" t="s">
        <v>4989</v>
      </c>
      <c r="AO29" s="1513" t="s">
        <v>2084</v>
      </c>
      <c r="AP29" s="1513" t="s">
        <v>9003</v>
      </c>
      <c r="AQ29" s="1512" t="s">
        <v>9004</v>
      </c>
      <c r="AR29" s="1512" t="s">
        <v>3591</v>
      </c>
      <c r="AS29" s="1512" t="s">
        <v>5184</v>
      </c>
      <c r="AT29" s="1508" t="s">
        <v>9005</v>
      </c>
      <c r="AU29" s="1494" t="s">
        <v>9006</v>
      </c>
      <c r="AV29" s="1463" t="str">
        <f t="shared" si="1"/>
        <v>2:55</v>
      </c>
      <c r="AW29" s="1588"/>
    </row>
    <row r="30" ht="15.75" customHeight="1">
      <c r="A30" s="1455" t="s">
        <v>4259</v>
      </c>
      <c r="B30" s="1456" t="s">
        <v>8373</v>
      </c>
      <c r="C30" s="1589">
        <v>0.05043981481481481</v>
      </c>
      <c r="D30" s="1270" t="s">
        <v>9007</v>
      </c>
      <c r="E30" s="1463" t="s">
        <v>7230</v>
      </c>
      <c r="F30" s="1463" t="s">
        <v>1574</v>
      </c>
      <c r="G30" s="1463" t="s">
        <v>9008</v>
      </c>
      <c r="H30" s="1463" t="s">
        <v>8566</v>
      </c>
      <c r="I30" s="1463" t="s">
        <v>4677</v>
      </c>
      <c r="J30" s="1463" t="s">
        <v>4483</v>
      </c>
      <c r="K30" s="1463" t="s">
        <v>8785</v>
      </c>
      <c r="L30" s="1463" t="s">
        <v>3812</v>
      </c>
      <c r="M30" s="1463" t="s">
        <v>9009</v>
      </c>
      <c r="N30" s="1463" t="s">
        <v>9010</v>
      </c>
      <c r="O30" s="1463" t="s">
        <v>9011</v>
      </c>
      <c r="P30" s="1463" t="s">
        <v>5275</v>
      </c>
      <c r="Q30" s="1463" t="s">
        <v>9012</v>
      </c>
      <c r="R30" s="1463" t="s">
        <v>9013</v>
      </c>
      <c r="S30" s="1463" t="s">
        <v>8806</v>
      </c>
      <c r="T30" s="1463" t="s">
        <v>9014</v>
      </c>
      <c r="U30" s="1463" t="s">
        <v>9015</v>
      </c>
      <c r="V30" s="1463" t="s">
        <v>2272</v>
      </c>
      <c r="W30" s="1463" t="s">
        <v>9016</v>
      </c>
      <c r="X30" s="1463" t="s">
        <v>9017</v>
      </c>
      <c r="Y30" s="1463" t="s">
        <v>8830</v>
      </c>
      <c r="Z30" s="1463" t="s">
        <v>1133</v>
      </c>
      <c r="AA30" s="1463" t="s">
        <v>3323</v>
      </c>
      <c r="AB30" s="1463" t="s">
        <v>4768</v>
      </c>
      <c r="AC30" s="1463" t="s">
        <v>7507</v>
      </c>
      <c r="AD30" s="1463" t="s">
        <v>6020</v>
      </c>
      <c r="AE30" s="1463" t="s">
        <v>5487</v>
      </c>
      <c r="AF30" s="1463" t="s">
        <v>9018</v>
      </c>
      <c r="AG30" s="1463" t="s">
        <v>9019</v>
      </c>
      <c r="AH30" s="1463" t="s">
        <v>4034</v>
      </c>
      <c r="AI30" s="1463" t="s">
        <v>5091</v>
      </c>
      <c r="AJ30" s="1463" t="s">
        <v>9020</v>
      </c>
      <c r="AK30" s="1463" t="s">
        <v>9021</v>
      </c>
      <c r="AL30" s="1463" t="s">
        <v>5809</v>
      </c>
      <c r="AM30" s="1463" t="s">
        <v>1231</v>
      </c>
      <c r="AN30" s="1463" t="s">
        <v>4181</v>
      </c>
      <c r="AO30" s="1463" t="s">
        <v>9022</v>
      </c>
      <c r="AP30" s="1590" t="str">
        <f>HYPERLINK("https://www.twitch.tv/videos/511415405","2:00.79")</f>
        <v>2:00.79</v>
      </c>
      <c r="AQ30" s="1463" t="s">
        <v>9023</v>
      </c>
      <c r="AR30" s="1463" t="s">
        <v>7226</v>
      </c>
      <c r="AS30" s="1463" t="s">
        <v>9024</v>
      </c>
      <c r="AT30" s="1463" t="s">
        <v>9025</v>
      </c>
      <c r="AU30" s="1463" t="s">
        <v>8975</v>
      </c>
      <c r="AV30" s="1463" t="str">
        <f t="shared" si="1"/>
        <v>2:36</v>
      </c>
      <c r="AW30" s="1482" t="s">
        <v>6413</v>
      </c>
    </row>
    <row r="31">
      <c r="A31" s="1502" t="s">
        <v>1198</v>
      </c>
      <c r="B31" s="1500" t="s">
        <v>8373</v>
      </c>
      <c r="C31" s="1457">
        <v>0.050486111111111114</v>
      </c>
      <c r="D31" s="1506" t="s">
        <v>9026</v>
      </c>
      <c r="E31" s="1506" t="s">
        <v>9027</v>
      </c>
      <c r="F31" s="1506" t="s">
        <v>9028</v>
      </c>
      <c r="G31" s="1506" t="s">
        <v>9029</v>
      </c>
      <c r="H31" s="1270" t="s">
        <v>9030</v>
      </c>
      <c r="I31" s="1558" t="s">
        <v>853</v>
      </c>
      <c r="J31" s="1508" t="s">
        <v>5619</v>
      </c>
      <c r="K31" s="1508" t="s">
        <v>7716</v>
      </c>
      <c r="L31" s="1508" t="s">
        <v>6237</v>
      </c>
      <c r="M31" s="1508" t="s">
        <v>4952</v>
      </c>
      <c r="N31" s="1508" t="s">
        <v>9031</v>
      </c>
      <c r="O31" s="1508" t="s">
        <v>9032</v>
      </c>
      <c r="P31" s="1508" t="s">
        <v>8702</v>
      </c>
      <c r="Q31" s="1509" t="s">
        <v>169</v>
      </c>
      <c r="R31" s="1509" t="s">
        <v>4714</v>
      </c>
      <c r="S31" s="1509" t="s">
        <v>8875</v>
      </c>
      <c r="T31" s="1509" t="s">
        <v>9033</v>
      </c>
      <c r="U31" s="1509" t="s">
        <v>9034</v>
      </c>
      <c r="V31" s="1509" t="s">
        <v>9035</v>
      </c>
      <c r="W31" s="1510" t="s">
        <v>9036</v>
      </c>
      <c r="X31" s="1510" t="s">
        <v>9037</v>
      </c>
      <c r="Y31" s="1510" t="s">
        <v>6842</v>
      </c>
      <c r="Z31" s="1510" t="s">
        <v>9038</v>
      </c>
      <c r="AA31" s="1465" t="s">
        <v>9039</v>
      </c>
      <c r="AB31" s="1510" t="s">
        <v>3305</v>
      </c>
      <c r="AC31" s="1510" t="s">
        <v>1048</v>
      </c>
      <c r="AD31" s="1506" t="s">
        <v>9040</v>
      </c>
      <c r="AE31" s="1506" t="s">
        <v>2174</v>
      </c>
      <c r="AF31" s="1511" t="s">
        <v>9041</v>
      </c>
      <c r="AG31" s="1511" t="s">
        <v>525</v>
      </c>
      <c r="AH31" s="1511" t="s">
        <v>9042</v>
      </c>
      <c r="AI31" s="1511" t="s">
        <v>2566</v>
      </c>
      <c r="AJ31" s="1511" t="s">
        <v>9043</v>
      </c>
      <c r="AK31" s="1511" t="s">
        <v>7302</v>
      </c>
      <c r="AL31" s="1511" t="s">
        <v>2709</v>
      </c>
      <c r="AM31" s="1513" t="s">
        <v>9044</v>
      </c>
      <c r="AN31" s="1513" t="s">
        <v>8409</v>
      </c>
      <c r="AO31" s="1513" t="s">
        <v>9045</v>
      </c>
      <c r="AP31" s="1513" t="s">
        <v>9046</v>
      </c>
      <c r="AQ31" s="1513" t="s">
        <v>9047</v>
      </c>
      <c r="AR31" s="1513" t="s">
        <v>1160</v>
      </c>
      <c r="AS31" s="1513" t="s">
        <v>1547</v>
      </c>
      <c r="AT31" s="1508" t="s">
        <v>9048</v>
      </c>
      <c r="AU31" s="1494" t="s">
        <v>9049</v>
      </c>
      <c r="AV31" s="1463" t="str">
        <f t="shared" si="1"/>
        <v>3:47</v>
      </c>
      <c r="AW31" s="1501"/>
    </row>
    <row r="32" ht="15.75" customHeight="1">
      <c r="A32" s="1502" t="s">
        <v>1630</v>
      </c>
      <c r="B32" s="1456" t="s">
        <v>8373</v>
      </c>
      <c r="C32" s="1457">
        <v>0.05049768518518519</v>
      </c>
      <c r="D32" s="1270" t="s">
        <v>9050</v>
      </c>
      <c r="E32" s="1520" t="s">
        <v>9051</v>
      </c>
      <c r="F32" s="1556" t="str">
        <f>HYPERLINK("https://www.youtube.com/watch?v=rtR6KkKhM6I","1:59.91")</f>
        <v>1:59.91</v>
      </c>
      <c r="G32" s="1520" t="s">
        <v>9052</v>
      </c>
      <c r="H32" s="1591" t="str">
        <f>HYPERLINK("https://www.youtube.com/watch?v=cg-eipYsN1s","1:54.47")</f>
        <v>1:54.47</v>
      </c>
      <c r="I32" s="1507" t="s">
        <v>8997</v>
      </c>
      <c r="J32" s="1522" t="s">
        <v>8754</v>
      </c>
      <c r="K32" s="1508" t="s">
        <v>6361</v>
      </c>
      <c r="L32" s="1552" t="str">
        <f>HYPERLINK("https://www.youtube.com/watch?v=tJdjPKdAbw4","57.01")</f>
        <v>57.01</v>
      </c>
      <c r="M32" s="1522" t="s">
        <v>7174</v>
      </c>
      <c r="N32" s="1508" t="s">
        <v>2291</v>
      </c>
      <c r="O32" s="1522" t="s">
        <v>9053</v>
      </c>
      <c r="P32" s="1522" t="s">
        <v>278</v>
      </c>
      <c r="Q32" s="1523" t="s">
        <v>237</v>
      </c>
      <c r="R32" s="1523" t="s">
        <v>8849</v>
      </c>
      <c r="S32" s="1554" t="str">
        <f>HYPERLINK("https://www.youtube.com/watch?v=_3ms_ZhYFzo","1:18.01")</f>
        <v>1:18.01</v>
      </c>
      <c r="T32" s="1523" t="s">
        <v>6161</v>
      </c>
      <c r="U32" s="1554" t="str">
        <f>HYPERLINK("https://www.youtube.com/watch?v=ZOy_TI3Zw14","2:02.38")</f>
        <v>2:02.38</v>
      </c>
      <c r="V32" s="1523" t="s">
        <v>9035</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8702</v>
      </c>
      <c r="AF32" s="1525" t="s">
        <v>9054</v>
      </c>
      <c r="AG32" s="1592" t="str">
        <f>HYPERLINK("https://www.youtube.com/watch?v=KXwTRrVVluY","1:30.62")</f>
        <v>1:30.62</v>
      </c>
      <c r="AH32" s="1525" t="s">
        <v>2964</v>
      </c>
      <c r="AI32" s="1525" t="s">
        <v>8891</v>
      </c>
      <c r="AJ32" s="1525" t="s">
        <v>9055</v>
      </c>
      <c r="AK32" s="1511" t="s">
        <v>9056</v>
      </c>
      <c r="AL32" s="1525" t="s">
        <v>9057</v>
      </c>
      <c r="AM32" s="1593" t="str">
        <f>HYPERLINK("https://www.youtube.com/watch?v=BAoEwuQ0LoI","1:25.68")</f>
        <v>1:25.68</v>
      </c>
      <c r="AN32" s="1593" t="str">
        <f>HYPERLINK("https://www.youtube.com/watch?v=F-LtZeEZXek","56.36")</f>
        <v>56.36</v>
      </c>
      <c r="AO32" s="1512" t="s">
        <v>9058</v>
      </c>
      <c r="AP32" s="1512" t="s">
        <v>9059</v>
      </c>
      <c r="AQ32" s="1512" t="s">
        <v>9060</v>
      </c>
      <c r="AR32" s="1593" t="str">
        <f>HYPERLINK("https://www.youtube.com/watch?v=WSIIkWWbKgE","1:21.74")</f>
        <v>1:21.74</v>
      </c>
      <c r="AS32" s="1512" t="s">
        <v>5510</v>
      </c>
      <c r="AT32" s="1552" t="str">
        <f>HYPERLINK("https://www.youtube.com/watch?v=H67SXBLcISI","2:29.09")</f>
        <v>2:29.09</v>
      </c>
      <c r="AU32" s="1526" t="s">
        <v>9061</v>
      </c>
      <c r="AV32" s="1463" t="str">
        <f t="shared" si="1"/>
        <v>2:03</v>
      </c>
      <c r="AW32" s="1594" t="s">
        <v>9062</v>
      </c>
    </row>
    <row r="33">
      <c r="A33" s="1502" t="s">
        <v>2866</v>
      </c>
      <c r="B33" s="1500" t="s">
        <v>8401</v>
      </c>
      <c r="C33" s="1457">
        <v>0.050520833333333334</v>
      </c>
      <c r="D33" s="1506" t="s">
        <v>9063</v>
      </c>
      <c r="E33" s="1531" t="s">
        <v>4599</v>
      </c>
      <c r="F33" s="1531" t="s">
        <v>9064</v>
      </c>
      <c r="G33" s="1506" t="s">
        <v>9065</v>
      </c>
      <c r="H33" s="1531" t="s">
        <v>9066</v>
      </c>
      <c r="I33" s="1531" t="s">
        <v>2889</v>
      </c>
      <c r="J33" s="1508" t="s">
        <v>9067</v>
      </c>
      <c r="K33" s="1595" t="s">
        <v>9068</v>
      </c>
      <c r="L33" s="1508" t="s">
        <v>9069</v>
      </c>
      <c r="M33" s="1459" t="s">
        <v>5666</v>
      </c>
      <c r="N33" s="1508" t="s">
        <v>972</v>
      </c>
      <c r="O33" s="1508" t="s">
        <v>8885</v>
      </c>
      <c r="P33" s="1508" t="s">
        <v>412</v>
      </c>
      <c r="Q33" s="1480" t="str">
        <f>HYPERLINK("https://www.twitch.tv/planktonsecretformula/v/1588460220?sr=a", "2:12.43")</f>
        <v>2:12.43</v>
      </c>
      <c r="R33" s="1509" t="s">
        <v>9013</v>
      </c>
      <c r="S33" s="1509" t="s">
        <v>9070</v>
      </c>
      <c r="T33" s="1596" t="s">
        <v>9071</v>
      </c>
      <c r="U33" s="1531" t="s">
        <v>9072</v>
      </c>
      <c r="V33" s="1531" t="s">
        <v>9073</v>
      </c>
      <c r="W33" s="1516" t="s">
        <v>9074</v>
      </c>
      <c r="X33" s="1510" t="s">
        <v>945</v>
      </c>
      <c r="Y33" s="1510" t="s">
        <v>8765</v>
      </c>
      <c r="Z33" s="1510" t="s">
        <v>8524</v>
      </c>
      <c r="AA33" s="1465" t="s">
        <v>9075</v>
      </c>
      <c r="AB33" s="1510" t="s">
        <v>4128</v>
      </c>
      <c r="AC33" s="1510" t="s">
        <v>870</v>
      </c>
      <c r="AD33" s="1506" t="s">
        <v>3973</v>
      </c>
      <c r="AE33" s="1506" t="s">
        <v>5763</v>
      </c>
      <c r="AF33" s="1511" t="s">
        <v>9076</v>
      </c>
      <c r="AG33" s="1531" t="s">
        <v>4585</v>
      </c>
      <c r="AH33" s="1511" t="s">
        <v>9077</v>
      </c>
      <c r="AI33" s="1511" t="s">
        <v>6631</v>
      </c>
      <c r="AJ33" s="1511" t="s">
        <v>9078</v>
      </c>
      <c r="AK33" s="1511" t="s">
        <v>9079</v>
      </c>
      <c r="AL33" s="1511" t="s">
        <v>9080</v>
      </c>
      <c r="AM33" s="1513" t="s">
        <v>8575</v>
      </c>
      <c r="AN33" s="1513" t="s">
        <v>8705</v>
      </c>
      <c r="AO33" s="1513" t="s">
        <v>2928</v>
      </c>
      <c r="AP33" s="1545" t="s">
        <v>8420</v>
      </c>
      <c r="AQ33" s="1480" t="str">
        <f>HYPERLINK("https://www.twitch.tv/planktonsecretformula/v/1678454360?sr=a&amp;t=0s", "1:37.46")</f>
        <v>1:37.46</v>
      </c>
      <c r="AR33" s="1513" t="s">
        <v>9081</v>
      </c>
      <c r="AS33" s="1513" t="s">
        <v>715</v>
      </c>
      <c r="AT33" s="1508" t="s">
        <v>9082</v>
      </c>
      <c r="AU33" s="1494" t="s">
        <v>9083</v>
      </c>
      <c r="AV33" s="1463" t="str">
        <f t="shared" si="1"/>
        <v>4:40</v>
      </c>
      <c r="AW33" s="1501" t="s">
        <v>9084</v>
      </c>
    </row>
    <row r="34" ht="15.75" customHeight="1">
      <c r="A34" s="1539" t="s">
        <v>9085</v>
      </c>
      <c r="B34" s="1456" t="s">
        <v>8373</v>
      </c>
      <c r="C34" s="1457">
        <v>0.050555555555555555</v>
      </c>
      <c r="D34" s="1270" t="s">
        <v>9086</v>
      </c>
      <c r="E34" s="1506" t="s">
        <v>9087</v>
      </c>
      <c r="F34" s="1506" t="s">
        <v>9088</v>
      </c>
      <c r="G34" s="1506" t="s">
        <v>9089</v>
      </c>
      <c r="H34" s="1558" t="s">
        <v>9090</v>
      </c>
      <c r="I34" s="1558" t="s">
        <v>9091</v>
      </c>
      <c r="J34" s="1508" t="s">
        <v>9092</v>
      </c>
      <c r="K34" s="1508" t="s">
        <v>9093</v>
      </c>
      <c r="L34" s="1508" t="s">
        <v>9094</v>
      </c>
      <c r="M34" s="1508" t="s">
        <v>3254</v>
      </c>
      <c r="N34" s="1508" t="s">
        <v>9095</v>
      </c>
      <c r="O34" s="1508" t="s">
        <v>8994</v>
      </c>
      <c r="P34" s="1508" t="s">
        <v>4800</v>
      </c>
      <c r="Q34" s="1509" t="s">
        <v>9096</v>
      </c>
      <c r="R34" s="1509" t="s">
        <v>2571</v>
      </c>
      <c r="S34" s="1509" t="s">
        <v>9097</v>
      </c>
      <c r="T34" s="1509" t="s">
        <v>9098</v>
      </c>
      <c r="U34" s="1509" t="s">
        <v>9099</v>
      </c>
      <c r="V34" s="1509" t="s">
        <v>8888</v>
      </c>
      <c r="W34" s="1510" t="s">
        <v>9100</v>
      </c>
      <c r="X34" s="1510" t="s">
        <v>9101</v>
      </c>
      <c r="Y34" s="1510" t="s">
        <v>9102</v>
      </c>
      <c r="Z34" s="1510" t="s">
        <v>1292</v>
      </c>
      <c r="AA34" s="1510" t="s">
        <v>9103</v>
      </c>
      <c r="AB34" s="1510" t="s">
        <v>6360</v>
      </c>
      <c r="AC34" s="1524" t="s">
        <v>6460</v>
      </c>
      <c r="AD34" s="1506" t="s">
        <v>9104</v>
      </c>
      <c r="AE34" s="1506" t="s">
        <v>8702</v>
      </c>
      <c r="AF34" s="1511" t="s">
        <v>9105</v>
      </c>
      <c r="AG34" s="1511" t="s">
        <v>9106</v>
      </c>
      <c r="AH34" s="1511" t="s">
        <v>5539</v>
      </c>
      <c r="AI34" s="1511" t="s">
        <v>9107</v>
      </c>
      <c r="AJ34" s="1511" t="s">
        <v>9108</v>
      </c>
      <c r="AK34" s="1511" t="s">
        <v>4473</v>
      </c>
      <c r="AL34" s="1511" t="s">
        <v>5599</v>
      </c>
      <c r="AM34" s="1513" t="s">
        <v>2070</v>
      </c>
      <c r="AN34" s="1513" t="s">
        <v>4620</v>
      </c>
      <c r="AO34" s="1513" t="s">
        <v>9109</v>
      </c>
      <c r="AP34" s="1513" t="s">
        <v>9110</v>
      </c>
      <c r="AQ34" s="1513" t="s">
        <v>9111</v>
      </c>
      <c r="AR34" s="1513" t="s">
        <v>8719</v>
      </c>
      <c r="AS34" s="1513" t="s">
        <v>969</v>
      </c>
      <c r="AT34" s="1508" t="s">
        <v>9112</v>
      </c>
      <c r="AU34" s="1494" t="s">
        <v>9113</v>
      </c>
      <c r="AV34" s="1463" t="str">
        <f t="shared" si="1"/>
        <v>2:07</v>
      </c>
      <c r="AW34" s="1588"/>
    </row>
    <row r="35">
      <c r="A35" s="1469" t="s">
        <v>642</v>
      </c>
      <c r="B35" s="1500" t="s">
        <v>8373</v>
      </c>
      <c r="C35" s="1457">
        <v>0.050555555555555555</v>
      </c>
      <c r="D35" s="1270" t="s">
        <v>9114</v>
      </c>
      <c r="E35" s="1270" t="s">
        <v>9115</v>
      </c>
      <c r="F35" s="1270" t="s">
        <v>9116</v>
      </c>
      <c r="G35" s="1270" t="s">
        <v>9117</v>
      </c>
      <c r="H35" s="1270" t="s">
        <v>9118</v>
      </c>
      <c r="I35" s="1270" t="s">
        <v>9119</v>
      </c>
      <c r="J35" s="1270" t="s">
        <v>1368</v>
      </c>
      <c r="K35" s="1270" t="s">
        <v>9120</v>
      </c>
      <c r="L35" s="1270" t="s">
        <v>4233</v>
      </c>
      <c r="M35" s="1270" t="s">
        <v>4158</v>
      </c>
      <c r="N35" s="1270" t="s">
        <v>9121</v>
      </c>
      <c r="O35" s="1270" t="s">
        <v>9122</v>
      </c>
      <c r="P35" s="1270" t="s">
        <v>9123</v>
      </c>
      <c r="Q35" s="1270" t="s">
        <v>9124</v>
      </c>
      <c r="R35" s="1270" t="s">
        <v>9125</v>
      </c>
      <c r="S35" s="1270" t="s">
        <v>9126</v>
      </c>
      <c r="T35" s="1270" t="s">
        <v>8944</v>
      </c>
      <c r="U35" s="1270" t="s">
        <v>9127</v>
      </c>
      <c r="V35" s="1270" t="s">
        <v>6959</v>
      </c>
      <c r="W35" s="1270" t="s">
        <v>4686</v>
      </c>
      <c r="X35" s="1270" t="s">
        <v>9128</v>
      </c>
      <c r="Y35" s="1270" t="s">
        <v>5007</v>
      </c>
      <c r="Z35" s="1270" t="s">
        <v>9129</v>
      </c>
      <c r="AA35" s="1270" t="s">
        <v>9130</v>
      </c>
      <c r="AB35" s="1270" t="s">
        <v>9131</v>
      </c>
      <c r="AC35" s="1270" t="s">
        <v>7507</v>
      </c>
      <c r="AD35" s="1270" t="s">
        <v>9132</v>
      </c>
      <c r="AE35" s="1270" t="s">
        <v>8553</v>
      </c>
      <c r="AF35" s="1270" t="s">
        <v>9133</v>
      </c>
      <c r="AG35" s="1270" t="s">
        <v>5003</v>
      </c>
      <c r="AH35" s="1270" t="s">
        <v>4444</v>
      </c>
      <c r="AI35" s="1270" t="s">
        <v>9134</v>
      </c>
      <c r="AJ35" s="1270" t="s">
        <v>9135</v>
      </c>
      <c r="AK35" s="1270" t="s">
        <v>1755</v>
      </c>
      <c r="AL35" s="1270" t="s">
        <v>9136</v>
      </c>
      <c r="AM35" s="1270" t="s">
        <v>3851</v>
      </c>
      <c r="AN35" s="1270" t="s">
        <v>4014</v>
      </c>
      <c r="AO35" s="1270" t="s">
        <v>6107</v>
      </c>
      <c r="AP35" s="1270" t="s">
        <v>9137</v>
      </c>
      <c r="AQ35" s="1270" t="s">
        <v>9138</v>
      </c>
      <c r="AR35" s="1270" t="s">
        <v>8652</v>
      </c>
      <c r="AS35" s="1270" t="s">
        <v>926</v>
      </c>
      <c r="AT35" s="1270" t="s">
        <v>3089</v>
      </c>
      <c r="AU35" s="1494" t="s">
        <v>8975</v>
      </c>
      <c r="AV35" s="1463" t="str">
        <f t="shared" si="1"/>
        <v>2:26</v>
      </c>
      <c r="AW35" s="1501" t="s">
        <v>9139</v>
      </c>
    </row>
    <row r="36" ht="15.75" customHeight="1">
      <c r="A36" s="1455" t="s">
        <v>736</v>
      </c>
      <c r="B36" s="1515" t="s">
        <v>8401</v>
      </c>
      <c r="C36" s="1457">
        <v>0.05056712962962963</v>
      </c>
      <c r="D36" s="1545" t="s">
        <v>8402</v>
      </c>
      <c r="E36" s="1520" t="s">
        <v>8880</v>
      </c>
      <c r="F36" s="1549" t="s">
        <v>8404</v>
      </c>
      <c r="G36" s="1465" t="s">
        <v>9140</v>
      </c>
      <c r="H36" s="1465" t="s">
        <v>9141</v>
      </c>
      <c r="I36" s="1549" t="s">
        <v>8407</v>
      </c>
      <c r="J36" s="1465" t="s">
        <v>1107</v>
      </c>
      <c r="K36" s="1465" t="s">
        <v>4858</v>
      </c>
      <c r="L36" s="1465" t="s">
        <v>2278</v>
      </c>
      <c r="M36" s="1465" t="s">
        <v>2194</v>
      </c>
      <c r="N36" s="1465" t="s">
        <v>8836</v>
      </c>
      <c r="O36" s="1465" t="s">
        <v>9142</v>
      </c>
      <c r="P36" s="1465" t="s">
        <v>3903</v>
      </c>
      <c r="Q36" s="1465" t="s">
        <v>9143</v>
      </c>
      <c r="R36" s="1465" t="s">
        <v>2886</v>
      </c>
      <c r="S36" s="1465" t="s">
        <v>9144</v>
      </c>
      <c r="T36" s="1465" t="s">
        <v>2349</v>
      </c>
      <c r="U36" s="1465" t="s">
        <v>8609</v>
      </c>
      <c r="V36" s="1465" t="s">
        <v>2703</v>
      </c>
      <c r="W36" s="1465" t="s">
        <v>9145</v>
      </c>
      <c r="X36" s="1465" t="s">
        <v>9146</v>
      </c>
      <c r="Y36" s="1465" t="s">
        <v>950</v>
      </c>
      <c r="Z36" s="1465" t="s">
        <v>8725</v>
      </c>
      <c r="AA36" s="1465" t="s">
        <v>7302</v>
      </c>
      <c r="AB36" s="1465" t="s">
        <v>9147</v>
      </c>
      <c r="AC36" s="1463" t="s">
        <v>533</v>
      </c>
      <c r="AD36" s="1465" t="s">
        <v>9148</v>
      </c>
      <c r="AE36" s="1465" t="s">
        <v>4815</v>
      </c>
      <c r="AF36" s="1465" t="s">
        <v>9149</v>
      </c>
      <c r="AG36" s="1465" t="s">
        <v>8944</v>
      </c>
      <c r="AH36" s="1549" t="s">
        <v>2788</v>
      </c>
      <c r="AI36" s="1465" t="s">
        <v>9150</v>
      </c>
      <c r="AJ36" s="1465" t="s">
        <v>9151</v>
      </c>
      <c r="AK36" s="1465" t="s">
        <v>5308</v>
      </c>
      <c r="AL36" s="1465" t="s">
        <v>4181</v>
      </c>
      <c r="AM36" s="1465" t="s">
        <v>3189</v>
      </c>
      <c r="AN36" s="1465" t="s">
        <v>344</v>
      </c>
      <c r="AO36" s="1465" t="s">
        <v>9152</v>
      </c>
      <c r="AP36" s="1465" t="s">
        <v>9153</v>
      </c>
      <c r="AQ36" s="1465" t="s">
        <v>7242</v>
      </c>
      <c r="AR36" s="1465" t="s">
        <v>2555</v>
      </c>
      <c r="AS36" s="1465" t="s">
        <v>4027</v>
      </c>
      <c r="AT36" s="1465" t="s">
        <v>9154</v>
      </c>
      <c r="AU36" s="1465" t="s">
        <v>8755</v>
      </c>
      <c r="AV36" s="1463" t="str">
        <f t="shared" si="1"/>
        <v>3:34</v>
      </c>
      <c r="AW36" s="1498" t="s">
        <v>9155</v>
      </c>
    </row>
    <row r="37" ht="15.75" customHeight="1">
      <c r="A37" s="1469" t="s">
        <v>642</v>
      </c>
      <c r="B37" s="1515" t="s">
        <v>8401</v>
      </c>
      <c r="C37" s="1589">
        <v>0.05056712962962963</v>
      </c>
      <c r="D37" s="1270" t="s">
        <v>9156</v>
      </c>
      <c r="E37" s="1463" t="s">
        <v>9157</v>
      </c>
      <c r="F37" s="1463" t="s">
        <v>8788</v>
      </c>
      <c r="G37" s="1463" t="s">
        <v>9158</v>
      </c>
      <c r="H37" s="1463" t="s">
        <v>4447</v>
      </c>
      <c r="I37" s="1463" t="s">
        <v>1184</v>
      </c>
      <c r="J37" s="1465" t="s">
        <v>3423</v>
      </c>
      <c r="K37" s="1465" t="s">
        <v>3423</v>
      </c>
      <c r="L37" s="1463" t="s">
        <v>9159</v>
      </c>
      <c r="M37" s="1463" t="s">
        <v>9160</v>
      </c>
      <c r="N37" s="1463" t="s">
        <v>8730</v>
      </c>
      <c r="O37" s="1549" t="s">
        <v>8411</v>
      </c>
      <c r="P37" s="1463" t="s">
        <v>6874</v>
      </c>
      <c r="Q37" s="1463" t="s">
        <v>786</v>
      </c>
      <c r="R37" s="1465" t="s">
        <v>3423</v>
      </c>
      <c r="S37" s="1463" t="s">
        <v>9161</v>
      </c>
      <c r="T37" s="1463" t="s">
        <v>780</v>
      </c>
      <c r="U37" s="1463" t="s">
        <v>9162</v>
      </c>
      <c r="V37" s="1463" t="s">
        <v>9163</v>
      </c>
      <c r="W37" s="1463" t="s">
        <v>9164</v>
      </c>
      <c r="X37" s="1463" t="s">
        <v>8938</v>
      </c>
      <c r="Y37" s="1463" t="s">
        <v>8939</v>
      </c>
      <c r="Z37" s="1463" t="s">
        <v>149</v>
      </c>
      <c r="AA37" s="1463" t="s">
        <v>9165</v>
      </c>
      <c r="AB37" s="1463" t="s">
        <v>8627</v>
      </c>
      <c r="AC37" s="1463" t="s">
        <v>4475</v>
      </c>
      <c r="AD37" s="1463" t="s">
        <v>2312</v>
      </c>
      <c r="AE37" s="1463" t="s">
        <v>9102</v>
      </c>
      <c r="AF37" s="1463" t="s">
        <v>9166</v>
      </c>
      <c r="AG37" s="1463" t="s">
        <v>9167</v>
      </c>
      <c r="AH37" s="1463" t="s">
        <v>4464</v>
      </c>
      <c r="AI37" s="1463" t="s">
        <v>3770</v>
      </c>
      <c r="AJ37" s="1463" t="s">
        <v>9168</v>
      </c>
      <c r="AK37" s="1463" t="s">
        <v>1163</v>
      </c>
      <c r="AL37" s="1463" t="s">
        <v>8942</v>
      </c>
      <c r="AM37" s="1463" t="s">
        <v>9169</v>
      </c>
      <c r="AN37" s="1465" t="s">
        <v>9170</v>
      </c>
      <c r="AO37" s="1465" t="s">
        <v>3423</v>
      </c>
      <c r="AP37" s="1463" t="s">
        <v>5296</v>
      </c>
      <c r="AQ37" s="1463" t="s">
        <v>250</v>
      </c>
      <c r="AR37" s="1463" t="s">
        <v>4945</v>
      </c>
      <c r="AS37" s="1463" t="s">
        <v>9171</v>
      </c>
      <c r="AT37" s="1463" t="s">
        <v>9172</v>
      </c>
      <c r="AU37" s="1465" t="s">
        <v>9173</v>
      </c>
      <c r="AV37" s="1463" t="str">
        <f t="shared" si="1"/>
        <v>3:07</v>
      </c>
      <c r="AW37" s="1536" t="s">
        <v>9174</v>
      </c>
    </row>
    <row r="38" ht="15.75" customHeight="1">
      <c r="A38" s="1455" t="s">
        <v>4229</v>
      </c>
      <c r="B38" s="1456" t="s">
        <v>8373</v>
      </c>
      <c r="C38" s="1589">
        <v>0.05060185185185185</v>
      </c>
      <c r="D38" s="1270" t="s">
        <v>9175</v>
      </c>
      <c r="E38" s="1520" t="s">
        <v>3165</v>
      </c>
      <c r="F38" s="1520" t="s">
        <v>5882</v>
      </c>
      <c r="G38" s="1520" t="s">
        <v>9176</v>
      </c>
      <c r="H38" s="1507" t="s">
        <v>9177</v>
      </c>
      <c r="I38" s="1507" t="s">
        <v>1073</v>
      </c>
      <c r="J38" s="1522" t="s">
        <v>8567</v>
      </c>
      <c r="K38" s="1522" t="s">
        <v>7716</v>
      </c>
      <c r="L38" s="1522" t="s">
        <v>5488</v>
      </c>
      <c r="M38" s="1522" t="s">
        <v>9178</v>
      </c>
      <c r="N38" s="1522" t="s">
        <v>5217</v>
      </c>
      <c r="O38" s="1522" t="s">
        <v>9179</v>
      </c>
      <c r="P38" s="1522" t="s">
        <v>8771</v>
      </c>
      <c r="Q38" s="1523" t="s">
        <v>3628</v>
      </c>
      <c r="R38" s="1523" t="s">
        <v>5438</v>
      </c>
      <c r="S38" s="1523" t="s">
        <v>6360</v>
      </c>
      <c r="T38" s="1523" t="s">
        <v>9180</v>
      </c>
      <c r="U38" s="1523" t="s">
        <v>9181</v>
      </c>
      <c r="V38" s="1523" t="s">
        <v>3937</v>
      </c>
      <c r="W38" s="1524" t="s">
        <v>9182</v>
      </c>
      <c r="X38" s="1524" t="s">
        <v>7707</v>
      </c>
      <c r="Y38" s="1524" t="s">
        <v>5068</v>
      </c>
      <c r="Z38" s="1524" t="s">
        <v>1908</v>
      </c>
      <c r="AA38" s="1524" t="s">
        <v>9183</v>
      </c>
      <c r="AB38" s="1524" t="s">
        <v>8627</v>
      </c>
      <c r="AC38" s="1524" t="s">
        <v>5489</v>
      </c>
      <c r="AD38" s="1520" t="s">
        <v>6265</v>
      </c>
      <c r="AE38" s="1520" t="s">
        <v>8765</v>
      </c>
      <c r="AF38" s="1525" t="s">
        <v>9184</v>
      </c>
      <c r="AG38" s="1525" t="s">
        <v>9106</v>
      </c>
      <c r="AH38" s="1525" t="s">
        <v>9185</v>
      </c>
      <c r="AI38" s="1525" t="s">
        <v>5484</v>
      </c>
      <c r="AJ38" s="1525" t="s">
        <v>9186</v>
      </c>
      <c r="AK38" s="1525" t="s">
        <v>9187</v>
      </c>
      <c r="AL38" s="1525" t="s">
        <v>9188</v>
      </c>
      <c r="AM38" s="1512" t="s">
        <v>9189</v>
      </c>
      <c r="AN38" s="1512" t="s">
        <v>9190</v>
      </c>
      <c r="AO38" s="1512" t="s">
        <v>9191</v>
      </c>
      <c r="AP38" s="1512" t="s">
        <v>9192</v>
      </c>
      <c r="AQ38" s="1512" t="s">
        <v>9047</v>
      </c>
      <c r="AR38" s="1512" t="s">
        <v>9193</v>
      </c>
      <c r="AS38" s="1512" t="s">
        <v>4312</v>
      </c>
      <c r="AT38" s="1522" t="s">
        <v>9194</v>
      </c>
      <c r="AU38" s="1526" t="s">
        <v>9195</v>
      </c>
      <c r="AV38" s="1463" t="str">
        <f t="shared" si="1"/>
        <v>1:56</v>
      </c>
      <c r="AW38" s="1588"/>
    </row>
    <row r="39" ht="15.75" customHeight="1">
      <c r="A39" s="1469" t="s">
        <v>826</v>
      </c>
      <c r="B39" s="1456" t="s">
        <v>8373</v>
      </c>
      <c r="C39" s="1457">
        <v>0.05061342592592592</v>
      </c>
      <c r="D39" s="1270" t="s">
        <v>9196</v>
      </c>
      <c r="E39" s="1465" t="s">
        <v>8544</v>
      </c>
      <c r="F39" s="1465" t="s">
        <v>5368</v>
      </c>
      <c r="G39" s="1463" t="s">
        <v>9197</v>
      </c>
      <c r="H39" s="1465" t="s">
        <v>9198</v>
      </c>
      <c r="I39" s="1465" t="s">
        <v>388</v>
      </c>
      <c r="J39" s="1465" t="s">
        <v>6633</v>
      </c>
      <c r="K39" s="1463" t="s">
        <v>8785</v>
      </c>
      <c r="L39" s="1465" t="s">
        <v>9199</v>
      </c>
      <c r="M39" s="1465" t="s">
        <v>9200</v>
      </c>
      <c r="N39" s="1465" t="s">
        <v>4319</v>
      </c>
      <c r="O39" s="1465" t="s">
        <v>9201</v>
      </c>
      <c r="P39" s="1465" t="s">
        <v>1586</v>
      </c>
      <c r="Q39" s="1597" t="s">
        <v>9202</v>
      </c>
      <c r="R39" s="1465" t="s">
        <v>9203</v>
      </c>
      <c r="S39" s="1463" t="s">
        <v>9204</v>
      </c>
      <c r="T39" s="1465" t="s">
        <v>8920</v>
      </c>
      <c r="U39" s="1465" t="s">
        <v>7088</v>
      </c>
      <c r="V39" s="1465" t="s">
        <v>2473</v>
      </c>
      <c r="W39" s="1598" t="str">
        <f>HYPERLINK("https://www.youtube.com/watch?v=nn1ub1z3NYM","1:45.96")</f>
        <v>1:45.96</v>
      </c>
      <c r="X39" s="1465" t="s">
        <v>5597</v>
      </c>
      <c r="Y39" s="1463" t="s">
        <v>5474</v>
      </c>
      <c r="Z39" s="1465" t="s">
        <v>1499</v>
      </c>
      <c r="AA39" s="1465" t="s">
        <v>9205</v>
      </c>
      <c r="AB39" s="1465" t="s">
        <v>9206</v>
      </c>
      <c r="AC39" s="1465" t="s">
        <v>1048</v>
      </c>
      <c r="AD39" s="1465" t="s">
        <v>9207</v>
      </c>
      <c r="AE39" s="1597" t="s">
        <v>4618</v>
      </c>
      <c r="AF39" s="1463" t="s">
        <v>9208</v>
      </c>
      <c r="AG39" s="1465" t="s">
        <v>2083</v>
      </c>
      <c r="AH39" s="1465" t="s">
        <v>2964</v>
      </c>
      <c r="AI39" s="1465" t="s">
        <v>9209</v>
      </c>
      <c r="AJ39" s="1463" t="s">
        <v>7959</v>
      </c>
      <c r="AK39" s="1465" t="s">
        <v>9210</v>
      </c>
      <c r="AL39" s="1463" t="s">
        <v>4269</v>
      </c>
      <c r="AM39" s="1463" t="s">
        <v>9211</v>
      </c>
      <c r="AN39" s="1463" t="s">
        <v>2506</v>
      </c>
      <c r="AO39" s="1465" t="s">
        <v>5166</v>
      </c>
      <c r="AP39" s="1465" t="s">
        <v>9212</v>
      </c>
      <c r="AQ39" s="1465" t="s">
        <v>9213</v>
      </c>
      <c r="AR39" s="1465" t="s">
        <v>1368</v>
      </c>
      <c r="AS39" s="1465" t="s">
        <v>9214</v>
      </c>
      <c r="AT39" s="1465" t="s">
        <v>9215</v>
      </c>
      <c r="AU39" s="1465" t="s">
        <v>9216</v>
      </c>
      <c r="AV39" s="1463" t="str">
        <f t="shared" si="1"/>
        <v>2:25</v>
      </c>
      <c r="AW39" s="1498"/>
    </row>
    <row r="40">
      <c r="A40" s="1469" t="s">
        <v>9217</v>
      </c>
      <c r="B40" s="1496" t="s">
        <v>8373</v>
      </c>
      <c r="C40" s="1457">
        <v>0.050625</v>
      </c>
      <c r="D40" s="1599" t="s">
        <v>9218</v>
      </c>
      <c r="E40" s="1465" t="s">
        <v>4662</v>
      </c>
      <c r="F40" s="1465" t="s">
        <v>9219</v>
      </c>
      <c r="G40" s="1465" t="s">
        <v>8800</v>
      </c>
      <c r="H40" s="1465" t="s">
        <v>1655</v>
      </c>
      <c r="I40" s="1465" t="s">
        <v>1900</v>
      </c>
      <c r="J40" s="1465" t="s">
        <v>9220</v>
      </c>
      <c r="K40" s="1465" t="s">
        <v>3481</v>
      </c>
      <c r="L40" s="1465" t="s">
        <v>9221</v>
      </c>
      <c r="M40" s="1465" t="s">
        <v>9222</v>
      </c>
      <c r="N40" s="1465" t="s">
        <v>9223</v>
      </c>
      <c r="O40" s="1465" t="s">
        <v>9224</v>
      </c>
      <c r="P40" s="1465" t="s">
        <v>9102</v>
      </c>
      <c r="Q40" s="1465" t="s">
        <v>4590</v>
      </c>
      <c r="R40" s="1465" t="s">
        <v>3899</v>
      </c>
      <c r="S40" s="1465" t="s">
        <v>2539</v>
      </c>
      <c r="T40" s="1465" t="s">
        <v>2349</v>
      </c>
      <c r="U40" s="1465" t="s">
        <v>9225</v>
      </c>
      <c r="V40" s="1465" t="s">
        <v>2165</v>
      </c>
      <c r="W40" s="1465" t="s">
        <v>7559</v>
      </c>
      <c r="X40" s="1465" t="s">
        <v>9226</v>
      </c>
      <c r="Y40" s="1465" t="s">
        <v>9227</v>
      </c>
      <c r="Z40" s="1465" t="s">
        <v>9228</v>
      </c>
      <c r="AA40" s="1465" t="s">
        <v>9229</v>
      </c>
      <c r="AB40" s="1465"/>
      <c r="AC40" s="1465" t="s">
        <v>9230</v>
      </c>
      <c r="AD40" s="1465" t="s">
        <v>9231</v>
      </c>
      <c r="AE40" s="1465" t="s">
        <v>4890</v>
      </c>
      <c r="AF40" s="1465" t="s">
        <v>9232</v>
      </c>
      <c r="AG40" s="1465" t="s">
        <v>9233</v>
      </c>
      <c r="AH40" s="1465" t="s">
        <v>9234</v>
      </c>
      <c r="AI40" s="1465" t="s">
        <v>725</v>
      </c>
      <c r="AJ40" s="1465" t="s">
        <v>9235</v>
      </c>
      <c r="AK40" s="1465" t="s">
        <v>9236</v>
      </c>
      <c r="AL40" s="1465" t="s">
        <v>8965</v>
      </c>
      <c r="AM40" s="1465" t="s">
        <v>9237</v>
      </c>
      <c r="AN40" s="1465" t="s">
        <v>8453</v>
      </c>
      <c r="AO40" s="1465" t="s">
        <v>9238</v>
      </c>
      <c r="AP40" s="1465" t="s">
        <v>9239</v>
      </c>
      <c r="AQ40" s="1465" t="s">
        <v>9240</v>
      </c>
      <c r="AR40" s="1465" t="s">
        <v>6365</v>
      </c>
      <c r="AS40" s="1465" t="s">
        <v>6175</v>
      </c>
      <c r="AT40" s="1465" t="s">
        <v>8057</v>
      </c>
      <c r="AU40" s="1465" t="s">
        <v>9241</v>
      </c>
      <c r="AV40" s="1463" t="str">
        <f t="shared" si="1"/>
        <v>2:05</v>
      </c>
      <c r="AW40" s="1536"/>
    </row>
    <row r="41">
      <c r="A41" s="1469" t="s">
        <v>9242</v>
      </c>
      <c r="B41" s="1500" t="s">
        <v>8373</v>
      </c>
      <c r="C41" s="1457">
        <v>0.0506712962962963</v>
      </c>
      <c r="D41" s="1599" t="s">
        <v>9243</v>
      </c>
      <c r="E41" s="1506" t="s">
        <v>3165</v>
      </c>
      <c r="F41" s="1506" t="s">
        <v>8670</v>
      </c>
      <c r="G41" s="1506" t="s">
        <v>9244</v>
      </c>
      <c r="H41" s="1558" t="s">
        <v>9245</v>
      </c>
      <c r="I41" s="1558" t="s">
        <v>9246</v>
      </c>
      <c r="J41" s="1508" t="s">
        <v>9247</v>
      </c>
      <c r="K41" s="1508" t="s">
        <v>6912</v>
      </c>
      <c r="L41" s="1508" t="s">
        <v>4363</v>
      </c>
      <c r="M41" s="1508" t="s">
        <v>6913</v>
      </c>
      <c r="N41" s="1508" t="s">
        <v>9248</v>
      </c>
      <c r="O41" s="1508" t="s">
        <v>2198</v>
      </c>
      <c r="P41" s="1508" t="s">
        <v>6877</v>
      </c>
      <c r="Q41" s="1509" t="s">
        <v>7639</v>
      </c>
      <c r="R41" s="1509" t="s">
        <v>9249</v>
      </c>
      <c r="S41" s="1509" t="s">
        <v>9250</v>
      </c>
      <c r="T41" s="1509" t="s">
        <v>9251</v>
      </c>
      <c r="U41" s="1509" t="s">
        <v>9252</v>
      </c>
      <c r="V41" s="1509" t="s">
        <v>9253</v>
      </c>
      <c r="W41" s="1510" t="s">
        <v>9254</v>
      </c>
      <c r="X41" s="1510" t="s">
        <v>9255</v>
      </c>
      <c r="Y41" s="1510" t="s">
        <v>5990</v>
      </c>
      <c r="Z41" s="1510" t="s">
        <v>9256</v>
      </c>
      <c r="AA41" s="1465" t="s">
        <v>1760</v>
      </c>
      <c r="AB41" s="1510" t="s">
        <v>9257</v>
      </c>
      <c r="AC41" s="1510" t="s">
        <v>7507</v>
      </c>
      <c r="AD41" s="1506" t="s">
        <v>9258</v>
      </c>
      <c r="AE41" s="1506" t="s">
        <v>533</v>
      </c>
      <c r="AF41" s="1511" t="s">
        <v>9259</v>
      </c>
      <c r="AG41" s="1511" t="s">
        <v>3883</v>
      </c>
      <c r="AH41" s="1511" t="s">
        <v>5188</v>
      </c>
      <c r="AI41" s="1511" t="s">
        <v>9260</v>
      </c>
      <c r="AJ41" s="1511" t="s">
        <v>9261</v>
      </c>
      <c r="AK41" s="1511" t="s">
        <v>401</v>
      </c>
      <c r="AL41" s="1511" t="s">
        <v>2614</v>
      </c>
      <c r="AM41" s="1513" t="s">
        <v>8671</v>
      </c>
      <c r="AN41" s="1513" t="s">
        <v>8604</v>
      </c>
      <c r="AO41" s="1513" t="s">
        <v>8876</v>
      </c>
      <c r="AP41" s="1513" t="s">
        <v>9262</v>
      </c>
      <c r="AQ41" s="1513" t="s">
        <v>9263</v>
      </c>
      <c r="AR41" s="1513" t="s">
        <v>9264</v>
      </c>
      <c r="AS41" s="1513" t="s">
        <v>9265</v>
      </c>
      <c r="AT41" s="1508" t="s">
        <v>9266</v>
      </c>
      <c r="AU41" s="1494" t="s">
        <v>9049</v>
      </c>
      <c r="AV41" s="1463" t="str">
        <f t="shared" si="1"/>
        <v>3:31</v>
      </c>
      <c r="AW41" s="1588"/>
    </row>
    <row r="42" ht="15.75" customHeight="1">
      <c r="A42" s="1539" t="s">
        <v>9267</v>
      </c>
      <c r="B42" s="1456" t="s">
        <v>8373</v>
      </c>
      <c r="C42" s="1457">
        <v>0.05070601851851852</v>
      </c>
      <c r="D42" s="1270" t="s">
        <v>9268</v>
      </c>
      <c r="E42" s="1520" t="s">
        <v>3241</v>
      </c>
      <c r="F42" s="1520" t="s">
        <v>8605</v>
      </c>
      <c r="G42" s="1520" t="s">
        <v>9269</v>
      </c>
      <c r="H42" s="1507" t="s">
        <v>9270</v>
      </c>
      <c r="I42" s="1507" t="s">
        <v>388</v>
      </c>
      <c r="J42" s="1522" t="s">
        <v>2080</v>
      </c>
      <c r="K42" s="1522" t="s">
        <v>3457</v>
      </c>
      <c r="L42" s="1522" t="s">
        <v>5377</v>
      </c>
      <c r="M42" s="1522" t="s">
        <v>9271</v>
      </c>
      <c r="N42" s="1522" t="s">
        <v>9098</v>
      </c>
      <c r="O42" s="1522" t="s">
        <v>9272</v>
      </c>
      <c r="P42" s="1522" t="s">
        <v>5453</v>
      </c>
      <c r="Q42" s="1523" t="s">
        <v>9273</v>
      </c>
      <c r="R42" s="1523" t="s">
        <v>728</v>
      </c>
      <c r="S42" s="1523" t="s">
        <v>9238</v>
      </c>
      <c r="T42" s="1523" t="s">
        <v>9101</v>
      </c>
      <c r="U42" s="1523" t="s">
        <v>9274</v>
      </c>
      <c r="V42" s="1523" t="s">
        <v>2473</v>
      </c>
      <c r="W42" s="1524" t="s">
        <v>9275</v>
      </c>
      <c r="X42" s="1524" t="s">
        <v>8489</v>
      </c>
      <c r="Y42" s="1524" t="s">
        <v>9276</v>
      </c>
      <c r="Z42" s="1524" t="s">
        <v>8473</v>
      </c>
      <c r="AA42" s="1524" t="s">
        <v>9277</v>
      </c>
      <c r="AB42" s="1524" t="s">
        <v>2633</v>
      </c>
      <c r="AC42" s="1524" t="s">
        <v>2882</v>
      </c>
      <c r="AD42" s="1520" t="s">
        <v>9278</v>
      </c>
      <c r="AE42" s="1520" t="s">
        <v>5992</v>
      </c>
      <c r="AF42" s="1525" t="s">
        <v>8509</v>
      </c>
      <c r="AG42" s="1525" t="s">
        <v>9279</v>
      </c>
      <c r="AH42" s="1525" t="s">
        <v>2208</v>
      </c>
      <c r="AI42" s="1525" t="s">
        <v>6169</v>
      </c>
      <c r="AJ42" s="1525" t="s">
        <v>8843</v>
      </c>
      <c r="AK42" s="1525" t="s">
        <v>9280</v>
      </c>
      <c r="AL42" s="1525" t="s">
        <v>5344</v>
      </c>
      <c r="AM42" s="1512" t="s">
        <v>9128</v>
      </c>
      <c r="AN42" s="1512" t="s">
        <v>5344</v>
      </c>
      <c r="AO42" s="1512" t="s">
        <v>2291</v>
      </c>
      <c r="AP42" s="1512" t="s">
        <v>9281</v>
      </c>
      <c r="AQ42" s="1512" t="s">
        <v>9282</v>
      </c>
      <c r="AR42" s="1512" t="s">
        <v>9283</v>
      </c>
      <c r="AS42" s="1512" t="s">
        <v>4315</v>
      </c>
      <c r="AT42" s="1522" t="s">
        <v>9284</v>
      </c>
      <c r="AU42" s="1526" t="s">
        <v>9285</v>
      </c>
      <c r="AV42" s="1463" t="str">
        <f t="shared" si="1"/>
        <v>2:54</v>
      </c>
      <c r="AW42" s="1588"/>
    </row>
    <row r="43">
      <c r="A43" s="1502" t="s">
        <v>2819</v>
      </c>
      <c r="B43" s="1496" t="s">
        <v>8373</v>
      </c>
      <c r="C43" s="1457">
        <v>0.050826388888888886</v>
      </c>
      <c r="D43" s="1465" t="s">
        <v>9286</v>
      </c>
      <c r="E43" s="1465" t="s">
        <v>9287</v>
      </c>
      <c r="F43" s="1506" t="s">
        <v>9288</v>
      </c>
      <c r="G43" s="1465" t="s">
        <v>9289</v>
      </c>
      <c r="H43" s="1465" t="s">
        <v>6248</v>
      </c>
      <c r="I43" s="1465" t="s">
        <v>1358</v>
      </c>
      <c r="J43" s="1465" t="s">
        <v>9290</v>
      </c>
      <c r="K43" s="1465" t="s">
        <v>3860</v>
      </c>
      <c r="L43" s="1465" t="s">
        <v>9291</v>
      </c>
      <c r="M43" s="1465" t="s">
        <v>9292</v>
      </c>
      <c r="N43" s="1465" t="s">
        <v>7127</v>
      </c>
      <c r="O43" s="1465" t="s">
        <v>9293</v>
      </c>
      <c r="P43" s="1465" t="s">
        <v>8792</v>
      </c>
      <c r="Q43" s="1465" t="s">
        <v>9294</v>
      </c>
      <c r="R43" s="1465" t="s">
        <v>9295</v>
      </c>
      <c r="S43" s="1465" t="s">
        <v>9296</v>
      </c>
      <c r="T43" s="1465" t="s">
        <v>1786</v>
      </c>
      <c r="U43" s="1465" t="s">
        <v>9297</v>
      </c>
      <c r="V43" s="1465" t="s">
        <v>6957</v>
      </c>
      <c r="W43" s="1465" t="s">
        <v>5437</v>
      </c>
      <c r="X43" s="1465" t="s">
        <v>9298</v>
      </c>
      <c r="Y43" s="1465" t="s">
        <v>6870</v>
      </c>
      <c r="Z43" s="1465" t="s">
        <v>2030</v>
      </c>
      <c r="AA43" s="1510" t="s">
        <v>9299</v>
      </c>
      <c r="AB43" s="1465" t="s">
        <v>1908</v>
      </c>
      <c r="AC43" s="1465" t="s">
        <v>7507</v>
      </c>
      <c r="AD43" s="1465" t="s">
        <v>9300</v>
      </c>
      <c r="AE43" s="1465" t="s">
        <v>4890</v>
      </c>
      <c r="AF43" s="1465" t="s">
        <v>9301</v>
      </c>
      <c r="AG43" s="1465" t="s">
        <v>1178</v>
      </c>
      <c r="AH43" s="1465" t="s">
        <v>3832</v>
      </c>
      <c r="AI43" s="1465" t="s">
        <v>9302</v>
      </c>
      <c r="AJ43" s="1465" t="s">
        <v>9303</v>
      </c>
      <c r="AK43" s="1465" t="s">
        <v>9210</v>
      </c>
      <c r="AL43" s="1465" t="s">
        <v>4276</v>
      </c>
      <c r="AM43" s="1465" t="s">
        <v>9210</v>
      </c>
      <c r="AN43" s="1465" t="s">
        <v>8453</v>
      </c>
      <c r="AO43" s="1465" t="s">
        <v>7226</v>
      </c>
      <c r="AP43" s="1465" t="s">
        <v>9304</v>
      </c>
      <c r="AQ43" s="1465" t="s">
        <v>9305</v>
      </c>
      <c r="AR43" s="1465" t="s">
        <v>5099</v>
      </c>
      <c r="AS43" s="1465" t="s">
        <v>9306</v>
      </c>
      <c r="AT43" s="1465" t="s">
        <v>9307</v>
      </c>
      <c r="AU43" s="1465" t="s">
        <v>9308</v>
      </c>
      <c r="AV43" s="1463" t="str">
        <f t="shared" si="1"/>
        <v>2:25</v>
      </c>
      <c r="AW43" s="1536"/>
    </row>
    <row r="44" ht="15.75" customHeight="1">
      <c r="A44" s="1502" t="s">
        <v>4624</v>
      </c>
      <c r="B44" s="1456" t="s">
        <v>8373</v>
      </c>
      <c r="C44" s="1589">
        <v>0.050868055555555555</v>
      </c>
      <c r="D44" s="1270" t="s">
        <v>9309</v>
      </c>
      <c r="E44" s="1463" t="s">
        <v>7455</v>
      </c>
      <c r="F44" s="1463" t="s">
        <v>9310</v>
      </c>
      <c r="G44" s="1463" t="s">
        <v>9311</v>
      </c>
      <c r="H44" s="1463" t="s">
        <v>9141</v>
      </c>
      <c r="I44" s="1463" t="s">
        <v>1358</v>
      </c>
      <c r="J44" s="1463" t="s">
        <v>9264</v>
      </c>
      <c r="K44" s="1463" t="s">
        <v>8822</v>
      </c>
      <c r="L44" s="1463" t="s">
        <v>8673</v>
      </c>
      <c r="M44" s="1463" t="s">
        <v>5274</v>
      </c>
      <c r="N44" s="1463" t="s">
        <v>7917</v>
      </c>
      <c r="O44" s="1463" t="s">
        <v>9312</v>
      </c>
      <c r="P44" s="1463" t="s">
        <v>9313</v>
      </c>
      <c r="Q44" s="1463" t="s">
        <v>9314</v>
      </c>
      <c r="R44" s="1463" t="s">
        <v>7208</v>
      </c>
      <c r="S44" s="1463" t="s">
        <v>8655</v>
      </c>
      <c r="T44" s="1463" t="s">
        <v>4607</v>
      </c>
      <c r="U44" s="1463" t="s">
        <v>9315</v>
      </c>
      <c r="V44" s="1463" t="s">
        <v>8869</v>
      </c>
      <c r="W44" s="1463" t="s">
        <v>9316</v>
      </c>
      <c r="X44" s="1463" t="s">
        <v>8873</v>
      </c>
      <c r="Y44" s="1463" t="s">
        <v>3488</v>
      </c>
      <c r="Z44" s="1463" t="s">
        <v>9317</v>
      </c>
      <c r="AA44" s="1463" t="s">
        <v>9318</v>
      </c>
      <c r="AB44" s="1463" t="s">
        <v>1615</v>
      </c>
      <c r="AC44" s="1463" t="s">
        <v>2927</v>
      </c>
      <c r="AD44" s="1463" t="s">
        <v>9319</v>
      </c>
      <c r="AE44" s="1463" t="s">
        <v>615</v>
      </c>
      <c r="AF44" s="1463" t="s">
        <v>9320</v>
      </c>
      <c r="AG44" s="1463" t="s">
        <v>5817</v>
      </c>
      <c r="AH44" s="1463" t="s">
        <v>9321</v>
      </c>
      <c r="AI44" s="1463" t="s">
        <v>7323</v>
      </c>
      <c r="AJ44" s="1463" t="s">
        <v>9322</v>
      </c>
      <c r="AK44" s="1463" t="s">
        <v>5332</v>
      </c>
      <c r="AL44" s="1463" t="s">
        <v>9323</v>
      </c>
      <c r="AM44" s="1463" t="s">
        <v>9324</v>
      </c>
      <c r="AN44" s="1463" t="s">
        <v>3209</v>
      </c>
      <c r="AO44" s="1463" t="s">
        <v>8785</v>
      </c>
      <c r="AP44" s="1463" t="s">
        <v>9325</v>
      </c>
      <c r="AQ44" s="1463" t="s">
        <v>9326</v>
      </c>
      <c r="AR44" s="1463" t="s">
        <v>8664</v>
      </c>
      <c r="AS44" s="1463" t="s">
        <v>4992</v>
      </c>
      <c r="AT44" s="1463" t="s">
        <v>9327</v>
      </c>
      <c r="AU44" s="1463" t="s">
        <v>9328</v>
      </c>
      <c r="AV44" s="1463" t="str">
        <f t="shared" si="1"/>
        <v>2:44</v>
      </c>
      <c r="AW44" s="1482"/>
    </row>
    <row r="45" ht="15.75" customHeight="1">
      <c r="A45" s="1502" t="s">
        <v>1879</v>
      </c>
      <c r="B45" s="1600" t="s">
        <v>8425</v>
      </c>
      <c r="C45" s="1457">
        <v>0.05092592592592592</v>
      </c>
      <c r="D45" s="1601" t="s">
        <v>8426</v>
      </c>
      <c r="E45" s="1602" t="s">
        <v>8427</v>
      </c>
      <c r="F45" s="1601" t="s">
        <v>8428</v>
      </c>
      <c r="G45" s="1465" t="s">
        <v>9329</v>
      </c>
      <c r="H45" s="1601" t="s">
        <v>8430</v>
      </c>
      <c r="I45" s="1463" t="s">
        <v>1318</v>
      </c>
      <c r="J45" s="1520" t="s">
        <v>9330</v>
      </c>
      <c r="K45" s="1463" t="s">
        <v>9098</v>
      </c>
      <c r="L45" s="1520" t="s">
        <v>2318</v>
      </c>
      <c r="M45" s="1463" t="s">
        <v>2571</v>
      </c>
      <c r="N45" s="1601" t="s">
        <v>8433</v>
      </c>
      <c r="O45" s="1463" t="s">
        <v>9331</v>
      </c>
      <c r="P45" s="1520" t="s">
        <v>634</v>
      </c>
      <c r="Q45" s="1602" t="s">
        <v>8436</v>
      </c>
      <c r="R45" s="1601" t="s">
        <v>8437</v>
      </c>
      <c r="S45" s="1463" t="s">
        <v>1163</v>
      </c>
      <c r="T45" s="1520" t="s">
        <v>7563</v>
      </c>
      <c r="U45" s="1602" t="s">
        <v>8439</v>
      </c>
      <c r="V45" s="1601" t="s">
        <v>8440</v>
      </c>
      <c r="W45" s="1463" t="s">
        <v>9332</v>
      </c>
      <c r="X45" s="1601" t="s">
        <v>8442</v>
      </c>
      <c r="Y45" s="1463" t="s">
        <v>5573</v>
      </c>
      <c r="Z45" s="1506" t="s">
        <v>9333</v>
      </c>
      <c r="AA45" s="1463" t="s">
        <v>2293</v>
      </c>
      <c r="AB45" s="1520" t="s">
        <v>9334</v>
      </c>
      <c r="AC45" s="1465" t="s">
        <v>9335</v>
      </c>
      <c r="AD45" s="1520" t="s">
        <v>9336</v>
      </c>
      <c r="AE45" s="1465" t="s">
        <v>9337</v>
      </c>
      <c r="AF45" s="1520" t="s">
        <v>9338</v>
      </c>
      <c r="AG45" s="1463" t="s">
        <v>6788</v>
      </c>
      <c r="AH45" s="1506" t="s">
        <v>9221</v>
      </c>
      <c r="AI45" s="1602" t="s">
        <v>8448</v>
      </c>
      <c r="AJ45" s="1520" t="s">
        <v>9339</v>
      </c>
      <c r="AK45" s="1463" t="s">
        <v>5748</v>
      </c>
      <c r="AL45" s="1601" t="s">
        <v>8451</v>
      </c>
      <c r="AM45" s="1463" t="s">
        <v>8746</v>
      </c>
      <c r="AN45" s="1520" t="s">
        <v>3932</v>
      </c>
      <c r="AO45" s="1465" t="s">
        <v>4773</v>
      </c>
      <c r="AP45" s="1506" t="s">
        <v>9340</v>
      </c>
      <c r="AQ45" s="1465" t="s">
        <v>9341</v>
      </c>
      <c r="AR45" s="1506" t="s">
        <v>9342</v>
      </c>
      <c r="AS45" s="1463" t="s">
        <v>903</v>
      </c>
      <c r="AT45" s="1601" t="s">
        <v>8457</v>
      </c>
      <c r="AU45" s="1465" t="s">
        <v>9343</v>
      </c>
      <c r="AV45" s="1463" t="str">
        <f t="shared" si="1"/>
        <v>2:24</v>
      </c>
      <c r="AW45" s="1498"/>
    </row>
    <row r="46">
      <c r="A46" s="1502" t="s">
        <v>2572</v>
      </c>
      <c r="B46" s="1541" t="s">
        <v>8401</v>
      </c>
      <c r="C46" s="1457">
        <v>0.05092592592592592</v>
      </c>
      <c r="D46" s="1270" t="s">
        <v>9344</v>
      </c>
      <c r="E46" s="1506" t="s">
        <v>9345</v>
      </c>
      <c r="F46" s="1506" t="s">
        <v>9346</v>
      </c>
      <c r="G46" s="1506" t="s">
        <v>9347</v>
      </c>
      <c r="H46" s="1558" t="s">
        <v>9348</v>
      </c>
      <c r="I46" s="1558" t="s">
        <v>2786</v>
      </c>
      <c r="J46" s="1508" t="s">
        <v>8526</v>
      </c>
      <c r="K46" s="1508" t="s">
        <v>3819</v>
      </c>
      <c r="L46" s="1508" t="s">
        <v>5636</v>
      </c>
      <c r="M46" s="1508" t="s">
        <v>2900</v>
      </c>
      <c r="N46" s="1508" t="s">
        <v>9169</v>
      </c>
      <c r="O46" s="1508" t="s">
        <v>9349</v>
      </c>
      <c r="P46" s="1508" t="s">
        <v>772</v>
      </c>
      <c r="Q46" s="1509" t="s">
        <v>7533</v>
      </c>
      <c r="R46" s="1509" t="s">
        <v>7253</v>
      </c>
      <c r="S46" s="1509" t="s">
        <v>6361</v>
      </c>
      <c r="T46" s="1509" t="s">
        <v>9350</v>
      </c>
      <c r="U46" s="1603" t="s">
        <v>7695</v>
      </c>
      <c r="V46" s="1509" t="s">
        <v>9351</v>
      </c>
      <c r="W46" s="1510" t="s">
        <v>6554</v>
      </c>
      <c r="X46" s="1510" t="s">
        <v>9352</v>
      </c>
      <c r="Y46" s="1510" t="s">
        <v>9353</v>
      </c>
      <c r="Z46" s="1510" t="s">
        <v>7463</v>
      </c>
      <c r="AA46" s="1510" t="s">
        <v>1935</v>
      </c>
      <c r="AB46" s="1510" t="s">
        <v>9354</v>
      </c>
      <c r="AC46" s="1510" t="s">
        <v>2385</v>
      </c>
      <c r="AD46" s="1506" t="s">
        <v>9355</v>
      </c>
      <c r="AE46" s="1506" t="s">
        <v>5194</v>
      </c>
      <c r="AF46" s="1511" t="s">
        <v>9356</v>
      </c>
      <c r="AG46" s="1511" t="s">
        <v>5306</v>
      </c>
      <c r="AH46" s="1511" t="s">
        <v>4464</v>
      </c>
      <c r="AI46" s="1511" t="s">
        <v>9357</v>
      </c>
      <c r="AJ46" s="1604" t="s">
        <v>8418</v>
      </c>
      <c r="AK46" s="1511" t="s">
        <v>1615</v>
      </c>
      <c r="AL46" s="1511" t="s">
        <v>5749</v>
      </c>
      <c r="AM46" s="1513" t="s">
        <v>4009</v>
      </c>
      <c r="AN46" s="1513" t="s">
        <v>3582</v>
      </c>
      <c r="AO46" s="1513" t="s">
        <v>2425</v>
      </c>
      <c r="AP46" s="1513" t="s">
        <v>9358</v>
      </c>
      <c r="AQ46" s="1513" t="s">
        <v>4348</v>
      </c>
      <c r="AR46" s="1513" t="s">
        <v>7523</v>
      </c>
      <c r="AS46" s="1513" t="s">
        <v>6270</v>
      </c>
      <c r="AT46" s="1508" t="s">
        <v>9359</v>
      </c>
      <c r="AU46" s="1605" t="s">
        <v>9360</v>
      </c>
      <c r="AV46" s="1463" t="str">
        <f t="shared" si="1"/>
        <v>4:25</v>
      </c>
      <c r="AW46" s="1495"/>
    </row>
    <row r="47" ht="15.75" customHeight="1">
      <c r="A47" s="1455" t="s">
        <v>4417</v>
      </c>
      <c r="B47" s="1515" t="s">
        <v>8401</v>
      </c>
      <c r="C47" s="1457">
        <v>0.05100810185185185</v>
      </c>
      <c r="D47" s="1270" t="s">
        <v>9361</v>
      </c>
      <c r="E47" s="1506" t="s">
        <v>9362</v>
      </c>
      <c r="F47" s="1506" t="s">
        <v>9363</v>
      </c>
      <c r="G47" s="1520" t="s">
        <v>9364</v>
      </c>
      <c r="H47" s="1558" t="s">
        <v>9365</v>
      </c>
      <c r="I47" s="1558" t="s">
        <v>1318</v>
      </c>
      <c r="J47" s="1508" t="s">
        <v>5099</v>
      </c>
      <c r="K47" s="1508" t="s">
        <v>9095</v>
      </c>
      <c r="L47" s="1508" t="s">
        <v>4392</v>
      </c>
      <c r="M47" s="1508" t="s">
        <v>1450</v>
      </c>
      <c r="N47" s="1508" t="s">
        <v>9366</v>
      </c>
      <c r="O47" s="1508" t="s">
        <v>8549</v>
      </c>
      <c r="P47" s="1508" t="s">
        <v>9367</v>
      </c>
      <c r="Q47" s="1509" t="s">
        <v>9368</v>
      </c>
      <c r="R47" s="1509" t="s">
        <v>3337</v>
      </c>
      <c r="S47" s="1509" t="s">
        <v>6906</v>
      </c>
      <c r="T47" s="1509" t="s">
        <v>9369</v>
      </c>
      <c r="U47" s="1509" t="s">
        <v>9370</v>
      </c>
      <c r="V47" s="1523" t="s">
        <v>1273</v>
      </c>
      <c r="W47" s="1510" t="s">
        <v>9371</v>
      </c>
      <c r="X47" s="1510" t="s">
        <v>9150</v>
      </c>
      <c r="Y47" s="1510" t="s">
        <v>3903</v>
      </c>
      <c r="Z47" s="1510" t="s">
        <v>7483</v>
      </c>
      <c r="AA47" s="1510" t="s">
        <v>1025</v>
      </c>
      <c r="AB47" s="1510" t="s">
        <v>3961</v>
      </c>
      <c r="AC47" s="1524" t="s">
        <v>6500</v>
      </c>
      <c r="AD47" s="1506" t="s">
        <v>9372</v>
      </c>
      <c r="AE47" s="1520" t="s">
        <v>4878</v>
      </c>
      <c r="AF47" s="1511" t="s">
        <v>9373</v>
      </c>
      <c r="AG47" s="1511" t="s">
        <v>9374</v>
      </c>
      <c r="AH47" s="1511" t="s">
        <v>9375</v>
      </c>
      <c r="AI47" s="1511" t="s">
        <v>8728</v>
      </c>
      <c r="AJ47" s="1511" t="s">
        <v>9376</v>
      </c>
      <c r="AK47" s="1511" t="s">
        <v>9377</v>
      </c>
      <c r="AL47" s="1511" t="s">
        <v>4564</v>
      </c>
      <c r="AM47" s="1513" t="s">
        <v>9378</v>
      </c>
      <c r="AN47" s="1513" t="s">
        <v>3313</v>
      </c>
      <c r="AO47" s="1513" t="s">
        <v>9379</v>
      </c>
      <c r="AP47" s="1513" t="s">
        <v>9380</v>
      </c>
      <c r="AQ47" s="1513" t="s">
        <v>4348</v>
      </c>
      <c r="AR47" s="1513" t="s">
        <v>9381</v>
      </c>
      <c r="AS47" s="1513" t="s">
        <v>4502</v>
      </c>
      <c r="AT47" s="1508" t="s">
        <v>9382</v>
      </c>
      <c r="AU47" s="1494" t="s">
        <v>9383</v>
      </c>
      <c r="AV47" s="1463" t="str">
        <f t="shared" si="1"/>
        <v>3:17</v>
      </c>
      <c r="AW47" s="1501" t="s">
        <v>9384</v>
      </c>
    </row>
    <row r="48" ht="15.75" customHeight="1">
      <c r="A48" s="1502" t="s">
        <v>985</v>
      </c>
      <c r="B48" s="1500" t="s">
        <v>8401</v>
      </c>
      <c r="C48" s="1457">
        <v>0.05112268518518519</v>
      </c>
      <c r="D48" s="1506" t="s">
        <v>9385</v>
      </c>
      <c r="E48" s="1506" t="s">
        <v>4635</v>
      </c>
      <c r="F48" s="1506" t="s">
        <v>9386</v>
      </c>
      <c r="G48" s="1506" t="s">
        <v>9387</v>
      </c>
      <c r="H48" s="1270" t="s">
        <v>9388</v>
      </c>
      <c r="I48" s="1558" t="s">
        <v>4930</v>
      </c>
      <c r="J48" s="1508" t="s">
        <v>4012</v>
      </c>
      <c r="K48" s="1508" t="s">
        <v>9389</v>
      </c>
      <c r="L48" s="1459" t="s">
        <v>3504</v>
      </c>
      <c r="M48" s="1508" t="s">
        <v>4448</v>
      </c>
      <c r="N48" s="1508" t="s">
        <v>9128</v>
      </c>
      <c r="O48" s="1508" t="s">
        <v>9390</v>
      </c>
      <c r="P48" s="1508" t="s">
        <v>1523</v>
      </c>
      <c r="Q48" s="1509" t="s">
        <v>9391</v>
      </c>
      <c r="R48" s="1606" t="s">
        <v>9392</v>
      </c>
      <c r="S48" s="1509" t="s">
        <v>416</v>
      </c>
      <c r="T48" s="1509" t="s">
        <v>9393</v>
      </c>
      <c r="U48" s="1509" t="s">
        <v>9394</v>
      </c>
      <c r="V48" s="1509" t="s">
        <v>9395</v>
      </c>
      <c r="W48" s="1510" t="s">
        <v>9396</v>
      </c>
      <c r="X48" s="1510" t="s">
        <v>9397</v>
      </c>
      <c r="Y48" s="1607" t="s">
        <v>903</v>
      </c>
      <c r="Z48" s="1510" t="s">
        <v>9398</v>
      </c>
      <c r="AA48" s="1465" t="s">
        <v>9399</v>
      </c>
      <c r="AB48" s="1510" t="s">
        <v>155</v>
      </c>
      <c r="AC48" s="1586" t="s">
        <v>5031</v>
      </c>
      <c r="AD48" s="1506" t="s">
        <v>9400</v>
      </c>
      <c r="AE48" s="1506" t="s">
        <v>8447</v>
      </c>
      <c r="AF48" s="1511" t="s">
        <v>8565</v>
      </c>
      <c r="AG48" s="1511" t="s">
        <v>272</v>
      </c>
      <c r="AH48" s="1511" t="s">
        <v>463</v>
      </c>
      <c r="AI48" s="1511" t="s">
        <v>9401</v>
      </c>
      <c r="AJ48" s="1511" t="s">
        <v>9402</v>
      </c>
      <c r="AK48" s="1511" t="s">
        <v>4131</v>
      </c>
      <c r="AL48" s="1511" t="s">
        <v>9403</v>
      </c>
      <c r="AM48" s="1513" t="s">
        <v>9404</v>
      </c>
      <c r="AN48" s="1547" t="s">
        <v>3266</v>
      </c>
      <c r="AO48" s="1513" t="s">
        <v>6912</v>
      </c>
      <c r="AP48" s="1513" t="s">
        <v>9405</v>
      </c>
      <c r="AQ48" s="1513" t="s">
        <v>9406</v>
      </c>
      <c r="AR48" s="1513" t="s">
        <v>9407</v>
      </c>
      <c r="AS48" s="1513" t="s">
        <v>8331</v>
      </c>
      <c r="AT48" s="1508" t="s">
        <v>9408</v>
      </c>
      <c r="AU48" s="1494" t="s">
        <v>9409</v>
      </c>
      <c r="AV48" s="1463" t="str">
        <f t="shared" si="1"/>
        <v>4:57</v>
      </c>
      <c r="AW48" s="1588"/>
    </row>
    <row r="49">
      <c r="A49" s="1502" t="s">
        <v>2398</v>
      </c>
      <c r="B49" s="1496" t="s">
        <v>8401</v>
      </c>
      <c r="C49" s="1457">
        <v>0.05112268518518519</v>
      </c>
      <c r="D49" s="1465" t="s">
        <v>9410</v>
      </c>
      <c r="E49" s="1465" t="s">
        <v>4553</v>
      </c>
      <c r="F49" s="1465" t="s">
        <v>9411</v>
      </c>
      <c r="G49" s="1549" t="s">
        <v>8405</v>
      </c>
      <c r="H49" s="1270" t="s">
        <v>9412</v>
      </c>
      <c r="I49" s="1465" t="s">
        <v>764</v>
      </c>
      <c r="J49" s="1465" t="s">
        <v>6364</v>
      </c>
      <c r="K49" s="1465" t="s">
        <v>2494</v>
      </c>
      <c r="L49" s="1465" t="s">
        <v>1273</v>
      </c>
      <c r="M49" s="1465" t="s">
        <v>9413</v>
      </c>
      <c r="N49" s="1465" t="s">
        <v>8987</v>
      </c>
      <c r="O49" s="1465" t="s">
        <v>9414</v>
      </c>
      <c r="P49" s="1465" t="s">
        <v>3488</v>
      </c>
      <c r="Q49" s="1465" t="s">
        <v>9415</v>
      </c>
      <c r="R49" s="1465" t="s">
        <v>2229</v>
      </c>
      <c r="S49" s="1465" t="s">
        <v>3746</v>
      </c>
      <c r="T49" s="1465" t="s">
        <v>7707</v>
      </c>
      <c r="U49" s="1509" t="s">
        <v>8753</v>
      </c>
      <c r="V49" s="1465" t="s">
        <v>9416</v>
      </c>
      <c r="W49" s="1465" t="s">
        <v>9417</v>
      </c>
      <c r="X49" s="1465" t="s">
        <v>1485</v>
      </c>
      <c r="Y49" s="1465" t="s">
        <v>6874</v>
      </c>
      <c r="Z49" s="1465" t="s">
        <v>8613</v>
      </c>
      <c r="AA49" s="1510" t="s">
        <v>610</v>
      </c>
      <c r="AB49" s="1465" t="s">
        <v>9418</v>
      </c>
      <c r="AC49" s="1465" t="s">
        <v>5194</v>
      </c>
      <c r="AD49" s="1465" t="s">
        <v>8801</v>
      </c>
      <c r="AE49" s="1465" t="s">
        <v>3488</v>
      </c>
      <c r="AF49" s="1465" t="s">
        <v>9419</v>
      </c>
      <c r="AG49" s="1465" t="s">
        <v>9420</v>
      </c>
      <c r="AH49" s="1465" t="s">
        <v>2518</v>
      </c>
      <c r="AI49" s="1465" t="s">
        <v>5900</v>
      </c>
      <c r="AJ49" s="1465" t="s">
        <v>9421</v>
      </c>
      <c r="AK49" s="1465" t="s">
        <v>8876</v>
      </c>
      <c r="AL49" s="1465" t="s">
        <v>9422</v>
      </c>
      <c r="AM49" s="1465" t="s">
        <v>2566</v>
      </c>
      <c r="AN49" s="1465" t="s">
        <v>9423</v>
      </c>
      <c r="AO49" s="1465" t="s">
        <v>8523</v>
      </c>
      <c r="AP49" s="1465" t="s">
        <v>9424</v>
      </c>
      <c r="AQ49" s="1465" t="s">
        <v>9425</v>
      </c>
      <c r="AR49" s="1465" t="s">
        <v>2207</v>
      </c>
      <c r="AS49" s="1465" t="s">
        <v>6870</v>
      </c>
      <c r="AT49" s="1465" t="s">
        <v>9426</v>
      </c>
      <c r="AU49" s="1465" t="s">
        <v>9427</v>
      </c>
      <c r="AV49" s="1463" t="str">
        <f t="shared" si="1"/>
        <v>3:15</v>
      </c>
      <c r="AW49" s="1608"/>
    </row>
    <row r="50" ht="15.75" customHeight="1">
      <c r="A50" s="1455" t="s">
        <v>9428</v>
      </c>
      <c r="B50" s="1609" t="s">
        <v>8373</v>
      </c>
      <c r="C50" s="1457">
        <v>0.051180555555555556</v>
      </c>
      <c r="D50" s="1270" t="s">
        <v>9429</v>
      </c>
      <c r="E50" s="1465" t="s">
        <v>9430</v>
      </c>
      <c r="F50" s="1465" t="s">
        <v>4133</v>
      </c>
      <c r="G50" s="1465" t="s">
        <v>8074</v>
      </c>
      <c r="H50" s="1465" t="s">
        <v>9431</v>
      </c>
      <c r="I50" s="1465" t="s">
        <v>160</v>
      </c>
      <c r="J50" s="1465" t="s">
        <v>972</v>
      </c>
      <c r="K50" s="1465" t="s">
        <v>8931</v>
      </c>
      <c r="L50" s="1465" t="s">
        <v>8469</v>
      </c>
      <c r="M50" s="1465" t="s">
        <v>9432</v>
      </c>
      <c r="N50" s="1465" t="s">
        <v>9433</v>
      </c>
      <c r="O50" s="1465" t="s">
        <v>9434</v>
      </c>
      <c r="P50" s="1465" t="s">
        <v>3708</v>
      </c>
      <c r="Q50" s="1465" t="s">
        <v>7116</v>
      </c>
      <c r="R50" s="1465" t="s">
        <v>9435</v>
      </c>
      <c r="S50" s="1465" t="s">
        <v>8275</v>
      </c>
      <c r="T50" s="1463" t="s">
        <v>4179</v>
      </c>
      <c r="U50" s="1463" t="s">
        <v>9436</v>
      </c>
      <c r="V50" s="1465" t="s">
        <v>1818</v>
      </c>
      <c r="W50" s="1465" t="s">
        <v>9437</v>
      </c>
      <c r="X50" s="1465" t="s">
        <v>9438</v>
      </c>
      <c r="Y50" s="1465" t="s">
        <v>8792</v>
      </c>
      <c r="Z50" s="1465" t="s">
        <v>9439</v>
      </c>
      <c r="AA50" s="1465" t="s">
        <v>9440</v>
      </c>
      <c r="AB50" s="1465" t="s">
        <v>9441</v>
      </c>
      <c r="AC50" s="1465" t="s">
        <v>936</v>
      </c>
      <c r="AD50" s="1465" t="s">
        <v>9372</v>
      </c>
      <c r="AE50" s="1465" t="s">
        <v>3261</v>
      </c>
      <c r="AF50" s="1463" t="s">
        <v>9442</v>
      </c>
      <c r="AG50" s="1465" t="s">
        <v>387</v>
      </c>
      <c r="AH50" s="1465" t="s">
        <v>9443</v>
      </c>
      <c r="AI50" s="1465" t="s">
        <v>9444</v>
      </c>
      <c r="AJ50" s="1465" t="s">
        <v>9445</v>
      </c>
      <c r="AK50" s="1465" t="s">
        <v>9446</v>
      </c>
      <c r="AL50" s="1465" t="s">
        <v>9447</v>
      </c>
      <c r="AM50" s="1465" t="s">
        <v>7223</v>
      </c>
      <c r="AN50" s="1465" t="s">
        <v>9057</v>
      </c>
      <c r="AO50" s="1479" t="str">
        <f>HYPERLINK("https://clips.twitch.tv/AltruisticEmpathicManateeDoritosChip","1:20.90")</f>
        <v>1:20.90</v>
      </c>
      <c r="AP50" s="1465" t="s">
        <v>9448</v>
      </c>
      <c r="AQ50" s="1465" t="s">
        <v>9449</v>
      </c>
      <c r="AR50" s="1465" t="s">
        <v>9450</v>
      </c>
      <c r="AS50" s="1465" t="s">
        <v>9024</v>
      </c>
      <c r="AT50" s="1465" t="s">
        <v>9451</v>
      </c>
      <c r="AU50" s="1465" t="s">
        <v>9452</v>
      </c>
      <c r="AV50" s="1463" t="str">
        <f t="shared" si="1"/>
        <v>2:40</v>
      </c>
      <c r="AW50" s="1536" t="s">
        <v>9453</v>
      </c>
    </row>
    <row r="51" ht="15.75" customHeight="1">
      <c r="A51" s="1502" t="s">
        <v>3713</v>
      </c>
      <c r="B51" s="1600" t="s">
        <v>8373</v>
      </c>
      <c r="C51" s="1610">
        <v>0.05123738425925926</v>
      </c>
      <c r="D51" s="1506" t="s">
        <v>9454</v>
      </c>
      <c r="E51" s="1506" t="s">
        <v>3922</v>
      </c>
      <c r="F51" s="1506" t="s">
        <v>9455</v>
      </c>
      <c r="G51" s="1506" t="s">
        <v>8835</v>
      </c>
      <c r="H51" s="1558" t="s">
        <v>9456</v>
      </c>
      <c r="I51" s="1558" t="s">
        <v>9119</v>
      </c>
      <c r="J51" s="1508" t="s">
        <v>9095</v>
      </c>
      <c r="K51" s="1508" t="s">
        <v>6902</v>
      </c>
      <c r="L51" s="1508" t="s">
        <v>9457</v>
      </c>
      <c r="M51" s="1508" t="s">
        <v>8766</v>
      </c>
      <c r="N51" s="1611" t="s">
        <v>1162</v>
      </c>
      <c r="O51" s="1508" t="s">
        <v>3403</v>
      </c>
      <c r="P51" s="1508" t="s">
        <v>8508</v>
      </c>
      <c r="Q51" s="1509" t="s">
        <v>9458</v>
      </c>
      <c r="R51" s="1509" t="s">
        <v>8849</v>
      </c>
      <c r="S51" s="1509" t="s">
        <v>9459</v>
      </c>
      <c r="T51" s="1509" t="s">
        <v>9460</v>
      </c>
      <c r="U51" s="1509" t="s">
        <v>9461</v>
      </c>
      <c r="V51" s="1509" t="s">
        <v>4204</v>
      </c>
      <c r="W51" s="1510" t="s">
        <v>9462</v>
      </c>
      <c r="X51" s="1510" t="s">
        <v>9463</v>
      </c>
      <c r="Y51" s="1510" t="s">
        <v>9464</v>
      </c>
      <c r="Z51" s="1510" t="s">
        <v>1260</v>
      </c>
      <c r="AA51" s="1510" t="s">
        <v>8728</v>
      </c>
      <c r="AB51" s="1510" t="s">
        <v>9204</v>
      </c>
      <c r="AC51" s="1510" t="s">
        <v>481</v>
      </c>
      <c r="AD51" s="1506" t="s">
        <v>9465</v>
      </c>
      <c r="AE51" s="1506" t="s">
        <v>6281</v>
      </c>
      <c r="AF51" s="1511" t="s">
        <v>9466</v>
      </c>
      <c r="AG51" s="1511" t="s">
        <v>9467</v>
      </c>
      <c r="AH51" s="1511" t="s">
        <v>9468</v>
      </c>
      <c r="AI51" s="1511" t="s">
        <v>311</v>
      </c>
      <c r="AJ51" s="1511" t="s">
        <v>9469</v>
      </c>
      <c r="AK51" s="1467" t="s">
        <v>8918</v>
      </c>
      <c r="AL51" s="1511" t="s">
        <v>8409</v>
      </c>
      <c r="AM51" s="1513" t="s">
        <v>9470</v>
      </c>
      <c r="AN51" s="1513" t="s">
        <v>566</v>
      </c>
      <c r="AO51" s="1513" t="s">
        <v>9471</v>
      </c>
      <c r="AP51" s="1513" t="s">
        <v>9472</v>
      </c>
      <c r="AQ51" s="1270" t="s">
        <v>9473</v>
      </c>
      <c r="AR51" s="1612" t="s">
        <v>9474</v>
      </c>
      <c r="AS51" s="1513" t="s">
        <v>9475</v>
      </c>
      <c r="AT51" s="1508" t="s">
        <v>9476</v>
      </c>
      <c r="AU51" s="1494" t="s">
        <v>9477</v>
      </c>
      <c r="AV51" s="1463" t="str">
        <f t="shared" si="1"/>
        <v>4:25</v>
      </c>
      <c r="AW51" s="1501" t="s">
        <v>9478</v>
      </c>
    </row>
    <row r="52" ht="15.75" customHeight="1">
      <c r="A52" s="1502" t="s">
        <v>1630</v>
      </c>
      <c r="B52" s="1613" t="s">
        <v>8425</v>
      </c>
      <c r="C52" s="1589">
        <v>0.051319444444444445</v>
      </c>
      <c r="D52" s="1270" t="s">
        <v>9479</v>
      </c>
      <c r="E52" s="1463" t="s">
        <v>9480</v>
      </c>
      <c r="F52" s="1463" t="s">
        <v>9481</v>
      </c>
      <c r="G52" s="1463" t="s">
        <v>9482</v>
      </c>
      <c r="H52" s="1463" t="s">
        <v>5045</v>
      </c>
      <c r="I52" s="1463" t="s">
        <v>6280</v>
      </c>
      <c r="J52" s="1463" t="s">
        <v>9483</v>
      </c>
      <c r="K52" s="1463" t="s">
        <v>8775</v>
      </c>
      <c r="L52" s="1463" t="s">
        <v>3833</v>
      </c>
      <c r="M52" s="1463" t="s">
        <v>9249</v>
      </c>
      <c r="N52" s="1463" t="s">
        <v>9037</v>
      </c>
      <c r="O52" s="1463" t="s">
        <v>9484</v>
      </c>
      <c r="P52" s="1614" t="s">
        <v>8435</v>
      </c>
      <c r="Q52" s="1463" t="s">
        <v>9485</v>
      </c>
      <c r="R52" s="1463" t="s">
        <v>9486</v>
      </c>
      <c r="S52" s="1463" t="s">
        <v>1160</v>
      </c>
      <c r="T52" s="1463" t="s">
        <v>9487</v>
      </c>
      <c r="U52" s="1463" t="s">
        <v>1007</v>
      </c>
      <c r="V52" s="1463" t="s">
        <v>451</v>
      </c>
      <c r="W52" s="1463" t="s">
        <v>9488</v>
      </c>
      <c r="X52" s="1463" t="s">
        <v>194</v>
      </c>
      <c r="Y52" s="1463" t="s">
        <v>9489</v>
      </c>
      <c r="Z52" s="1463" t="s">
        <v>7228</v>
      </c>
      <c r="AA52" s="1463" t="s">
        <v>6169</v>
      </c>
      <c r="AB52" s="1463" t="s">
        <v>4432</v>
      </c>
      <c r="AC52" s="1463" t="s">
        <v>6025</v>
      </c>
      <c r="AD52" s="1463" t="s">
        <v>9490</v>
      </c>
      <c r="AE52" s="1614" t="s">
        <v>8447</v>
      </c>
      <c r="AF52" s="1614" t="s">
        <v>2670</v>
      </c>
      <c r="AG52" s="1463" t="s">
        <v>4543</v>
      </c>
      <c r="AH52" s="1463" t="s">
        <v>9491</v>
      </c>
      <c r="AI52" s="1463" t="s">
        <v>9492</v>
      </c>
      <c r="AJ52" s="1463" t="s">
        <v>9493</v>
      </c>
      <c r="AK52" s="1463" t="s">
        <v>5864</v>
      </c>
      <c r="AL52" s="1463" t="s">
        <v>6042</v>
      </c>
      <c r="AM52" s="1614" t="s">
        <v>8452</v>
      </c>
      <c r="AN52" s="1465" t="s">
        <v>2468</v>
      </c>
      <c r="AO52" s="1463" t="s">
        <v>4875</v>
      </c>
      <c r="AP52" s="1463" t="s">
        <v>9494</v>
      </c>
      <c r="AQ52" s="1463" t="s">
        <v>9495</v>
      </c>
      <c r="AR52" s="1463" t="s">
        <v>8884</v>
      </c>
      <c r="AS52" s="1463" t="s">
        <v>4437</v>
      </c>
      <c r="AT52" s="1463" t="s">
        <v>9496</v>
      </c>
      <c r="AU52" s="1463" t="s">
        <v>9497</v>
      </c>
      <c r="AV52" s="1463" t="str">
        <f t="shared" si="1"/>
        <v>3:15</v>
      </c>
      <c r="AW52" s="1536" t="s">
        <v>9498</v>
      </c>
    </row>
    <row r="53">
      <c r="A53" s="1502" t="s">
        <v>1801</v>
      </c>
      <c r="B53" s="1500" t="s">
        <v>8373</v>
      </c>
      <c r="C53" s="1457">
        <v>0.05133101851851852</v>
      </c>
      <c r="D53" s="1599" t="s">
        <v>9499</v>
      </c>
      <c r="E53" s="1506" t="s">
        <v>9500</v>
      </c>
      <c r="F53" s="1506" t="s">
        <v>9501</v>
      </c>
      <c r="G53" s="1506" t="s">
        <v>9502</v>
      </c>
      <c r="H53" s="1558" t="s">
        <v>9503</v>
      </c>
      <c r="I53" s="1558" t="s">
        <v>2882</v>
      </c>
      <c r="J53" s="1508" t="s">
        <v>1934</v>
      </c>
      <c r="K53" s="1508" t="s">
        <v>9504</v>
      </c>
      <c r="L53" s="1508" t="s">
        <v>4167</v>
      </c>
      <c r="M53" s="1508" t="s">
        <v>9505</v>
      </c>
      <c r="N53" s="1508" t="s">
        <v>8620</v>
      </c>
      <c r="O53" s="1508" t="s">
        <v>9506</v>
      </c>
      <c r="P53" s="1508" t="s">
        <v>8553</v>
      </c>
      <c r="Q53" s="1509" t="s">
        <v>9507</v>
      </c>
      <c r="R53" s="1509" t="s">
        <v>9295</v>
      </c>
      <c r="S53" s="1509" t="s">
        <v>9508</v>
      </c>
      <c r="T53" s="1509" t="s">
        <v>9299</v>
      </c>
      <c r="U53" s="1509" t="s">
        <v>9509</v>
      </c>
      <c r="V53" s="1509" t="s">
        <v>9073</v>
      </c>
      <c r="W53" s="1510" t="s">
        <v>9510</v>
      </c>
      <c r="X53" s="1510" t="s">
        <v>9511</v>
      </c>
      <c r="Y53" s="1510" t="s">
        <v>5441</v>
      </c>
      <c r="Z53" s="1510" t="s">
        <v>1499</v>
      </c>
      <c r="AA53" s="1510" t="s">
        <v>9512</v>
      </c>
      <c r="AB53" s="1510" t="s">
        <v>6083</v>
      </c>
      <c r="AC53" s="1510" t="s">
        <v>261</v>
      </c>
      <c r="AD53" s="1506" t="s">
        <v>8821</v>
      </c>
      <c r="AE53" s="1506" t="s">
        <v>5441</v>
      </c>
      <c r="AF53" s="1511" t="s">
        <v>9513</v>
      </c>
      <c r="AG53" s="1511" t="s">
        <v>5698</v>
      </c>
      <c r="AH53" s="1511" t="s">
        <v>3998</v>
      </c>
      <c r="AI53" s="1511" t="s">
        <v>9514</v>
      </c>
      <c r="AJ53" s="1511" t="s">
        <v>9515</v>
      </c>
      <c r="AK53" s="1511" t="s">
        <v>9438</v>
      </c>
      <c r="AL53" s="1511" t="s">
        <v>4001</v>
      </c>
      <c r="AM53" s="1513" t="s">
        <v>9516</v>
      </c>
      <c r="AN53" s="1513" t="s">
        <v>4007</v>
      </c>
      <c r="AO53" s="1513" t="s">
        <v>9517</v>
      </c>
      <c r="AP53" s="1513" t="s">
        <v>9518</v>
      </c>
      <c r="AQ53" s="1513" t="s">
        <v>9111</v>
      </c>
      <c r="AR53" s="1513" t="s">
        <v>9519</v>
      </c>
      <c r="AS53" s="1513" t="s">
        <v>9520</v>
      </c>
      <c r="AT53" s="1508" t="s">
        <v>9521</v>
      </c>
      <c r="AU53" s="1494" t="s">
        <v>9522</v>
      </c>
      <c r="AV53" s="1463" t="str">
        <f t="shared" si="1"/>
        <v>1:34</v>
      </c>
      <c r="AW53" s="1588"/>
    </row>
    <row r="54">
      <c r="A54" s="1502" t="s">
        <v>2902</v>
      </c>
      <c r="B54" s="1500" t="s">
        <v>8373</v>
      </c>
      <c r="C54" s="1457">
        <v>0.05134259259259259</v>
      </c>
      <c r="D54" s="1506" t="s">
        <v>9523</v>
      </c>
      <c r="E54" s="1506" t="s">
        <v>6277</v>
      </c>
      <c r="F54" s="1506" t="s">
        <v>9524</v>
      </c>
      <c r="G54" s="1506" t="s">
        <v>9525</v>
      </c>
      <c r="H54" s="1506" t="s">
        <v>9526</v>
      </c>
      <c r="I54" s="1506" t="s">
        <v>1358</v>
      </c>
      <c r="J54" s="1508" t="s">
        <v>4949</v>
      </c>
      <c r="K54" s="1508" t="s">
        <v>7111</v>
      </c>
      <c r="L54" s="1508" t="s">
        <v>4778</v>
      </c>
      <c r="M54" s="1508" t="s">
        <v>3496</v>
      </c>
      <c r="N54" s="1508" t="s">
        <v>1996</v>
      </c>
      <c r="O54" s="1508" t="s">
        <v>9527</v>
      </c>
      <c r="P54" s="1508" t="s">
        <v>4500</v>
      </c>
      <c r="Q54" s="1509" t="s">
        <v>9528</v>
      </c>
      <c r="R54" s="1509" t="s">
        <v>2589</v>
      </c>
      <c r="S54" s="1509" t="s">
        <v>9529</v>
      </c>
      <c r="T54" s="1509" t="s">
        <v>9530</v>
      </c>
      <c r="U54" s="1509" t="s">
        <v>9394</v>
      </c>
      <c r="V54" s="1509" t="s">
        <v>9531</v>
      </c>
      <c r="W54" s="1510" t="s">
        <v>9532</v>
      </c>
      <c r="X54" s="1510" t="s">
        <v>8448</v>
      </c>
      <c r="Y54" s="1510" t="s">
        <v>9123</v>
      </c>
      <c r="Z54" s="1510" t="s">
        <v>2948</v>
      </c>
      <c r="AA54" s="1465" t="s">
        <v>587</v>
      </c>
      <c r="AB54" s="1510" t="s">
        <v>8816</v>
      </c>
      <c r="AC54" s="1510" t="s">
        <v>8997</v>
      </c>
      <c r="AD54" s="1506" t="s">
        <v>9533</v>
      </c>
      <c r="AE54" s="1506" t="s">
        <v>9534</v>
      </c>
      <c r="AF54" s="1511" t="s">
        <v>9535</v>
      </c>
      <c r="AG54" s="1511" t="s">
        <v>9536</v>
      </c>
      <c r="AH54" s="1511" t="s">
        <v>1825</v>
      </c>
      <c r="AI54" s="1511" t="s">
        <v>421</v>
      </c>
      <c r="AJ54" s="1511" t="s">
        <v>9537</v>
      </c>
      <c r="AK54" s="1511" t="s">
        <v>9538</v>
      </c>
      <c r="AL54" s="1511" t="s">
        <v>5583</v>
      </c>
      <c r="AM54" s="1513" t="s">
        <v>9539</v>
      </c>
      <c r="AN54" s="1513" t="s">
        <v>6237</v>
      </c>
      <c r="AO54" s="1513" t="s">
        <v>9540</v>
      </c>
      <c r="AP54" s="1513" t="s">
        <v>9541</v>
      </c>
      <c r="AQ54" s="1513" t="s">
        <v>9111</v>
      </c>
      <c r="AR54" s="1513" t="s">
        <v>9542</v>
      </c>
      <c r="AS54" s="1513" t="s">
        <v>1824</v>
      </c>
      <c r="AT54" s="1508" t="s">
        <v>9543</v>
      </c>
      <c r="AU54" s="1494" t="s">
        <v>9427</v>
      </c>
      <c r="AV54" s="1463" t="str">
        <f t="shared" si="1"/>
        <v>2:56</v>
      </c>
      <c r="AW54" s="1501" t="s">
        <v>9544</v>
      </c>
    </row>
    <row r="55" ht="15.75" customHeight="1">
      <c r="A55" s="1469" t="s">
        <v>1413</v>
      </c>
      <c r="B55" s="1613" t="s">
        <v>8425</v>
      </c>
      <c r="C55" s="1589">
        <v>0.05134259259259259</v>
      </c>
      <c r="D55" s="1270" t="s">
        <v>9545</v>
      </c>
      <c r="E55" s="1520" t="s">
        <v>9546</v>
      </c>
      <c r="F55" s="1520" t="s">
        <v>9524</v>
      </c>
      <c r="G55" s="1520" t="s">
        <v>9547</v>
      </c>
      <c r="H55" s="1507" t="s">
        <v>9548</v>
      </c>
      <c r="I55" s="1615" t="s">
        <v>350</v>
      </c>
      <c r="J55" s="1522" t="s">
        <v>9549</v>
      </c>
      <c r="K55" s="1522" t="s">
        <v>3851</v>
      </c>
      <c r="L55" s="1616" t="s">
        <v>3776</v>
      </c>
      <c r="M55" s="1522" t="s">
        <v>5569</v>
      </c>
      <c r="N55" s="1522" t="s">
        <v>9550</v>
      </c>
      <c r="O55" s="1616" t="s">
        <v>8434</v>
      </c>
      <c r="P55" s="1522" t="s">
        <v>388</v>
      </c>
      <c r="Q55" s="1523" t="s">
        <v>9551</v>
      </c>
      <c r="R55" s="1523" t="s">
        <v>1621</v>
      </c>
      <c r="S55" s="1523" t="s">
        <v>8955</v>
      </c>
      <c r="T55" s="1617" t="s">
        <v>8438</v>
      </c>
      <c r="U55" s="1523" t="s">
        <v>9552</v>
      </c>
      <c r="V55" s="1523" t="s">
        <v>4000</v>
      </c>
      <c r="W55" s="1618" t="s">
        <v>8441</v>
      </c>
      <c r="X55" s="1524" t="s">
        <v>4285</v>
      </c>
      <c r="Y55" s="1524" t="s">
        <v>6280</v>
      </c>
      <c r="Z55" s="1524" t="s">
        <v>7474</v>
      </c>
      <c r="AA55" s="1524" t="s">
        <v>8918</v>
      </c>
      <c r="AB55" s="1618" t="s">
        <v>8445</v>
      </c>
      <c r="AC55" s="1524" t="s">
        <v>6375</v>
      </c>
      <c r="AD55" s="1513" t="s">
        <v>9553</v>
      </c>
      <c r="AE55" s="1520" t="s">
        <v>9554</v>
      </c>
      <c r="AF55" s="1525" t="s">
        <v>9555</v>
      </c>
      <c r="AG55" s="1525" t="s">
        <v>9556</v>
      </c>
      <c r="AH55" s="1525" t="s">
        <v>6157</v>
      </c>
      <c r="AI55" s="1525" t="s">
        <v>9557</v>
      </c>
      <c r="AJ55" s="1525" t="s">
        <v>9558</v>
      </c>
      <c r="AK55" s="1619" t="s">
        <v>8450</v>
      </c>
      <c r="AL55" s="1525" t="s">
        <v>1564</v>
      </c>
      <c r="AM55" s="1512" t="s">
        <v>9420</v>
      </c>
      <c r="AN55" s="1513" t="s">
        <v>4104</v>
      </c>
      <c r="AO55" s="1512" t="s">
        <v>9559</v>
      </c>
      <c r="AP55" s="1512" t="s">
        <v>9560</v>
      </c>
      <c r="AQ55" s="1512" t="s">
        <v>9561</v>
      </c>
      <c r="AR55" s="1512" t="s">
        <v>8463</v>
      </c>
      <c r="AS55" s="1512" t="s">
        <v>4618</v>
      </c>
      <c r="AT55" s="1522" t="s">
        <v>9562</v>
      </c>
      <c r="AU55" s="1526" t="s">
        <v>9563</v>
      </c>
      <c r="AV55" s="1463" t="str">
        <f t="shared" si="1"/>
        <v>1:58</v>
      </c>
      <c r="AW55" s="1588"/>
    </row>
    <row r="56" ht="15.75" customHeight="1">
      <c r="A56" s="1455" t="s">
        <v>3211</v>
      </c>
      <c r="B56" s="1456" t="s">
        <v>8373</v>
      </c>
      <c r="C56" s="1589">
        <v>0.05134259259259259</v>
      </c>
      <c r="D56" s="1270" t="s">
        <v>9564</v>
      </c>
      <c r="E56" s="1463" t="s">
        <v>9565</v>
      </c>
      <c r="F56" s="1463" t="s">
        <v>9566</v>
      </c>
      <c r="G56" s="1463" t="s">
        <v>7519</v>
      </c>
      <c r="H56" s="1463" t="s">
        <v>8609</v>
      </c>
      <c r="I56" s="1463" t="s">
        <v>6045</v>
      </c>
      <c r="J56" s="1463" t="s">
        <v>9567</v>
      </c>
      <c r="K56" s="1463" t="s">
        <v>3860</v>
      </c>
      <c r="L56" s="1463" t="s">
        <v>9568</v>
      </c>
      <c r="M56" s="1463" t="s">
        <v>9569</v>
      </c>
      <c r="N56" s="1463" t="s">
        <v>2750</v>
      </c>
      <c r="O56" s="1463" t="s">
        <v>9570</v>
      </c>
      <c r="P56" s="1463" t="s">
        <v>1087</v>
      </c>
      <c r="Q56" s="1463" t="s">
        <v>2458</v>
      </c>
      <c r="R56" s="1463" t="s">
        <v>9295</v>
      </c>
      <c r="S56" s="1463" t="s">
        <v>9161</v>
      </c>
      <c r="T56" s="1463" t="s">
        <v>9571</v>
      </c>
      <c r="U56" s="1463" t="s">
        <v>9572</v>
      </c>
      <c r="V56" s="1463" t="s">
        <v>4102</v>
      </c>
      <c r="W56" s="1463" t="s">
        <v>9573</v>
      </c>
      <c r="X56" s="1463" t="s">
        <v>9574</v>
      </c>
      <c r="Y56" s="1463" t="s">
        <v>388</v>
      </c>
      <c r="Z56" s="1463" t="s">
        <v>6906</v>
      </c>
      <c r="AA56" s="1463" t="s">
        <v>9106</v>
      </c>
      <c r="AB56" s="1463" t="s">
        <v>8493</v>
      </c>
      <c r="AC56" s="1463" t="s">
        <v>936</v>
      </c>
      <c r="AD56" s="1463" t="s">
        <v>9575</v>
      </c>
      <c r="AE56" s="1463" t="s">
        <v>388</v>
      </c>
      <c r="AF56" s="1463" t="s">
        <v>9576</v>
      </c>
      <c r="AG56" s="1463" t="s">
        <v>9577</v>
      </c>
      <c r="AH56" s="1463" t="s">
        <v>5162</v>
      </c>
      <c r="AI56" s="1463" t="s">
        <v>9578</v>
      </c>
      <c r="AJ56" s="1463" t="s">
        <v>9515</v>
      </c>
      <c r="AK56" s="1463" t="s">
        <v>7249</v>
      </c>
      <c r="AL56" s="1463" t="s">
        <v>3183</v>
      </c>
      <c r="AM56" s="1463" t="s">
        <v>4129</v>
      </c>
      <c r="AN56" s="1463" t="s">
        <v>9579</v>
      </c>
      <c r="AO56" s="1463" t="s">
        <v>8614</v>
      </c>
      <c r="AP56" s="1463" t="s">
        <v>9580</v>
      </c>
      <c r="AQ56" s="1463" t="s">
        <v>9581</v>
      </c>
      <c r="AR56" s="1463" t="s">
        <v>9582</v>
      </c>
      <c r="AS56" s="1512" t="s">
        <v>4409</v>
      </c>
      <c r="AT56" s="1463" t="s">
        <v>9583</v>
      </c>
      <c r="AU56" s="1463" t="s">
        <v>8755</v>
      </c>
      <c r="AV56" s="1463" t="str">
        <f t="shared" si="1"/>
        <v>2:27</v>
      </c>
      <c r="AW56" s="1536"/>
    </row>
    <row r="57" ht="15.75" customHeight="1">
      <c r="A57" s="1502" t="s">
        <v>1255</v>
      </c>
      <c r="B57" s="1496" t="s">
        <v>8425</v>
      </c>
      <c r="C57" s="1457">
        <v>0.05140046296296296</v>
      </c>
      <c r="D57" s="1465" t="s">
        <v>9584</v>
      </c>
      <c r="E57" s="1465" t="s">
        <v>1656</v>
      </c>
      <c r="F57" s="1465" t="s">
        <v>9585</v>
      </c>
      <c r="G57" s="1602" t="s">
        <v>8429</v>
      </c>
      <c r="H57" s="1270" t="s">
        <v>9586</v>
      </c>
      <c r="I57" s="1465" t="s">
        <v>1753</v>
      </c>
      <c r="J57" s="1602" t="s">
        <v>8431</v>
      </c>
      <c r="K57" s="1465" t="s">
        <v>9587</v>
      </c>
      <c r="L57" s="1465" t="s">
        <v>9588</v>
      </c>
      <c r="M57" s="1602" t="s">
        <v>8432</v>
      </c>
      <c r="N57" s="1465" t="s">
        <v>9589</v>
      </c>
      <c r="O57" s="1465" t="s">
        <v>9590</v>
      </c>
      <c r="P57" s="1465" t="s">
        <v>1048</v>
      </c>
      <c r="Q57" s="1465" t="s">
        <v>9391</v>
      </c>
      <c r="R57" s="1465" t="s">
        <v>9591</v>
      </c>
      <c r="S57" s="1465" t="s">
        <v>9592</v>
      </c>
      <c r="T57" s="1465" t="s">
        <v>3264</v>
      </c>
      <c r="U57" s="1465" t="s">
        <v>9310</v>
      </c>
      <c r="V57" s="1465" t="s">
        <v>5693</v>
      </c>
      <c r="W57" s="1465" t="s">
        <v>9593</v>
      </c>
      <c r="X57" s="1465" t="s">
        <v>625</v>
      </c>
      <c r="Y57" s="1465" t="s">
        <v>9594</v>
      </c>
      <c r="Z57" s="1465" t="s">
        <v>9595</v>
      </c>
      <c r="AA57" s="1620" t="s">
        <v>8444</v>
      </c>
      <c r="AB57" s="1465" t="s">
        <v>5846</v>
      </c>
      <c r="AC57" s="1465" t="s">
        <v>9596</v>
      </c>
      <c r="AD57" s="1465" t="s">
        <v>8737</v>
      </c>
      <c r="AE57" s="1465" t="s">
        <v>2595</v>
      </c>
      <c r="AF57" s="1465" t="s">
        <v>9597</v>
      </c>
      <c r="AG57" s="1602" t="s">
        <v>4602</v>
      </c>
      <c r="AH57" s="1602" t="s">
        <v>5170</v>
      </c>
      <c r="AI57" s="1465" t="s">
        <v>9598</v>
      </c>
      <c r="AJ57" s="1465" t="s">
        <v>9599</v>
      </c>
      <c r="AK57" s="1465" t="s">
        <v>7452</v>
      </c>
      <c r="AL57" s="1465" t="s">
        <v>3832</v>
      </c>
      <c r="AM57" s="1465" t="s">
        <v>9600</v>
      </c>
      <c r="AN57" s="1465" t="s">
        <v>3654</v>
      </c>
      <c r="AO57" s="1602" t="s">
        <v>8454</v>
      </c>
      <c r="AP57" s="1621" t="s">
        <v>8455</v>
      </c>
      <c r="AQ57" s="1465" t="s">
        <v>3287</v>
      </c>
      <c r="AR57" s="1465" t="s">
        <v>1617</v>
      </c>
      <c r="AS57" s="1465" t="s">
        <v>5134</v>
      </c>
      <c r="AT57" s="1465" t="s">
        <v>9601</v>
      </c>
      <c r="AU57" s="1465" t="s">
        <v>8755</v>
      </c>
      <c r="AV57" s="1463" t="str">
        <f t="shared" si="1"/>
        <v>2:22</v>
      </c>
      <c r="AW57" s="1498" t="s">
        <v>9602</v>
      </c>
    </row>
    <row r="58" ht="15.75" customHeight="1">
      <c r="A58" s="1502" t="s">
        <v>3985</v>
      </c>
      <c r="B58" s="1500" t="s">
        <v>8373</v>
      </c>
      <c r="C58" s="1457">
        <v>0.05153935185185185</v>
      </c>
      <c r="D58" s="1535" t="s">
        <v>9603</v>
      </c>
      <c r="E58" s="1535" t="s">
        <v>6560</v>
      </c>
      <c r="F58" s="1535" t="s">
        <v>9604</v>
      </c>
      <c r="G58" s="1535" t="s">
        <v>4883</v>
      </c>
      <c r="H58" s="1270" t="s">
        <v>9605</v>
      </c>
      <c r="I58" s="1535" t="s">
        <v>1358</v>
      </c>
      <c r="J58" s="1535" t="s">
        <v>9606</v>
      </c>
      <c r="K58" s="1535" t="s">
        <v>3528</v>
      </c>
      <c r="L58" s="1535" t="s">
        <v>4204</v>
      </c>
      <c r="M58" s="1535" t="s">
        <v>7039</v>
      </c>
      <c r="N58" s="1535" t="s">
        <v>9607</v>
      </c>
      <c r="O58" s="1535" t="s">
        <v>3768</v>
      </c>
      <c r="P58" s="1535" t="s">
        <v>6874</v>
      </c>
      <c r="Q58" s="1535" t="s">
        <v>9608</v>
      </c>
      <c r="R58" s="1535" t="s">
        <v>3337</v>
      </c>
      <c r="S58" s="1622" t="s">
        <v>9247</v>
      </c>
      <c r="T58" s="1535" t="s">
        <v>9056</v>
      </c>
      <c r="U58" s="1535" t="s">
        <v>9609</v>
      </c>
      <c r="V58" s="1535" t="s">
        <v>1783</v>
      </c>
      <c r="W58" s="1535" t="s">
        <v>9610</v>
      </c>
      <c r="X58" s="1535" t="s">
        <v>1674</v>
      </c>
      <c r="Y58" s="1535" t="s">
        <v>3541</v>
      </c>
      <c r="Z58" s="1535" t="s">
        <v>7219</v>
      </c>
      <c r="AA58" s="1535" t="s">
        <v>894</v>
      </c>
      <c r="AB58" s="1535" t="s">
        <v>9611</v>
      </c>
      <c r="AC58" s="1535" t="s">
        <v>9596</v>
      </c>
      <c r="AD58" s="1535" t="s">
        <v>9612</v>
      </c>
      <c r="AE58" s="1535" t="s">
        <v>4890</v>
      </c>
      <c r="AF58" s="1459" t="s">
        <v>9613</v>
      </c>
      <c r="AG58" s="1535" t="s">
        <v>9614</v>
      </c>
      <c r="AH58" s="1535" t="s">
        <v>9615</v>
      </c>
      <c r="AI58" s="1535" t="s">
        <v>9616</v>
      </c>
      <c r="AJ58" s="1535" t="s">
        <v>9617</v>
      </c>
      <c r="AK58" s="1535" t="s">
        <v>5003</v>
      </c>
      <c r="AL58" s="1535" t="s">
        <v>9422</v>
      </c>
      <c r="AM58" s="1535" t="s">
        <v>9598</v>
      </c>
      <c r="AN58" s="1535" t="s">
        <v>2584</v>
      </c>
      <c r="AO58" s="1535" t="s">
        <v>5607</v>
      </c>
      <c r="AP58" s="1622" t="s">
        <v>9358</v>
      </c>
      <c r="AQ58" s="1535" t="s">
        <v>9618</v>
      </c>
      <c r="AR58" s="1535" t="s">
        <v>4949</v>
      </c>
      <c r="AS58" s="1535" t="s">
        <v>9024</v>
      </c>
      <c r="AT58" s="1535" t="s">
        <v>9619</v>
      </c>
      <c r="AU58" s="1535" t="s">
        <v>9620</v>
      </c>
      <c r="AV58" s="1623" t="str">
        <f t="shared" si="1"/>
        <v>2:41</v>
      </c>
      <c r="AW58" s="1624" t="s">
        <v>9621</v>
      </c>
    </row>
    <row r="59" ht="15.75" customHeight="1">
      <c r="A59" s="1455" t="s">
        <v>1945</v>
      </c>
      <c r="B59" s="1456" t="s">
        <v>8373</v>
      </c>
      <c r="C59" s="1457">
        <v>0.05157407407407407</v>
      </c>
      <c r="D59" s="1270" t="s">
        <v>9622</v>
      </c>
      <c r="E59" s="1506" t="s">
        <v>9623</v>
      </c>
      <c r="F59" s="1506" t="s">
        <v>9624</v>
      </c>
      <c r="G59" s="1520" t="s">
        <v>9117</v>
      </c>
      <c r="H59" s="1507" t="s">
        <v>9625</v>
      </c>
      <c r="I59" s="1507" t="s">
        <v>2021</v>
      </c>
      <c r="J59" s="1522" t="s">
        <v>5412</v>
      </c>
      <c r="K59" s="1522" t="s">
        <v>3457</v>
      </c>
      <c r="L59" s="1522" t="s">
        <v>9626</v>
      </c>
      <c r="M59" s="1522" t="s">
        <v>9292</v>
      </c>
      <c r="N59" s="1522" t="s">
        <v>1229</v>
      </c>
      <c r="O59" s="1522" t="s">
        <v>9593</v>
      </c>
      <c r="P59" s="1522" t="s">
        <v>8597</v>
      </c>
      <c r="Q59" s="1523" t="s">
        <v>9627</v>
      </c>
      <c r="R59" s="1523" t="s">
        <v>9628</v>
      </c>
      <c r="S59" s="1523" t="s">
        <v>9629</v>
      </c>
      <c r="T59" s="1523" t="s">
        <v>7223</v>
      </c>
      <c r="U59" s="1523" t="s">
        <v>7157</v>
      </c>
      <c r="V59" s="1523" t="s">
        <v>5076</v>
      </c>
      <c r="W59" s="1524" t="s">
        <v>9630</v>
      </c>
      <c r="X59" s="1524" t="s">
        <v>9631</v>
      </c>
      <c r="Y59" s="1524" t="s">
        <v>9489</v>
      </c>
      <c r="Z59" s="1524" t="s">
        <v>8445</v>
      </c>
      <c r="AA59" s="1524" t="s">
        <v>5900</v>
      </c>
      <c r="AB59" s="1524" t="s">
        <v>5619</v>
      </c>
      <c r="AC59" s="1524" t="s">
        <v>6212</v>
      </c>
      <c r="AD59" s="1506" t="s">
        <v>9632</v>
      </c>
      <c r="AE59" s="1520" t="s">
        <v>5462</v>
      </c>
      <c r="AF59" s="1525" t="s">
        <v>9633</v>
      </c>
      <c r="AG59" s="1525" t="s">
        <v>9634</v>
      </c>
      <c r="AH59" s="1525" t="s">
        <v>9635</v>
      </c>
      <c r="AI59" s="1525" t="s">
        <v>1039</v>
      </c>
      <c r="AJ59" s="1525" t="s">
        <v>9636</v>
      </c>
      <c r="AK59" s="1511" t="s">
        <v>625</v>
      </c>
      <c r="AL59" s="1511" t="s">
        <v>9637</v>
      </c>
      <c r="AM59" s="1512" t="s">
        <v>3581</v>
      </c>
      <c r="AN59" s="1512" t="s">
        <v>9638</v>
      </c>
      <c r="AO59" s="1512" t="s">
        <v>9639</v>
      </c>
      <c r="AP59" s="1512" t="s">
        <v>9640</v>
      </c>
      <c r="AQ59" s="1512" t="s">
        <v>9641</v>
      </c>
      <c r="AR59" s="1513" t="s">
        <v>7716</v>
      </c>
      <c r="AS59" s="1512" t="s">
        <v>4409</v>
      </c>
      <c r="AT59" s="1522" t="s">
        <v>9642</v>
      </c>
      <c r="AU59" s="1526" t="s">
        <v>9643</v>
      </c>
      <c r="AV59" s="1463" t="str">
        <f t="shared" si="1"/>
        <v>4:40</v>
      </c>
      <c r="AW59" s="1588" t="s">
        <v>9644</v>
      </c>
    </row>
    <row r="60" ht="15.75" customHeight="1">
      <c r="A60" s="1502" t="s">
        <v>9645</v>
      </c>
      <c r="B60" s="1500" t="s">
        <v>8373</v>
      </c>
      <c r="C60" s="1457">
        <v>0.051631944444444446</v>
      </c>
      <c r="D60" s="1506" t="s">
        <v>9646</v>
      </c>
      <c r="E60" s="1506" t="s">
        <v>6427</v>
      </c>
      <c r="F60" s="1506" t="s">
        <v>8605</v>
      </c>
      <c r="G60" s="1506" t="s">
        <v>9647</v>
      </c>
      <c r="H60" s="1558" t="s">
        <v>9648</v>
      </c>
      <c r="I60" s="1558" t="s">
        <v>9649</v>
      </c>
      <c r="J60" s="1508" t="s">
        <v>9650</v>
      </c>
      <c r="K60" s="1508" t="s">
        <v>7452</v>
      </c>
      <c r="L60" s="1508" t="s">
        <v>4456</v>
      </c>
      <c r="M60" s="1508" t="s">
        <v>9651</v>
      </c>
      <c r="N60" s="1508" t="s">
        <v>6161</v>
      </c>
      <c r="O60" s="1508" t="s">
        <v>9652</v>
      </c>
      <c r="P60" s="1508" t="s">
        <v>6460</v>
      </c>
      <c r="Q60" s="1509" t="s">
        <v>9653</v>
      </c>
      <c r="R60" s="1509" t="s">
        <v>9486</v>
      </c>
      <c r="S60" s="1509" t="s">
        <v>5533</v>
      </c>
      <c r="T60" s="1509" t="s">
        <v>6015</v>
      </c>
      <c r="U60" s="1509" t="s">
        <v>9654</v>
      </c>
      <c r="V60" s="1509" t="s">
        <v>9655</v>
      </c>
      <c r="W60" s="1510" t="s">
        <v>9656</v>
      </c>
      <c r="X60" s="1510" t="s">
        <v>625</v>
      </c>
      <c r="Y60" s="1510" t="s">
        <v>5066</v>
      </c>
      <c r="Z60" s="1510" t="s">
        <v>9657</v>
      </c>
      <c r="AA60" s="1465" t="s">
        <v>9658</v>
      </c>
      <c r="AB60" s="1510" t="s">
        <v>9257</v>
      </c>
      <c r="AC60" s="1510" t="s">
        <v>4677</v>
      </c>
      <c r="AD60" s="1506" t="s">
        <v>9659</v>
      </c>
      <c r="AE60" s="1506" t="s">
        <v>8908</v>
      </c>
      <c r="AF60" s="1625" t="s">
        <v>9660</v>
      </c>
      <c r="AG60" s="1511" t="s">
        <v>6530</v>
      </c>
      <c r="AH60" s="1511" t="s">
        <v>9635</v>
      </c>
      <c r="AI60" s="1511" t="s">
        <v>4052</v>
      </c>
      <c r="AJ60" s="1511" t="s">
        <v>9661</v>
      </c>
      <c r="AK60" s="1511" t="s">
        <v>1520</v>
      </c>
      <c r="AL60" s="1511" t="s">
        <v>3434</v>
      </c>
      <c r="AM60" s="1513" t="s">
        <v>5900</v>
      </c>
      <c r="AN60" s="1513" t="s">
        <v>5583</v>
      </c>
      <c r="AO60" s="1513" t="s">
        <v>6363</v>
      </c>
      <c r="AP60" s="1513" t="s">
        <v>9662</v>
      </c>
      <c r="AQ60" s="1513" t="s">
        <v>3465</v>
      </c>
      <c r="AR60" s="1513" t="s">
        <v>9223</v>
      </c>
      <c r="AS60" s="1513" t="s">
        <v>4027</v>
      </c>
      <c r="AT60" s="1508" t="s">
        <v>9663</v>
      </c>
      <c r="AU60" s="1494" t="s">
        <v>9664</v>
      </c>
      <c r="AV60" s="1463" t="str">
        <f t="shared" si="1"/>
        <v>2:25</v>
      </c>
      <c r="AW60" s="1585" t="s">
        <v>9665</v>
      </c>
    </row>
    <row r="61" ht="15.75" customHeight="1">
      <c r="A61" s="1539" t="s">
        <v>9666</v>
      </c>
      <c r="B61" s="1456" t="s">
        <v>8373</v>
      </c>
      <c r="C61" s="1589">
        <v>0.051631944444444446</v>
      </c>
      <c r="D61" s="1270" t="s">
        <v>9667</v>
      </c>
      <c r="E61" s="1623" t="s">
        <v>9668</v>
      </c>
      <c r="F61" s="1623" t="s">
        <v>8455</v>
      </c>
      <c r="G61" s="1623" t="s">
        <v>9669</v>
      </c>
      <c r="H61" s="1623" t="s">
        <v>9670</v>
      </c>
      <c r="I61" s="1623" t="s">
        <v>9596</v>
      </c>
      <c r="J61" s="1623" t="s">
        <v>3458</v>
      </c>
      <c r="K61" s="1623" t="s">
        <v>9671</v>
      </c>
      <c r="L61" s="1623" t="s">
        <v>5305</v>
      </c>
      <c r="M61" s="1623" t="s">
        <v>709</v>
      </c>
      <c r="N61" s="1623" t="s">
        <v>9672</v>
      </c>
      <c r="O61" s="1623" t="s">
        <v>4686</v>
      </c>
      <c r="P61" s="1623" t="s">
        <v>8407</v>
      </c>
      <c r="Q61" s="1623" t="s">
        <v>9673</v>
      </c>
      <c r="R61" s="1623" t="s">
        <v>9674</v>
      </c>
      <c r="S61" s="1623" t="s">
        <v>9450</v>
      </c>
      <c r="T61" s="1623" t="s">
        <v>9516</v>
      </c>
      <c r="U61" s="1623" t="s">
        <v>9675</v>
      </c>
      <c r="V61" s="1623" t="s">
        <v>9676</v>
      </c>
      <c r="W61" s="1623" t="s">
        <v>9677</v>
      </c>
      <c r="X61" s="1623" t="s">
        <v>9598</v>
      </c>
      <c r="Y61" s="1623" t="s">
        <v>4677</v>
      </c>
      <c r="Z61" s="1623" t="s">
        <v>7148</v>
      </c>
      <c r="AA61" s="1623" t="s">
        <v>9019</v>
      </c>
      <c r="AB61" s="1623" t="s">
        <v>9678</v>
      </c>
      <c r="AC61" s="1623" t="s">
        <v>388</v>
      </c>
      <c r="AD61" s="1623" t="s">
        <v>5938</v>
      </c>
      <c r="AE61" s="1623" t="s">
        <v>2882</v>
      </c>
      <c r="AF61" s="1623" t="s">
        <v>9364</v>
      </c>
      <c r="AG61" s="1623" t="s">
        <v>9679</v>
      </c>
      <c r="AH61" s="1623" t="s">
        <v>5346</v>
      </c>
      <c r="AI61" s="1623" t="s">
        <v>4071</v>
      </c>
      <c r="AJ61" s="1623" t="s">
        <v>9680</v>
      </c>
      <c r="AK61" s="1623" t="s">
        <v>9512</v>
      </c>
      <c r="AL61" s="1623" t="s">
        <v>4481</v>
      </c>
      <c r="AM61" s="1623" t="s">
        <v>9681</v>
      </c>
      <c r="AN61" s="1623" t="s">
        <v>8236</v>
      </c>
      <c r="AO61" s="1623" t="s">
        <v>5084</v>
      </c>
      <c r="AP61" s="1623" t="s">
        <v>9682</v>
      </c>
      <c r="AQ61" s="1623" t="s">
        <v>3547</v>
      </c>
      <c r="AR61" s="1623" t="s">
        <v>9039</v>
      </c>
      <c r="AS61" s="1623" t="s">
        <v>4663</v>
      </c>
      <c r="AT61" s="1623" t="s">
        <v>9683</v>
      </c>
      <c r="AU61" s="1626" t="str">
        <f>HYPERLINK("https://splits.io/pc9","1:16:48")</f>
        <v>1:16:48</v>
      </c>
      <c r="AV61" s="1623" t="str">
        <f t="shared" si="1"/>
        <v>2:27</v>
      </c>
      <c r="AW61" s="1627" t="s">
        <v>9684</v>
      </c>
    </row>
    <row r="62" ht="15.75" customHeight="1">
      <c r="A62" s="1455" t="s">
        <v>5616</v>
      </c>
      <c r="B62" s="1456" t="s">
        <v>8373</v>
      </c>
      <c r="C62" s="1589">
        <v>0.051631944444444446</v>
      </c>
      <c r="D62" s="1270" t="s">
        <v>9685</v>
      </c>
      <c r="E62" s="1623" t="s">
        <v>6560</v>
      </c>
      <c r="F62" s="1623" t="s">
        <v>9686</v>
      </c>
      <c r="G62" s="1623" t="s">
        <v>5249</v>
      </c>
      <c r="H62" s="1623" t="s">
        <v>9270</v>
      </c>
      <c r="I62" s="1623" t="s">
        <v>4677</v>
      </c>
      <c r="J62" s="1623" t="s">
        <v>8594</v>
      </c>
      <c r="K62" s="1623" t="s">
        <v>8272</v>
      </c>
      <c r="L62" s="1623" t="s">
        <v>5712</v>
      </c>
      <c r="M62" s="1623" t="s">
        <v>865</v>
      </c>
      <c r="N62" s="1623" t="s">
        <v>9687</v>
      </c>
      <c r="O62" s="1623" t="s">
        <v>9484</v>
      </c>
      <c r="P62" s="1623" t="s">
        <v>9367</v>
      </c>
      <c r="Q62" s="1623" t="s">
        <v>9688</v>
      </c>
      <c r="R62" s="1623" t="s">
        <v>9628</v>
      </c>
      <c r="S62" s="1623" t="s">
        <v>7103</v>
      </c>
      <c r="T62" s="1623" t="s">
        <v>9689</v>
      </c>
      <c r="U62" s="1623" t="s">
        <v>9690</v>
      </c>
      <c r="V62" s="1623" t="s">
        <v>9691</v>
      </c>
      <c r="W62" s="1623" t="s">
        <v>9692</v>
      </c>
      <c r="X62" s="1623" t="s">
        <v>9693</v>
      </c>
      <c r="Y62" s="1623" t="s">
        <v>1166</v>
      </c>
      <c r="Z62" s="1623" t="s">
        <v>4768</v>
      </c>
      <c r="AA62" s="1623" t="s">
        <v>9694</v>
      </c>
      <c r="AB62" s="1623" t="s">
        <v>7177</v>
      </c>
      <c r="AC62" s="1623" t="s">
        <v>9695</v>
      </c>
      <c r="AD62" s="1623" t="s">
        <v>9696</v>
      </c>
      <c r="AE62" s="1535" t="s">
        <v>5441</v>
      </c>
      <c r="AF62" s="1623" t="s">
        <v>9697</v>
      </c>
      <c r="AG62" s="1623" t="s">
        <v>9698</v>
      </c>
      <c r="AH62" s="1623" t="s">
        <v>2204</v>
      </c>
      <c r="AI62" s="1623" t="s">
        <v>5171</v>
      </c>
      <c r="AJ62" s="1623" t="s">
        <v>8052</v>
      </c>
      <c r="AK62" s="1623" t="s">
        <v>1705</v>
      </c>
      <c r="AL62" s="1623" t="s">
        <v>5583</v>
      </c>
      <c r="AM62" s="1623" t="s">
        <v>9699</v>
      </c>
      <c r="AN62" s="1623" t="s">
        <v>9700</v>
      </c>
      <c r="AO62" s="1623" t="s">
        <v>8643</v>
      </c>
      <c r="AP62" s="1623" t="s">
        <v>9701</v>
      </c>
      <c r="AQ62" s="1623" t="s">
        <v>9702</v>
      </c>
      <c r="AR62" s="1623" t="s">
        <v>4754</v>
      </c>
      <c r="AS62" s="1623" t="s">
        <v>2952</v>
      </c>
      <c r="AT62" s="1623" t="s">
        <v>9703</v>
      </c>
      <c r="AU62" s="1623" t="s">
        <v>9704</v>
      </c>
      <c r="AV62" s="1623" t="str">
        <f t="shared" si="1"/>
        <v>3:33</v>
      </c>
      <c r="AW62" s="1627"/>
    </row>
    <row r="63" ht="15.75" customHeight="1">
      <c r="A63" s="1455" t="s">
        <v>4208</v>
      </c>
      <c r="B63" s="1456" t="s">
        <v>8373</v>
      </c>
      <c r="C63" s="1589">
        <v>0.05164351851851852</v>
      </c>
      <c r="D63" s="1270" t="s">
        <v>9705</v>
      </c>
      <c r="E63" s="1623" t="s">
        <v>8544</v>
      </c>
      <c r="F63" s="1623" t="s">
        <v>9706</v>
      </c>
      <c r="G63" s="1623" t="s">
        <v>8429</v>
      </c>
      <c r="H63" s="1623" t="s">
        <v>9707</v>
      </c>
      <c r="I63" s="1623" t="s">
        <v>1358</v>
      </c>
      <c r="J63" s="1623" t="s">
        <v>804</v>
      </c>
      <c r="K63" s="1623" t="s">
        <v>7065</v>
      </c>
      <c r="L63" s="1623" t="s">
        <v>3582</v>
      </c>
      <c r="M63" s="1623" t="s">
        <v>9651</v>
      </c>
      <c r="N63" s="1623" t="s">
        <v>8698</v>
      </c>
      <c r="O63" s="1623" t="s">
        <v>9371</v>
      </c>
      <c r="P63" s="1623" t="s">
        <v>5117</v>
      </c>
      <c r="Q63" s="1623" t="s">
        <v>9708</v>
      </c>
      <c r="R63" s="1623" t="s">
        <v>3604</v>
      </c>
      <c r="S63" s="1623" t="s">
        <v>9709</v>
      </c>
      <c r="T63" s="1623" t="s">
        <v>9710</v>
      </c>
      <c r="U63" s="1623" t="s">
        <v>9711</v>
      </c>
      <c r="V63" s="1623" t="s">
        <v>9712</v>
      </c>
      <c r="W63" s="1623" t="s">
        <v>9713</v>
      </c>
      <c r="X63" s="1623" t="s">
        <v>604</v>
      </c>
      <c r="Y63" s="1623" t="s">
        <v>9714</v>
      </c>
      <c r="Z63" s="1623" t="s">
        <v>7474</v>
      </c>
      <c r="AA63" s="1623" t="s">
        <v>5536</v>
      </c>
      <c r="AB63" s="1623" t="s">
        <v>6364</v>
      </c>
      <c r="AC63" s="1623" t="s">
        <v>6500</v>
      </c>
      <c r="AD63" s="1623" t="s">
        <v>9715</v>
      </c>
      <c r="AE63" s="1623" t="s">
        <v>1916</v>
      </c>
      <c r="AF63" s="1623" t="s">
        <v>9716</v>
      </c>
      <c r="AG63" s="1623" t="s">
        <v>524</v>
      </c>
      <c r="AH63" s="1623" t="s">
        <v>5346</v>
      </c>
      <c r="AI63" s="1623" t="s">
        <v>9717</v>
      </c>
      <c r="AJ63" s="1623" t="s">
        <v>9718</v>
      </c>
      <c r="AK63" s="1623" t="s">
        <v>9719</v>
      </c>
      <c r="AL63" s="1623" t="s">
        <v>5114</v>
      </c>
      <c r="AM63" s="1623" t="s">
        <v>9165</v>
      </c>
      <c r="AN63" s="1623" t="s">
        <v>8761</v>
      </c>
      <c r="AO63" s="1623" t="s">
        <v>8463</v>
      </c>
      <c r="AP63" s="1623" t="s">
        <v>9720</v>
      </c>
      <c r="AQ63" s="1623" t="s">
        <v>9721</v>
      </c>
      <c r="AR63" s="1623" t="s">
        <v>3481</v>
      </c>
      <c r="AS63" s="1623" t="s">
        <v>9722</v>
      </c>
      <c r="AT63" s="1623" t="s">
        <v>9513</v>
      </c>
      <c r="AU63" s="1623" t="s">
        <v>9723</v>
      </c>
      <c r="AV63" s="1623" t="str">
        <f t="shared" si="1"/>
        <v>3:13</v>
      </c>
      <c r="AW63" s="1627" t="s">
        <v>9724</v>
      </c>
    </row>
    <row r="64" ht="15.75" customHeight="1">
      <c r="A64" s="1469" t="s">
        <v>826</v>
      </c>
      <c r="B64" s="1613" t="s">
        <v>8425</v>
      </c>
      <c r="C64" s="1589">
        <v>0.05167824074074074</v>
      </c>
      <c r="D64" s="1270" t="s">
        <v>9725</v>
      </c>
      <c r="E64" s="1623" t="s">
        <v>9726</v>
      </c>
      <c r="F64" s="1623" t="s">
        <v>9727</v>
      </c>
      <c r="G64" s="1623" t="s">
        <v>9728</v>
      </c>
      <c r="H64" s="1623" t="s">
        <v>9729</v>
      </c>
      <c r="I64" s="1623" t="s">
        <v>1904</v>
      </c>
      <c r="J64" s="1623" t="s">
        <v>9589</v>
      </c>
      <c r="K64" s="1623" t="s">
        <v>8675</v>
      </c>
      <c r="L64" s="1623" t="s">
        <v>1818</v>
      </c>
      <c r="M64" s="1623" t="s">
        <v>7208</v>
      </c>
      <c r="N64" s="1623" t="s">
        <v>9730</v>
      </c>
      <c r="O64" s="1623" t="s">
        <v>9731</v>
      </c>
      <c r="P64" s="1623" t="s">
        <v>2408</v>
      </c>
      <c r="Q64" s="1623" t="s">
        <v>718</v>
      </c>
      <c r="R64" s="1623" t="s">
        <v>9732</v>
      </c>
      <c r="S64" s="1623" t="s">
        <v>9733</v>
      </c>
      <c r="T64" s="1623" t="s">
        <v>9734</v>
      </c>
      <c r="U64" s="1623" t="s">
        <v>9325</v>
      </c>
      <c r="V64" s="1623" t="s">
        <v>486</v>
      </c>
      <c r="W64" s="1623" t="s">
        <v>5741</v>
      </c>
      <c r="X64" s="1623" t="s">
        <v>9735</v>
      </c>
      <c r="Y64" s="1623" t="s">
        <v>870</v>
      </c>
      <c r="Z64" s="1623" t="s">
        <v>3961</v>
      </c>
      <c r="AA64" s="1623" t="s">
        <v>1618</v>
      </c>
      <c r="AB64" s="1623" t="s">
        <v>8970</v>
      </c>
      <c r="AC64" s="1623" t="s">
        <v>9736</v>
      </c>
      <c r="AD64" s="1535" t="s">
        <v>9737</v>
      </c>
      <c r="AE64" s="1623" t="s">
        <v>1930</v>
      </c>
      <c r="AF64" s="1623" t="s">
        <v>9208</v>
      </c>
      <c r="AG64" s="1623" t="s">
        <v>6640</v>
      </c>
      <c r="AH64" s="1623" t="s">
        <v>4456</v>
      </c>
      <c r="AI64" s="1623" t="s">
        <v>6147</v>
      </c>
      <c r="AJ64" s="1623" t="s">
        <v>9738</v>
      </c>
      <c r="AK64" s="1623" t="s">
        <v>3263</v>
      </c>
      <c r="AL64" s="1623" t="s">
        <v>5170</v>
      </c>
      <c r="AM64" s="1623" t="s">
        <v>9739</v>
      </c>
      <c r="AN64" s="1623" t="s">
        <v>9740</v>
      </c>
      <c r="AO64" s="1623" t="s">
        <v>9741</v>
      </c>
      <c r="AP64" s="1623" t="s">
        <v>9742</v>
      </c>
      <c r="AQ64" s="1623" t="s">
        <v>9743</v>
      </c>
      <c r="AR64" s="1623" t="s">
        <v>9744</v>
      </c>
      <c r="AS64" s="1623" t="s">
        <v>9745</v>
      </c>
      <c r="AT64" s="1623" t="s">
        <v>9746</v>
      </c>
      <c r="AU64" s="1623" t="s">
        <v>9747</v>
      </c>
      <c r="AV64" s="1623" t="str">
        <f t="shared" si="1"/>
        <v>2:51</v>
      </c>
      <c r="AW64" s="1628"/>
    </row>
    <row r="65" ht="15.75" customHeight="1">
      <c r="A65" s="1502" t="s">
        <v>4624</v>
      </c>
      <c r="B65" s="1515" t="s">
        <v>8401</v>
      </c>
      <c r="C65" s="1589">
        <v>0.05170138888888889</v>
      </c>
      <c r="D65" s="1270" t="s">
        <v>9748</v>
      </c>
      <c r="E65" s="1623" t="s">
        <v>4246</v>
      </c>
      <c r="F65" s="1623" t="s">
        <v>9315</v>
      </c>
      <c r="G65" s="1623" t="s">
        <v>8800</v>
      </c>
      <c r="H65" s="1623" t="s">
        <v>9749</v>
      </c>
      <c r="I65" s="1623" t="s">
        <v>9750</v>
      </c>
      <c r="J65" s="1623" t="s">
        <v>9330</v>
      </c>
      <c r="K65" s="1623" t="s">
        <v>8643</v>
      </c>
      <c r="L65" s="1623" t="s">
        <v>4030</v>
      </c>
      <c r="M65" s="1623" t="s">
        <v>7409</v>
      </c>
      <c r="N65" s="1623" t="s">
        <v>5944</v>
      </c>
      <c r="O65" s="1623" t="s">
        <v>9434</v>
      </c>
      <c r="P65" s="1623" t="s">
        <v>481</v>
      </c>
      <c r="Q65" s="1623" t="s">
        <v>2825</v>
      </c>
      <c r="R65" s="1623" t="s">
        <v>9751</v>
      </c>
      <c r="S65" s="1623" t="s">
        <v>9639</v>
      </c>
      <c r="T65" s="1623" t="s">
        <v>2750</v>
      </c>
      <c r="U65" s="1623" t="s">
        <v>9752</v>
      </c>
      <c r="V65" s="1623" t="s">
        <v>9753</v>
      </c>
      <c r="W65" s="1623" t="s">
        <v>9677</v>
      </c>
      <c r="X65" s="1623" t="s">
        <v>3581</v>
      </c>
      <c r="Y65" s="1623" t="s">
        <v>2385</v>
      </c>
      <c r="Z65" s="1623" t="s">
        <v>489</v>
      </c>
      <c r="AA65" s="1623" t="s">
        <v>625</v>
      </c>
      <c r="AB65" s="1623" t="s">
        <v>9754</v>
      </c>
      <c r="AC65" s="1623" t="s">
        <v>925</v>
      </c>
      <c r="AD65" s="1623" t="s">
        <v>9388</v>
      </c>
      <c r="AE65" s="1623" t="s">
        <v>676</v>
      </c>
      <c r="AF65" s="1623" t="s">
        <v>9755</v>
      </c>
      <c r="AG65" s="1623" t="s">
        <v>9756</v>
      </c>
      <c r="AH65" s="1623" t="s">
        <v>9757</v>
      </c>
      <c r="AI65" s="1623" t="s">
        <v>9758</v>
      </c>
      <c r="AJ65" s="1623" t="s">
        <v>9759</v>
      </c>
      <c r="AK65" s="1623" t="s">
        <v>9334</v>
      </c>
      <c r="AL65" s="1623" t="s">
        <v>9760</v>
      </c>
      <c r="AM65" s="1623" t="s">
        <v>9616</v>
      </c>
      <c r="AN65" s="1623" t="s">
        <v>9761</v>
      </c>
      <c r="AO65" s="1623" t="s">
        <v>9379</v>
      </c>
      <c r="AP65" s="1623" t="s">
        <v>3196</v>
      </c>
      <c r="AQ65" s="1623" t="s">
        <v>9762</v>
      </c>
      <c r="AR65" s="1623" t="s">
        <v>9763</v>
      </c>
      <c r="AS65" s="1623" t="s">
        <v>6270</v>
      </c>
      <c r="AT65" s="1623" t="s">
        <v>9764</v>
      </c>
      <c r="AU65" s="1623" t="s">
        <v>9765</v>
      </c>
      <c r="AV65" s="1623" t="str">
        <f t="shared" si="1"/>
        <v>2:37</v>
      </c>
      <c r="AW65" s="1628" t="s">
        <v>9766</v>
      </c>
    </row>
    <row r="66" ht="15.75" customHeight="1">
      <c r="A66" s="1502" t="s">
        <v>4976</v>
      </c>
      <c r="B66" s="1496" t="s">
        <v>8401</v>
      </c>
      <c r="C66" s="1457">
        <v>0.05171296296296296</v>
      </c>
      <c r="D66" s="1599" t="s">
        <v>9767</v>
      </c>
      <c r="E66" s="1535" t="s">
        <v>9768</v>
      </c>
      <c r="F66" s="1535" t="s">
        <v>1466</v>
      </c>
      <c r="G66" s="1535" t="s">
        <v>9769</v>
      </c>
      <c r="H66" s="1535" t="s">
        <v>9770</v>
      </c>
      <c r="I66" s="1535" t="s">
        <v>9771</v>
      </c>
      <c r="J66" s="1535" t="s">
        <v>972</v>
      </c>
      <c r="K66" s="1535" t="s">
        <v>4858</v>
      </c>
      <c r="L66" s="1535" t="s">
        <v>1808</v>
      </c>
      <c r="M66" s="1629" t="s">
        <v>9772</v>
      </c>
      <c r="N66" s="1535" t="s">
        <v>9773</v>
      </c>
      <c r="O66" s="1535" t="s">
        <v>1777</v>
      </c>
      <c r="P66" s="1535" t="s">
        <v>5066</v>
      </c>
      <c r="Q66" s="1535" t="s">
        <v>9774</v>
      </c>
      <c r="R66" s="1535" t="s">
        <v>9775</v>
      </c>
      <c r="S66" s="1535" t="s">
        <v>3709</v>
      </c>
      <c r="T66" s="1535" t="s">
        <v>9776</v>
      </c>
      <c r="U66" s="1535" t="s">
        <v>9566</v>
      </c>
      <c r="V66" s="1629" t="s">
        <v>9777</v>
      </c>
      <c r="W66" s="1629" t="s">
        <v>9778</v>
      </c>
      <c r="X66" s="1535" t="s">
        <v>9440</v>
      </c>
      <c r="Y66" s="1270" t="s">
        <v>9119</v>
      </c>
      <c r="Z66" s="1535" t="s">
        <v>1518</v>
      </c>
      <c r="AA66" s="1535" t="s">
        <v>1400</v>
      </c>
      <c r="AB66" s="1629" t="s">
        <v>9779</v>
      </c>
      <c r="AC66" s="1535" t="s">
        <v>1916</v>
      </c>
      <c r="AD66" s="1535" t="s">
        <v>9780</v>
      </c>
      <c r="AE66" s="1535" t="s">
        <v>3791</v>
      </c>
      <c r="AF66" s="1535" t="s">
        <v>9781</v>
      </c>
      <c r="AG66" s="1535" t="s">
        <v>524</v>
      </c>
      <c r="AH66" s="1535" t="s">
        <v>9782</v>
      </c>
      <c r="AI66" s="1535" t="s">
        <v>5374</v>
      </c>
      <c r="AJ66" s="1535" t="s">
        <v>9783</v>
      </c>
      <c r="AK66" s="1535" t="s">
        <v>9784</v>
      </c>
      <c r="AL66" s="1535" t="s">
        <v>1659</v>
      </c>
      <c r="AM66" s="1535" t="s">
        <v>9607</v>
      </c>
      <c r="AN66" s="1535" t="s">
        <v>9785</v>
      </c>
      <c r="AO66" s="1535" t="s">
        <v>2722</v>
      </c>
      <c r="AP66" s="1535" t="s">
        <v>1994</v>
      </c>
      <c r="AQ66" s="1535" t="s">
        <v>756</v>
      </c>
      <c r="AR66" s="1535" t="s">
        <v>9407</v>
      </c>
      <c r="AS66" s="1535" t="s">
        <v>6878</v>
      </c>
      <c r="AT66" s="1535" t="s">
        <v>9786</v>
      </c>
      <c r="AU66" s="1535" t="s">
        <v>9787</v>
      </c>
      <c r="AV66" s="1623" t="str">
        <f t="shared" si="1"/>
        <v>4:14</v>
      </c>
      <c r="AW66" s="1624" t="s">
        <v>9788</v>
      </c>
    </row>
    <row r="67" ht="15.75" customHeight="1">
      <c r="A67" s="1502" t="s">
        <v>2139</v>
      </c>
      <c r="B67" s="1609" t="s">
        <v>8401</v>
      </c>
      <c r="C67" s="1457">
        <v>0.05173611111111111</v>
      </c>
      <c r="D67" s="1270" t="s">
        <v>9789</v>
      </c>
      <c r="E67" s="1535" t="s">
        <v>9790</v>
      </c>
      <c r="F67" s="1535" t="s">
        <v>9791</v>
      </c>
      <c r="G67" s="1535" t="s">
        <v>9792</v>
      </c>
      <c r="H67" s="1535" t="s">
        <v>7342</v>
      </c>
      <c r="I67" s="1535" t="s">
        <v>494</v>
      </c>
      <c r="J67" s="1535" t="s">
        <v>8741</v>
      </c>
      <c r="K67" s="1535" t="s">
        <v>9793</v>
      </c>
      <c r="L67" s="1535" t="s">
        <v>6955</v>
      </c>
      <c r="M67" s="1535" t="s">
        <v>3499</v>
      </c>
      <c r="N67" s="1535" t="s">
        <v>9794</v>
      </c>
      <c r="O67" s="1535" t="s">
        <v>9795</v>
      </c>
      <c r="P67" s="1535" t="s">
        <v>3721</v>
      </c>
      <c r="Q67" s="1535" t="s">
        <v>9796</v>
      </c>
      <c r="R67" s="1535" t="s">
        <v>9732</v>
      </c>
      <c r="S67" s="1535" t="s">
        <v>5508</v>
      </c>
      <c r="T67" s="1535" t="s">
        <v>9797</v>
      </c>
      <c r="U67" s="1535" t="s">
        <v>9798</v>
      </c>
      <c r="V67" s="1535" t="s">
        <v>360</v>
      </c>
      <c r="W67" s="1535" t="s">
        <v>5540</v>
      </c>
      <c r="X67" s="1535" t="s">
        <v>9634</v>
      </c>
      <c r="Y67" s="1535" t="s">
        <v>1166</v>
      </c>
      <c r="Z67" s="1535" t="s">
        <v>9799</v>
      </c>
      <c r="AA67" s="1535" t="s">
        <v>9019</v>
      </c>
      <c r="AB67" s="1535" t="s">
        <v>6362</v>
      </c>
      <c r="AC67" s="1535" t="s">
        <v>160</v>
      </c>
      <c r="AD67" s="1535" t="s">
        <v>9659</v>
      </c>
      <c r="AE67" s="1535" t="s">
        <v>9091</v>
      </c>
      <c r="AF67" s="1535" t="s">
        <v>9105</v>
      </c>
      <c r="AG67" s="1535" t="s">
        <v>4819</v>
      </c>
      <c r="AH67" s="1535" t="s">
        <v>9800</v>
      </c>
      <c r="AI67" s="1535" t="s">
        <v>9801</v>
      </c>
      <c r="AJ67" s="1535" t="s">
        <v>9802</v>
      </c>
      <c r="AK67" s="1535" t="s">
        <v>8709</v>
      </c>
      <c r="AL67" s="1535" t="s">
        <v>9803</v>
      </c>
      <c r="AM67" s="1535" t="s">
        <v>2808</v>
      </c>
      <c r="AN67" s="1535" t="s">
        <v>5114</v>
      </c>
      <c r="AO67" s="1535" t="s">
        <v>9559</v>
      </c>
      <c r="AP67" s="1535" t="s">
        <v>9804</v>
      </c>
      <c r="AQ67" s="1535" t="s">
        <v>9805</v>
      </c>
      <c r="AR67" s="1535" t="s">
        <v>418</v>
      </c>
      <c r="AS67" s="1535" t="s">
        <v>9806</v>
      </c>
      <c r="AT67" s="1535" t="s">
        <v>9807</v>
      </c>
      <c r="AU67" s="1535" t="s">
        <v>9808</v>
      </c>
      <c r="AV67" s="1623" t="str">
        <f t="shared" si="1"/>
        <v>3:51</v>
      </c>
      <c r="AW67" s="1624" t="s">
        <v>9809</v>
      </c>
    </row>
    <row r="68" ht="15.75" customHeight="1">
      <c r="A68" s="1502" t="s">
        <v>7753</v>
      </c>
      <c r="B68" s="1500" t="s">
        <v>8425</v>
      </c>
      <c r="C68" s="1457">
        <v>0.051805555555555556</v>
      </c>
      <c r="D68" s="1535" t="s">
        <v>9810</v>
      </c>
      <c r="E68" s="1535" t="s">
        <v>9811</v>
      </c>
      <c r="F68" s="1270" t="s">
        <v>9812</v>
      </c>
      <c r="G68" s="1535" t="s">
        <v>9813</v>
      </c>
      <c r="H68" s="1474" t="s">
        <v>9814</v>
      </c>
      <c r="I68" s="1474">
        <v>49.81</v>
      </c>
      <c r="J68" s="1474" t="s">
        <v>9815</v>
      </c>
      <c r="K68" s="1474" t="s">
        <v>6044</v>
      </c>
      <c r="L68" s="1474">
        <v>59.57</v>
      </c>
      <c r="M68" s="1474" t="s">
        <v>9816</v>
      </c>
      <c r="N68" s="1474" t="s">
        <v>9817</v>
      </c>
      <c r="O68" s="1473" t="s">
        <v>7260</v>
      </c>
      <c r="P68" s="1473" t="s">
        <v>9818</v>
      </c>
      <c r="Q68" s="1473" t="s">
        <v>9819</v>
      </c>
      <c r="R68" s="1474" t="s">
        <v>9820</v>
      </c>
      <c r="S68" s="1474" t="s">
        <v>9450</v>
      </c>
      <c r="T68" s="1474" t="s">
        <v>9821</v>
      </c>
      <c r="U68" s="1474" t="s">
        <v>9822</v>
      </c>
      <c r="V68" s="1474" t="s">
        <v>4360</v>
      </c>
      <c r="W68" s="1474" t="s">
        <v>9823</v>
      </c>
      <c r="X68" s="1474" t="s">
        <v>9824</v>
      </c>
      <c r="Y68" s="1473" t="s">
        <v>9335</v>
      </c>
      <c r="Z68" s="1630" t="s">
        <v>8443</v>
      </c>
      <c r="AA68" s="1474" t="s">
        <v>197</v>
      </c>
      <c r="AB68" s="1473" t="s">
        <v>4261</v>
      </c>
      <c r="AC68" s="1474">
        <v>49.53</v>
      </c>
      <c r="AD68" s="1474" t="s">
        <v>1858</v>
      </c>
      <c r="AE68" s="1473" t="s">
        <v>9825</v>
      </c>
      <c r="AF68" s="1474" t="s">
        <v>8602</v>
      </c>
      <c r="AG68" s="1474" t="s">
        <v>9826</v>
      </c>
      <c r="AH68" s="1474">
        <v>59.93</v>
      </c>
      <c r="AI68" s="1474" t="s">
        <v>9827</v>
      </c>
      <c r="AJ68" s="1474" t="s">
        <v>9828</v>
      </c>
      <c r="AK68" s="1474" t="s">
        <v>5730</v>
      </c>
      <c r="AL68" s="1474">
        <v>59.13</v>
      </c>
      <c r="AM68" s="1474" t="s">
        <v>9763</v>
      </c>
      <c r="AN68" s="1474">
        <v>57.86</v>
      </c>
      <c r="AO68" s="1474" t="s">
        <v>7562</v>
      </c>
      <c r="AP68" s="1474" t="s">
        <v>9829</v>
      </c>
      <c r="AQ68" s="1474" t="s">
        <v>9341</v>
      </c>
      <c r="AR68" s="1474" t="s">
        <v>5963</v>
      </c>
      <c r="AS68" s="1474">
        <v>47.67</v>
      </c>
      <c r="AT68" s="1535" t="s">
        <v>9830</v>
      </c>
      <c r="AU68" s="1535" t="s">
        <v>9831</v>
      </c>
      <c r="AV68" s="1623" t="str">
        <f t="shared" si="1"/>
        <v>2:57</v>
      </c>
      <c r="AW68" s="1631" t="s">
        <v>9832</v>
      </c>
    </row>
    <row r="69">
      <c r="A69" s="1632" t="s">
        <v>1323</v>
      </c>
      <c r="B69" s="1496" t="s">
        <v>8401</v>
      </c>
      <c r="C69" s="1633">
        <v>0.05181712962962963</v>
      </c>
      <c r="D69" s="1459" t="s">
        <v>9833</v>
      </c>
      <c r="E69" s="1552" t="s">
        <v>9834</v>
      </c>
      <c r="F69" s="1552" t="s">
        <v>9835</v>
      </c>
      <c r="G69" s="1552" t="s">
        <v>9836</v>
      </c>
      <c r="H69" s="1552" t="s">
        <v>9837</v>
      </c>
      <c r="I69" s="1459" t="s">
        <v>4970</v>
      </c>
      <c r="J69" s="1552" t="s">
        <v>8726</v>
      </c>
      <c r="K69" s="1552" t="s">
        <v>9010</v>
      </c>
      <c r="L69" s="1459" t="s">
        <v>9800</v>
      </c>
      <c r="M69" s="1459" t="s">
        <v>1451</v>
      </c>
      <c r="N69" s="1552" t="s">
        <v>9302</v>
      </c>
      <c r="O69" s="1552" t="s">
        <v>7314</v>
      </c>
      <c r="P69" s="1552" t="s">
        <v>8915</v>
      </c>
      <c r="Q69" s="1552" t="s">
        <v>9838</v>
      </c>
      <c r="R69" s="1459" t="s">
        <v>3095</v>
      </c>
      <c r="S69" s="1552" t="s">
        <v>4872</v>
      </c>
      <c r="T69" s="1459" t="s">
        <v>9839</v>
      </c>
      <c r="U69" s="1552" t="s">
        <v>9840</v>
      </c>
      <c r="V69" s="1552" t="s">
        <v>9753</v>
      </c>
      <c r="W69" s="1459" t="s">
        <v>9841</v>
      </c>
      <c r="X69" s="1459" t="s">
        <v>9397</v>
      </c>
      <c r="Y69" s="1459" t="s">
        <v>9842</v>
      </c>
      <c r="Z69" s="1552" t="s">
        <v>6128</v>
      </c>
      <c r="AA69" s="1552" t="s">
        <v>887</v>
      </c>
      <c r="AB69" s="1459" t="s">
        <v>9843</v>
      </c>
      <c r="AC69" s="1552" t="s">
        <v>2021</v>
      </c>
      <c r="AD69" s="1459" t="s">
        <v>9844</v>
      </c>
      <c r="AE69" s="1552" t="s">
        <v>6460</v>
      </c>
      <c r="AF69" s="1459" t="s">
        <v>9513</v>
      </c>
      <c r="AG69" s="1459" t="s">
        <v>401</v>
      </c>
      <c r="AH69" s="1459" t="s">
        <v>9845</v>
      </c>
      <c r="AI69" s="1552" t="s">
        <v>244</v>
      </c>
      <c r="AJ69" s="1552" t="s">
        <v>9846</v>
      </c>
      <c r="AK69" s="1552" t="s">
        <v>9109</v>
      </c>
      <c r="AL69" s="1552" t="s">
        <v>4691</v>
      </c>
      <c r="AM69" s="1459" t="s">
        <v>9847</v>
      </c>
      <c r="AN69" s="1459" t="s">
        <v>9159</v>
      </c>
      <c r="AO69" s="1459" t="s">
        <v>9848</v>
      </c>
      <c r="AP69" s="1552" t="s">
        <v>9849</v>
      </c>
      <c r="AQ69" s="1552" t="s">
        <v>9850</v>
      </c>
      <c r="AR69" s="1552" t="s">
        <v>9851</v>
      </c>
      <c r="AS69" s="1552" t="s">
        <v>353</v>
      </c>
      <c r="AT69" s="1459" t="s">
        <v>9852</v>
      </c>
      <c r="AU69" s="1465" t="s">
        <v>9853</v>
      </c>
      <c r="AV69" s="1526" t="str">
        <f t="shared" si="1"/>
        <v>3:49</v>
      </c>
      <c r="AW69" s="1634" t="s">
        <v>9854</v>
      </c>
    </row>
    <row r="70" ht="15.75" customHeight="1">
      <c r="A70" s="1455" t="s">
        <v>3009</v>
      </c>
      <c r="B70" s="1515" t="s">
        <v>8401</v>
      </c>
      <c r="C70" s="1589">
        <v>0.051863425925925924</v>
      </c>
      <c r="D70" s="1270" t="s">
        <v>9855</v>
      </c>
      <c r="E70" s="1623" t="s">
        <v>6255</v>
      </c>
      <c r="F70" s="1623" t="s">
        <v>9856</v>
      </c>
      <c r="G70" s="1623" t="s">
        <v>9857</v>
      </c>
      <c r="H70" s="1623" t="s">
        <v>9858</v>
      </c>
      <c r="I70" s="1623" t="s">
        <v>2038</v>
      </c>
      <c r="J70" s="1623" t="s">
        <v>1755</v>
      </c>
      <c r="K70" s="1623" t="s">
        <v>1591</v>
      </c>
      <c r="L70" s="1623" t="s">
        <v>3017</v>
      </c>
      <c r="M70" s="1623" t="s">
        <v>9628</v>
      </c>
      <c r="N70" s="1623" t="s">
        <v>5003</v>
      </c>
      <c r="O70" s="1623" t="s">
        <v>9859</v>
      </c>
      <c r="P70" s="1623" t="s">
        <v>1233</v>
      </c>
      <c r="Q70" s="1623" t="s">
        <v>9860</v>
      </c>
      <c r="R70" s="1623" t="s">
        <v>9861</v>
      </c>
      <c r="S70" s="1623" t="s">
        <v>9862</v>
      </c>
      <c r="T70" s="1623" t="s">
        <v>9863</v>
      </c>
      <c r="U70" s="1623" t="s">
        <v>9864</v>
      </c>
      <c r="V70" s="1623" t="s">
        <v>9416</v>
      </c>
      <c r="W70" s="1623" t="s">
        <v>9865</v>
      </c>
      <c r="X70" s="1623" t="s">
        <v>9758</v>
      </c>
      <c r="Y70" s="1623" t="s">
        <v>3145</v>
      </c>
      <c r="Z70" s="1623" t="s">
        <v>9866</v>
      </c>
      <c r="AA70" s="1623" t="s">
        <v>9867</v>
      </c>
      <c r="AB70" s="1623" t="s">
        <v>8275</v>
      </c>
      <c r="AC70" s="1623" t="s">
        <v>925</v>
      </c>
      <c r="AD70" s="1623" t="s">
        <v>9868</v>
      </c>
      <c r="AE70" s="1623" t="s">
        <v>1184</v>
      </c>
      <c r="AF70" s="1623" t="s">
        <v>9869</v>
      </c>
      <c r="AG70" s="1623" t="s">
        <v>9870</v>
      </c>
      <c r="AH70" s="1623" t="s">
        <v>5305</v>
      </c>
      <c r="AI70" s="1623" t="s">
        <v>9801</v>
      </c>
      <c r="AJ70" s="1623" t="s">
        <v>9871</v>
      </c>
      <c r="AK70" s="1623" t="s">
        <v>1908</v>
      </c>
      <c r="AL70" s="1623" t="s">
        <v>9845</v>
      </c>
      <c r="AM70" s="1623" t="s">
        <v>9872</v>
      </c>
      <c r="AN70" s="1623" t="s">
        <v>9323</v>
      </c>
      <c r="AO70" s="1623" t="s">
        <v>8596</v>
      </c>
      <c r="AP70" s="1623" t="s">
        <v>9873</v>
      </c>
      <c r="AQ70" s="1623" t="s">
        <v>9874</v>
      </c>
      <c r="AR70" s="1623" t="s">
        <v>2179</v>
      </c>
      <c r="AS70" s="1623" t="s">
        <v>4745</v>
      </c>
      <c r="AT70" s="1623" t="s">
        <v>9875</v>
      </c>
      <c r="AU70" s="1623" t="s">
        <v>9876</v>
      </c>
      <c r="AV70" s="1623" t="str">
        <f t="shared" si="1"/>
        <v>2:06</v>
      </c>
      <c r="AW70" s="1624" t="s">
        <v>9877</v>
      </c>
    </row>
    <row r="71" ht="15.75" customHeight="1">
      <c r="A71" s="1455" t="s">
        <v>1129</v>
      </c>
      <c r="B71" s="1456" t="s">
        <v>8373</v>
      </c>
      <c r="C71" s="1589">
        <v>0.051875</v>
      </c>
      <c r="D71" s="1270" t="s">
        <v>9878</v>
      </c>
      <c r="E71" s="1623" t="s">
        <v>3255</v>
      </c>
      <c r="F71" s="1623" t="s">
        <v>9879</v>
      </c>
      <c r="G71" s="1623" t="s">
        <v>9880</v>
      </c>
      <c r="H71" s="1623" t="s">
        <v>9881</v>
      </c>
      <c r="I71" s="1623" t="s">
        <v>9882</v>
      </c>
      <c r="J71" s="1623" t="s">
        <v>2523</v>
      </c>
      <c r="K71" s="1623" t="s">
        <v>9883</v>
      </c>
      <c r="L71" s="1623" t="s">
        <v>8464</v>
      </c>
      <c r="M71" s="1623" t="s">
        <v>7427</v>
      </c>
      <c r="N71" s="1623" t="s">
        <v>9516</v>
      </c>
      <c r="O71" s="1623" t="s">
        <v>4470</v>
      </c>
      <c r="P71" s="1623" t="s">
        <v>1523</v>
      </c>
      <c r="Q71" s="1623" t="s">
        <v>9884</v>
      </c>
      <c r="R71" s="1623" t="s">
        <v>9125</v>
      </c>
      <c r="S71" s="1623" t="s">
        <v>4435</v>
      </c>
      <c r="T71" s="1623" t="s">
        <v>9885</v>
      </c>
      <c r="U71" s="1623" t="s">
        <v>9675</v>
      </c>
      <c r="V71" s="1623" t="s">
        <v>6266</v>
      </c>
      <c r="W71" s="1623" t="s">
        <v>4470</v>
      </c>
      <c r="X71" s="1623" t="s">
        <v>9302</v>
      </c>
      <c r="Y71" s="1623" t="s">
        <v>9337</v>
      </c>
      <c r="Z71" s="1623" t="s">
        <v>9886</v>
      </c>
      <c r="AA71" s="1623" t="s">
        <v>421</v>
      </c>
      <c r="AB71" s="1623" t="s">
        <v>619</v>
      </c>
      <c r="AC71" s="1623" t="s">
        <v>9887</v>
      </c>
      <c r="AD71" s="1623" t="s">
        <v>9715</v>
      </c>
      <c r="AE71" s="1623" t="s">
        <v>936</v>
      </c>
      <c r="AF71" s="1623" t="s">
        <v>9888</v>
      </c>
      <c r="AG71" s="1623" t="s">
        <v>9889</v>
      </c>
      <c r="AH71" s="1623" t="s">
        <v>9626</v>
      </c>
      <c r="AI71" s="1623" t="s">
        <v>9890</v>
      </c>
      <c r="AJ71" s="1623" t="s">
        <v>9891</v>
      </c>
      <c r="AK71" s="1623" t="s">
        <v>9892</v>
      </c>
      <c r="AL71" s="1623" t="s">
        <v>5539</v>
      </c>
      <c r="AM71" s="1623" t="s">
        <v>9893</v>
      </c>
      <c r="AN71" s="1623" t="s">
        <v>6087</v>
      </c>
      <c r="AO71" s="1535" t="s">
        <v>9474</v>
      </c>
      <c r="AP71" s="1623" t="s">
        <v>9894</v>
      </c>
      <c r="AQ71" s="1623" t="s">
        <v>9895</v>
      </c>
      <c r="AR71" s="1623" t="s">
        <v>9146</v>
      </c>
      <c r="AS71" s="1623" t="s">
        <v>9214</v>
      </c>
      <c r="AT71" s="1623" t="s">
        <v>9896</v>
      </c>
      <c r="AU71" s="1535" t="s">
        <v>9897</v>
      </c>
      <c r="AV71" s="1623" t="str">
        <f t="shared" si="1"/>
        <v>0:37</v>
      </c>
      <c r="AW71" s="1628" t="s">
        <v>9898</v>
      </c>
    </row>
    <row r="72">
      <c r="A72" s="1502" t="s">
        <v>7724</v>
      </c>
      <c r="B72" s="1496" t="s">
        <v>8373</v>
      </c>
      <c r="C72" s="1457">
        <v>0.05188657407407407</v>
      </c>
      <c r="D72" s="1535" t="s">
        <v>9899</v>
      </c>
      <c r="E72" s="1270" t="s">
        <v>862</v>
      </c>
      <c r="F72" s="1270" t="s">
        <v>9900</v>
      </c>
      <c r="G72" s="1270" t="s">
        <v>9901</v>
      </c>
      <c r="H72" s="1270" t="s">
        <v>9902</v>
      </c>
      <c r="I72" s="1270" t="s">
        <v>676</v>
      </c>
      <c r="J72" s="1270" t="s">
        <v>4131</v>
      </c>
      <c r="K72" s="1270" t="s">
        <v>9120</v>
      </c>
      <c r="L72" s="1270" t="s">
        <v>2702</v>
      </c>
      <c r="M72" s="1270" t="s">
        <v>9903</v>
      </c>
      <c r="N72" s="1270" t="s">
        <v>4009</v>
      </c>
      <c r="O72" s="1270" t="s">
        <v>9904</v>
      </c>
      <c r="P72" s="1270" t="s">
        <v>5119</v>
      </c>
      <c r="Q72" s="1270" t="s">
        <v>9905</v>
      </c>
      <c r="R72" s="1270" t="s">
        <v>5490</v>
      </c>
      <c r="S72" s="1270" t="s">
        <v>9906</v>
      </c>
      <c r="T72" s="1270" t="s">
        <v>8448</v>
      </c>
      <c r="U72" s="1270" t="s">
        <v>9907</v>
      </c>
      <c r="V72" s="1270" t="s">
        <v>5403</v>
      </c>
      <c r="W72" s="1270" t="s">
        <v>9908</v>
      </c>
      <c r="X72" s="1270" t="s">
        <v>9909</v>
      </c>
      <c r="Y72" s="1270" t="s">
        <v>9910</v>
      </c>
      <c r="Z72" s="1270" t="s">
        <v>9131</v>
      </c>
      <c r="AA72" s="1270" t="s">
        <v>5091</v>
      </c>
      <c r="AB72" s="1270" t="s">
        <v>685</v>
      </c>
      <c r="AC72" s="1270" t="s">
        <v>9911</v>
      </c>
      <c r="AD72" s="1270" t="s">
        <v>9912</v>
      </c>
      <c r="AE72" s="1270" t="s">
        <v>5763</v>
      </c>
      <c r="AF72" s="1270" t="s">
        <v>9913</v>
      </c>
      <c r="AG72" s="1270" t="s">
        <v>2438</v>
      </c>
      <c r="AH72" s="1270" t="s">
        <v>2702</v>
      </c>
      <c r="AI72" s="1270" t="s">
        <v>196</v>
      </c>
      <c r="AJ72" s="1270" t="s">
        <v>9914</v>
      </c>
      <c r="AK72" s="1270" t="s">
        <v>9138</v>
      </c>
      <c r="AL72" s="1270" t="s">
        <v>9588</v>
      </c>
      <c r="AM72" s="1270" t="s">
        <v>9107</v>
      </c>
      <c r="AN72" s="1270" t="s">
        <v>3493</v>
      </c>
      <c r="AO72" s="1270" t="s">
        <v>8589</v>
      </c>
      <c r="AP72" s="1270" t="s">
        <v>9541</v>
      </c>
      <c r="AQ72" s="1270" t="s">
        <v>9895</v>
      </c>
      <c r="AR72" s="1270" t="s">
        <v>9915</v>
      </c>
      <c r="AS72" s="1270" t="s">
        <v>6270</v>
      </c>
      <c r="AT72" s="1270" t="s">
        <v>9916</v>
      </c>
      <c r="AU72" s="1535" t="s">
        <v>9917</v>
      </c>
      <c r="AV72" s="1623" t="str">
        <f t="shared" si="1"/>
        <v>4:21</v>
      </c>
      <c r="AW72" s="1624" t="s">
        <v>9918</v>
      </c>
    </row>
    <row r="73" ht="15.75" customHeight="1">
      <c r="A73" s="1455" t="s">
        <v>4808</v>
      </c>
      <c r="B73" s="1613" t="s">
        <v>8425</v>
      </c>
      <c r="C73" s="1457">
        <v>0.051909722222222225</v>
      </c>
      <c r="D73" s="1635" t="s">
        <v>9919</v>
      </c>
      <c r="E73" s="1531" t="s">
        <v>2194</v>
      </c>
      <c r="F73" s="1531" t="s">
        <v>9920</v>
      </c>
      <c r="G73" s="1531" t="s">
        <v>9921</v>
      </c>
      <c r="H73" s="1531" t="s">
        <v>9922</v>
      </c>
      <c r="I73" s="1635">
        <v>49.97</v>
      </c>
      <c r="J73" s="1531" t="s">
        <v>2177</v>
      </c>
      <c r="K73" s="1531" t="s">
        <v>9923</v>
      </c>
      <c r="L73" s="1531" t="s">
        <v>5052</v>
      </c>
      <c r="M73" s="1531" t="s">
        <v>2886</v>
      </c>
      <c r="N73" s="1531" t="s">
        <v>4693</v>
      </c>
      <c r="O73" s="1531" t="s">
        <v>5735</v>
      </c>
      <c r="P73" s="1635">
        <v>48.99</v>
      </c>
      <c r="Q73" s="1531" t="s">
        <v>9924</v>
      </c>
      <c r="R73" s="1531" t="s">
        <v>5709</v>
      </c>
      <c r="S73" s="1531" t="s">
        <v>4200</v>
      </c>
      <c r="T73" s="1531" t="s">
        <v>9925</v>
      </c>
      <c r="U73" s="1531" t="s">
        <v>9926</v>
      </c>
      <c r="V73" s="1531" t="s">
        <v>2444</v>
      </c>
      <c r="W73" s="1531" t="s">
        <v>9927</v>
      </c>
      <c r="X73" s="1531" t="s">
        <v>9631</v>
      </c>
      <c r="Y73" s="1636">
        <v>47.93</v>
      </c>
      <c r="Z73" s="1531" t="s">
        <v>9928</v>
      </c>
      <c r="AA73" s="1531" t="s">
        <v>5040</v>
      </c>
      <c r="AB73" s="1531" t="s">
        <v>9611</v>
      </c>
      <c r="AC73" s="1630">
        <v>49.24</v>
      </c>
      <c r="AD73" s="1531" t="s">
        <v>9030</v>
      </c>
      <c r="AE73" s="1635">
        <v>49.87</v>
      </c>
      <c r="AF73" s="1531" t="s">
        <v>9929</v>
      </c>
      <c r="AG73" s="1531" t="s">
        <v>9930</v>
      </c>
      <c r="AH73" s="1635">
        <v>59.9</v>
      </c>
      <c r="AI73" s="1531" t="s">
        <v>9931</v>
      </c>
      <c r="AJ73" s="1637" t="s">
        <v>8449</v>
      </c>
      <c r="AK73" s="1531" t="s">
        <v>1949</v>
      </c>
      <c r="AL73" s="1635">
        <v>58.74</v>
      </c>
      <c r="AM73" s="1531" t="s">
        <v>1996</v>
      </c>
      <c r="AN73" s="1635">
        <v>57.51</v>
      </c>
      <c r="AO73" s="1531" t="s">
        <v>4839</v>
      </c>
      <c r="AP73" s="1531" t="s">
        <v>9932</v>
      </c>
      <c r="AQ73" s="1531" t="s">
        <v>3287</v>
      </c>
      <c r="AR73" s="1637" t="s">
        <v>6363</v>
      </c>
      <c r="AS73" s="1635">
        <v>47.44</v>
      </c>
      <c r="AT73" s="1531" t="s">
        <v>9933</v>
      </c>
      <c r="AU73" s="1535" t="s">
        <v>9934</v>
      </c>
      <c r="AV73" s="1623" t="str">
        <f t="shared" si="1"/>
        <v>2:59</v>
      </c>
      <c r="AW73" s="1624" t="s">
        <v>7699</v>
      </c>
    </row>
    <row r="74">
      <c r="A74" s="1502" t="s">
        <v>8318</v>
      </c>
      <c r="B74" s="1500" t="s">
        <v>8373</v>
      </c>
      <c r="C74" s="1457">
        <v>0.05193287037037037</v>
      </c>
      <c r="D74" s="1599" t="s">
        <v>9935</v>
      </c>
      <c r="E74" s="1535" t="s">
        <v>7455</v>
      </c>
      <c r="F74" s="1535" t="s">
        <v>9936</v>
      </c>
      <c r="G74" s="1535" t="s">
        <v>9937</v>
      </c>
      <c r="H74" s="1535" t="s">
        <v>9938</v>
      </c>
      <c r="I74" s="1535" t="s">
        <v>2408</v>
      </c>
      <c r="J74" s="1535" t="s">
        <v>4228</v>
      </c>
      <c r="K74" s="1535" t="s">
        <v>9058</v>
      </c>
      <c r="L74" s="1535"/>
      <c r="M74" s="1535" t="s">
        <v>7072</v>
      </c>
      <c r="N74" s="1535" t="s">
        <v>9283</v>
      </c>
      <c r="O74" s="1535" t="s">
        <v>8441</v>
      </c>
      <c r="P74" s="1535" t="s">
        <v>9534</v>
      </c>
      <c r="Q74" s="1535" t="s">
        <v>9939</v>
      </c>
      <c r="R74" s="1535" t="s">
        <v>9940</v>
      </c>
      <c r="S74" s="1535" t="s">
        <v>8816</v>
      </c>
      <c r="T74" s="1535" t="s">
        <v>9075</v>
      </c>
      <c r="U74" s="1535" t="s">
        <v>2257</v>
      </c>
      <c r="V74" s="1535" t="s">
        <v>8869</v>
      </c>
      <c r="W74" s="1535" t="s">
        <v>5735</v>
      </c>
      <c r="X74" s="1535" t="s">
        <v>625</v>
      </c>
      <c r="Y74" s="1535" t="s">
        <v>8830</v>
      </c>
      <c r="Z74" s="1535" t="s">
        <v>8473</v>
      </c>
      <c r="AA74" s="1535" t="s">
        <v>7575</v>
      </c>
      <c r="AB74" s="1535" t="s">
        <v>9542</v>
      </c>
      <c r="AC74" s="1535" t="s">
        <v>2927</v>
      </c>
      <c r="AD74" s="1535" t="s">
        <v>9941</v>
      </c>
      <c r="AE74" s="1535" t="s">
        <v>9942</v>
      </c>
      <c r="AF74" s="1535" t="s">
        <v>9943</v>
      </c>
      <c r="AG74" s="1535" t="s">
        <v>9679</v>
      </c>
      <c r="AH74" s="1535" t="s">
        <v>9944</v>
      </c>
      <c r="AI74" s="1535" t="s">
        <v>9945</v>
      </c>
      <c r="AJ74" s="1535" t="s">
        <v>9946</v>
      </c>
      <c r="AK74" s="1535" t="s">
        <v>9947</v>
      </c>
      <c r="AL74" s="1535" t="s">
        <v>3140</v>
      </c>
      <c r="AM74" s="1535" t="s">
        <v>9948</v>
      </c>
      <c r="AN74" s="1535" t="s">
        <v>3504</v>
      </c>
      <c r="AO74" s="1535" t="s">
        <v>9949</v>
      </c>
      <c r="AP74" s="1535" t="s">
        <v>9950</v>
      </c>
      <c r="AQ74" s="1535" t="s">
        <v>9951</v>
      </c>
      <c r="AR74" s="1535" t="s">
        <v>9952</v>
      </c>
      <c r="AS74" s="1535" t="s">
        <v>3762</v>
      </c>
      <c r="AT74" s="1535" t="s">
        <v>9953</v>
      </c>
      <c r="AU74" s="1535" t="s">
        <v>9954</v>
      </c>
      <c r="AV74" s="1623" t="str">
        <f t="shared" si="1"/>
        <v>4:12</v>
      </c>
      <c r="AW74" s="1628"/>
    </row>
    <row r="75">
      <c r="A75" s="1502" t="s">
        <v>3597</v>
      </c>
      <c r="B75" s="1496" t="s">
        <v>8373</v>
      </c>
      <c r="C75" s="1457">
        <v>0.05196759259259259</v>
      </c>
      <c r="D75" s="1270" t="s">
        <v>9955</v>
      </c>
      <c r="E75" s="1535" t="s">
        <v>9956</v>
      </c>
      <c r="F75" s="1535" t="s">
        <v>1298</v>
      </c>
      <c r="G75" s="1535" t="s">
        <v>9957</v>
      </c>
      <c r="H75" s="1270" t="s">
        <v>9958</v>
      </c>
      <c r="I75" s="1535" t="s">
        <v>9649</v>
      </c>
      <c r="J75" s="1535" t="s">
        <v>4008</v>
      </c>
      <c r="K75" s="1535" t="s">
        <v>9264</v>
      </c>
      <c r="L75" s="1535" t="s">
        <v>4880</v>
      </c>
      <c r="M75" s="1535" t="s">
        <v>3157</v>
      </c>
      <c r="N75" s="1535" t="s">
        <v>9959</v>
      </c>
      <c r="O75" s="1535" t="s">
        <v>9960</v>
      </c>
      <c r="P75" s="1535" t="s">
        <v>8416</v>
      </c>
      <c r="Q75" s="1535" t="s">
        <v>9961</v>
      </c>
      <c r="R75" s="1535" t="s">
        <v>3157</v>
      </c>
      <c r="S75" s="1459" t="s">
        <v>2335</v>
      </c>
      <c r="T75" s="1535" t="s">
        <v>9512</v>
      </c>
      <c r="U75" s="1535" t="s">
        <v>9675</v>
      </c>
      <c r="V75" s="1535" t="s">
        <v>9073</v>
      </c>
      <c r="W75" s="1535" t="s">
        <v>9962</v>
      </c>
      <c r="X75" s="1535" t="s">
        <v>9694</v>
      </c>
      <c r="Y75" s="1535" t="s">
        <v>593</v>
      </c>
      <c r="Z75" s="1535" t="s">
        <v>9963</v>
      </c>
      <c r="AA75" s="1535" t="s">
        <v>9165</v>
      </c>
      <c r="AB75" s="1535" t="s">
        <v>489</v>
      </c>
      <c r="AC75" s="1535" t="s">
        <v>1073</v>
      </c>
      <c r="AD75" s="1535" t="s">
        <v>8385</v>
      </c>
      <c r="AE75" s="1535" t="s">
        <v>8792</v>
      </c>
      <c r="AF75" s="1535" t="s">
        <v>9964</v>
      </c>
      <c r="AG75" s="1535" t="s">
        <v>3624</v>
      </c>
      <c r="AH75" s="1535" t="s">
        <v>4966</v>
      </c>
      <c r="AI75" s="1535" t="s">
        <v>5991</v>
      </c>
      <c r="AJ75" s="1535" t="s">
        <v>9965</v>
      </c>
      <c r="AK75" s="1535" t="s">
        <v>460</v>
      </c>
      <c r="AL75" s="1535" t="s">
        <v>2208</v>
      </c>
      <c r="AM75" s="1535" t="s">
        <v>3250</v>
      </c>
      <c r="AN75" s="1535" t="s">
        <v>650</v>
      </c>
      <c r="AO75" s="1535" t="s">
        <v>9966</v>
      </c>
      <c r="AP75" s="1535" t="s">
        <v>9961</v>
      </c>
      <c r="AQ75" s="1535" t="s">
        <v>9967</v>
      </c>
      <c r="AR75" s="1535" t="s">
        <v>4008</v>
      </c>
      <c r="AS75" s="1535" t="s">
        <v>903</v>
      </c>
      <c r="AT75" s="1535" t="s">
        <v>9968</v>
      </c>
      <c r="AU75" s="1535" t="s">
        <v>9969</v>
      </c>
      <c r="AV75" s="1535" t="s">
        <v>8259</v>
      </c>
      <c r="AW75" s="1631" t="s">
        <v>9970</v>
      </c>
    </row>
    <row r="76" ht="15.75" customHeight="1">
      <c r="A76" s="1539" t="s">
        <v>9971</v>
      </c>
      <c r="B76" s="1456" t="s">
        <v>8373</v>
      </c>
      <c r="C76" s="1589">
        <v>0.05199074074074074</v>
      </c>
      <c r="D76" s="1270" t="s">
        <v>9972</v>
      </c>
      <c r="E76" s="1623" t="s">
        <v>9973</v>
      </c>
      <c r="F76" s="1623" t="s">
        <v>9974</v>
      </c>
      <c r="G76" s="1623" t="s">
        <v>9975</v>
      </c>
      <c r="H76" s="1623" t="s">
        <v>7371</v>
      </c>
      <c r="I76" s="1623" t="s">
        <v>9489</v>
      </c>
      <c r="J76" s="1623" t="s">
        <v>9976</v>
      </c>
      <c r="K76" s="1623" t="s">
        <v>9977</v>
      </c>
      <c r="L76" s="1623" t="s">
        <v>3017</v>
      </c>
      <c r="M76" s="1623" t="s">
        <v>9978</v>
      </c>
      <c r="N76" s="1623" t="s">
        <v>9210</v>
      </c>
      <c r="O76" s="1623" t="s">
        <v>9979</v>
      </c>
      <c r="P76" s="1623" t="s">
        <v>2374</v>
      </c>
      <c r="Q76" s="1623" t="s">
        <v>4979</v>
      </c>
      <c r="R76" s="1623" t="s">
        <v>5241</v>
      </c>
      <c r="S76" s="1623" t="s">
        <v>4811</v>
      </c>
      <c r="T76" s="1623" t="s">
        <v>5698</v>
      </c>
      <c r="U76" s="1623" t="s">
        <v>9980</v>
      </c>
      <c r="V76" s="1623" t="s">
        <v>6266</v>
      </c>
      <c r="W76" s="1623" t="s">
        <v>7732</v>
      </c>
      <c r="X76" s="1623" t="s">
        <v>9981</v>
      </c>
      <c r="Y76" s="1623" t="s">
        <v>2021</v>
      </c>
      <c r="Z76" s="1623" t="s">
        <v>9982</v>
      </c>
      <c r="AA76" s="1623" t="s">
        <v>9631</v>
      </c>
      <c r="AB76" s="1623" t="s">
        <v>9983</v>
      </c>
      <c r="AC76" s="1623" t="s">
        <v>8447</v>
      </c>
      <c r="AD76" s="1623" t="s">
        <v>9984</v>
      </c>
      <c r="AE76" s="1623" t="s">
        <v>6500</v>
      </c>
      <c r="AF76" s="1623" t="s">
        <v>9985</v>
      </c>
      <c r="AG76" s="1623" t="s">
        <v>9892</v>
      </c>
      <c r="AH76" s="1623" t="s">
        <v>9986</v>
      </c>
      <c r="AI76" s="1623" t="s">
        <v>9987</v>
      </c>
      <c r="AJ76" s="1623" t="s">
        <v>9988</v>
      </c>
      <c r="AK76" s="1623" t="s">
        <v>809</v>
      </c>
      <c r="AL76" s="1623" t="s">
        <v>3209</v>
      </c>
      <c r="AM76" s="1623" t="s">
        <v>9401</v>
      </c>
      <c r="AN76" s="1623" t="s">
        <v>9989</v>
      </c>
      <c r="AO76" s="1535" t="s">
        <v>7328</v>
      </c>
      <c r="AP76" s="1535" t="s">
        <v>9990</v>
      </c>
      <c r="AQ76" s="1623" t="s">
        <v>5277</v>
      </c>
      <c r="AR76" s="1623" t="s">
        <v>9991</v>
      </c>
      <c r="AS76" s="1623" t="s">
        <v>1091</v>
      </c>
      <c r="AT76" s="1623" t="s">
        <v>9535</v>
      </c>
      <c r="AU76" s="1626" t="str">
        <f>HYPERLINK("https://splits.io/m3t","1:18:40")</f>
        <v>1:18:40</v>
      </c>
      <c r="AV76" s="1623" t="str">
        <f t="shared" ref="AV76:AV79" si="2">TEXT(AU76-C76,"m:ss")</f>
        <v>3:48</v>
      </c>
      <c r="AW76" s="1627" t="s">
        <v>9992</v>
      </c>
    </row>
    <row r="77" ht="15.75" customHeight="1">
      <c r="A77" s="1539" t="s">
        <v>9993</v>
      </c>
      <c r="B77" s="1456" t="s">
        <v>8373</v>
      </c>
      <c r="C77" s="1589">
        <v>0.052002314814814814</v>
      </c>
      <c r="D77" s="1270" t="s">
        <v>9994</v>
      </c>
      <c r="E77" s="1623" t="s">
        <v>8666</v>
      </c>
      <c r="F77" s="1623" t="s">
        <v>9995</v>
      </c>
      <c r="G77" s="1623" t="s">
        <v>9996</v>
      </c>
      <c r="H77" s="1623" t="s">
        <v>9997</v>
      </c>
      <c r="I77" s="1623" t="s">
        <v>3505</v>
      </c>
      <c r="J77" s="1623" t="s">
        <v>9095</v>
      </c>
      <c r="K77" s="1623" t="s">
        <v>4435</v>
      </c>
      <c r="L77" s="1623" t="s">
        <v>3450</v>
      </c>
      <c r="M77" s="1623" t="s">
        <v>9674</v>
      </c>
      <c r="N77" s="1623" t="s">
        <v>4473</v>
      </c>
      <c r="O77" s="1623" t="s">
        <v>9998</v>
      </c>
      <c r="P77" s="1623" t="s">
        <v>9999</v>
      </c>
      <c r="Q77" s="1623" t="s">
        <v>4834</v>
      </c>
      <c r="R77" s="1623" t="s">
        <v>1451</v>
      </c>
      <c r="S77" s="1623" t="s">
        <v>9180</v>
      </c>
      <c r="T77" s="1623" t="s">
        <v>525</v>
      </c>
      <c r="U77" s="1623" t="s">
        <v>1843</v>
      </c>
      <c r="V77" s="1623" t="s">
        <v>464</v>
      </c>
      <c r="W77" s="1623" t="s">
        <v>5612</v>
      </c>
      <c r="X77" s="1623" t="s">
        <v>9444</v>
      </c>
      <c r="Y77" s="1623" t="s">
        <v>2385</v>
      </c>
      <c r="Z77" s="1623" t="s">
        <v>5385</v>
      </c>
      <c r="AA77" s="1623" t="s">
        <v>9210</v>
      </c>
      <c r="AB77" s="1623" t="s">
        <v>10000</v>
      </c>
      <c r="AC77" s="1623" t="s">
        <v>2882</v>
      </c>
      <c r="AD77" s="1623" t="s">
        <v>10001</v>
      </c>
      <c r="AE77" s="1623" t="s">
        <v>5119</v>
      </c>
      <c r="AF77" s="1623" t="s">
        <v>10002</v>
      </c>
      <c r="AG77" s="1623" t="s">
        <v>10003</v>
      </c>
      <c r="AH77" s="1623" t="s">
        <v>2204</v>
      </c>
      <c r="AI77" s="1623" t="s">
        <v>10004</v>
      </c>
      <c r="AJ77" s="1623" t="s">
        <v>10005</v>
      </c>
      <c r="AK77" s="1623" t="s">
        <v>4585</v>
      </c>
      <c r="AL77" s="1623" t="s">
        <v>8794</v>
      </c>
      <c r="AM77" s="1623" t="s">
        <v>1456</v>
      </c>
      <c r="AN77" s="1623" t="s">
        <v>8548</v>
      </c>
      <c r="AO77" s="1623" t="s">
        <v>8864</v>
      </c>
      <c r="AP77" s="1623" t="s">
        <v>10006</v>
      </c>
      <c r="AQ77" s="1623" t="s">
        <v>10007</v>
      </c>
      <c r="AR77" s="1623" t="s">
        <v>9925</v>
      </c>
      <c r="AS77" s="1623" t="s">
        <v>10008</v>
      </c>
      <c r="AT77" s="1623" t="s">
        <v>10009</v>
      </c>
      <c r="AU77" s="1623" t="s">
        <v>10010</v>
      </c>
      <c r="AV77" s="1623" t="str">
        <f t="shared" si="2"/>
        <v>3:32</v>
      </c>
      <c r="AW77" s="1627" t="s">
        <v>10011</v>
      </c>
    </row>
    <row r="78" ht="15.75" customHeight="1">
      <c r="A78" s="1539" t="s">
        <v>10012</v>
      </c>
      <c r="B78" s="1515" t="s">
        <v>8401</v>
      </c>
      <c r="C78" s="1589">
        <v>0.05201388888888889</v>
      </c>
      <c r="D78" s="1270" t="s">
        <v>10013</v>
      </c>
      <c r="E78" s="1535" t="s">
        <v>10014</v>
      </c>
      <c r="F78" s="1623" t="s">
        <v>10015</v>
      </c>
      <c r="G78" s="1623" t="s">
        <v>10016</v>
      </c>
      <c r="H78" s="1623" t="s">
        <v>1652</v>
      </c>
      <c r="I78" s="1623" t="s">
        <v>10017</v>
      </c>
      <c r="J78" s="1623" t="s">
        <v>10018</v>
      </c>
      <c r="K78" s="1623" t="s">
        <v>4200</v>
      </c>
      <c r="L78" s="1623" t="s">
        <v>10019</v>
      </c>
      <c r="M78" s="1623" t="s">
        <v>10020</v>
      </c>
      <c r="N78" s="1623" t="s">
        <v>10021</v>
      </c>
      <c r="O78" s="1623" t="s">
        <v>10022</v>
      </c>
      <c r="P78" s="1623" t="s">
        <v>160</v>
      </c>
      <c r="Q78" s="1623" t="s">
        <v>10023</v>
      </c>
      <c r="R78" s="1623" t="s">
        <v>7253</v>
      </c>
      <c r="S78" s="1623" t="s">
        <v>10024</v>
      </c>
      <c r="T78" s="1623" t="s">
        <v>10025</v>
      </c>
      <c r="U78" s="1623" t="s">
        <v>10026</v>
      </c>
      <c r="V78" s="1623" t="s">
        <v>7992</v>
      </c>
      <c r="W78" s="1623" t="s">
        <v>10027</v>
      </c>
      <c r="X78" s="1623" t="s">
        <v>9444</v>
      </c>
      <c r="Y78" s="1623" t="s">
        <v>302</v>
      </c>
      <c r="Z78" s="1623" t="s">
        <v>2402</v>
      </c>
      <c r="AA78" s="1623" t="s">
        <v>5751</v>
      </c>
      <c r="AB78" s="1623" t="s">
        <v>8690</v>
      </c>
      <c r="AC78" s="1623" t="s">
        <v>853</v>
      </c>
      <c r="AD78" s="1623" t="s">
        <v>10028</v>
      </c>
      <c r="AE78" s="1623" t="s">
        <v>1166</v>
      </c>
      <c r="AF78" s="1623" t="s">
        <v>10029</v>
      </c>
      <c r="AG78" s="1623" t="s">
        <v>2808</v>
      </c>
      <c r="AH78" s="1623" t="s">
        <v>5947</v>
      </c>
      <c r="AI78" s="1623" t="s">
        <v>1570</v>
      </c>
      <c r="AJ78" s="1623" t="s">
        <v>10030</v>
      </c>
      <c r="AK78" s="1623" t="s">
        <v>3481</v>
      </c>
      <c r="AL78" s="1623" t="s">
        <v>3833</v>
      </c>
      <c r="AM78" s="1623" t="s">
        <v>928</v>
      </c>
      <c r="AN78" s="1623" t="s">
        <v>9760</v>
      </c>
      <c r="AO78" s="1623" t="s">
        <v>2207</v>
      </c>
      <c r="AP78" s="1623" t="s">
        <v>10031</v>
      </c>
      <c r="AQ78" s="1623" t="s">
        <v>1004</v>
      </c>
      <c r="AR78" s="1623" t="s">
        <v>8442</v>
      </c>
      <c r="AS78" s="1623" t="s">
        <v>9520</v>
      </c>
      <c r="AT78" s="1623" t="s">
        <v>10032</v>
      </c>
      <c r="AU78" s="1623" t="s">
        <v>10033</v>
      </c>
      <c r="AV78" s="1623" t="str">
        <f t="shared" si="2"/>
        <v>2:58</v>
      </c>
      <c r="AW78" s="1628" t="s">
        <v>10034</v>
      </c>
    </row>
    <row r="79" ht="15.75" customHeight="1">
      <c r="A79" s="1455" t="s">
        <v>6334</v>
      </c>
      <c r="B79" s="1515" t="s">
        <v>8401</v>
      </c>
      <c r="C79" s="1589">
        <v>0.05207175925925926</v>
      </c>
      <c r="D79" s="1270" t="s">
        <v>10035</v>
      </c>
      <c r="E79" s="1623" t="s">
        <v>10036</v>
      </c>
      <c r="F79" s="1623" t="s">
        <v>10037</v>
      </c>
      <c r="G79" s="1623" t="s">
        <v>10038</v>
      </c>
      <c r="H79" s="1623" t="s">
        <v>8842</v>
      </c>
      <c r="I79" s="1623" t="s">
        <v>4856</v>
      </c>
      <c r="J79" s="1623" t="s">
        <v>9002</v>
      </c>
      <c r="K79" s="1623" t="s">
        <v>9639</v>
      </c>
      <c r="L79" s="1623" t="s">
        <v>10039</v>
      </c>
      <c r="M79" s="1623" t="s">
        <v>2686</v>
      </c>
      <c r="N79" s="1623" t="s">
        <v>10040</v>
      </c>
      <c r="O79" s="1623" t="s">
        <v>10041</v>
      </c>
      <c r="P79" s="1623" t="s">
        <v>764</v>
      </c>
      <c r="Q79" s="1623" t="s">
        <v>10042</v>
      </c>
      <c r="R79" s="1623" t="s">
        <v>4874</v>
      </c>
      <c r="S79" s="1623" t="s">
        <v>5895</v>
      </c>
      <c r="T79" s="1623" t="s">
        <v>5698</v>
      </c>
      <c r="U79" s="1623" t="s">
        <v>10043</v>
      </c>
      <c r="V79" s="1623" t="s">
        <v>2444</v>
      </c>
      <c r="W79" s="1623" t="s">
        <v>8446</v>
      </c>
      <c r="X79" s="1623" t="s">
        <v>10044</v>
      </c>
      <c r="Y79" s="1623" t="s">
        <v>1318</v>
      </c>
      <c r="Z79" s="1623" t="s">
        <v>7199</v>
      </c>
      <c r="AA79" s="1623" t="s">
        <v>1484</v>
      </c>
      <c r="AB79" s="1623" t="s">
        <v>10045</v>
      </c>
      <c r="AC79" s="1623" t="s">
        <v>238</v>
      </c>
      <c r="AD79" s="1623" t="s">
        <v>10046</v>
      </c>
      <c r="AE79" s="1623" t="s">
        <v>6025</v>
      </c>
      <c r="AF79" s="1623" t="s">
        <v>10047</v>
      </c>
      <c r="AG79" s="1623" t="s">
        <v>9444</v>
      </c>
      <c r="AH79" s="1623" t="s">
        <v>6958</v>
      </c>
      <c r="AI79" s="1623" t="s">
        <v>9801</v>
      </c>
      <c r="AJ79" s="1623" t="s">
        <v>10048</v>
      </c>
      <c r="AK79" s="1623" t="s">
        <v>10049</v>
      </c>
      <c r="AL79" s="1623" t="s">
        <v>4278</v>
      </c>
      <c r="AM79" s="1623" t="s">
        <v>9557</v>
      </c>
      <c r="AN79" s="1623" t="s">
        <v>3833</v>
      </c>
      <c r="AO79" s="1623" t="s">
        <v>4200</v>
      </c>
      <c r="AP79" s="1623" t="s">
        <v>9294</v>
      </c>
      <c r="AQ79" s="1623" t="s">
        <v>10050</v>
      </c>
      <c r="AR79" s="1623" t="s">
        <v>1483</v>
      </c>
      <c r="AS79" s="1623" t="s">
        <v>5990</v>
      </c>
      <c r="AT79" s="1623" t="s">
        <v>7519</v>
      </c>
      <c r="AU79" s="1623" t="s">
        <v>10051</v>
      </c>
      <c r="AV79" s="1623" t="str">
        <f t="shared" si="2"/>
        <v>3:10</v>
      </c>
      <c r="AW79" s="1628" t="s">
        <v>10052</v>
      </c>
    </row>
    <row r="80">
      <c r="A80" s="1632" t="s">
        <v>3917</v>
      </c>
      <c r="B80" s="1613" t="s">
        <v>8425</v>
      </c>
      <c r="C80" s="1638">
        <v>0.052141203703703703</v>
      </c>
      <c r="D80" s="1270" t="s">
        <v>10053</v>
      </c>
      <c r="E80" s="1506" t="s">
        <v>2919</v>
      </c>
      <c r="F80" s="1506" t="s">
        <v>10054</v>
      </c>
      <c r="G80" s="1531" t="s">
        <v>10055</v>
      </c>
      <c r="H80" s="1531" t="s">
        <v>10056</v>
      </c>
      <c r="I80" s="1531" t="s">
        <v>2369</v>
      </c>
      <c r="J80" s="1531" t="s">
        <v>6794</v>
      </c>
      <c r="K80" s="1639" t="s">
        <v>6052</v>
      </c>
      <c r="L80" s="1640" t="s">
        <v>6955</v>
      </c>
      <c r="M80" s="1531" t="s">
        <v>10057</v>
      </c>
      <c r="N80" s="1531" t="s">
        <v>5698</v>
      </c>
      <c r="O80" s="1531" t="s">
        <v>5493</v>
      </c>
      <c r="P80" s="1531" t="s">
        <v>1916</v>
      </c>
      <c r="Q80" s="1531" t="s">
        <v>10058</v>
      </c>
      <c r="R80" s="1531" t="s">
        <v>10059</v>
      </c>
      <c r="S80" s="1641" t="s">
        <v>2255</v>
      </c>
      <c r="T80" s="1531" t="s">
        <v>8832</v>
      </c>
      <c r="U80" s="1531" t="s">
        <v>3363</v>
      </c>
      <c r="V80" s="1531" t="s">
        <v>10060</v>
      </c>
      <c r="W80" s="1531" t="s">
        <v>10061</v>
      </c>
      <c r="X80" s="1531" t="s">
        <v>4459</v>
      </c>
      <c r="Y80" s="1531" t="s">
        <v>3541</v>
      </c>
      <c r="Z80" s="1531" t="s">
        <v>4170</v>
      </c>
      <c r="AA80" s="1531" t="s">
        <v>401</v>
      </c>
      <c r="AB80" s="1531" t="s">
        <v>622</v>
      </c>
      <c r="AC80" s="1531" t="s">
        <v>6025</v>
      </c>
      <c r="AD80" s="1459" t="s">
        <v>8760</v>
      </c>
      <c r="AE80" s="1531" t="s">
        <v>477</v>
      </c>
      <c r="AF80" s="1531" t="s">
        <v>10062</v>
      </c>
      <c r="AG80" s="1531" t="s">
        <v>10063</v>
      </c>
      <c r="AH80" s="1531" t="s">
        <v>4530</v>
      </c>
      <c r="AI80" s="1531" t="s">
        <v>10064</v>
      </c>
      <c r="AJ80" s="1531" t="s">
        <v>10065</v>
      </c>
      <c r="AK80" s="1531" t="s">
        <v>10066</v>
      </c>
      <c r="AL80" s="1531" t="s">
        <v>4981</v>
      </c>
      <c r="AM80" s="1531" t="s">
        <v>9681</v>
      </c>
      <c r="AN80" s="1531" t="s">
        <v>4363</v>
      </c>
      <c r="AO80" s="1531" t="s">
        <v>8741</v>
      </c>
      <c r="AP80" s="1531" t="s">
        <v>10067</v>
      </c>
      <c r="AQ80" s="1639" t="s">
        <v>8456</v>
      </c>
      <c r="AR80" s="1531" t="s">
        <v>10068</v>
      </c>
      <c r="AS80" s="1637" t="s">
        <v>753</v>
      </c>
      <c r="AT80" s="1531" t="s">
        <v>10069</v>
      </c>
      <c r="AU80" s="1494" t="s">
        <v>10070</v>
      </c>
      <c r="AV80" s="1494" t="s">
        <v>10071</v>
      </c>
      <c r="AW80" s="1642" t="s">
        <v>10072</v>
      </c>
    </row>
    <row r="81">
      <c r="A81" s="1502" t="s">
        <v>3858</v>
      </c>
      <c r="B81" s="1500" t="s">
        <v>8373</v>
      </c>
      <c r="C81" s="1457">
        <v>0.0522337962962963</v>
      </c>
      <c r="D81" s="1599" t="s">
        <v>10073</v>
      </c>
      <c r="E81" s="1535" t="s">
        <v>10074</v>
      </c>
      <c r="F81" s="1535" t="s">
        <v>10075</v>
      </c>
      <c r="G81" s="1535" t="s">
        <v>10076</v>
      </c>
      <c r="H81" s="1535" t="s">
        <v>10077</v>
      </c>
      <c r="I81" s="1535" t="s">
        <v>141</v>
      </c>
      <c r="J81" s="1535" t="s">
        <v>8067</v>
      </c>
      <c r="K81" s="1535" t="s">
        <v>4435</v>
      </c>
      <c r="L81" s="1535" t="s">
        <v>6065</v>
      </c>
      <c r="M81" s="1535" t="s">
        <v>10078</v>
      </c>
      <c r="N81" s="1535" t="s">
        <v>10079</v>
      </c>
      <c r="O81" s="1535" t="s">
        <v>10080</v>
      </c>
      <c r="P81" s="1535" t="s">
        <v>5119</v>
      </c>
      <c r="Q81" s="1535" t="s">
        <v>4821</v>
      </c>
      <c r="R81" s="1535" t="s">
        <v>6050</v>
      </c>
      <c r="S81" s="1535" t="s">
        <v>604</v>
      </c>
      <c r="T81" s="1535" t="s">
        <v>9847</v>
      </c>
      <c r="U81" s="1535" t="s">
        <v>8787</v>
      </c>
      <c r="V81" s="1535" t="s">
        <v>10081</v>
      </c>
      <c r="W81" s="1535" t="s">
        <v>10082</v>
      </c>
      <c r="X81" s="1535" t="s">
        <v>3624</v>
      </c>
      <c r="Y81" s="1535" t="s">
        <v>758</v>
      </c>
      <c r="Z81" s="1535" t="s">
        <v>10083</v>
      </c>
      <c r="AA81" s="1270" t="s">
        <v>8968</v>
      </c>
      <c r="AB81" s="1535" t="s">
        <v>6902</v>
      </c>
      <c r="AC81" s="1535" t="s">
        <v>9825</v>
      </c>
      <c r="AD81" s="1535" t="s">
        <v>7368</v>
      </c>
      <c r="AE81" s="1535" t="s">
        <v>4878</v>
      </c>
      <c r="AF81" s="1466" t="s">
        <v>10084</v>
      </c>
      <c r="AG81" s="1535" t="s">
        <v>10085</v>
      </c>
      <c r="AH81" s="1535" t="s">
        <v>5039</v>
      </c>
      <c r="AI81" s="1535" t="s">
        <v>6525</v>
      </c>
      <c r="AJ81" s="1535" t="s">
        <v>10086</v>
      </c>
      <c r="AK81" s="1535" t="s">
        <v>10087</v>
      </c>
      <c r="AL81" s="1535" t="s">
        <v>9761</v>
      </c>
      <c r="AM81" s="1535" t="s">
        <v>10088</v>
      </c>
      <c r="AN81" s="1535" t="s">
        <v>1081</v>
      </c>
      <c r="AO81" s="1535" t="s">
        <v>10089</v>
      </c>
      <c r="AP81" s="1535" t="s">
        <v>5542</v>
      </c>
      <c r="AQ81" s="1535" t="s">
        <v>10090</v>
      </c>
      <c r="AR81" s="1535" t="s">
        <v>688</v>
      </c>
      <c r="AS81" s="1466" t="s">
        <v>2824</v>
      </c>
      <c r="AT81" s="1535" t="s">
        <v>10091</v>
      </c>
      <c r="AU81" s="1535" t="s">
        <v>10092</v>
      </c>
      <c r="AV81" s="1623" t="str">
        <f t="shared" ref="AV81:AV99" si="3">TEXT(AU81-C81,"m:ss")</f>
        <v>4:32</v>
      </c>
      <c r="AW81" s="1624" t="s">
        <v>10093</v>
      </c>
    </row>
    <row r="82">
      <c r="A82" s="1502" t="s">
        <v>5150</v>
      </c>
      <c r="B82" s="1496" t="s">
        <v>8401</v>
      </c>
      <c r="C82" s="1457">
        <v>0.05232638888888889</v>
      </c>
      <c r="D82" s="1599" t="s">
        <v>10094</v>
      </c>
      <c r="E82" s="1535" t="s">
        <v>1230</v>
      </c>
      <c r="F82" s="1535" t="s">
        <v>10095</v>
      </c>
      <c r="G82" s="1535" t="s">
        <v>10096</v>
      </c>
      <c r="H82" s="1535" t="s">
        <v>10097</v>
      </c>
      <c r="I82" s="1535" t="s">
        <v>1259</v>
      </c>
      <c r="J82" s="1535" t="s">
        <v>7651</v>
      </c>
      <c r="K82" s="1535" t="s">
        <v>9650</v>
      </c>
      <c r="L82" s="1535" t="s">
        <v>10098</v>
      </c>
      <c r="M82" s="1535" t="s">
        <v>7396</v>
      </c>
      <c r="N82" s="1535" t="s">
        <v>10099</v>
      </c>
      <c r="O82" s="1535" t="s">
        <v>10100</v>
      </c>
      <c r="P82" s="1535" t="s">
        <v>517</v>
      </c>
      <c r="Q82" s="1535" t="s">
        <v>9485</v>
      </c>
      <c r="R82" s="1535" t="s">
        <v>5302</v>
      </c>
      <c r="S82" s="1535" t="s">
        <v>9302</v>
      </c>
      <c r="T82" s="1535" t="s">
        <v>10101</v>
      </c>
      <c r="U82" s="1535" t="s">
        <v>10102</v>
      </c>
      <c r="V82" s="1535" t="s">
        <v>10103</v>
      </c>
      <c r="W82" s="1535" t="s">
        <v>6135</v>
      </c>
      <c r="X82" s="1535" t="s">
        <v>311</v>
      </c>
      <c r="Y82" s="1535" t="s">
        <v>6376</v>
      </c>
      <c r="Z82" s="1535" t="s">
        <v>781</v>
      </c>
      <c r="AA82" s="1623" t="s">
        <v>9302</v>
      </c>
      <c r="AB82" s="1535" t="s">
        <v>10104</v>
      </c>
      <c r="AC82" s="1535" t="s">
        <v>6045</v>
      </c>
      <c r="AD82" s="1535" t="s">
        <v>10105</v>
      </c>
      <c r="AE82" s="1535" t="s">
        <v>223</v>
      </c>
      <c r="AF82" s="1535" t="s">
        <v>7985</v>
      </c>
      <c r="AG82" s="1535" t="s">
        <v>3106</v>
      </c>
      <c r="AH82" s="1535" t="s">
        <v>1808</v>
      </c>
      <c r="AI82" s="1535" t="s">
        <v>420</v>
      </c>
      <c r="AJ82" s="1535" t="s">
        <v>10106</v>
      </c>
      <c r="AK82" s="1535" t="s">
        <v>10107</v>
      </c>
      <c r="AL82" s="1535" t="s">
        <v>9803</v>
      </c>
      <c r="AM82" s="1535" t="s">
        <v>2808</v>
      </c>
      <c r="AN82" s="1535" t="s">
        <v>5833</v>
      </c>
      <c r="AO82" s="1535" t="s">
        <v>3575</v>
      </c>
      <c r="AP82" s="1535" t="s">
        <v>10108</v>
      </c>
      <c r="AQ82" s="1535" t="s">
        <v>7395</v>
      </c>
      <c r="AR82" s="1535" t="s">
        <v>6044</v>
      </c>
      <c r="AS82" s="1535" t="s">
        <v>10109</v>
      </c>
      <c r="AT82" s="1535" t="s">
        <v>10110</v>
      </c>
      <c r="AU82" s="1535" t="s">
        <v>10111</v>
      </c>
      <c r="AV82" s="1623" t="str">
        <f t="shared" si="3"/>
        <v>3:48</v>
      </c>
      <c r="AW82" s="1628"/>
    </row>
    <row r="83" ht="15.75" customHeight="1">
      <c r="A83" s="1455" t="s">
        <v>10112</v>
      </c>
      <c r="B83" s="1456" t="s">
        <v>8373</v>
      </c>
      <c r="C83" s="1589">
        <v>0.05240740740740741</v>
      </c>
      <c r="D83" s="1270" t="s">
        <v>10113</v>
      </c>
      <c r="E83" s="1623" t="s">
        <v>1656</v>
      </c>
      <c r="F83" s="1623" t="s">
        <v>7666</v>
      </c>
      <c r="G83" s="1623" t="s">
        <v>9783</v>
      </c>
      <c r="H83" s="1623" t="s">
        <v>10114</v>
      </c>
      <c r="I83" s="1623" t="s">
        <v>10115</v>
      </c>
      <c r="J83" s="1623" t="s">
        <v>10116</v>
      </c>
      <c r="K83" s="1623" t="s">
        <v>10117</v>
      </c>
      <c r="L83" s="1623" t="s">
        <v>4464</v>
      </c>
      <c r="M83" s="1623" t="s">
        <v>3167</v>
      </c>
      <c r="N83" s="1623" t="s">
        <v>4765</v>
      </c>
      <c r="O83" s="1623" t="s">
        <v>10118</v>
      </c>
      <c r="P83" s="1623" t="s">
        <v>10119</v>
      </c>
      <c r="Q83" s="1623" t="s">
        <v>4211</v>
      </c>
      <c r="R83" s="1623" t="s">
        <v>2229</v>
      </c>
      <c r="S83" s="1623" t="s">
        <v>9559</v>
      </c>
      <c r="T83" s="1623" t="s">
        <v>5040</v>
      </c>
      <c r="U83" s="1623" t="s">
        <v>10120</v>
      </c>
      <c r="V83" s="1623" t="s">
        <v>10121</v>
      </c>
      <c r="W83" s="1623" t="s">
        <v>10122</v>
      </c>
      <c r="X83" s="1623" t="s">
        <v>10123</v>
      </c>
      <c r="Y83" s="1623" t="s">
        <v>6280</v>
      </c>
      <c r="Z83" s="1623" t="s">
        <v>9982</v>
      </c>
      <c r="AA83" s="1623" t="s">
        <v>1935</v>
      </c>
      <c r="AB83" s="1623" t="s">
        <v>10124</v>
      </c>
      <c r="AC83" s="1623" t="s">
        <v>1538</v>
      </c>
      <c r="AD83" s="1623" t="s">
        <v>10125</v>
      </c>
      <c r="AE83" s="1623" t="s">
        <v>1538</v>
      </c>
      <c r="AF83" s="1623" t="s">
        <v>10126</v>
      </c>
      <c r="AG83" s="1623" t="s">
        <v>9717</v>
      </c>
      <c r="AH83" s="1623" t="s">
        <v>2102</v>
      </c>
      <c r="AI83" s="1623" t="s">
        <v>3148</v>
      </c>
      <c r="AJ83" s="1623" t="s">
        <v>10127</v>
      </c>
      <c r="AK83" s="1623" t="s">
        <v>6903</v>
      </c>
      <c r="AL83" s="1623" t="s">
        <v>10128</v>
      </c>
      <c r="AM83" s="1623" t="s">
        <v>1190</v>
      </c>
      <c r="AN83" s="1623" t="s">
        <v>2920</v>
      </c>
      <c r="AO83" s="1623" t="s">
        <v>10129</v>
      </c>
      <c r="AP83" s="1623" t="s">
        <v>3513</v>
      </c>
      <c r="AQ83" s="1623" t="s">
        <v>10130</v>
      </c>
      <c r="AR83" s="1623" t="s">
        <v>10131</v>
      </c>
      <c r="AS83" s="1623" t="s">
        <v>9024</v>
      </c>
      <c r="AT83" s="1623" t="s">
        <v>9108</v>
      </c>
      <c r="AU83" s="1623" t="s">
        <v>10132</v>
      </c>
      <c r="AV83" s="1623" t="str">
        <f t="shared" si="3"/>
        <v>3:40</v>
      </c>
      <c r="AW83" s="1627" t="s">
        <v>10133</v>
      </c>
    </row>
    <row r="84" ht="15.75" customHeight="1">
      <c r="A84" s="1539" t="s">
        <v>10134</v>
      </c>
      <c r="B84" s="1456" t="s">
        <v>8373</v>
      </c>
      <c r="C84" s="1589">
        <v>0.05263888888888889</v>
      </c>
      <c r="D84" s="1270" t="s">
        <v>10135</v>
      </c>
      <c r="E84" s="1623" t="s">
        <v>9834</v>
      </c>
      <c r="F84" s="1623" t="s">
        <v>10136</v>
      </c>
      <c r="G84" s="1623" t="s">
        <v>10137</v>
      </c>
      <c r="H84" s="1623" t="s">
        <v>10138</v>
      </c>
      <c r="I84" s="1623" t="s">
        <v>10139</v>
      </c>
      <c r="J84" s="1623" t="s">
        <v>10140</v>
      </c>
      <c r="K84" s="1623" t="s">
        <v>4131</v>
      </c>
      <c r="L84" s="1623" t="s">
        <v>4204</v>
      </c>
      <c r="M84" s="1623" t="s">
        <v>9129</v>
      </c>
      <c r="N84" s="1623" t="s">
        <v>10141</v>
      </c>
      <c r="O84" s="1623" t="s">
        <v>8415</v>
      </c>
      <c r="P84" s="1623" t="s">
        <v>481</v>
      </c>
      <c r="Q84" s="1623" t="s">
        <v>10142</v>
      </c>
      <c r="R84" s="1623" t="s">
        <v>5490</v>
      </c>
      <c r="S84" s="1623" t="s">
        <v>1911</v>
      </c>
      <c r="T84" s="1623" t="s">
        <v>10143</v>
      </c>
      <c r="U84" s="1623" t="s">
        <v>10144</v>
      </c>
      <c r="V84" s="1623" t="s">
        <v>10145</v>
      </c>
      <c r="W84" s="1623" t="s">
        <v>10146</v>
      </c>
      <c r="X84" s="1623" t="s">
        <v>5645</v>
      </c>
      <c r="Y84" s="1623" t="s">
        <v>1538</v>
      </c>
      <c r="Z84" s="1623" t="s">
        <v>6364</v>
      </c>
      <c r="AA84" s="1535" t="s">
        <v>7580</v>
      </c>
      <c r="AB84" s="1623" t="s">
        <v>9022</v>
      </c>
      <c r="AC84" s="1623" t="s">
        <v>9842</v>
      </c>
      <c r="AD84" s="1623" t="s">
        <v>2957</v>
      </c>
      <c r="AE84" s="1623" t="s">
        <v>1073</v>
      </c>
      <c r="AF84" s="1623" t="s">
        <v>10147</v>
      </c>
      <c r="AG84" s="1623" t="s">
        <v>2710</v>
      </c>
      <c r="AH84" s="1623" t="s">
        <v>6520</v>
      </c>
      <c r="AI84" s="1623" t="s">
        <v>10148</v>
      </c>
      <c r="AJ84" s="1623" t="s">
        <v>10149</v>
      </c>
      <c r="AK84" s="1623" t="s">
        <v>9440</v>
      </c>
      <c r="AL84" s="1623" t="s">
        <v>10150</v>
      </c>
      <c r="AM84" s="1623" t="s">
        <v>10151</v>
      </c>
      <c r="AN84" s="1623" t="s">
        <v>3832</v>
      </c>
      <c r="AO84" s="1623" t="s">
        <v>8741</v>
      </c>
      <c r="AP84" s="1623" t="s">
        <v>10152</v>
      </c>
      <c r="AQ84" s="1623" t="s">
        <v>10153</v>
      </c>
      <c r="AR84" s="1623" t="s">
        <v>154</v>
      </c>
      <c r="AS84" s="1623" t="s">
        <v>1091</v>
      </c>
      <c r="AT84" s="1623" t="s">
        <v>10154</v>
      </c>
      <c r="AU84" s="1623" t="s">
        <v>10155</v>
      </c>
      <c r="AV84" s="1623" t="str">
        <f t="shared" si="3"/>
        <v>4:28</v>
      </c>
      <c r="AW84" s="1627" t="s">
        <v>10156</v>
      </c>
    </row>
    <row r="85">
      <c r="A85" s="1502" t="s">
        <v>3477</v>
      </c>
      <c r="B85" s="1600" t="s">
        <v>8425</v>
      </c>
      <c r="C85" s="1457">
        <v>0.052662037037037035</v>
      </c>
      <c r="D85" s="1270" t="s">
        <v>10157</v>
      </c>
      <c r="E85" s="1270" t="s">
        <v>529</v>
      </c>
      <c r="F85" s="1270" t="s">
        <v>10158</v>
      </c>
      <c r="G85" s="1270" t="s">
        <v>10159</v>
      </c>
      <c r="H85" s="1270" t="s">
        <v>8617</v>
      </c>
      <c r="I85" s="1270" t="s">
        <v>10160</v>
      </c>
      <c r="J85" s="1270" t="s">
        <v>156</v>
      </c>
      <c r="K85" s="1270" t="s">
        <v>10161</v>
      </c>
      <c r="L85" s="1270" t="s">
        <v>2703</v>
      </c>
      <c r="M85" s="1270" t="s">
        <v>268</v>
      </c>
      <c r="N85" s="1270" t="s">
        <v>8897</v>
      </c>
      <c r="O85" s="1270" t="s">
        <v>10162</v>
      </c>
      <c r="P85" s="1270" t="s">
        <v>2060</v>
      </c>
      <c r="Q85" s="1270" t="s">
        <v>3420</v>
      </c>
      <c r="R85" s="1270" t="s">
        <v>10163</v>
      </c>
      <c r="S85" s="1270" t="s">
        <v>10164</v>
      </c>
      <c r="T85" s="1270" t="s">
        <v>10165</v>
      </c>
      <c r="U85" s="1270" t="s">
        <v>10166</v>
      </c>
      <c r="V85" s="1270" t="s">
        <v>10167</v>
      </c>
      <c r="W85" s="1270" t="s">
        <v>10168</v>
      </c>
      <c r="X85" s="1270" t="s">
        <v>2674</v>
      </c>
      <c r="Y85" s="1270" t="s">
        <v>2839</v>
      </c>
      <c r="Z85" s="1270" t="s">
        <v>6141</v>
      </c>
      <c r="AA85" s="1535" t="s">
        <v>10169</v>
      </c>
      <c r="AB85" s="1270" t="s">
        <v>10170</v>
      </c>
      <c r="AC85" s="1270" t="s">
        <v>6375</v>
      </c>
      <c r="AD85" s="1643" t="s">
        <v>8446</v>
      </c>
      <c r="AE85" s="1270" t="s">
        <v>335</v>
      </c>
      <c r="AF85" s="1270" t="s">
        <v>10171</v>
      </c>
      <c r="AG85" s="1270" t="s">
        <v>7316</v>
      </c>
      <c r="AH85" s="1270" t="s">
        <v>3664</v>
      </c>
      <c r="AI85" s="1270" t="s">
        <v>10172</v>
      </c>
      <c r="AJ85" s="1270" t="s">
        <v>10173</v>
      </c>
      <c r="AK85" s="1270" t="s">
        <v>10174</v>
      </c>
      <c r="AL85" s="1270" t="s">
        <v>4601</v>
      </c>
      <c r="AM85" s="1270" t="s">
        <v>5611</v>
      </c>
      <c r="AN85" s="1643" t="s">
        <v>8453</v>
      </c>
      <c r="AO85" s="1270" t="s">
        <v>10175</v>
      </c>
      <c r="AP85" s="1270" t="s">
        <v>10176</v>
      </c>
      <c r="AQ85" s="1270" t="s">
        <v>10177</v>
      </c>
      <c r="AR85" s="1270" t="s">
        <v>5864</v>
      </c>
      <c r="AS85" s="1270" t="s">
        <v>6842</v>
      </c>
      <c r="AT85" s="1270" t="s">
        <v>10178</v>
      </c>
      <c r="AU85" s="1644" t="s">
        <v>10179</v>
      </c>
      <c r="AV85" s="1623" t="str">
        <f t="shared" si="3"/>
        <v>4:43</v>
      </c>
      <c r="AW85" s="1631" t="s">
        <v>10180</v>
      </c>
    </row>
    <row r="86" ht="15.75" customHeight="1">
      <c r="A86" s="1502" t="s">
        <v>10181</v>
      </c>
      <c r="B86" s="1496" t="s">
        <v>8373</v>
      </c>
      <c r="C86" s="1457">
        <v>0.05267361111111111</v>
      </c>
      <c r="D86" s="1599" t="s">
        <v>9523</v>
      </c>
      <c r="E86" s="1535" t="s">
        <v>862</v>
      </c>
      <c r="F86" s="1535" t="s">
        <v>7341</v>
      </c>
      <c r="G86" s="1535" t="s">
        <v>10182</v>
      </c>
      <c r="H86" s="1535" t="s">
        <v>10183</v>
      </c>
      <c r="I86" s="1535" t="s">
        <v>5535</v>
      </c>
      <c r="J86" s="1270" t="s">
        <v>10184</v>
      </c>
      <c r="K86" s="1535" t="s">
        <v>10185</v>
      </c>
      <c r="L86" s="1535" t="s">
        <v>3664</v>
      </c>
      <c r="M86" s="1535" t="s">
        <v>7298</v>
      </c>
      <c r="N86" s="1535" t="s">
        <v>10186</v>
      </c>
      <c r="O86" s="1535" t="s">
        <v>10187</v>
      </c>
      <c r="P86" s="1535" t="s">
        <v>9489</v>
      </c>
      <c r="Q86" s="1535" t="s">
        <v>10188</v>
      </c>
      <c r="R86" s="1535" t="s">
        <v>5552</v>
      </c>
      <c r="S86" s="1535" t="s">
        <v>7334</v>
      </c>
      <c r="T86" s="1535" t="s">
        <v>10189</v>
      </c>
      <c r="U86" s="1535" t="s">
        <v>10190</v>
      </c>
      <c r="V86" s="1535" t="s">
        <v>3937</v>
      </c>
      <c r="W86" s="1535" t="s">
        <v>10191</v>
      </c>
      <c r="X86" s="1535" t="s">
        <v>2438</v>
      </c>
      <c r="Y86" s="1535" t="s">
        <v>9091</v>
      </c>
      <c r="Z86" s="1535" t="s">
        <v>8567</v>
      </c>
      <c r="AA86" s="1535" t="s">
        <v>10192</v>
      </c>
      <c r="AB86" s="1535" t="s">
        <v>9709</v>
      </c>
      <c r="AC86" s="1535" t="s">
        <v>8939</v>
      </c>
      <c r="AD86" s="1535" t="s">
        <v>10193</v>
      </c>
      <c r="AE86" s="1535" t="s">
        <v>2408</v>
      </c>
      <c r="AF86" s="1535" t="s">
        <v>10194</v>
      </c>
      <c r="AG86" s="1535" t="s">
        <v>10195</v>
      </c>
      <c r="AH86" s="1535" t="s">
        <v>4204</v>
      </c>
      <c r="AI86" s="1535" t="s">
        <v>10196</v>
      </c>
      <c r="AJ86" s="1535" t="s">
        <v>10197</v>
      </c>
      <c r="AK86" s="1535" t="s">
        <v>1687</v>
      </c>
      <c r="AL86" s="1535" t="s">
        <v>2599</v>
      </c>
      <c r="AM86" s="1535" t="s">
        <v>1687</v>
      </c>
      <c r="AN86" s="1535" t="s">
        <v>2599</v>
      </c>
      <c r="AO86" s="1535" t="s">
        <v>5963</v>
      </c>
      <c r="AP86" s="1535" t="s">
        <v>10198</v>
      </c>
      <c r="AQ86" s="1535" t="s">
        <v>2157</v>
      </c>
      <c r="AR86" s="1535" t="s">
        <v>10007</v>
      </c>
      <c r="AS86" s="1535" t="s">
        <v>10199</v>
      </c>
      <c r="AT86" s="1535" t="s">
        <v>10200</v>
      </c>
      <c r="AU86" s="1535" t="s">
        <v>10201</v>
      </c>
      <c r="AV86" s="1623" t="str">
        <f t="shared" si="3"/>
        <v>5:58</v>
      </c>
      <c r="AW86" s="1624" t="s">
        <v>10202</v>
      </c>
    </row>
    <row r="87" ht="15.75" customHeight="1">
      <c r="A87" s="1455" t="s">
        <v>5884</v>
      </c>
      <c r="B87" s="1515" t="s">
        <v>8401</v>
      </c>
      <c r="C87" s="1589">
        <v>0.05275462962962963</v>
      </c>
      <c r="D87" s="1270" t="s">
        <v>10203</v>
      </c>
      <c r="E87" s="1623" t="s">
        <v>9546</v>
      </c>
      <c r="F87" s="1623" t="s">
        <v>10204</v>
      </c>
      <c r="G87" s="1623" t="s">
        <v>8602</v>
      </c>
      <c r="H87" s="1623" t="s">
        <v>7171</v>
      </c>
      <c r="I87" s="1623" t="s">
        <v>2271</v>
      </c>
      <c r="J87" s="1623" t="s">
        <v>4147</v>
      </c>
      <c r="K87" s="1623" t="s">
        <v>9862</v>
      </c>
      <c r="L87" s="1623" t="s">
        <v>5220</v>
      </c>
      <c r="M87" s="1623" t="s">
        <v>4130</v>
      </c>
      <c r="N87" s="1623" t="s">
        <v>10205</v>
      </c>
      <c r="O87" s="1623" t="s">
        <v>10206</v>
      </c>
      <c r="P87" s="1623" t="s">
        <v>6111</v>
      </c>
      <c r="Q87" s="1623" t="s">
        <v>10207</v>
      </c>
      <c r="R87" s="1623" t="s">
        <v>10208</v>
      </c>
      <c r="S87" s="1623" t="s">
        <v>8391</v>
      </c>
      <c r="T87" s="1623" t="s">
        <v>2604</v>
      </c>
      <c r="U87" s="1623" t="s">
        <v>496</v>
      </c>
      <c r="V87" s="1623" t="s">
        <v>4098</v>
      </c>
      <c r="W87" s="1623" t="s">
        <v>10209</v>
      </c>
      <c r="X87" s="1623" t="s">
        <v>10210</v>
      </c>
      <c r="Y87" s="1623" t="s">
        <v>5630</v>
      </c>
      <c r="Z87" s="1623" t="s">
        <v>8690</v>
      </c>
      <c r="AA87" s="1623" t="s">
        <v>10211</v>
      </c>
      <c r="AB87" s="1623" t="s">
        <v>489</v>
      </c>
      <c r="AC87" s="1623" t="s">
        <v>9736</v>
      </c>
      <c r="AD87" s="1623" t="s">
        <v>10212</v>
      </c>
      <c r="AE87" s="1623" t="s">
        <v>10213</v>
      </c>
      <c r="AF87" s="1623" t="s">
        <v>9261</v>
      </c>
      <c r="AG87" s="1623" t="s">
        <v>3115</v>
      </c>
      <c r="AH87" s="1623" t="s">
        <v>721</v>
      </c>
      <c r="AI87" s="1623" t="s">
        <v>5248</v>
      </c>
      <c r="AJ87" s="1623" t="s">
        <v>10214</v>
      </c>
      <c r="AK87" s="1623" t="s">
        <v>8815</v>
      </c>
      <c r="AL87" s="1623" t="s">
        <v>5312</v>
      </c>
      <c r="AM87" s="1623" t="s">
        <v>3103</v>
      </c>
      <c r="AN87" s="1623" t="s">
        <v>6246</v>
      </c>
      <c r="AO87" s="1623" t="s">
        <v>10215</v>
      </c>
      <c r="AP87" s="1623" t="s">
        <v>10216</v>
      </c>
      <c r="AQ87" s="1623" t="s">
        <v>10217</v>
      </c>
      <c r="AR87" s="1623" t="s">
        <v>9797</v>
      </c>
      <c r="AS87" s="1623" t="s">
        <v>8702</v>
      </c>
      <c r="AT87" s="1623" t="s">
        <v>10218</v>
      </c>
      <c r="AU87" s="1623" t="s">
        <v>10219</v>
      </c>
      <c r="AV87" s="1623" t="str">
        <f t="shared" si="3"/>
        <v>3:59</v>
      </c>
      <c r="AW87" s="1628" t="s">
        <v>10220</v>
      </c>
    </row>
    <row r="88" ht="15.75" customHeight="1">
      <c r="A88" s="1539" t="s">
        <v>10221</v>
      </c>
      <c r="B88" s="1613" t="s">
        <v>8425</v>
      </c>
      <c r="C88" s="1589">
        <v>0.05291666666666667</v>
      </c>
      <c r="D88" s="1270" t="s">
        <v>10222</v>
      </c>
      <c r="E88" s="1623" t="s">
        <v>10223</v>
      </c>
      <c r="F88" s="1623" t="s">
        <v>5754</v>
      </c>
      <c r="G88" s="1623" t="s">
        <v>9402</v>
      </c>
      <c r="H88" s="1623" t="s">
        <v>9729</v>
      </c>
      <c r="I88" s="1623" t="s">
        <v>2889</v>
      </c>
      <c r="J88" s="1623" t="s">
        <v>10224</v>
      </c>
      <c r="K88" s="1623" t="s">
        <v>5376</v>
      </c>
      <c r="L88" s="1623" t="s">
        <v>7637</v>
      </c>
      <c r="M88" s="1623" t="s">
        <v>10225</v>
      </c>
      <c r="N88" s="1623" t="s">
        <v>10226</v>
      </c>
      <c r="O88" s="1623" t="s">
        <v>10227</v>
      </c>
      <c r="P88" s="1623" t="s">
        <v>9596</v>
      </c>
      <c r="Q88" s="1623" t="s">
        <v>10228</v>
      </c>
      <c r="R88" s="1623" t="s">
        <v>9486</v>
      </c>
      <c r="S88" s="1623" t="s">
        <v>4540</v>
      </c>
      <c r="T88" s="1623" t="s">
        <v>8601</v>
      </c>
      <c r="U88" s="1623" t="s">
        <v>5382</v>
      </c>
      <c r="V88" s="1623" t="s">
        <v>1149</v>
      </c>
      <c r="W88" s="1623" t="s">
        <v>1898</v>
      </c>
      <c r="X88" s="1623" t="s">
        <v>3142</v>
      </c>
      <c r="Y88" s="1623" t="s">
        <v>655</v>
      </c>
      <c r="Z88" s="1623" t="s">
        <v>10229</v>
      </c>
      <c r="AA88" s="1535" t="s">
        <v>7570</v>
      </c>
      <c r="AB88" s="1623" t="s">
        <v>3528</v>
      </c>
      <c r="AC88" s="1623" t="s">
        <v>2385</v>
      </c>
      <c r="AD88" s="1623" t="s">
        <v>10230</v>
      </c>
      <c r="AE88" s="1623" t="s">
        <v>10231</v>
      </c>
      <c r="AF88" s="1623" t="s">
        <v>10232</v>
      </c>
      <c r="AG88" s="1623" t="s">
        <v>10233</v>
      </c>
      <c r="AH88" s="1623" t="s">
        <v>10234</v>
      </c>
      <c r="AI88" s="1623" t="s">
        <v>10235</v>
      </c>
      <c r="AJ88" s="1623" t="s">
        <v>10236</v>
      </c>
      <c r="AK88" s="1623" t="s">
        <v>10237</v>
      </c>
      <c r="AL88" s="1623" t="s">
        <v>1659</v>
      </c>
      <c r="AM88" s="1623" t="s">
        <v>3265</v>
      </c>
      <c r="AN88" s="1623" t="s">
        <v>10238</v>
      </c>
      <c r="AO88" s="1623" t="s">
        <v>10239</v>
      </c>
      <c r="AP88" s="1623" t="s">
        <v>3100</v>
      </c>
      <c r="AQ88" s="1623" t="s">
        <v>10240</v>
      </c>
      <c r="AR88" s="1623" t="s">
        <v>10143</v>
      </c>
      <c r="AS88" s="1623" t="s">
        <v>4286</v>
      </c>
      <c r="AT88" s="1623" t="s">
        <v>10241</v>
      </c>
      <c r="AU88" s="1623" t="s">
        <v>10242</v>
      </c>
      <c r="AV88" s="1623" t="str">
        <f t="shared" si="3"/>
        <v>2:38</v>
      </c>
      <c r="AW88" s="1628"/>
    </row>
    <row r="89" ht="15.75" customHeight="1">
      <c r="A89" s="1502" t="s">
        <v>6176</v>
      </c>
      <c r="B89" s="1500" t="s">
        <v>8373</v>
      </c>
      <c r="C89" s="1457">
        <v>0.05324074074074074</v>
      </c>
      <c r="D89" s="1270" t="s">
        <v>10243</v>
      </c>
      <c r="E89" s="1270" t="s">
        <v>10244</v>
      </c>
      <c r="F89" s="1270" t="s">
        <v>10245</v>
      </c>
      <c r="G89" s="1270" t="s">
        <v>9135</v>
      </c>
      <c r="H89" s="1270" t="s">
        <v>10246</v>
      </c>
      <c r="I89" s="1270" t="s">
        <v>6025</v>
      </c>
      <c r="J89" s="1270" t="s">
        <v>1786</v>
      </c>
      <c r="K89" s="1270" t="s">
        <v>4323</v>
      </c>
      <c r="L89" s="1270" t="s">
        <v>10247</v>
      </c>
      <c r="M89" s="1270" t="s">
        <v>10248</v>
      </c>
      <c r="N89" s="1270" t="s">
        <v>10249</v>
      </c>
      <c r="O89" s="1270" t="s">
        <v>10250</v>
      </c>
      <c r="P89" s="1270" t="s">
        <v>10251</v>
      </c>
      <c r="Q89" s="1270" t="s">
        <v>10252</v>
      </c>
      <c r="R89" s="1270" t="s">
        <v>8388</v>
      </c>
      <c r="S89" s="1270" t="s">
        <v>10123</v>
      </c>
      <c r="T89" s="1270" t="s">
        <v>10253</v>
      </c>
      <c r="U89" s="1270" t="s">
        <v>10254</v>
      </c>
      <c r="V89" s="1270" t="s">
        <v>2724</v>
      </c>
      <c r="W89" s="1270" t="s">
        <v>10255</v>
      </c>
      <c r="X89" s="1270" t="s">
        <v>10256</v>
      </c>
      <c r="Y89" s="1270" t="s">
        <v>5535</v>
      </c>
      <c r="Z89" s="1270" t="s">
        <v>4064</v>
      </c>
      <c r="AA89" s="1535" t="s">
        <v>10257</v>
      </c>
      <c r="AB89" s="1270" t="s">
        <v>9529</v>
      </c>
      <c r="AC89" s="1270" t="s">
        <v>5489</v>
      </c>
      <c r="AD89" s="1270" t="s">
        <v>10258</v>
      </c>
      <c r="AE89" s="1270" t="s">
        <v>9337</v>
      </c>
      <c r="AF89" s="1270" t="s">
        <v>10259</v>
      </c>
      <c r="AG89" s="1270" t="s">
        <v>10063</v>
      </c>
      <c r="AH89" s="1270" t="s">
        <v>5613</v>
      </c>
      <c r="AI89" s="1270" t="s">
        <v>10260</v>
      </c>
      <c r="AJ89" s="1270" t="s">
        <v>10261</v>
      </c>
      <c r="AK89" s="1535" t="s">
        <v>10262</v>
      </c>
      <c r="AL89" s="1270" t="s">
        <v>9845</v>
      </c>
      <c r="AM89" s="1270" t="s">
        <v>10263</v>
      </c>
      <c r="AN89" s="1270" t="s">
        <v>9676</v>
      </c>
      <c r="AO89" s="1270" t="s">
        <v>4573</v>
      </c>
      <c r="AP89" s="1270" t="s">
        <v>10264</v>
      </c>
      <c r="AQ89" s="1270" t="s">
        <v>10265</v>
      </c>
      <c r="AR89" s="1535" t="s">
        <v>3663</v>
      </c>
      <c r="AS89" s="1270" t="s">
        <v>10266</v>
      </c>
      <c r="AT89" s="1270" t="s">
        <v>10267</v>
      </c>
      <c r="AU89" s="1535" t="s">
        <v>10179</v>
      </c>
      <c r="AV89" s="1623" t="str">
        <f t="shared" si="3"/>
        <v>3:53</v>
      </c>
      <c r="AW89" s="1624" t="s">
        <v>10268</v>
      </c>
    </row>
    <row r="90">
      <c r="A90" s="1502" t="s">
        <v>4702</v>
      </c>
      <c r="B90" s="1496" t="s">
        <v>8425</v>
      </c>
      <c r="C90" s="1457">
        <v>0.05331018518518518</v>
      </c>
      <c r="D90" s="1535" t="s">
        <v>10269</v>
      </c>
      <c r="E90" s="1535" t="s">
        <v>7717</v>
      </c>
      <c r="F90" s="1535" t="s">
        <v>10037</v>
      </c>
      <c r="G90" s="1535" t="s">
        <v>10270</v>
      </c>
      <c r="H90" s="1270" t="s">
        <v>10271</v>
      </c>
      <c r="I90" s="1535" t="s">
        <v>10272</v>
      </c>
      <c r="J90" s="1535" t="s">
        <v>9773</v>
      </c>
      <c r="K90" s="1535" t="s">
        <v>8596</v>
      </c>
      <c r="L90" s="1535" t="s">
        <v>4095</v>
      </c>
      <c r="M90" s="1535" t="s">
        <v>10273</v>
      </c>
      <c r="N90" s="1535" t="s">
        <v>9557</v>
      </c>
      <c r="O90" s="1535" t="s">
        <v>10274</v>
      </c>
      <c r="P90" s="1535" t="s">
        <v>6045</v>
      </c>
      <c r="Q90" s="1535" t="s">
        <v>10275</v>
      </c>
      <c r="R90" s="1535" t="s">
        <v>2137</v>
      </c>
      <c r="S90" s="1535" t="s">
        <v>7587</v>
      </c>
      <c r="T90" s="1535" t="s">
        <v>7152</v>
      </c>
      <c r="U90" s="1535" t="s">
        <v>10276</v>
      </c>
      <c r="V90" s="1535" t="s">
        <v>9753</v>
      </c>
      <c r="W90" s="1535" t="s">
        <v>10277</v>
      </c>
      <c r="X90" s="1535" t="s">
        <v>6789</v>
      </c>
      <c r="Y90" s="1535" t="s">
        <v>5421</v>
      </c>
      <c r="Z90" s="1535" t="s">
        <v>9559</v>
      </c>
      <c r="AA90" s="1535" t="s">
        <v>10278</v>
      </c>
      <c r="AB90" s="1535" t="s">
        <v>3381</v>
      </c>
      <c r="AC90" s="1535" t="s">
        <v>10279</v>
      </c>
      <c r="AD90" s="1535" t="s">
        <v>10280</v>
      </c>
      <c r="AE90" s="1535" t="s">
        <v>5630</v>
      </c>
      <c r="AF90" s="1535" t="s">
        <v>10281</v>
      </c>
      <c r="AG90" s="1535" t="s">
        <v>10282</v>
      </c>
      <c r="AH90" s="1535" t="s">
        <v>10283</v>
      </c>
      <c r="AI90" s="1535" t="s">
        <v>10284</v>
      </c>
      <c r="AJ90" s="1535" t="s">
        <v>10285</v>
      </c>
      <c r="AK90" s="1535" t="s">
        <v>2179</v>
      </c>
      <c r="AL90" s="1535" t="s">
        <v>2148</v>
      </c>
      <c r="AM90" s="1535" t="s">
        <v>10286</v>
      </c>
      <c r="AN90" s="1535" t="s">
        <v>10287</v>
      </c>
      <c r="AO90" s="1535" t="s">
        <v>10288</v>
      </c>
      <c r="AP90" s="1535" t="s">
        <v>2680</v>
      </c>
      <c r="AQ90" s="1535" t="s">
        <v>10289</v>
      </c>
      <c r="AR90" s="1535" t="s">
        <v>1673</v>
      </c>
      <c r="AS90" s="1535" t="s">
        <v>903</v>
      </c>
      <c r="AT90" s="1535" t="s">
        <v>10290</v>
      </c>
      <c r="AU90" s="1535" t="s">
        <v>10291</v>
      </c>
      <c r="AV90" s="1623" t="str">
        <f t="shared" si="3"/>
        <v>4:18</v>
      </c>
      <c r="AW90" s="1628"/>
    </row>
    <row r="91" ht="15.75" customHeight="1">
      <c r="A91" s="1539" t="s">
        <v>10292</v>
      </c>
      <c r="B91" s="1613" t="s">
        <v>8425</v>
      </c>
      <c r="C91" s="1457">
        <v>0.05348379629629629</v>
      </c>
      <c r="D91" s="1270" t="s">
        <v>10293</v>
      </c>
      <c r="E91" s="1623" t="s">
        <v>10074</v>
      </c>
      <c r="F91" s="1623" t="s">
        <v>6245</v>
      </c>
      <c r="G91" s="1623" t="s">
        <v>10294</v>
      </c>
      <c r="H91" s="1623" t="s">
        <v>10295</v>
      </c>
      <c r="I91" s="1623" t="s">
        <v>2340</v>
      </c>
      <c r="J91" s="1623" t="s">
        <v>8912</v>
      </c>
      <c r="K91" s="1623" t="s">
        <v>8438</v>
      </c>
      <c r="L91" s="1623" t="s">
        <v>4763</v>
      </c>
      <c r="M91" s="1623" t="s">
        <v>8850</v>
      </c>
      <c r="N91" s="1623" t="s">
        <v>10296</v>
      </c>
      <c r="O91" s="1623" t="s">
        <v>4365</v>
      </c>
      <c r="P91" s="1623" t="s">
        <v>853</v>
      </c>
      <c r="Q91" s="1535" t="s">
        <v>10297</v>
      </c>
      <c r="R91" s="1623" t="s">
        <v>9820</v>
      </c>
      <c r="S91" s="1623" t="s">
        <v>9167</v>
      </c>
      <c r="T91" s="1623" t="s">
        <v>10044</v>
      </c>
      <c r="U91" s="1623" t="s">
        <v>10298</v>
      </c>
      <c r="V91" s="1623" t="s">
        <v>3275</v>
      </c>
      <c r="W91" s="1623" t="s">
        <v>3640</v>
      </c>
      <c r="X91" s="1623" t="s">
        <v>3022</v>
      </c>
      <c r="Y91" s="1623" t="s">
        <v>114</v>
      </c>
      <c r="Z91" s="1623" t="s">
        <v>8785</v>
      </c>
      <c r="AA91" s="1535" t="s">
        <v>10299</v>
      </c>
      <c r="AB91" s="1623" t="s">
        <v>9567</v>
      </c>
      <c r="AC91" s="1623" t="s">
        <v>1155</v>
      </c>
      <c r="AD91" s="1623" t="s">
        <v>10300</v>
      </c>
      <c r="AE91" s="1623" t="s">
        <v>581</v>
      </c>
      <c r="AF91" s="1535" t="s">
        <v>10301</v>
      </c>
      <c r="AG91" s="1623" t="s">
        <v>5672</v>
      </c>
      <c r="AH91" s="1623" t="s">
        <v>9035</v>
      </c>
      <c r="AI91" s="1623" t="s">
        <v>2629</v>
      </c>
      <c r="AJ91" s="1623" t="s">
        <v>10302</v>
      </c>
      <c r="AK91" s="1623" t="s">
        <v>8822</v>
      </c>
      <c r="AL91" s="1623" t="s">
        <v>10303</v>
      </c>
      <c r="AM91" s="1623" t="s">
        <v>8397</v>
      </c>
      <c r="AN91" s="1623" t="s">
        <v>9845</v>
      </c>
      <c r="AO91" s="1623" t="s">
        <v>8775</v>
      </c>
      <c r="AP91" s="1623" t="s">
        <v>10304</v>
      </c>
      <c r="AQ91" s="1623" t="s">
        <v>4461</v>
      </c>
      <c r="AR91" s="1623" t="s">
        <v>154</v>
      </c>
      <c r="AS91" s="1623" t="s">
        <v>8612</v>
      </c>
      <c r="AT91" s="1623" t="s">
        <v>4664</v>
      </c>
      <c r="AU91" s="1623" t="s">
        <v>10305</v>
      </c>
      <c r="AV91" s="1623" t="str">
        <f t="shared" si="3"/>
        <v>3:27</v>
      </c>
      <c r="AW91" s="1624" t="s">
        <v>10306</v>
      </c>
    </row>
    <row r="92">
      <c r="A92" s="1502" t="s">
        <v>5329</v>
      </c>
      <c r="B92" s="1500" t="s">
        <v>8373</v>
      </c>
      <c r="C92" s="1457">
        <v>0.05376157407407407</v>
      </c>
      <c r="D92" s="1535" t="s">
        <v>10307</v>
      </c>
      <c r="E92" s="1535" t="s">
        <v>10308</v>
      </c>
      <c r="F92" s="1535" t="s">
        <v>10309</v>
      </c>
      <c r="G92" s="1535" t="s">
        <v>10310</v>
      </c>
      <c r="H92" s="1645" t="s">
        <v>10311</v>
      </c>
      <c r="I92" s="1270" t="s">
        <v>238</v>
      </c>
      <c r="J92" s="1535" t="s">
        <v>9440</v>
      </c>
      <c r="K92" s="1535" t="s">
        <v>10312</v>
      </c>
      <c r="L92" s="1535" t="s">
        <v>2512</v>
      </c>
      <c r="M92" s="1535" t="s">
        <v>1326</v>
      </c>
      <c r="N92" s="1535" t="s">
        <v>10313</v>
      </c>
      <c r="O92" s="1535" t="s">
        <v>10314</v>
      </c>
      <c r="P92" s="1535" t="s">
        <v>950</v>
      </c>
      <c r="Q92" s="1535" t="s">
        <v>4385</v>
      </c>
      <c r="R92" s="1535" t="s">
        <v>10315</v>
      </c>
      <c r="S92" s="1646" t="s">
        <v>10316</v>
      </c>
      <c r="T92" s="1646" t="s">
        <v>8966</v>
      </c>
      <c r="U92" s="1535" t="s">
        <v>10317</v>
      </c>
      <c r="V92" s="1535" t="s">
        <v>10318</v>
      </c>
      <c r="W92" s="1535" t="s">
        <v>7554</v>
      </c>
      <c r="X92" s="1535" t="s">
        <v>10319</v>
      </c>
      <c r="Y92" s="1535" t="s">
        <v>2113</v>
      </c>
      <c r="Z92" s="1535" t="s">
        <v>9567</v>
      </c>
      <c r="AA92" s="1535" t="s">
        <v>10320</v>
      </c>
      <c r="AB92" s="1535" t="s">
        <v>10321</v>
      </c>
      <c r="AC92" s="1535" t="s">
        <v>7507</v>
      </c>
      <c r="AD92" s="1535" t="s">
        <v>5799</v>
      </c>
      <c r="AE92" s="1535" t="s">
        <v>2385</v>
      </c>
      <c r="AF92" s="1535" t="s">
        <v>7592</v>
      </c>
      <c r="AG92" s="1535" t="s">
        <v>10322</v>
      </c>
      <c r="AH92" s="1535" t="s">
        <v>8996</v>
      </c>
      <c r="AI92" s="1535" t="s">
        <v>7388</v>
      </c>
      <c r="AJ92" s="1535" t="s">
        <v>10323</v>
      </c>
      <c r="AK92" s="1535" t="s">
        <v>4754</v>
      </c>
      <c r="AL92" s="1535" t="s">
        <v>10324</v>
      </c>
      <c r="AM92" s="1535" t="s">
        <v>4766</v>
      </c>
      <c r="AN92" s="1535" t="s">
        <v>10325</v>
      </c>
      <c r="AO92" s="1535" t="s">
        <v>8387</v>
      </c>
      <c r="AP92" s="1535" t="s">
        <v>10326</v>
      </c>
      <c r="AQ92" s="1535" t="s">
        <v>10327</v>
      </c>
      <c r="AR92" s="1535" t="s">
        <v>5115</v>
      </c>
      <c r="AS92" s="1535" t="s">
        <v>8561</v>
      </c>
      <c r="AT92" s="1535" t="s">
        <v>10328</v>
      </c>
      <c r="AU92" s="1535" t="s">
        <v>10329</v>
      </c>
      <c r="AV92" s="1623" t="str">
        <f t="shared" si="3"/>
        <v>4:58</v>
      </c>
      <c r="AW92" s="1647"/>
    </row>
    <row r="93" ht="15.75" customHeight="1">
      <c r="A93" s="1539" t="s">
        <v>6282</v>
      </c>
      <c r="B93" s="1613" t="s">
        <v>8425</v>
      </c>
      <c r="C93" s="1589">
        <v>0.05386574074074074</v>
      </c>
      <c r="D93" s="1623" t="s">
        <v>10330</v>
      </c>
      <c r="E93" s="1623" t="s">
        <v>7131</v>
      </c>
      <c r="F93" s="1623" t="s">
        <v>10331</v>
      </c>
      <c r="G93" s="1623" t="s">
        <v>4330</v>
      </c>
      <c r="H93" s="1623" t="s">
        <v>10332</v>
      </c>
      <c r="I93" s="1623" t="s">
        <v>10272</v>
      </c>
      <c r="J93" s="1623" t="s">
        <v>10333</v>
      </c>
      <c r="K93" s="1623" t="s">
        <v>10334</v>
      </c>
      <c r="L93" s="1623" t="s">
        <v>1432</v>
      </c>
      <c r="M93" s="1623" t="s">
        <v>4510</v>
      </c>
      <c r="N93" s="1623" t="s">
        <v>7290</v>
      </c>
      <c r="O93" s="1623" t="s">
        <v>10335</v>
      </c>
      <c r="P93" s="1623" t="s">
        <v>6045</v>
      </c>
      <c r="Q93" s="1623" t="s">
        <v>10336</v>
      </c>
      <c r="R93" s="1623" t="s">
        <v>10337</v>
      </c>
      <c r="S93" s="1623" t="s">
        <v>10338</v>
      </c>
      <c r="T93" s="1623" t="s">
        <v>9550</v>
      </c>
      <c r="U93" s="1623" t="s">
        <v>10339</v>
      </c>
      <c r="V93" s="1623" t="s">
        <v>10340</v>
      </c>
      <c r="W93" s="1623" t="s">
        <v>10341</v>
      </c>
      <c r="X93" s="1623" t="s">
        <v>1397</v>
      </c>
      <c r="Y93" s="1623" t="s">
        <v>1804</v>
      </c>
      <c r="Z93" s="1623" t="s">
        <v>9010</v>
      </c>
      <c r="AA93" s="1270" t="s">
        <v>10342</v>
      </c>
      <c r="AB93" s="1623" t="s">
        <v>10343</v>
      </c>
      <c r="AC93" s="1623" t="s">
        <v>6871</v>
      </c>
      <c r="AD93" s="1623" t="s">
        <v>10344</v>
      </c>
      <c r="AE93" s="1623" t="s">
        <v>10345</v>
      </c>
      <c r="AF93" s="1623" t="s">
        <v>9891</v>
      </c>
      <c r="AG93" s="1623" t="s">
        <v>10346</v>
      </c>
      <c r="AH93" s="1623" t="s">
        <v>10347</v>
      </c>
      <c r="AI93" s="1623" t="s">
        <v>3506</v>
      </c>
      <c r="AJ93" s="1623" t="s">
        <v>10348</v>
      </c>
      <c r="AK93" s="1623" t="s">
        <v>3073</v>
      </c>
      <c r="AL93" s="1623" t="s">
        <v>4567</v>
      </c>
      <c r="AM93" s="1623" t="s">
        <v>9538</v>
      </c>
      <c r="AN93" s="1623" t="s">
        <v>9073</v>
      </c>
      <c r="AO93" s="1535" t="s">
        <v>9251</v>
      </c>
      <c r="AP93" s="1623" t="s">
        <v>10349</v>
      </c>
      <c r="AQ93" s="1623" t="s">
        <v>10350</v>
      </c>
      <c r="AR93" s="1623" t="s">
        <v>10351</v>
      </c>
      <c r="AS93" s="1623" t="s">
        <v>8792</v>
      </c>
      <c r="AT93" s="1623" t="s">
        <v>10352</v>
      </c>
      <c r="AU93" s="1623" t="s">
        <v>10291</v>
      </c>
      <c r="AV93" s="1623" t="str">
        <f t="shared" si="3"/>
        <v>3:30</v>
      </c>
      <c r="AW93" s="1628"/>
    </row>
    <row r="94">
      <c r="A94" s="1502" t="s">
        <v>5198</v>
      </c>
      <c r="B94" s="1500" t="s">
        <v>8425</v>
      </c>
      <c r="C94" s="1457">
        <v>0.05482638888888889</v>
      </c>
      <c r="D94" s="1599" t="s">
        <v>10353</v>
      </c>
      <c r="E94" s="1535" t="s">
        <v>9160</v>
      </c>
      <c r="F94" s="1535" t="s">
        <v>10354</v>
      </c>
      <c r="G94" s="1535" t="s">
        <v>10355</v>
      </c>
      <c r="H94" s="1535" t="s">
        <v>10356</v>
      </c>
      <c r="I94" s="1535" t="s">
        <v>10357</v>
      </c>
      <c r="J94" s="1535" t="s">
        <v>10358</v>
      </c>
      <c r="K94" s="1535" t="s">
        <v>9571</v>
      </c>
      <c r="L94" s="1535" t="s">
        <v>10359</v>
      </c>
      <c r="M94" s="1535" t="s">
        <v>1671</v>
      </c>
      <c r="N94" s="1535" t="s">
        <v>10360</v>
      </c>
      <c r="O94" s="1535" t="s">
        <v>10361</v>
      </c>
      <c r="P94" s="1535" t="s">
        <v>6280</v>
      </c>
      <c r="Q94" s="1535" t="s">
        <v>10362</v>
      </c>
      <c r="R94" s="1535" t="s">
        <v>8790</v>
      </c>
      <c r="S94" s="1535" t="s">
        <v>10363</v>
      </c>
      <c r="T94" s="1535" t="s">
        <v>10278</v>
      </c>
      <c r="U94" s="1535" t="s">
        <v>10364</v>
      </c>
      <c r="V94" s="1535" t="s">
        <v>929</v>
      </c>
      <c r="W94" s="1535" t="s">
        <v>10365</v>
      </c>
      <c r="X94" s="1535" t="s">
        <v>10366</v>
      </c>
      <c r="Y94" s="1535" t="s">
        <v>1761</v>
      </c>
      <c r="Z94" s="1535" t="s">
        <v>9589</v>
      </c>
      <c r="AA94" s="1535" t="s">
        <v>2414</v>
      </c>
      <c r="AB94" s="1535" t="s">
        <v>5301</v>
      </c>
      <c r="AC94" s="1535" t="s">
        <v>10367</v>
      </c>
      <c r="AD94" s="1535" t="s">
        <v>10368</v>
      </c>
      <c r="AE94" s="1535" t="s">
        <v>1538</v>
      </c>
      <c r="AF94" s="1535" t="s">
        <v>10369</v>
      </c>
      <c r="AG94" s="1535" t="s">
        <v>10370</v>
      </c>
      <c r="AH94" s="1535" t="s">
        <v>10371</v>
      </c>
      <c r="AI94" s="1535" t="s">
        <v>10372</v>
      </c>
      <c r="AJ94" s="1535" t="s">
        <v>10373</v>
      </c>
      <c r="AK94" s="1535" t="s">
        <v>244</v>
      </c>
      <c r="AL94" s="1535" t="s">
        <v>6955</v>
      </c>
      <c r="AM94" s="1535" t="s">
        <v>4334</v>
      </c>
      <c r="AN94" s="1535" t="s">
        <v>10374</v>
      </c>
      <c r="AO94" s="1535" t="s">
        <v>1786</v>
      </c>
      <c r="AP94" s="1535" t="s">
        <v>971</v>
      </c>
      <c r="AQ94" s="1535" t="s">
        <v>10375</v>
      </c>
      <c r="AR94" s="1535" t="s">
        <v>10376</v>
      </c>
      <c r="AS94" s="1535" t="s">
        <v>2174</v>
      </c>
      <c r="AT94" s="1535" t="s">
        <v>10377</v>
      </c>
      <c r="AU94" s="1535" t="s">
        <v>10378</v>
      </c>
      <c r="AV94" s="1623" t="str">
        <f t="shared" si="3"/>
        <v>3:40</v>
      </c>
      <c r="AW94" s="1624" t="s">
        <v>10379</v>
      </c>
    </row>
    <row r="95">
      <c r="A95" s="1502" t="s">
        <v>5383</v>
      </c>
      <c r="B95" s="1500" t="s">
        <v>8373</v>
      </c>
      <c r="C95" s="1457">
        <v>0.05482638888888889</v>
      </c>
      <c r="D95" s="1478" t="s">
        <v>10380</v>
      </c>
      <c r="E95" s="1478" t="s">
        <v>9009</v>
      </c>
      <c r="F95" s="1478" t="s">
        <v>10381</v>
      </c>
      <c r="G95" s="1478" t="s">
        <v>10382</v>
      </c>
      <c r="H95" s="1478" t="s">
        <v>10383</v>
      </c>
      <c r="I95" s="1478">
        <v>50.26</v>
      </c>
      <c r="J95" s="1478" t="s">
        <v>10358</v>
      </c>
      <c r="K95" s="1478" t="s">
        <v>10384</v>
      </c>
      <c r="L95" s="1478" t="s">
        <v>10385</v>
      </c>
      <c r="M95" s="1478" t="s">
        <v>2203</v>
      </c>
      <c r="N95" s="1478" t="s">
        <v>10386</v>
      </c>
      <c r="O95" s="1478" t="s">
        <v>10387</v>
      </c>
      <c r="P95" s="1478">
        <v>49.15</v>
      </c>
      <c r="Q95" s="1478" t="s">
        <v>10388</v>
      </c>
      <c r="R95" s="1478" t="s">
        <v>3233</v>
      </c>
      <c r="S95" s="1478" t="s">
        <v>10389</v>
      </c>
      <c r="T95" s="1478" t="s">
        <v>5040</v>
      </c>
      <c r="U95" s="1478" t="s">
        <v>10390</v>
      </c>
      <c r="V95" s="1478" t="s">
        <v>10391</v>
      </c>
      <c r="W95" s="1478" t="s">
        <v>10392</v>
      </c>
      <c r="X95" s="1478" t="s">
        <v>10393</v>
      </c>
      <c r="Y95" s="1478">
        <v>51.87</v>
      </c>
      <c r="Z95" s="1478" t="s">
        <v>6044</v>
      </c>
      <c r="AA95" s="1478" t="s">
        <v>6257</v>
      </c>
      <c r="AB95" s="1478" t="s">
        <v>1911</v>
      </c>
      <c r="AC95" s="1478">
        <v>49.75</v>
      </c>
      <c r="AD95" s="1478" t="s">
        <v>10394</v>
      </c>
      <c r="AE95" s="1478">
        <v>50.16</v>
      </c>
      <c r="AF95" s="1478" t="s">
        <v>10395</v>
      </c>
      <c r="AG95" s="1478" t="s">
        <v>10396</v>
      </c>
      <c r="AH95" s="1478" t="s">
        <v>6132</v>
      </c>
      <c r="AI95" s="1478" t="s">
        <v>1926</v>
      </c>
      <c r="AJ95" s="1478" t="s">
        <v>10397</v>
      </c>
      <c r="AK95" s="1478" t="s">
        <v>10313</v>
      </c>
      <c r="AL95" s="1478">
        <v>59.29</v>
      </c>
      <c r="AM95" s="1478" t="s">
        <v>4461</v>
      </c>
      <c r="AN95" s="1478" t="s">
        <v>620</v>
      </c>
      <c r="AO95" s="1478" t="s">
        <v>8851</v>
      </c>
      <c r="AP95" s="1478" t="s">
        <v>10398</v>
      </c>
      <c r="AQ95" s="1478" t="s">
        <v>10399</v>
      </c>
      <c r="AR95" s="1478" t="s">
        <v>7194</v>
      </c>
      <c r="AS95" s="1478">
        <v>47.7</v>
      </c>
      <c r="AT95" s="1478" t="s">
        <v>10400</v>
      </c>
      <c r="AU95" s="1485" t="s">
        <v>10401</v>
      </c>
      <c r="AV95" s="1623" t="str">
        <f t="shared" si="3"/>
        <v>5:51</v>
      </c>
      <c r="AW95" s="1631" t="s">
        <v>10402</v>
      </c>
    </row>
    <row r="96">
      <c r="A96" s="1502" t="s">
        <v>5450</v>
      </c>
      <c r="B96" s="1496" t="s">
        <v>8373</v>
      </c>
      <c r="C96" s="1457">
        <v>0.05559027777777778</v>
      </c>
      <c r="D96" s="1599" t="s">
        <v>10403</v>
      </c>
      <c r="E96" s="1535" t="s">
        <v>10404</v>
      </c>
      <c r="F96" s="1535" t="s">
        <v>10405</v>
      </c>
      <c r="G96" s="1535" t="s">
        <v>8071</v>
      </c>
      <c r="H96" s="1535" t="s">
        <v>5765</v>
      </c>
      <c r="I96" s="1535" t="s">
        <v>1913</v>
      </c>
      <c r="J96" s="1535" t="s">
        <v>10406</v>
      </c>
      <c r="K96" s="1535" t="s">
        <v>6049</v>
      </c>
      <c r="L96" s="1535" t="s">
        <v>8216</v>
      </c>
      <c r="M96" s="1535" t="s">
        <v>7199</v>
      </c>
      <c r="N96" s="1535" t="s">
        <v>10407</v>
      </c>
      <c r="O96" s="1535" t="s">
        <v>10408</v>
      </c>
      <c r="P96" s="1535" t="s">
        <v>291</v>
      </c>
      <c r="Q96" s="1535" t="s">
        <v>1752</v>
      </c>
      <c r="R96" s="1535" t="s">
        <v>10409</v>
      </c>
      <c r="S96" s="1535" t="s">
        <v>5189</v>
      </c>
      <c r="T96" s="1535" t="s">
        <v>10410</v>
      </c>
      <c r="U96" s="1535" t="s">
        <v>10411</v>
      </c>
      <c r="V96" s="1535" t="s">
        <v>6278</v>
      </c>
      <c r="W96" s="1535" t="s">
        <v>9141</v>
      </c>
      <c r="X96" s="1535" t="s">
        <v>10412</v>
      </c>
      <c r="Y96" s="1535" t="s">
        <v>2971</v>
      </c>
      <c r="Z96" s="1535" t="s">
        <v>10413</v>
      </c>
      <c r="AA96" s="1535" t="s">
        <v>10172</v>
      </c>
      <c r="AB96" s="1535" t="s">
        <v>3457</v>
      </c>
      <c r="AC96" s="1535" t="s">
        <v>4677</v>
      </c>
      <c r="AD96" s="1535" t="s">
        <v>9411</v>
      </c>
      <c r="AE96" s="1535" t="s">
        <v>947</v>
      </c>
      <c r="AF96" s="1535" t="s">
        <v>10414</v>
      </c>
      <c r="AG96" s="1535" t="s">
        <v>3698</v>
      </c>
      <c r="AH96" s="1535" t="s">
        <v>8105</v>
      </c>
      <c r="AI96" s="1535" t="s">
        <v>10415</v>
      </c>
      <c r="AJ96" s="1535" t="s">
        <v>10416</v>
      </c>
      <c r="AK96" s="1535" t="s">
        <v>4504</v>
      </c>
      <c r="AL96" s="1535" t="s">
        <v>125</v>
      </c>
      <c r="AM96" s="1535" t="s">
        <v>10417</v>
      </c>
      <c r="AN96" s="1535" t="s">
        <v>10418</v>
      </c>
      <c r="AO96" s="1535" t="s">
        <v>1039</v>
      </c>
      <c r="AP96" s="1535" t="s">
        <v>10419</v>
      </c>
      <c r="AQ96" s="1535" t="s">
        <v>10420</v>
      </c>
      <c r="AR96" s="1535" t="s">
        <v>10421</v>
      </c>
      <c r="AS96" s="1535" t="s">
        <v>917</v>
      </c>
      <c r="AT96" s="1535" t="s">
        <v>10422</v>
      </c>
      <c r="AU96" s="1535" t="s">
        <v>10423</v>
      </c>
      <c r="AV96" s="1623" t="str">
        <f t="shared" si="3"/>
        <v>5:05</v>
      </c>
      <c r="AW96" s="1624" t="s">
        <v>10424</v>
      </c>
    </row>
    <row r="97">
      <c r="A97" s="1502" t="s">
        <v>4870</v>
      </c>
      <c r="B97" s="1496" t="s">
        <v>8401</v>
      </c>
      <c r="C97" s="1537">
        <v>0.05565972222222222</v>
      </c>
      <c r="D97" s="1535" t="s">
        <v>10425</v>
      </c>
      <c r="E97" s="1535" t="s">
        <v>3254</v>
      </c>
      <c r="F97" s="1535" t="s">
        <v>10426</v>
      </c>
      <c r="G97" s="1535" t="s">
        <v>10427</v>
      </c>
      <c r="H97" s="1270" t="s">
        <v>8877</v>
      </c>
      <c r="I97" s="1535" t="s">
        <v>3453</v>
      </c>
      <c r="J97" s="1535" t="s">
        <v>9150</v>
      </c>
      <c r="K97" s="1535" t="s">
        <v>804</v>
      </c>
      <c r="L97" s="1535" t="s">
        <v>10428</v>
      </c>
      <c r="M97" s="1535" t="s">
        <v>10429</v>
      </c>
      <c r="N97" s="1535" t="s">
        <v>6153</v>
      </c>
      <c r="O97" s="1535" t="s">
        <v>10430</v>
      </c>
      <c r="P97" s="1535" t="s">
        <v>9825</v>
      </c>
      <c r="Q97" s="1535" t="s">
        <v>10431</v>
      </c>
      <c r="R97" s="1535" t="s">
        <v>9591</v>
      </c>
      <c r="S97" s="1535" t="s">
        <v>420</v>
      </c>
      <c r="T97" s="1535" t="s">
        <v>10432</v>
      </c>
      <c r="U97" s="1535" t="s">
        <v>10433</v>
      </c>
      <c r="V97" s="1535" t="s">
        <v>10434</v>
      </c>
      <c r="W97" s="1535" t="s">
        <v>10435</v>
      </c>
      <c r="X97" s="1535" t="s">
        <v>10436</v>
      </c>
      <c r="Y97" s="1535" t="s">
        <v>2385</v>
      </c>
      <c r="Z97" s="1535" t="s">
        <v>5264</v>
      </c>
      <c r="AA97" s="1535" t="s">
        <v>9758</v>
      </c>
      <c r="AB97" s="1535" t="s">
        <v>10117</v>
      </c>
      <c r="AC97" s="1535" t="s">
        <v>9596</v>
      </c>
      <c r="AD97" s="1535" t="s">
        <v>10437</v>
      </c>
      <c r="AE97" s="1535" t="s">
        <v>10438</v>
      </c>
      <c r="AF97" s="1535" t="s">
        <v>10439</v>
      </c>
      <c r="AG97" s="1535" t="s">
        <v>10440</v>
      </c>
      <c r="AH97" s="1535" t="s">
        <v>10441</v>
      </c>
      <c r="AI97" s="1535" t="s">
        <v>10442</v>
      </c>
      <c r="AJ97" s="1535" t="s">
        <v>10443</v>
      </c>
      <c r="AK97" s="1535" t="s">
        <v>7152</v>
      </c>
      <c r="AL97" s="1535" t="s">
        <v>3726</v>
      </c>
      <c r="AM97" s="1535" t="s">
        <v>4766</v>
      </c>
      <c r="AN97" s="1535" t="s">
        <v>10444</v>
      </c>
      <c r="AO97" s="1535" t="s">
        <v>1977</v>
      </c>
      <c r="AP97" s="1535" t="s">
        <v>10445</v>
      </c>
      <c r="AQ97" s="1535" t="s">
        <v>10446</v>
      </c>
      <c r="AR97" s="1535" t="s">
        <v>10447</v>
      </c>
      <c r="AS97" s="1535" t="s">
        <v>2232</v>
      </c>
      <c r="AT97" s="1535" t="s">
        <v>10448</v>
      </c>
      <c r="AU97" s="1535" t="s">
        <v>10449</v>
      </c>
      <c r="AV97" s="1623" t="str">
        <f t="shared" si="3"/>
        <v>8:24</v>
      </c>
      <c r="AW97" s="1624" t="s">
        <v>9453</v>
      </c>
    </row>
    <row r="98">
      <c r="A98" s="1539" t="s">
        <v>10450</v>
      </c>
      <c r="B98" s="1515" t="s">
        <v>8401</v>
      </c>
      <c r="C98" s="1589">
        <v>0.057881944444444444</v>
      </c>
      <c r="D98" s="1535" t="s">
        <v>10451</v>
      </c>
      <c r="E98" s="1623" t="s">
        <v>10452</v>
      </c>
      <c r="F98" s="1535" t="s">
        <v>10453</v>
      </c>
      <c r="G98" s="1535" t="s">
        <v>10454</v>
      </c>
      <c r="H98" s="1623" t="s">
        <v>10455</v>
      </c>
      <c r="I98" s="1623" t="s">
        <v>1027</v>
      </c>
      <c r="J98" s="1623" t="s">
        <v>10456</v>
      </c>
      <c r="K98" s="1623" t="s">
        <v>3565</v>
      </c>
      <c r="L98" s="1623" t="s">
        <v>3615</v>
      </c>
      <c r="M98" s="1623" t="s">
        <v>6633</v>
      </c>
      <c r="N98" s="1623" t="s">
        <v>10457</v>
      </c>
      <c r="O98" s="1623" t="s">
        <v>10458</v>
      </c>
      <c r="P98" s="1623" t="s">
        <v>2356</v>
      </c>
      <c r="Q98" s="1623" t="s">
        <v>10459</v>
      </c>
      <c r="R98" s="1623" t="s">
        <v>10460</v>
      </c>
      <c r="S98" s="1623" t="s">
        <v>10461</v>
      </c>
      <c r="T98" s="1623" t="s">
        <v>1759</v>
      </c>
      <c r="U98" s="1623" t="s">
        <v>10462</v>
      </c>
      <c r="V98" s="1623" t="s">
        <v>10463</v>
      </c>
      <c r="W98" s="1623" t="s">
        <v>10464</v>
      </c>
      <c r="X98" s="1623" t="s">
        <v>10465</v>
      </c>
      <c r="Y98" s="1623" t="s">
        <v>2805</v>
      </c>
      <c r="Z98" s="1623" t="s">
        <v>10466</v>
      </c>
      <c r="AA98" s="1535" t="s">
        <v>10467</v>
      </c>
      <c r="AB98" s="1623" t="s">
        <v>8912</v>
      </c>
      <c r="AC98" s="1623" t="s">
        <v>3417</v>
      </c>
      <c r="AD98" s="1623" t="s">
        <v>5230</v>
      </c>
      <c r="AE98" s="1623" t="s">
        <v>2606</v>
      </c>
      <c r="AF98" s="1623" t="s">
        <v>10468</v>
      </c>
      <c r="AG98" s="1623" t="s">
        <v>5675</v>
      </c>
      <c r="AH98" s="1623" t="s">
        <v>10469</v>
      </c>
      <c r="AI98" s="1623" t="s">
        <v>4788</v>
      </c>
      <c r="AJ98" s="1623" t="s">
        <v>10470</v>
      </c>
      <c r="AK98" s="1623" t="s">
        <v>10471</v>
      </c>
      <c r="AL98" s="1623" t="s">
        <v>3914</v>
      </c>
      <c r="AM98" s="1623" t="s">
        <v>4797</v>
      </c>
      <c r="AN98" s="1623" t="s">
        <v>10472</v>
      </c>
      <c r="AO98" s="1623" t="s">
        <v>9826</v>
      </c>
      <c r="AP98" s="1623" t="s">
        <v>10473</v>
      </c>
      <c r="AQ98" s="1623" t="s">
        <v>7170</v>
      </c>
      <c r="AR98" s="1623" t="s">
        <v>10474</v>
      </c>
      <c r="AS98" s="1623" t="s">
        <v>615</v>
      </c>
      <c r="AT98" s="1623" t="s">
        <v>10475</v>
      </c>
      <c r="AU98" s="1623" t="s">
        <v>10476</v>
      </c>
      <c r="AV98" s="1623" t="str">
        <f t="shared" si="3"/>
        <v>2:11</v>
      </c>
      <c r="AW98" s="1628" t="s">
        <v>10477</v>
      </c>
    </row>
    <row r="99" ht="15.75" customHeight="1">
      <c r="A99" s="1502" t="s">
        <v>6117</v>
      </c>
      <c r="B99" s="1515" t="s">
        <v>8401</v>
      </c>
      <c r="C99" s="1457">
        <v>0.06635416666666667</v>
      </c>
      <c r="D99" s="1270" t="s">
        <v>10478</v>
      </c>
      <c r="E99" s="1270" t="s">
        <v>8272</v>
      </c>
      <c r="F99" s="1270" t="s">
        <v>8974</v>
      </c>
      <c r="G99" s="1270" t="s">
        <v>10479</v>
      </c>
      <c r="H99" s="1270" t="s">
        <v>10480</v>
      </c>
      <c r="I99" s="1270" t="s">
        <v>3426</v>
      </c>
      <c r="J99" s="1270" t="s">
        <v>10481</v>
      </c>
      <c r="K99" s="1270" t="s">
        <v>3884</v>
      </c>
      <c r="L99" s="1270" t="s">
        <v>7200</v>
      </c>
      <c r="M99" s="1270" t="s">
        <v>864</v>
      </c>
      <c r="N99" s="1270" t="s">
        <v>10482</v>
      </c>
      <c r="O99" s="1270" t="s">
        <v>10483</v>
      </c>
      <c r="P99" s="1270" t="s">
        <v>5143</v>
      </c>
      <c r="Q99" s="1270" t="s">
        <v>10484</v>
      </c>
      <c r="R99" s="1270" t="s">
        <v>4519</v>
      </c>
      <c r="S99" s="1270" t="s">
        <v>10485</v>
      </c>
      <c r="T99" s="1270" t="s">
        <v>10365</v>
      </c>
      <c r="U99" s="1270" t="s">
        <v>10486</v>
      </c>
      <c r="V99" s="1270" t="s">
        <v>7717</v>
      </c>
      <c r="W99" s="1270" t="s">
        <v>10487</v>
      </c>
      <c r="X99" s="1270" t="s">
        <v>10488</v>
      </c>
      <c r="Y99" s="1270" t="s">
        <v>755</v>
      </c>
      <c r="Z99" s="1270" t="s">
        <v>10489</v>
      </c>
      <c r="AA99" s="1623"/>
      <c r="AB99" s="1270" t="s">
        <v>10490</v>
      </c>
      <c r="AC99" s="1270" t="s">
        <v>883</v>
      </c>
      <c r="AD99" s="1270" t="s">
        <v>10491</v>
      </c>
      <c r="AE99" s="1270" t="s">
        <v>10492</v>
      </c>
      <c r="AF99" s="1270" t="s">
        <v>10493</v>
      </c>
      <c r="AG99" s="1270" t="s">
        <v>10494</v>
      </c>
      <c r="AH99" s="1270" t="s">
        <v>4106</v>
      </c>
      <c r="AI99" s="1270" t="s">
        <v>10495</v>
      </c>
      <c r="AJ99" s="1270" t="s">
        <v>10496</v>
      </c>
      <c r="AK99" s="1270" t="s">
        <v>10497</v>
      </c>
      <c r="AL99" s="1270" t="s">
        <v>10498</v>
      </c>
      <c r="AM99" s="1270" t="s">
        <v>10499</v>
      </c>
      <c r="AN99" s="1270" t="s">
        <v>9014</v>
      </c>
      <c r="AO99" s="1270" t="s">
        <v>2319</v>
      </c>
      <c r="AP99" s="1270" t="s">
        <v>10500</v>
      </c>
      <c r="AQ99" s="1270" t="s">
        <v>129</v>
      </c>
      <c r="AR99" s="1270" t="s">
        <v>10501</v>
      </c>
      <c r="AS99" s="1270" t="s">
        <v>4014</v>
      </c>
      <c r="AT99" s="1270" t="s">
        <v>10502</v>
      </c>
      <c r="AU99" s="1518" t="s">
        <v>10503</v>
      </c>
      <c r="AV99" s="1623" t="str">
        <f t="shared" si="3"/>
        <v>9:53</v>
      </c>
      <c r="AW99" s="1631" t="s">
        <v>10504</v>
      </c>
    </row>
    <row r="100">
      <c r="A100" s="1502" t="s">
        <v>4630</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6325</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8870</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10505</v>
      </c>
      <c r="E1" s="1666" t="s">
        <v>6549</v>
      </c>
      <c r="F1" s="1667" t="s">
        <v>6838</v>
      </c>
      <c r="G1" s="1668" t="s">
        <v>38</v>
      </c>
      <c r="H1" s="1669" t="s">
        <v>36</v>
      </c>
      <c r="I1" s="1665" t="s">
        <v>10506</v>
      </c>
      <c r="J1" s="1670" t="s">
        <v>39</v>
      </c>
      <c r="K1" s="1671" t="s">
        <v>6779</v>
      </c>
      <c r="L1" s="1396" t="s">
        <v>8368</v>
      </c>
      <c r="M1" s="1672" t="s">
        <v>8369</v>
      </c>
      <c r="N1" s="1673" t="s">
        <v>8370</v>
      </c>
      <c r="O1" s="1386" t="s">
        <v>8371</v>
      </c>
    </row>
    <row r="2" ht="15.75" customHeight="1">
      <c r="A2" s="1399" t="s">
        <v>8372</v>
      </c>
      <c r="B2" s="1674" t="s">
        <v>8373</v>
      </c>
      <c r="C2" s="1675">
        <v>0.04982638888888889</v>
      </c>
      <c r="D2" s="1676" t="s">
        <v>10507</v>
      </c>
      <c r="E2" s="1677" t="s">
        <v>10508</v>
      </c>
      <c r="F2" s="1678" t="s">
        <v>10509</v>
      </c>
      <c r="G2" s="1679" t="s">
        <v>10510</v>
      </c>
      <c r="H2" s="1680" t="s">
        <v>10511</v>
      </c>
      <c r="I2" s="1681" t="s">
        <v>10512</v>
      </c>
      <c r="J2" s="1682" t="s">
        <v>10513</v>
      </c>
      <c r="K2" s="1683" t="s">
        <v>10514</v>
      </c>
      <c r="L2" s="1684" t="s">
        <v>8398</v>
      </c>
      <c r="M2" s="1675">
        <v>0.050590277777777776</v>
      </c>
      <c r="N2" s="1685" t="str">
        <f t="shared" ref="N2:N39" si="1">TEXT(M2-C2, "m:ss")</f>
        <v>1:06</v>
      </c>
      <c r="O2" s="1423"/>
    </row>
    <row r="3" ht="15.75" customHeight="1">
      <c r="A3" s="1424" t="s">
        <v>8400</v>
      </c>
      <c r="B3" s="1686" t="s">
        <v>8401</v>
      </c>
      <c r="C3" s="1687">
        <v>0.051458333333333335</v>
      </c>
      <c r="D3" s="1427" t="s">
        <v>10515</v>
      </c>
      <c r="E3" s="1688" t="s">
        <v>5810</v>
      </c>
      <c r="F3" s="1429" t="s">
        <v>10516</v>
      </c>
      <c r="G3" s="1430" t="s">
        <v>10517</v>
      </c>
      <c r="H3" s="1433" t="s">
        <v>10518</v>
      </c>
      <c r="I3" s="1427" t="s">
        <v>10519</v>
      </c>
      <c r="J3" s="1435" t="s">
        <v>10520</v>
      </c>
      <c r="K3" s="1437" t="s">
        <v>10521</v>
      </c>
      <c r="L3" s="1438" t="s">
        <v>9005</v>
      </c>
      <c r="M3" s="1687">
        <v>0.05236111111111111</v>
      </c>
      <c r="N3" s="1689" t="str">
        <f t="shared" si="1"/>
        <v>1:18</v>
      </c>
    </row>
    <row r="4" ht="15.75" customHeight="1">
      <c r="A4" s="1440" t="s">
        <v>8424</v>
      </c>
      <c r="B4" s="1690" t="s">
        <v>8425</v>
      </c>
      <c r="C4" s="1691">
        <f>C23</f>
        <v>0.05158564815</v>
      </c>
      <c r="D4" s="1443" t="s">
        <v>10522</v>
      </c>
      <c r="E4" s="1692" t="s">
        <v>10523</v>
      </c>
      <c r="F4" s="1445" t="s">
        <v>10524</v>
      </c>
      <c r="G4" s="1446" t="s">
        <v>10525</v>
      </c>
      <c r="H4" s="1447" t="s">
        <v>10526</v>
      </c>
      <c r="I4" s="1443" t="s">
        <v>10527</v>
      </c>
      <c r="J4" s="1449" t="s">
        <v>10528</v>
      </c>
      <c r="K4" s="1450" t="s">
        <v>10529</v>
      </c>
      <c r="L4" s="1452" t="s">
        <v>8457</v>
      </c>
      <c r="M4" s="1693">
        <f>M23</f>
        <v>0.0521412037</v>
      </c>
      <c r="N4" s="1693" t="str">
        <f t="shared" si="1"/>
        <v>0:48</v>
      </c>
    </row>
    <row r="5" ht="15.75" customHeight="1">
      <c r="A5" s="1632" t="s">
        <v>1060</v>
      </c>
      <c r="B5" s="1609" t="s">
        <v>8373</v>
      </c>
      <c r="C5" s="1694">
        <v>0.04997685185185185</v>
      </c>
      <c r="D5" s="1695" t="s">
        <v>10507</v>
      </c>
      <c r="E5" s="1479" t="s">
        <v>10530</v>
      </c>
      <c r="F5" s="1695" t="s">
        <v>10509</v>
      </c>
      <c r="G5" s="1695" t="s">
        <v>10510</v>
      </c>
      <c r="H5" s="1696" t="s">
        <v>10531</v>
      </c>
      <c r="I5" s="1476" t="s">
        <v>10532</v>
      </c>
      <c r="J5" s="1476" t="s">
        <v>10533</v>
      </c>
      <c r="K5" s="1695" t="s">
        <v>10514</v>
      </c>
      <c r="L5" s="1476" t="s">
        <v>2067</v>
      </c>
      <c r="M5" s="1517" t="s">
        <v>8399</v>
      </c>
      <c r="N5" s="1697" t="str">
        <f t="shared" si="1"/>
        <v>0:53</v>
      </c>
      <c r="O5" s="1476" t="s">
        <v>10534</v>
      </c>
    </row>
    <row r="6" ht="15.75" customHeight="1">
      <c r="A6" s="1698" t="s">
        <v>436</v>
      </c>
      <c r="B6" s="1456" t="s">
        <v>8373</v>
      </c>
      <c r="C6" s="1699">
        <v>0.04998842592592593</v>
      </c>
      <c r="D6" s="1476" t="s">
        <v>10535</v>
      </c>
      <c r="E6" s="1700" t="s">
        <v>10508</v>
      </c>
      <c r="F6" s="1476" t="s">
        <v>10536</v>
      </c>
      <c r="G6" s="1476" t="s">
        <v>10537</v>
      </c>
      <c r="H6" s="1517" t="s">
        <v>10511</v>
      </c>
      <c r="I6" s="1476" t="s">
        <v>10538</v>
      </c>
      <c r="J6" s="1517" t="s">
        <v>10513</v>
      </c>
      <c r="K6" s="1476" t="s">
        <v>10539</v>
      </c>
      <c r="L6" s="1476" t="s">
        <v>8474</v>
      </c>
      <c r="M6" s="1476" t="s">
        <v>8495</v>
      </c>
      <c r="N6" s="1701" t="str">
        <f t="shared" si="1"/>
        <v>1:18</v>
      </c>
      <c r="O6" s="1476" t="s">
        <v>10540</v>
      </c>
    </row>
    <row r="7" ht="15.75" customHeight="1">
      <c r="A7" s="1661" t="s">
        <v>1879</v>
      </c>
      <c r="B7" s="1456" t="s">
        <v>8373</v>
      </c>
      <c r="C7" s="1694">
        <v>0.050150462962962966</v>
      </c>
      <c r="D7" s="1476" t="s">
        <v>10541</v>
      </c>
      <c r="E7" s="1476" t="s">
        <v>10542</v>
      </c>
      <c r="F7" s="1476" t="s">
        <v>10543</v>
      </c>
      <c r="G7" s="1476" t="s">
        <v>10544</v>
      </c>
      <c r="H7" s="1476" t="s">
        <v>10545</v>
      </c>
      <c r="I7" s="1476" t="s">
        <v>10546</v>
      </c>
      <c r="J7" s="1476" t="s">
        <v>10547</v>
      </c>
      <c r="K7" s="1476" t="s">
        <v>10548</v>
      </c>
      <c r="L7" s="1476" t="s">
        <v>10549</v>
      </c>
      <c r="M7" s="1702">
        <v>0.05077546296296296</v>
      </c>
      <c r="N7" s="1701" t="str">
        <f t="shared" si="1"/>
        <v>0:54</v>
      </c>
      <c r="O7" s="1476" t="s">
        <v>10540</v>
      </c>
    </row>
    <row r="8" ht="15.75" customHeight="1">
      <c r="A8" s="1698" t="s">
        <v>6260</v>
      </c>
      <c r="B8" s="1541" t="s">
        <v>8373</v>
      </c>
      <c r="C8" s="1703">
        <v>0.05025462962962963</v>
      </c>
      <c r="D8" s="1704" t="s">
        <v>10550</v>
      </c>
      <c r="E8" s="1477" t="s">
        <v>10551</v>
      </c>
      <c r="F8" s="1476" t="s">
        <v>10552</v>
      </c>
      <c r="G8" s="1476" t="s">
        <v>10553</v>
      </c>
      <c r="H8" s="1476" t="s">
        <v>10554</v>
      </c>
      <c r="I8" s="1476" t="s">
        <v>10336</v>
      </c>
      <c r="J8" s="1476" t="s">
        <v>10555</v>
      </c>
      <c r="K8" s="1476" t="s">
        <v>10556</v>
      </c>
      <c r="L8" s="1476" t="s">
        <v>8581</v>
      </c>
      <c r="M8" s="1702" t="s">
        <v>8582</v>
      </c>
      <c r="N8" s="1701" t="str">
        <f t="shared" si="1"/>
        <v>0:36</v>
      </c>
      <c r="O8" s="1476"/>
    </row>
    <row r="9" ht="15.75" customHeight="1">
      <c r="A9" s="1661" t="s">
        <v>6336</v>
      </c>
      <c r="B9" s="1456" t="s">
        <v>8373</v>
      </c>
      <c r="C9" s="1703">
        <v>0.050416666666666665</v>
      </c>
      <c r="D9" s="1476" t="s">
        <v>10557</v>
      </c>
      <c r="E9" s="1477" t="s">
        <v>10558</v>
      </c>
      <c r="F9" s="1479" t="s">
        <v>10559</v>
      </c>
      <c r="G9" s="1479" t="s">
        <v>10560</v>
      </c>
      <c r="H9" s="1476" t="s">
        <v>10561</v>
      </c>
      <c r="I9" s="1517" t="s">
        <v>10512</v>
      </c>
      <c r="J9" s="1476" t="s">
        <v>10562</v>
      </c>
      <c r="K9" s="1476" t="s">
        <v>10563</v>
      </c>
      <c r="L9" s="1479" t="s">
        <v>10549</v>
      </c>
      <c r="M9" s="1702">
        <v>0.0512037037037037</v>
      </c>
      <c r="N9" s="1701" t="str">
        <f t="shared" si="1"/>
        <v>1:08</v>
      </c>
      <c r="O9" s="1476" t="s">
        <v>10540</v>
      </c>
    </row>
    <row r="10">
      <c r="A10" s="1705" t="s">
        <v>912</v>
      </c>
      <c r="B10" s="1706" t="s">
        <v>8373</v>
      </c>
      <c r="C10" s="1703">
        <v>0.05047453703703704</v>
      </c>
      <c r="D10" s="1551" t="s">
        <v>10564</v>
      </c>
      <c r="E10" s="1477" t="s">
        <v>10565</v>
      </c>
      <c r="F10" s="1696" t="s">
        <v>10566</v>
      </c>
      <c r="G10" s="1476" t="s">
        <v>10567</v>
      </c>
      <c r="H10" s="1476" t="s">
        <v>10568</v>
      </c>
      <c r="I10" s="1476" t="s">
        <v>10569</v>
      </c>
      <c r="J10" s="1476" t="s">
        <v>10570</v>
      </c>
      <c r="K10" s="1476" t="s">
        <v>10571</v>
      </c>
      <c r="L10" s="1476" t="s">
        <v>3526</v>
      </c>
      <c r="M10" s="1702">
        <v>0.051354166666666666</v>
      </c>
      <c r="N10" s="1701" t="str">
        <f t="shared" si="1"/>
        <v>1:16</v>
      </c>
      <c r="O10" s="1476" t="s">
        <v>10572</v>
      </c>
    </row>
    <row r="11" ht="15.75" customHeight="1">
      <c r="A11" s="1632" t="s">
        <v>1551</v>
      </c>
      <c r="B11" s="1400" t="s">
        <v>8373</v>
      </c>
      <c r="C11" s="1703">
        <v>0.05061342592592592</v>
      </c>
      <c r="D11" s="1707" t="s">
        <v>10573</v>
      </c>
      <c r="E11" s="1477" t="s">
        <v>10574</v>
      </c>
      <c r="F11" s="1708" t="s">
        <v>10575</v>
      </c>
      <c r="G11" s="1476" t="s">
        <v>10576</v>
      </c>
      <c r="H11" s="1708" t="s">
        <v>10577</v>
      </c>
      <c r="I11" s="1708" t="s">
        <v>10578</v>
      </c>
      <c r="J11" s="1476" t="s">
        <v>10579</v>
      </c>
      <c r="K11" s="1476" t="s">
        <v>10580</v>
      </c>
      <c r="L11" s="1476" t="s">
        <v>3464</v>
      </c>
      <c r="M11" s="1702">
        <v>0.05122685185185185</v>
      </c>
      <c r="N11" s="1701" t="str">
        <f t="shared" si="1"/>
        <v>0:53</v>
      </c>
      <c r="O11" s="1476" t="s">
        <v>10581</v>
      </c>
    </row>
    <row r="12" ht="15.75" customHeight="1">
      <c r="A12" s="1649" t="s">
        <v>2008</v>
      </c>
      <c r="B12" s="1456" t="s">
        <v>8373</v>
      </c>
      <c r="C12" s="1699">
        <v>0.05061342592592592</v>
      </c>
      <c r="D12" s="1551" t="s">
        <v>10582</v>
      </c>
      <c r="E12" s="1709" t="s">
        <v>10583</v>
      </c>
      <c r="F12" s="1476" t="s">
        <v>10584</v>
      </c>
      <c r="G12" s="1476" t="s">
        <v>10585</v>
      </c>
      <c r="H12" s="1476" t="s">
        <v>10586</v>
      </c>
      <c r="I12" s="1476" t="s">
        <v>10587</v>
      </c>
      <c r="J12" s="1476" t="s">
        <v>10588</v>
      </c>
      <c r="K12" s="1476" t="s">
        <v>10589</v>
      </c>
      <c r="L12" s="1476" t="s">
        <v>6253</v>
      </c>
      <c r="M12" s="1702">
        <v>0.05153935185185185</v>
      </c>
      <c r="N12" s="1701" t="str">
        <f t="shared" si="1"/>
        <v>1:20</v>
      </c>
      <c r="O12" s="1476" t="s">
        <v>10540</v>
      </c>
    </row>
    <row r="13" ht="15.75" customHeight="1">
      <c r="A13" s="1698" t="s">
        <v>330</v>
      </c>
      <c r="B13" s="1456" t="s">
        <v>8373</v>
      </c>
      <c r="C13" s="1699">
        <v>0.05068287037037037</v>
      </c>
      <c r="D13" s="1476" t="s">
        <v>10590</v>
      </c>
      <c r="E13" s="1709" t="s">
        <v>10591</v>
      </c>
      <c r="F13" s="1476" t="s">
        <v>10592</v>
      </c>
      <c r="G13" s="1476" t="s">
        <v>10593</v>
      </c>
      <c r="H13" s="1476" t="s">
        <v>10594</v>
      </c>
      <c r="I13" s="1476" t="s">
        <v>10595</v>
      </c>
      <c r="J13" s="1476" t="s">
        <v>10596</v>
      </c>
      <c r="K13" s="1476" t="s">
        <v>10597</v>
      </c>
      <c r="L13" s="1493" t="s">
        <v>8398</v>
      </c>
      <c r="M13" s="1702">
        <v>0.05164351851851852</v>
      </c>
      <c r="N13" s="1701" t="str">
        <f t="shared" si="1"/>
        <v>1:23</v>
      </c>
      <c r="O13" s="1476" t="s">
        <v>10540</v>
      </c>
    </row>
    <row r="14" ht="15.75" customHeight="1">
      <c r="A14" s="1710" t="s">
        <v>2639</v>
      </c>
      <c r="B14" s="1456" t="s">
        <v>8373</v>
      </c>
      <c r="C14" s="1711">
        <v>0.05103009259259259</v>
      </c>
      <c r="D14" s="1476" t="s">
        <v>10598</v>
      </c>
      <c r="E14" s="1709" t="s">
        <v>10147</v>
      </c>
      <c r="F14" s="1476" t="s">
        <v>10599</v>
      </c>
      <c r="G14" s="1476" t="s">
        <v>10600</v>
      </c>
      <c r="H14" s="1696" t="s">
        <v>10601</v>
      </c>
      <c r="I14" s="1476" t="s">
        <v>10602</v>
      </c>
      <c r="J14" s="1476" t="s">
        <v>10603</v>
      </c>
      <c r="K14" s="1476" t="s">
        <v>10604</v>
      </c>
      <c r="L14" s="1476" t="s">
        <v>10605</v>
      </c>
      <c r="M14" s="1702">
        <v>0.051909722222222225</v>
      </c>
      <c r="N14" s="1701" t="str">
        <f t="shared" si="1"/>
        <v>1:16</v>
      </c>
      <c r="O14" s="1476" t="s">
        <v>10540</v>
      </c>
    </row>
    <row r="15">
      <c r="A15" s="1712" t="s">
        <v>3096</v>
      </c>
      <c r="B15" s="1713" t="s">
        <v>8373</v>
      </c>
      <c r="C15" s="1699">
        <v>0.05113321759259259</v>
      </c>
      <c r="D15" s="1714" t="s">
        <v>10606</v>
      </c>
      <c r="E15" s="1715" t="s">
        <v>10607</v>
      </c>
      <c r="F15" s="1696" t="s">
        <v>10608</v>
      </c>
      <c r="G15" s="1696" t="s">
        <v>10609</v>
      </c>
      <c r="H15" s="1696" t="s">
        <v>10610</v>
      </c>
      <c r="I15" s="1696" t="s">
        <v>10611</v>
      </c>
      <c r="J15" s="1696" t="s">
        <v>10612</v>
      </c>
      <c r="K15" s="1696" t="s">
        <v>10613</v>
      </c>
      <c r="L15" s="1696" t="s">
        <v>8974</v>
      </c>
      <c r="M15" s="1702">
        <v>0.05224537037037037</v>
      </c>
      <c r="N15" s="1702" t="str">
        <f t="shared" si="1"/>
        <v>1:36</v>
      </c>
      <c r="O15" s="1476"/>
    </row>
    <row r="16" ht="15.75" customHeight="1">
      <c r="A16" s="1716" t="s">
        <v>2251</v>
      </c>
      <c r="B16" s="1541" t="s">
        <v>8373</v>
      </c>
      <c r="C16" s="1699">
        <v>0.051145833333333335</v>
      </c>
      <c r="D16" s="1551" t="s">
        <v>10614</v>
      </c>
      <c r="E16" s="1477" t="s">
        <v>10615</v>
      </c>
      <c r="F16" s="1476" t="s">
        <v>10616</v>
      </c>
      <c r="G16" s="1476" t="s">
        <v>10617</v>
      </c>
      <c r="H16" s="1476" t="s">
        <v>10618</v>
      </c>
      <c r="I16" s="1476" t="s">
        <v>10619</v>
      </c>
      <c r="J16" s="1476" t="s">
        <v>10620</v>
      </c>
      <c r="K16" s="1476" t="s">
        <v>10621</v>
      </c>
      <c r="L16" s="1476" t="s">
        <v>2890</v>
      </c>
      <c r="M16" s="1702">
        <v>0.05228009259259259</v>
      </c>
      <c r="N16" s="1701" t="str">
        <f t="shared" si="1"/>
        <v>1:38</v>
      </c>
      <c r="O16" s="1476" t="s">
        <v>10622</v>
      </c>
    </row>
    <row r="17" ht="15.75" customHeight="1">
      <c r="A17" s="1698" t="s">
        <v>1413</v>
      </c>
      <c r="B17" s="1456" t="s">
        <v>8373</v>
      </c>
      <c r="C17" s="1699">
        <v>0.05122685185185185</v>
      </c>
      <c r="D17" s="1476" t="s">
        <v>10623</v>
      </c>
      <c r="E17" s="1709" t="s">
        <v>8429</v>
      </c>
      <c r="F17" s="1476" t="s">
        <v>10624</v>
      </c>
      <c r="G17" s="1476" t="s">
        <v>10625</v>
      </c>
      <c r="H17" s="1476" t="s">
        <v>10510</v>
      </c>
      <c r="I17" s="1476" t="s">
        <v>8378</v>
      </c>
      <c r="J17" s="1476" t="s">
        <v>10626</v>
      </c>
      <c r="K17" s="1476" t="s">
        <v>10627</v>
      </c>
      <c r="L17" s="1476" t="s">
        <v>10628</v>
      </c>
      <c r="M17" s="1702">
        <v>0.052037037037037034</v>
      </c>
      <c r="N17" s="1701" t="str">
        <f t="shared" si="1"/>
        <v>1:10</v>
      </c>
      <c r="O17" s="1476" t="s">
        <v>10540</v>
      </c>
    </row>
    <row r="18" ht="15.75" customHeight="1">
      <c r="A18" s="1716" t="s">
        <v>1722</v>
      </c>
      <c r="B18" s="1541" t="s">
        <v>8373</v>
      </c>
      <c r="C18" s="1699">
        <v>0.05122685185185185</v>
      </c>
      <c r="D18" s="1704" t="s">
        <v>10629</v>
      </c>
      <c r="E18" s="1477" t="s">
        <v>10630</v>
      </c>
      <c r="F18" s="1476" t="s">
        <v>10631</v>
      </c>
      <c r="G18" s="1476" t="s">
        <v>10632</v>
      </c>
      <c r="H18" s="1476" t="s">
        <v>10633</v>
      </c>
      <c r="I18" s="1476" t="s">
        <v>10634</v>
      </c>
      <c r="J18" s="1476" t="s">
        <v>10635</v>
      </c>
      <c r="K18" s="1476" t="s">
        <v>10636</v>
      </c>
      <c r="L18" s="1476" t="s">
        <v>5878</v>
      </c>
      <c r="M18" s="1702">
        <v>0.05224537037037037</v>
      </c>
      <c r="N18" s="1701" t="str">
        <f t="shared" si="1"/>
        <v>1:28</v>
      </c>
      <c r="O18" s="1476" t="s">
        <v>10637</v>
      </c>
    </row>
    <row r="19" ht="15.75" customHeight="1">
      <c r="A19" s="1716" t="s">
        <v>6325</v>
      </c>
      <c r="B19" s="1541" t="s">
        <v>8373</v>
      </c>
      <c r="C19" s="1699">
        <v>0.05133101851851852</v>
      </c>
      <c r="D19" s="1476" t="s">
        <v>10638</v>
      </c>
      <c r="E19" s="1477" t="s">
        <v>10639</v>
      </c>
      <c r="F19" s="1476" t="s">
        <v>10640</v>
      </c>
      <c r="G19" s="1479" t="s">
        <v>10641</v>
      </c>
      <c r="H19" s="1479" t="s">
        <v>10642</v>
      </c>
      <c r="I19" s="1476" t="s">
        <v>10643</v>
      </c>
      <c r="J19" s="1476" t="s">
        <v>10644</v>
      </c>
      <c r="K19" s="1476" t="s">
        <v>10645</v>
      </c>
      <c r="L19" s="1476" t="s">
        <v>10646</v>
      </c>
      <c r="M19" s="1702">
        <v>0.05197916666666667</v>
      </c>
      <c r="N19" s="1701" t="str">
        <f t="shared" si="1"/>
        <v>0:56</v>
      </c>
      <c r="O19" s="1476" t="s">
        <v>10647</v>
      </c>
    </row>
    <row r="20" ht="15.75" customHeight="1">
      <c r="A20" s="1661" t="s">
        <v>8781</v>
      </c>
      <c r="B20" s="1456" t="s">
        <v>8373</v>
      </c>
      <c r="C20" s="1703">
        <v>0.05144675925925926</v>
      </c>
      <c r="D20" s="1476" t="s">
        <v>10648</v>
      </c>
      <c r="E20" s="1709" t="s">
        <v>10649</v>
      </c>
      <c r="F20" s="1476" t="s">
        <v>10650</v>
      </c>
      <c r="G20" s="1476" t="s">
        <v>10651</v>
      </c>
      <c r="H20" s="1476" t="s">
        <v>10652</v>
      </c>
      <c r="I20" s="1476" t="s">
        <v>10653</v>
      </c>
      <c r="J20" s="1476" t="s">
        <v>10654</v>
      </c>
      <c r="K20" s="1476" t="s">
        <v>10655</v>
      </c>
      <c r="L20" s="1717" t="s">
        <v>8672</v>
      </c>
      <c r="M20" s="1702">
        <v>0.05258101851851852</v>
      </c>
      <c r="N20" s="1701" t="str">
        <f t="shared" si="1"/>
        <v>1:38</v>
      </c>
      <c r="O20" s="1476" t="s">
        <v>10540</v>
      </c>
    </row>
    <row r="21" ht="15.75" customHeight="1">
      <c r="A21" s="1716" t="s">
        <v>8990</v>
      </c>
      <c r="B21" s="1541" t="s">
        <v>8401</v>
      </c>
      <c r="C21" s="1699">
        <v>0.05146990740740741</v>
      </c>
      <c r="D21" s="1718" t="s">
        <v>10515</v>
      </c>
      <c r="E21" s="1477" t="s">
        <v>9975</v>
      </c>
      <c r="F21" s="1718" t="s">
        <v>10516</v>
      </c>
      <c r="G21" s="1718" t="s">
        <v>10517</v>
      </c>
      <c r="H21" s="1718" t="s">
        <v>10518</v>
      </c>
      <c r="I21" s="1476" t="s">
        <v>10656</v>
      </c>
      <c r="J21" s="1718" t="s">
        <v>10520</v>
      </c>
      <c r="K21" s="1718" t="s">
        <v>10521</v>
      </c>
      <c r="L21" s="1719" t="s">
        <v>9005</v>
      </c>
      <c r="M21" s="1720">
        <v>0.05236111111111111</v>
      </c>
      <c r="N21" s="1701" t="str">
        <f t="shared" si="1"/>
        <v>1:17</v>
      </c>
      <c r="O21" s="1476" t="s">
        <v>10540</v>
      </c>
    </row>
    <row r="22" ht="15.75" customHeight="1">
      <c r="A22" s="1698" t="s">
        <v>826</v>
      </c>
      <c r="B22" s="1456" t="s">
        <v>8373</v>
      </c>
      <c r="C22" s="1703">
        <v>0.051550925925925924</v>
      </c>
      <c r="D22" s="1476" t="s">
        <v>10657</v>
      </c>
      <c r="E22" s="1709" t="s">
        <v>9943</v>
      </c>
      <c r="F22" s="1476" t="s">
        <v>10658</v>
      </c>
      <c r="G22" s="1476" t="s">
        <v>10659</v>
      </c>
      <c r="H22" s="1476" t="s">
        <v>10660</v>
      </c>
      <c r="I22" s="1476" t="s">
        <v>10661</v>
      </c>
      <c r="J22" s="1476" t="s">
        <v>10662</v>
      </c>
      <c r="K22" s="1476" t="s">
        <v>10663</v>
      </c>
      <c r="L22" s="1717" t="s">
        <v>10664</v>
      </c>
      <c r="M22" s="1702">
        <v>0.05229166666666667</v>
      </c>
      <c r="N22" s="1701" t="str">
        <f t="shared" si="1"/>
        <v>1:04</v>
      </c>
      <c r="O22" s="1476" t="s">
        <v>10540</v>
      </c>
    </row>
    <row r="23">
      <c r="A23" s="1712" t="s">
        <v>1879</v>
      </c>
      <c r="B23" s="1609" t="s">
        <v>8425</v>
      </c>
      <c r="C23" s="1699">
        <v>0.05158564814814815</v>
      </c>
      <c r="D23" s="1721" t="s">
        <v>10522</v>
      </c>
      <c r="E23" s="1722" t="s">
        <v>10523</v>
      </c>
      <c r="F23" s="1721" t="s">
        <v>10524</v>
      </c>
      <c r="G23" s="1721" t="s">
        <v>10525</v>
      </c>
      <c r="H23" s="1721" t="s">
        <v>10526</v>
      </c>
      <c r="I23" s="1721" t="s">
        <v>10527</v>
      </c>
      <c r="J23" s="1721" t="s">
        <v>10528</v>
      </c>
      <c r="K23" s="1721" t="s">
        <v>10529</v>
      </c>
      <c r="L23" s="1721" t="s">
        <v>8457</v>
      </c>
      <c r="M23" s="1723">
        <v>0.052141203703703703</v>
      </c>
      <c r="N23" s="1701" t="str">
        <f t="shared" si="1"/>
        <v>0:48</v>
      </c>
      <c r="O23" s="1476" t="s">
        <v>10665</v>
      </c>
    </row>
    <row r="24" ht="15.75" customHeight="1">
      <c r="A24" s="1632" t="s">
        <v>2819</v>
      </c>
      <c r="B24" s="1541" t="s">
        <v>8373</v>
      </c>
      <c r="C24" s="1703">
        <v>0.051706365740740744</v>
      </c>
      <c r="D24" s="1551" t="s">
        <v>10666</v>
      </c>
      <c r="E24" s="1477" t="s">
        <v>10667</v>
      </c>
      <c r="F24" s="1476" t="s">
        <v>10668</v>
      </c>
      <c r="G24" s="1476" t="s">
        <v>10669</v>
      </c>
      <c r="H24" s="1476" t="s">
        <v>10670</v>
      </c>
      <c r="I24" s="1476" t="s">
        <v>10671</v>
      </c>
      <c r="J24" s="1476" t="s">
        <v>10672</v>
      </c>
      <c r="K24" s="1476" t="s">
        <v>10673</v>
      </c>
      <c r="L24" s="1476" t="s">
        <v>9307</v>
      </c>
      <c r="M24" s="1702">
        <v>0.0525</v>
      </c>
      <c r="N24" s="1702" t="str">
        <f t="shared" si="1"/>
        <v>1:09</v>
      </c>
      <c r="O24" s="1476"/>
    </row>
    <row r="25" ht="15.75" customHeight="1">
      <c r="A25" s="1724" t="s">
        <v>2093</v>
      </c>
      <c r="B25" s="1600" t="s">
        <v>8373</v>
      </c>
      <c r="C25" s="1703">
        <v>0.05171296296296296</v>
      </c>
      <c r="D25" s="1725" t="s">
        <v>10674</v>
      </c>
      <c r="E25" s="1725" t="s">
        <v>10675</v>
      </c>
      <c r="F25" s="1725" t="s">
        <v>10676</v>
      </c>
      <c r="G25" s="1725" t="s">
        <v>10677</v>
      </c>
      <c r="H25" s="1551" t="s">
        <v>10678</v>
      </c>
      <c r="I25" s="1725" t="s">
        <v>10679</v>
      </c>
      <c r="J25" s="1551" t="s">
        <v>10680</v>
      </c>
      <c r="K25" s="1725" t="s">
        <v>10681</v>
      </c>
      <c r="L25" s="1551" t="s">
        <v>7870</v>
      </c>
      <c r="M25" s="1702">
        <v>0.054375</v>
      </c>
      <c r="N25" s="1701" t="str">
        <f t="shared" si="1"/>
        <v>3:50</v>
      </c>
      <c r="O25" s="1476" t="s">
        <v>10682</v>
      </c>
    </row>
    <row r="26" ht="15.75" customHeight="1">
      <c r="A26" s="1716" t="s">
        <v>2216</v>
      </c>
      <c r="B26" s="1609" t="s">
        <v>8401</v>
      </c>
      <c r="C26" s="1703">
        <v>0.05179398148148148</v>
      </c>
      <c r="D26" s="1704" t="s">
        <v>10683</v>
      </c>
      <c r="E26" s="1477" t="s">
        <v>10684</v>
      </c>
      <c r="F26" s="1476" t="s">
        <v>10685</v>
      </c>
      <c r="G26" s="1476" t="s">
        <v>10686</v>
      </c>
      <c r="H26" s="1476" t="s">
        <v>10687</v>
      </c>
      <c r="I26" s="1476" t="s">
        <v>10688</v>
      </c>
      <c r="J26" s="1476" t="s">
        <v>10689</v>
      </c>
      <c r="K26" s="1476" t="s">
        <v>10690</v>
      </c>
      <c r="L26" s="1476" t="s">
        <v>8857</v>
      </c>
      <c r="M26" s="1702">
        <v>0.05299768518518518</v>
      </c>
      <c r="N26" s="1701" t="str">
        <f t="shared" si="1"/>
        <v>1:44</v>
      </c>
      <c r="O26" s="1476" t="s">
        <v>10691</v>
      </c>
    </row>
    <row r="27" ht="15.75" customHeight="1">
      <c r="A27" s="1716" t="s">
        <v>2866</v>
      </c>
      <c r="B27" s="1541" t="s">
        <v>8373</v>
      </c>
      <c r="C27" s="1699">
        <v>0.05180160879629629</v>
      </c>
      <c r="D27" s="1551" t="s">
        <v>10692</v>
      </c>
      <c r="E27" s="1477" t="s">
        <v>10693</v>
      </c>
      <c r="F27" s="1476" t="s">
        <v>10694</v>
      </c>
      <c r="G27" s="1476" t="s">
        <v>10695</v>
      </c>
      <c r="H27" s="1476" t="s">
        <v>10696</v>
      </c>
      <c r="I27" s="1476" t="s">
        <v>10697</v>
      </c>
      <c r="J27" s="1476" t="s">
        <v>10698</v>
      </c>
      <c r="K27" s="1476" t="s">
        <v>10699</v>
      </c>
      <c r="L27" s="1476" t="s">
        <v>10700</v>
      </c>
      <c r="M27" s="1702">
        <v>0.05303240740740741</v>
      </c>
      <c r="N27" s="1701" t="str">
        <f t="shared" si="1"/>
        <v>1:46</v>
      </c>
      <c r="O27" s="1476"/>
    </row>
    <row r="28" ht="15.75" customHeight="1">
      <c r="A28" s="1632" t="s">
        <v>1255</v>
      </c>
      <c r="B28" s="1609" t="s">
        <v>8425</v>
      </c>
      <c r="C28" s="1703">
        <v>0.052088194444444444</v>
      </c>
      <c r="D28" s="1551" t="s">
        <v>10701</v>
      </c>
      <c r="E28" s="1477" t="s">
        <v>10702</v>
      </c>
      <c r="F28" s="1476" t="s">
        <v>10703</v>
      </c>
      <c r="G28" s="1476" t="s">
        <v>10704</v>
      </c>
      <c r="H28" s="1476" t="s">
        <v>10705</v>
      </c>
      <c r="I28" s="1476" t="s">
        <v>10706</v>
      </c>
      <c r="J28" s="1476" t="s">
        <v>10707</v>
      </c>
      <c r="K28" s="1476" t="s">
        <v>10708</v>
      </c>
      <c r="L28" s="1476" t="s">
        <v>9601</v>
      </c>
      <c r="M28" s="1702">
        <v>0.053043981481481484</v>
      </c>
      <c r="N28" s="1701" t="str">
        <f t="shared" si="1"/>
        <v>1:23</v>
      </c>
      <c r="O28" s="1476" t="s">
        <v>10540</v>
      </c>
    </row>
    <row r="29" ht="15.75" customHeight="1">
      <c r="A29" s="1632" t="s">
        <v>2572</v>
      </c>
      <c r="B29" s="1541" t="s">
        <v>8401</v>
      </c>
      <c r="C29" s="1703">
        <v>0.05215277777777778</v>
      </c>
      <c r="D29" s="1476" t="s">
        <v>10709</v>
      </c>
      <c r="E29" s="1718" t="s">
        <v>5810</v>
      </c>
      <c r="F29" s="1476" t="s">
        <v>10710</v>
      </c>
      <c r="G29" s="1476" t="s">
        <v>10711</v>
      </c>
      <c r="H29" s="1476" t="s">
        <v>10712</v>
      </c>
      <c r="I29" s="1476" t="s">
        <v>10574</v>
      </c>
      <c r="J29" s="1476" t="s">
        <v>10713</v>
      </c>
      <c r="K29" s="1476" t="s">
        <v>10714</v>
      </c>
      <c r="L29" s="1476" t="s">
        <v>9359</v>
      </c>
      <c r="M29" s="1702">
        <v>0.05399305555555556</v>
      </c>
      <c r="N29" s="1701" t="str">
        <f t="shared" si="1"/>
        <v>2:39</v>
      </c>
      <c r="O29" s="1476" t="s">
        <v>10715</v>
      </c>
    </row>
    <row r="30" ht="15.75" customHeight="1">
      <c r="A30" s="1716" t="s">
        <v>2902</v>
      </c>
      <c r="B30" s="1541" t="s">
        <v>8373</v>
      </c>
      <c r="C30" s="1726">
        <v>0.05216435185185185</v>
      </c>
      <c r="D30" s="1476" t="s">
        <v>10716</v>
      </c>
      <c r="E30" s="1477" t="s">
        <v>10717</v>
      </c>
      <c r="F30" s="1476" t="s">
        <v>10718</v>
      </c>
      <c r="G30" s="1476" t="s">
        <v>10719</v>
      </c>
      <c r="H30" s="1476" t="s">
        <v>10720</v>
      </c>
      <c r="I30" s="1476" t="s">
        <v>10721</v>
      </c>
      <c r="J30" s="1476" t="s">
        <v>10722</v>
      </c>
      <c r="K30" s="1476" t="s">
        <v>10723</v>
      </c>
      <c r="L30" s="1476" t="s">
        <v>10724</v>
      </c>
      <c r="M30" s="1727">
        <v>0.05337962962962963</v>
      </c>
      <c r="N30" s="1701" t="str">
        <f t="shared" si="1"/>
        <v>1:45</v>
      </c>
      <c r="O30" s="1476" t="s">
        <v>10725</v>
      </c>
    </row>
    <row r="31" ht="15.75" customHeight="1">
      <c r="A31" s="1632" t="s">
        <v>736</v>
      </c>
      <c r="B31" s="1541" t="s">
        <v>8401</v>
      </c>
      <c r="C31" s="1703">
        <v>0.05224537037037037</v>
      </c>
      <c r="D31" s="1476" t="s">
        <v>10726</v>
      </c>
      <c r="E31" s="1728" t="s">
        <v>10727</v>
      </c>
      <c r="F31" s="1476" t="s">
        <v>10728</v>
      </c>
      <c r="G31" s="1476" t="s">
        <v>10729</v>
      </c>
      <c r="H31" s="1476" t="s">
        <v>10730</v>
      </c>
      <c r="I31" s="1718" t="s">
        <v>10519</v>
      </c>
      <c r="J31" s="1476" t="s">
        <v>10731</v>
      </c>
      <c r="K31" s="1479" t="s">
        <v>10732</v>
      </c>
      <c r="L31" s="1476" t="s">
        <v>10733</v>
      </c>
      <c r="M31" s="1702">
        <v>0.053043981481481484</v>
      </c>
      <c r="N31" s="1701" t="str">
        <f t="shared" si="1"/>
        <v>1:09</v>
      </c>
      <c r="O31" s="1476" t="s">
        <v>10734</v>
      </c>
    </row>
    <row r="32" ht="15.75" customHeight="1">
      <c r="A32" s="1716" t="s">
        <v>2866</v>
      </c>
      <c r="B32" s="1609" t="s">
        <v>8401</v>
      </c>
      <c r="C32" s="1699">
        <v>0.052316898148148154</v>
      </c>
      <c r="D32" s="1551" t="s">
        <v>10735</v>
      </c>
      <c r="E32" s="1477" t="s">
        <v>10736</v>
      </c>
      <c r="F32" s="1476" t="s">
        <v>10737</v>
      </c>
      <c r="G32" s="1476" t="s">
        <v>10738</v>
      </c>
      <c r="H32" s="1476" t="s">
        <v>10739</v>
      </c>
      <c r="I32" s="1476" t="s">
        <v>10740</v>
      </c>
      <c r="J32" s="1476" t="s">
        <v>10741</v>
      </c>
      <c r="K32" s="1476" t="s">
        <v>10742</v>
      </c>
      <c r="L32" s="1476" t="s">
        <v>9082</v>
      </c>
      <c r="M32" s="1702">
        <v>0.0537625</v>
      </c>
      <c r="N32" s="1701" t="str">
        <f t="shared" si="1"/>
        <v>2:05</v>
      </c>
      <c r="O32" s="1476" t="s">
        <v>10540</v>
      </c>
    </row>
    <row r="33" ht="15.75" customHeight="1">
      <c r="A33" s="1632" t="s">
        <v>3985</v>
      </c>
      <c r="B33" s="1541" t="s">
        <v>8373</v>
      </c>
      <c r="C33" s="1703">
        <v>0.05238425925925926</v>
      </c>
      <c r="D33" s="1704" t="s">
        <v>10743</v>
      </c>
      <c r="E33" s="1477" t="s">
        <v>10717</v>
      </c>
      <c r="F33" s="1476" t="s">
        <v>10744</v>
      </c>
      <c r="G33" s="1729" t="s">
        <v>10745</v>
      </c>
      <c r="H33" s="1476" t="s">
        <v>10746</v>
      </c>
      <c r="I33" s="1476" t="s">
        <v>10747</v>
      </c>
      <c r="J33" s="1476" t="s">
        <v>10748</v>
      </c>
      <c r="K33" s="1476" t="s">
        <v>10749</v>
      </c>
      <c r="L33" s="1476" t="s">
        <v>9619</v>
      </c>
      <c r="M33" s="1702">
        <v>0.05340277777777778</v>
      </c>
      <c r="N33" s="1701" t="str">
        <f t="shared" si="1"/>
        <v>1:28</v>
      </c>
      <c r="O33" s="1476" t="s">
        <v>10750</v>
      </c>
    </row>
    <row r="34" ht="15.75" customHeight="1">
      <c r="A34" s="1716" t="s">
        <v>9645</v>
      </c>
      <c r="B34" s="1541" t="s">
        <v>8373</v>
      </c>
      <c r="C34" s="1699">
        <v>0.05268518518518518</v>
      </c>
      <c r="D34" s="1551" t="s">
        <v>10751</v>
      </c>
      <c r="E34" s="1477" t="s">
        <v>10752</v>
      </c>
      <c r="F34" s="1476" t="s">
        <v>10753</v>
      </c>
      <c r="G34" s="1476" t="s">
        <v>10754</v>
      </c>
      <c r="H34" s="1476" t="s">
        <v>10755</v>
      </c>
      <c r="I34" s="1476" t="s">
        <v>10756</v>
      </c>
      <c r="J34" s="1476" t="s">
        <v>10757</v>
      </c>
      <c r="K34" s="1476" t="s">
        <v>10758</v>
      </c>
      <c r="L34" s="1476" t="s">
        <v>9663</v>
      </c>
      <c r="M34" s="1702">
        <v>0.05331018518518518</v>
      </c>
      <c r="N34" s="1701" t="str">
        <f t="shared" si="1"/>
        <v>0:54</v>
      </c>
      <c r="O34" s="1476" t="s">
        <v>10759</v>
      </c>
    </row>
    <row r="35" ht="15.75" customHeight="1">
      <c r="A35" s="1730" t="s">
        <v>3713</v>
      </c>
      <c r="B35" s="1706" t="s">
        <v>8373</v>
      </c>
      <c r="C35" s="1699">
        <v>0.05270034722222223</v>
      </c>
      <c r="D35" s="1704" t="s">
        <v>10760</v>
      </c>
      <c r="E35" s="1477" t="s">
        <v>10761</v>
      </c>
      <c r="F35" s="1476" t="s">
        <v>10762</v>
      </c>
      <c r="G35" s="1476" t="s">
        <v>10763</v>
      </c>
      <c r="H35" s="1476" t="s">
        <v>10764</v>
      </c>
      <c r="I35" s="1476" t="s">
        <v>10765</v>
      </c>
      <c r="J35" s="1476" t="s">
        <v>10766</v>
      </c>
      <c r="K35" s="1476" t="s">
        <v>10767</v>
      </c>
      <c r="L35" s="1476" t="s">
        <v>10768</v>
      </c>
      <c r="M35" s="1702">
        <v>0.05425925925925926</v>
      </c>
      <c r="N35" s="1701" t="str">
        <f t="shared" si="1"/>
        <v>2:15</v>
      </c>
      <c r="O35" s="1476" t="s">
        <v>10540</v>
      </c>
    </row>
    <row r="36">
      <c r="A36" s="1731" t="s">
        <v>3387</v>
      </c>
      <c r="B36" s="1706" t="s">
        <v>8373</v>
      </c>
      <c r="C36" s="1699">
        <v>0.053009259259259256</v>
      </c>
      <c r="D36" s="1704" t="s">
        <v>10769</v>
      </c>
      <c r="E36" s="1477" t="s">
        <v>10770</v>
      </c>
      <c r="F36" s="1476" t="s">
        <v>10771</v>
      </c>
      <c r="G36" s="1476" t="s">
        <v>10772</v>
      </c>
      <c r="H36" s="1476" t="s">
        <v>10773</v>
      </c>
      <c r="I36" s="1476" t="s">
        <v>10774</v>
      </c>
      <c r="J36" s="1476" t="s">
        <v>10775</v>
      </c>
      <c r="K36" s="1476" t="s">
        <v>10776</v>
      </c>
      <c r="L36" s="1476" t="s">
        <v>10777</v>
      </c>
      <c r="M36" s="1702">
        <v>0.05372685185185185</v>
      </c>
      <c r="N36" s="1701" t="str">
        <f t="shared" si="1"/>
        <v>1:02</v>
      </c>
      <c r="O36" s="1476" t="s">
        <v>10540</v>
      </c>
    </row>
    <row r="37" ht="15.75" customHeight="1">
      <c r="A37" s="1632" t="s">
        <v>3597</v>
      </c>
      <c r="B37" s="1541" t="s">
        <v>8373</v>
      </c>
      <c r="C37" s="1703">
        <v>0.05340277777777778</v>
      </c>
      <c r="D37" s="1551" t="s">
        <v>10778</v>
      </c>
      <c r="E37" s="1477" t="s">
        <v>10779</v>
      </c>
      <c r="F37" s="1476" t="s">
        <v>10780</v>
      </c>
      <c r="G37" s="1476" t="s">
        <v>10781</v>
      </c>
      <c r="H37" s="1476" t="s">
        <v>10782</v>
      </c>
      <c r="I37" s="1476" t="s">
        <v>10783</v>
      </c>
      <c r="J37" s="1476" t="s">
        <v>10784</v>
      </c>
      <c r="K37" s="1476" t="s">
        <v>10785</v>
      </c>
      <c r="L37" s="1476" t="s">
        <v>10786</v>
      </c>
      <c r="M37" s="1702">
        <v>0.05466435185185185</v>
      </c>
      <c r="N37" s="1701" t="str">
        <f t="shared" si="1"/>
        <v>1:49</v>
      </c>
      <c r="O37" s="1476" t="s">
        <v>10787</v>
      </c>
    </row>
    <row r="38" ht="15.75" customHeight="1">
      <c r="A38" s="1632" t="s">
        <v>985</v>
      </c>
      <c r="B38" s="1686" t="s">
        <v>8401</v>
      </c>
      <c r="C38" s="1703">
        <v>0.05378472222222222</v>
      </c>
      <c r="D38" s="1551" t="s">
        <v>10788</v>
      </c>
      <c r="E38" s="1477" t="s">
        <v>10789</v>
      </c>
      <c r="F38" s="1476" t="s">
        <v>10790</v>
      </c>
      <c r="G38" s="1476" t="s">
        <v>10791</v>
      </c>
      <c r="H38" s="1476" t="s">
        <v>10792</v>
      </c>
      <c r="I38" s="1476" t="s">
        <v>7985</v>
      </c>
      <c r="J38" s="1476" t="s">
        <v>10793</v>
      </c>
      <c r="K38" s="1476" t="s">
        <v>10794</v>
      </c>
      <c r="L38" s="1476" t="s">
        <v>9408</v>
      </c>
      <c r="M38" s="1702">
        <v>0.054560185185185184</v>
      </c>
      <c r="N38" s="1701" t="str">
        <f t="shared" si="1"/>
        <v>1:07</v>
      </c>
      <c r="O38" s="1476"/>
    </row>
    <row r="39" ht="15.75" customHeight="1">
      <c r="A39" s="1632" t="s">
        <v>4870</v>
      </c>
      <c r="B39" s="1609" t="s">
        <v>8401</v>
      </c>
      <c r="C39" s="1703">
        <v>0.05748842592592593</v>
      </c>
      <c r="D39" s="1551" t="s">
        <v>10795</v>
      </c>
      <c r="E39" s="1477" t="s">
        <v>10796</v>
      </c>
      <c r="F39" s="1476" t="s">
        <v>10797</v>
      </c>
      <c r="G39" s="1476" t="s">
        <v>10798</v>
      </c>
      <c r="H39" s="1476" t="s">
        <v>10799</v>
      </c>
      <c r="I39" s="1476" t="s">
        <v>10800</v>
      </c>
      <c r="J39" s="1476" t="s">
        <v>10801</v>
      </c>
      <c r="K39" s="1476" t="s">
        <v>10802</v>
      </c>
      <c r="L39" s="1476" t="s">
        <v>10448</v>
      </c>
      <c r="M39" s="1702">
        <v>0.06149305555555556</v>
      </c>
      <c r="N39" s="1701" t="str">
        <f t="shared" si="1"/>
        <v>5:46</v>
      </c>
      <c r="O39" s="1476" t="s">
        <v>10540</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10505</v>
      </c>
      <c r="D1" s="1757" t="s">
        <v>6549</v>
      </c>
      <c r="E1" s="1758" t="s">
        <v>6838</v>
      </c>
      <c r="F1" s="1759" t="s">
        <v>38</v>
      </c>
      <c r="G1" s="1760" t="s">
        <v>36</v>
      </c>
      <c r="H1" s="1756" t="s">
        <v>10506</v>
      </c>
      <c r="I1" s="1761" t="s">
        <v>39</v>
      </c>
      <c r="J1" s="1762" t="s">
        <v>6779</v>
      </c>
      <c r="K1" s="1386" t="s">
        <v>8369</v>
      </c>
      <c r="L1" s="1386" t="s">
        <v>8371</v>
      </c>
    </row>
    <row r="2" ht="15.75" customHeight="1">
      <c r="A2" s="1399" t="s">
        <v>8372</v>
      </c>
      <c r="B2" s="1674" t="s">
        <v>8373</v>
      </c>
      <c r="C2" s="1676" t="s">
        <v>10507</v>
      </c>
      <c r="D2" s="1404" t="s">
        <v>10803</v>
      </c>
      <c r="E2" s="1763" t="s">
        <v>10804</v>
      </c>
      <c r="F2" s="1764" t="s">
        <v>10805</v>
      </c>
      <c r="G2" s="1765" t="s">
        <v>10806</v>
      </c>
      <c r="H2" s="1676" t="s">
        <v>10807</v>
      </c>
      <c r="I2" s="1766" t="s">
        <v>10808</v>
      </c>
      <c r="J2" s="1767" t="s">
        <v>10809</v>
      </c>
      <c r="K2" s="1768" t="s">
        <v>8399</v>
      </c>
      <c r="L2" s="1769"/>
    </row>
    <row r="3" ht="15.75" customHeight="1">
      <c r="A3" s="1424" t="s">
        <v>8400</v>
      </c>
      <c r="B3" s="1686" t="s">
        <v>8401</v>
      </c>
      <c r="C3" s="1427" t="s">
        <v>10709</v>
      </c>
      <c r="D3" s="1428" t="s">
        <v>10810</v>
      </c>
      <c r="E3" s="1429" t="s">
        <v>10811</v>
      </c>
      <c r="F3" s="1430" t="s">
        <v>10812</v>
      </c>
      <c r="G3" s="1433" t="s">
        <v>10813</v>
      </c>
      <c r="H3" s="1427" t="s">
        <v>10814</v>
      </c>
      <c r="I3" s="1435" t="s">
        <v>10815</v>
      </c>
      <c r="J3" s="1437" t="s">
        <v>10816</v>
      </c>
      <c r="K3" s="1687">
        <v>0.053043981481481484</v>
      </c>
    </row>
    <row r="4" ht="15.75" customHeight="1">
      <c r="A4" s="1440" t="s">
        <v>8424</v>
      </c>
      <c r="B4" s="1690" t="s">
        <v>8425</v>
      </c>
      <c r="C4" s="1443" t="s">
        <v>10701</v>
      </c>
      <c r="D4" s="1444" t="s">
        <v>10817</v>
      </c>
      <c r="E4" s="1445" t="s">
        <v>10818</v>
      </c>
      <c r="F4" s="1446" t="s">
        <v>10819</v>
      </c>
      <c r="G4" s="1447" t="s">
        <v>10820</v>
      </c>
      <c r="H4" s="1443" t="s">
        <v>10821</v>
      </c>
      <c r="I4" s="1449" t="s">
        <v>10822</v>
      </c>
      <c r="J4" s="1450" t="s">
        <v>10823</v>
      </c>
      <c r="K4" s="1691">
        <v>0.053043981481481484</v>
      </c>
    </row>
    <row r="5" ht="15.75" customHeight="1">
      <c r="A5" s="1632" t="s">
        <v>1060</v>
      </c>
      <c r="B5" s="1541" t="s">
        <v>8373</v>
      </c>
      <c r="C5" s="1695" t="s">
        <v>10507</v>
      </c>
      <c r="D5" s="1695" t="s">
        <v>10803</v>
      </c>
      <c r="E5" s="1695" t="s">
        <v>10804</v>
      </c>
      <c r="F5" s="1695" t="s">
        <v>10805</v>
      </c>
      <c r="G5" s="1695" t="s">
        <v>10806</v>
      </c>
      <c r="H5" s="1695" t="s">
        <v>10807</v>
      </c>
      <c r="I5" s="1695" t="s">
        <v>10808</v>
      </c>
      <c r="J5" s="1695" t="s">
        <v>10809</v>
      </c>
      <c r="K5" s="1770" t="s">
        <v>8399</v>
      </c>
      <c r="L5" s="1476" t="s">
        <v>10824</v>
      </c>
    </row>
    <row r="6" ht="15.75" customHeight="1">
      <c r="A6" s="1771" t="s">
        <v>6260</v>
      </c>
      <c r="B6" s="1541" t="s">
        <v>8373</v>
      </c>
      <c r="C6" s="1640" t="s">
        <v>10550</v>
      </c>
      <c r="D6" s="1476" t="s">
        <v>10825</v>
      </c>
      <c r="E6" s="1476" t="s">
        <v>10826</v>
      </c>
      <c r="F6" s="1476" t="s">
        <v>10827</v>
      </c>
      <c r="G6" s="1476" t="s">
        <v>10828</v>
      </c>
      <c r="H6" s="1476" t="s">
        <v>10829</v>
      </c>
      <c r="I6" s="1476" t="s">
        <v>10830</v>
      </c>
      <c r="J6" s="1476" t="s">
        <v>10831</v>
      </c>
      <c r="K6" s="1476" t="s">
        <v>8582</v>
      </c>
      <c r="L6" s="1476"/>
    </row>
    <row r="7" ht="15.75" customHeight="1">
      <c r="A7" s="1661" t="s">
        <v>1879</v>
      </c>
      <c r="B7" s="1772" t="s">
        <v>8373</v>
      </c>
      <c r="C7" s="1476" t="s">
        <v>10541</v>
      </c>
      <c r="D7" s="1476" t="s">
        <v>10832</v>
      </c>
      <c r="E7" s="1696" t="s">
        <v>10833</v>
      </c>
      <c r="F7" s="1479" t="s">
        <v>10834</v>
      </c>
      <c r="G7" s="1773" t="s">
        <v>10835</v>
      </c>
      <c r="H7" s="1773" t="s">
        <v>10836</v>
      </c>
      <c r="I7" s="1476" t="s">
        <v>10837</v>
      </c>
      <c r="J7" s="1774" t="s">
        <v>10838</v>
      </c>
      <c r="K7" s="1774" t="s">
        <v>8538</v>
      </c>
      <c r="L7" s="1476" t="s">
        <v>10839</v>
      </c>
    </row>
    <row r="8" ht="15.75" customHeight="1">
      <c r="A8" s="1698" t="s">
        <v>436</v>
      </c>
      <c r="B8" s="1456" t="s">
        <v>8373</v>
      </c>
      <c r="C8" s="1479" t="s">
        <v>10535</v>
      </c>
      <c r="D8" s="1476" t="s">
        <v>10840</v>
      </c>
      <c r="E8" s="1476" t="s">
        <v>10841</v>
      </c>
      <c r="F8" s="1476" t="s">
        <v>10842</v>
      </c>
      <c r="G8" s="1476" t="s">
        <v>10843</v>
      </c>
      <c r="H8" s="1476" t="s">
        <v>10844</v>
      </c>
      <c r="I8" s="1476" t="s">
        <v>10845</v>
      </c>
      <c r="J8" s="1476" t="s">
        <v>10846</v>
      </c>
      <c r="K8" s="1476" t="s">
        <v>8495</v>
      </c>
      <c r="L8" s="1476"/>
    </row>
    <row r="9" ht="15.75" customHeight="1">
      <c r="A9" s="1661" t="s">
        <v>6336</v>
      </c>
      <c r="B9" s="1456" t="s">
        <v>8373</v>
      </c>
      <c r="C9" s="1476" t="s">
        <v>10847</v>
      </c>
      <c r="D9" s="1476" t="s">
        <v>10848</v>
      </c>
      <c r="E9" s="1476" t="s">
        <v>10849</v>
      </c>
      <c r="F9" s="1479" t="s">
        <v>10850</v>
      </c>
      <c r="G9" s="1479" t="s">
        <v>10851</v>
      </c>
      <c r="H9" s="1775" t="s">
        <v>10852</v>
      </c>
      <c r="I9" s="1479" t="s">
        <v>10853</v>
      </c>
      <c r="J9" s="1479" t="s">
        <v>10854</v>
      </c>
      <c r="K9" s="1476" t="s">
        <v>8517</v>
      </c>
      <c r="L9" s="1476"/>
    </row>
    <row r="10" ht="15.75" customHeight="1">
      <c r="A10" s="1632" t="s">
        <v>1551</v>
      </c>
      <c r="B10" s="1541" t="s">
        <v>8373</v>
      </c>
      <c r="C10" s="1776" t="s">
        <v>10573</v>
      </c>
      <c r="D10" s="1708" t="s">
        <v>10855</v>
      </c>
      <c r="E10" s="1708" t="s">
        <v>10856</v>
      </c>
      <c r="F10" s="1476" t="s">
        <v>10857</v>
      </c>
      <c r="G10" s="1729" t="s">
        <v>10858</v>
      </c>
      <c r="H10" s="1729" t="s">
        <v>10859</v>
      </c>
      <c r="I10" s="1729" t="s">
        <v>10860</v>
      </c>
      <c r="J10" s="1729" t="s">
        <v>10861</v>
      </c>
      <c r="K10" s="1729" t="s">
        <v>8733</v>
      </c>
      <c r="L10" s="1476" t="s">
        <v>10862</v>
      </c>
    </row>
    <row r="11" ht="15.75" customHeight="1">
      <c r="A11" s="1716" t="s">
        <v>912</v>
      </c>
      <c r="B11" s="1609" t="s">
        <v>8373</v>
      </c>
      <c r="C11" s="1777" t="s">
        <v>10564</v>
      </c>
      <c r="D11" s="1476" t="s">
        <v>10863</v>
      </c>
      <c r="E11" s="1476" t="s">
        <v>10864</v>
      </c>
      <c r="F11" s="1476" t="s">
        <v>10865</v>
      </c>
      <c r="G11" s="1476" t="s">
        <v>10866</v>
      </c>
      <c r="H11" s="1476" t="s">
        <v>10867</v>
      </c>
      <c r="I11" s="1476" t="s">
        <v>10868</v>
      </c>
      <c r="J11" s="1476" t="s">
        <v>10869</v>
      </c>
      <c r="K11" s="1476" t="s">
        <v>8606</v>
      </c>
      <c r="L11" s="1476" t="s">
        <v>10870</v>
      </c>
    </row>
    <row r="12" ht="15.75" customHeight="1">
      <c r="A12" s="1649" t="s">
        <v>2008</v>
      </c>
      <c r="B12" s="1456" t="s">
        <v>8373</v>
      </c>
      <c r="C12" s="1776" t="s">
        <v>10582</v>
      </c>
      <c r="D12" s="1476" t="s">
        <v>10871</v>
      </c>
      <c r="E12" s="1476" t="s">
        <v>10872</v>
      </c>
      <c r="F12" s="1476" t="s">
        <v>10873</v>
      </c>
      <c r="G12" s="1476" t="s">
        <v>10874</v>
      </c>
      <c r="H12" s="1476" t="s">
        <v>10875</v>
      </c>
      <c r="I12" s="1476" t="s">
        <v>10876</v>
      </c>
      <c r="J12" s="1476" t="s">
        <v>10877</v>
      </c>
      <c r="K12" s="1476" t="s">
        <v>8711</v>
      </c>
      <c r="L12" s="1476"/>
    </row>
    <row r="13" ht="15.75" customHeight="1">
      <c r="A13" s="1698" t="s">
        <v>330</v>
      </c>
      <c r="B13" s="1456" t="s">
        <v>8373</v>
      </c>
      <c r="C13" s="1476" t="s">
        <v>10878</v>
      </c>
      <c r="D13" s="1476" t="s">
        <v>10879</v>
      </c>
      <c r="E13" s="1476" t="s">
        <v>10880</v>
      </c>
      <c r="F13" s="1476" t="s">
        <v>10881</v>
      </c>
      <c r="G13" s="1476" t="s">
        <v>10882</v>
      </c>
      <c r="H13" s="1476" t="s">
        <v>10883</v>
      </c>
      <c r="I13" s="1476" t="s">
        <v>10884</v>
      </c>
      <c r="J13" s="1476" t="s">
        <v>10885</v>
      </c>
      <c r="K13" s="1476" t="s">
        <v>8562</v>
      </c>
      <c r="L13" s="1476"/>
    </row>
    <row r="14" ht="16.5" customHeight="1">
      <c r="A14" s="1710" t="s">
        <v>2639</v>
      </c>
      <c r="B14" s="1456" t="s">
        <v>8373</v>
      </c>
      <c r="C14" s="1476" t="s">
        <v>10598</v>
      </c>
      <c r="D14" s="1476" t="s">
        <v>10886</v>
      </c>
      <c r="E14" s="1476" t="s">
        <v>10887</v>
      </c>
      <c r="F14" s="1476" t="s">
        <v>10888</v>
      </c>
      <c r="G14" s="1476" t="s">
        <v>10889</v>
      </c>
      <c r="H14" s="1476" t="s">
        <v>10890</v>
      </c>
      <c r="I14" s="1476" t="s">
        <v>10891</v>
      </c>
      <c r="J14" s="1476" t="s">
        <v>10892</v>
      </c>
      <c r="K14" s="1476" t="s">
        <v>10893</v>
      </c>
      <c r="L14" s="1476" t="s">
        <v>10894</v>
      </c>
    </row>
    <row r="15" ht="15.0" customHeight="1">
      <c r="A15" s="1724" t="s">
        <v>1630</v>
      </c>
      <c r="B15" s="1600" t="s">
        <v>8373</v>
      </c>
      <c r="C15" s="1777" t="s">
        <v>10895</v>
      </c>
      <c r="D15" s="1476" t="s">
        <v>10896</v>
      </c>
      <c r="E15" s="1476" t="s">
        <v>10897</v>
      </c>
      <c r="F15" s="1476" t="s">
        <v>10898</v>
      </c>
      <c r="G15" s="1476" t="s">
        <v>10899</v>
      </c>
      <c r="H15" s="1476" t="s">
        <v>10900</v>
      </c>
      <c r="I15" s="1476" t="s">
        <v>10901</v>
      </c>
      <c r="J15" s="1476" t="s">
        <v>10902</v>
      </c>
      <c r="K15" s="1476" t="s">
        <v>9061</v>
      </c>
      <c r="L15" s="1476"/>
    </row>
    <row r="16" ht="15.75" customHeight="1">
      <c r="A16" s="1632" t="s">
        <v>6325</v>
      </c>
      <c r="B16" s="1456" t="s">
        <v>8373</v>
      </c>
      <c r="C16" s="1476" t="s">
        <v>10638</v>
      </c>
      <c r="D16" s="1476" t="s">
        <v>10903</v>
      </c>
      <c r="E16" s="1476" t="s">
        <v>10904</v>
      </c>
      <c r="F16" s="1476" t="s">
        <v>10905</v>
      </c>
      <c r="G16" s="1476" t="s">
        <v>10906</v>
      </c>
      <c r="H16" s="1476" t="s">
        <v>10907</v>
      </c>
      <c r="I16" s="1476" t="s">
        <v>10908</v>
      </c>
      <c r="J16" s="1476" t="s">
        <v>10909</v>
      </c>
      <c r="K16" s="1476" t="s">
        <v>8923</v>
      </c>
      <c r="L16" s="1476" t="s">
        <v>10910</v>
      </c>
    </row>
    <row r="17" ht="15.75" customHeight="1">
      <c r="A17" s="1698" t="s">
        <v>1413</v>
      </c>
      <c r="B17" s="1456" t="s">
        <v>8373</v>
      </c>
      <c r="C17" s="1476" t="s">
        <v>10911</v>
      </c>
      <c r="D17" s="1476" t="s">
        <v>10912</v>
      </c>
      <c r="E17" s="1476" t="s">
        <v>10913</v>
      </c>
      <c r="F17" s="1476" t="s">
        <v>10914</v>
      </c>
      <c r="G17" s="1476" t="s">
        <v>10915</v>
      </c>
      <c r="H17" s="1476" t="s">
        <v>10916</v>
      </c>
      <c r="I17" s="1476" t="s">
        <v>10917</v>
      </c>
      <c r="J17" s="1476" t="s">
        <v>10918</v>
      </c>
      <c r="K17" s="1476" t="s">
        <v>8899</v>
      </c>
      <c r="L17" s="1476"/>
    </row>
    <row r="18" ht="15.75" customHeight="1">
      <c r="A18" s="1632" t="s">
        <v>3096</v>
      </c>
      <c r="B18" s="1541" t="s">
        <v>8373</v>
      </c>
      <c r="C18" s="1714" t="s">
        <v>10606</v>
      </c>
      <c r="D18" s="1696" t="s">
        <v>10919</v>
      </c>
      <c r="E18" s="1696" t="s">
        <v>10920</v>
      </c>
      <c r="F18" s="1696" t="s">
        <v>10921</v>
      </c>
      <c r="G18" s="1696" t="s">
        <v>10922</v>
      </c>
      <c r="H18" s="1696" t="s">
        <v>10923</v>
      </c>
      <c r="I18" s="1696" t="s">
        <v>10924</v>
      </c>
      <c r="J18" s="1696" t="s">
        <v>10925</v>
      </c>
      <c r="K18" s="1696" t="s">
        <v>8975</v>
      </c>
      <c r="L18" s="1476"/>
    </row>
    <row r="19" ht="15.75" customHeight="1">
      <c r="A19" s="1632" t="s">
        <v>2251</v>
      </c>
      <c r="B19" s="1609" t="s">
        <v>8373</v>
      </c>
      <c r="C19" s="1777" t="s">
        <v>10614</v>
      </c>
      <c r="D19" s="1476" t="s">
        <v>10926</v>
      </c>
      <c r="E19" s="1476" t="s">
        <v>10927</v>
      </c>
      <c r="F19" s="1476" t="s">
        <v>10928</v>
      </c>
      <c r="G19" s="1476" t="s">
        <v>10929</v>
      </c>
      <c r="H19" s="1476" t="s">
        <v>10930</v>
      </c>
      <c r="I19" s="1476" t="s">
        <v>10931</v>
      </c>
      <c r="J19" s="1476" t="s">
        <v>10932</v>
      </c>
      <c r="K19" s="1476" t="s">
        <v>8779</v>
      </c>
      <c r="L19" s="1476" t="s">
        <v>10933</v>
      </c>
    </row>
    <row r="20" ht="15.75" customHeight="1">
      <c r="A20" s="1698" t="s">
        <v>826</v>
      </c>
      <c r="B20" s="1456" t="s">
        <v>8373</v>
      </c>
      <c r="C20" s="1476" t="s">
        <v>10934</v>
      </c>
      <c r="D20" s="1476" t="s">
        <v>10935</v>
      </c>
      <c r="E20" s="1476" t="s">
        <v>10936</v>
      </c>
      <c r="F20" s="1476" t="s">
        <v>10937</v>
      </c>
      <c r="G20" s="1476" t="s">
        <v>10938</v>
      </c>
      <c r="H20" s="1476" t="s">
        <v>10939</v>
      </c>
      <c r="I20" s="1476" t="s">
        <v>10940</v>
      </c>
      <c r="J20" s="1476" t="s">
        <v>10941</v>
      </c>
      <c r="K20" s="1476" t="s">
        <v>9216</v>
      </c>
      <c r="L20" s="1476"/>
    </row>
    <row r="21" ht="15.75" customHeight="1">
      <c r="A21" s="1632" t="s">
        <v>1722</v>
      </c>
      <c r="B21" s="1541" t="s">
        <v>8373</v>
      </c>
      <c r="C21" s="1476" t="s">
        <v>10942</v>
      </c>
      <c r="D21" s="1476" t="s">
        <v>10943</v>
      </c>
      <c r="E21" s="1729" t="s">
        <v>10944</v>
      </c>
      <c r="F21" s="1476" t="s">
        <v>10945</v>
      </c>
      <c r="G21" s="1476" t="s">
        <v>10946</v>
      </c>
      <c r="H21" s="1476" t="s">
        <v>10947</v>
      </c>
      <c r="I21" s="1476" t="s">
        <v>10948</v>
      </c>
      <c r="J21" s="1476" t="s">
        <v>10949</v>
      </c>
      <c r="K21" s="1476" t="s">
        <v>8949</v>
      </c>
      <c r="L21" s="1476"/>
    </row>
    <row r="22" ht="15.75" customHeight="1">
      <c r="A22" s="1661" t="s">
        <v>8781</v>
      </c>
      <c r="B22" s="1456" t="s">
        <v>8373</v>
      </c>
      <c r="C22" s="1476" t="s">
        <v>10648</v>
      </c>
      <c r="D22" s="1476" t="s">
        <v>10950</v>
      </c>
      <c r="E22" s="1476" t="s">
        <v>10951</v>
      </c>
      <c r="F22" s="1476" t="s">
        <v>10952</v>
      </c>
      <c r="G22" s="1476" t="s">
        <v>10953</v>
      </c>
      <c r="H22" s="1476" t="s">
        <v>10954</v>
      </c>
      <c r="I22" s="1476" t="s">
        <v>10955</v>
      </c>
      <c r="J22" s="1476" t="s">
        <v>10956</v>
      </c>
      <c r="K22" s="1476" t="s">
        <v>8797</v>
      </c>
      <c r="L22" s="1476"/>
    </row>
    <row r="23" ht="15.75" customHeight="1">
      <c r="A23" s="1632" t="s">
        <v>736</v>
      </c>
      <c r="B23" s="1541" t="s">
        <v>8401</v>
      </c>
      <c r="C23" s="1476" t="s">
        <v>10957</v>
      </c>
      <c r="D23" s="1718" t="s">
        <v>10810</v>
      </c>
      <c r="E23" s="1718" t="s">
        <v>10811</v>
      </c>
      <c r="F23" s="1718" t="s">
        <v>10812</v>
      </c>
      <c r="G23" s="1718" t="s">
        <v>10813</v>
      </c>
      <c r="H23" s="1718" t="s">
        <v>10814</v>
      </c>
      <c r="I23" s="1718" t="s">
        <v>10815</v>
      </c>
      <c r="J23" s="1718" t="s">
        <v>10816</v>
      </c>
      <c r="K23" s="1718" t="s">
        <v>8755</v>
      </c>
      <c r="L23" s="1476" t="s">
        <v>10958</v>
      </c>
    </row>
    <row r="24" ht="15.75" customHeight="1">
      <c r="A24" s="1716" t="s">
        <v>1255</v>
      </c>
      <c r="B24" s="1541" t="s">
        <v>8425</v>
      </c>
      <c r="C24" s="1601" t="s">
        <v>10701</v>
      </c>
      <c r="D24" s="1601" t="s">
        <v>10817</v>
      </c>
      <c r="E24" s="1601" t="s">
        <v>10818</v>
      </c>
      <c r="F24" s="1601" t="s">
        <v>10819</v>
      </c>
      <c r="G24" s="1601" t="s">
        <v>10820</v>
      </c>
      <c r="H24" s="1601" t="s">
        <v>10821</v>
      </c>
      <c r="I24" s="1601" t="s">
        <v>10822</v>
      </c>
      <c r="J24" s="1601" t="s">
        <v>10823</v>
      </c>
      <c r="K24" s="1601" t="s">
        <v>8755</v>
      </c>
      <c r="L24" s="1476"/>
    </row>
    <row r="25" ht="16.5" customHeight="1">
      <c r="A25" s="1716" t="s">
        <v>10959</v>
      </c>
      <c r="B25" s="1541" t="s">
        <v>8373</v>
      </c>
      <c r="C25" s="1725" t="s">
        <v>10674</v>
      </c>
      <c r="D25" s="1476" t="s">
        <v>10960</v>
      </c>
      <c r="E25" s="1476" t="s">
        <v>10961</v>
      </c>
      <c r="F25" s="1476" t="s">
        <v>10962</v>
      </c>
      <c r="G25" s="1476" t="s">
        <v>10953</v>
      </c>
      <c r="H25" s="1476" t="s">
        <v>10963</v>
      </c>
      <c r="I25" s="1476" t="s">
        <v>10964</v>
      </c>
      <c r="J25" s="1476" t="s">
        <v>10965</v>
      </c>
      <c r="K25" s="1476" t="s">
        <v>9383</v>
      </c>
      <c r="L25" s="1476"/>
    </row>
    <row r="26" ht="15.75" customHeight="1">
      <c r="A26" s="1716" t="s">
        <v>2902</v>
      </c>
      <c r="B26" s="1541" t="s">
        <v>8373</v>
      </c>
      <c r="C26" s="1476" t="s">
        <v>10966</v>
      </c>
      <c r="D26" s="1476" t="s">
        <v>10967</v>
      </c>
      <c r="E26" s="1476" t="s">
        <v>10968</v>
      </c>
      <c r="F26" s="1476" t="s">
        <v>10969</v>
      </c>
      <c r="G26" s="1476" t="s">
        <v>10970</v>
      </c>
      <c r="H26" s="1476" t="s">
        <v>10971</v>
      </c>
      <c r="I26" s="1476" t="s">
        <v>10972</v>
      </c>
      <c r="J26" s="1476" t="s">
        <v>10973</v>
      </c>
      <c r="K26" s="1476" t="s">
        <v>10974</v>
      </c>
      <c r="L26" s="1476" t="s">
        <v>10975</v>
      </c>
    </row>
    <row r="27">
      <c r="A27" s="1731" t="s">
        <v>2866</v>
      </c>
      <c r="B27" s="1706" t="s">
        <v>8401</v>
      </c>
      <c r="C27" s="1777" t="s">
        <v>10976</v>
      </c>
      <c r="D27" s="1476"/>
      <c r="E27" s="1476" t="s">
        <v>10977</v>
      </c>
      <c r="F27" s="1476" t="s">
        <v>10978</v>
      </c>
      <c r="G27" s="1476"/>
      <c r="H27" s="1476"/>
      <c r="I27" s="1476"/>
      <c r="J27" s="1476"/>
      <c r="K27" s="1476" t="s">
        <v>9497</v>
      </c>
      <c r="L27" s="1476"/>
    </row>
    <row r="28">
      <c r="A28" s="1712" t="s">
        <v>2216</v>
      </c>
      <c r="B28" s="1609" t="s">
        <v>8401</v>
      </c>
      <c r="C28" s="1476" t="s">
        <v>10979</v>
      </c>
      <c r="D28" s="1476" t="s">
        <v>10980</v>
      </c>
      <c r="E28" s="1476" t="s">
        <v>10981</v>
      </c>
      <c r="F28" s="1476" t="s">
        <v>10982</v>
      </c>
      <c r="G28" s="1476" t="s">
        <v>10983</v>
      </c>
      <c r="H28" s="1476" t="s">
        <v>10984</v>
      </c>
      <c r="I28" s="1476" t="s">
        <v>10985</v>
      </c>
      <c r="J28" s="1476" t="s">
        <v>10986</v>
      </c>
      <c r="K28" s="1476" t="s">
        <v>10987</v>
      </c>
      <c r="L28" s="1476" t="s">
        <v>10988</v>
      </c>
    </row>
    <row r="29" ht="15.75" customHeight="1">
      <c r="A29" s="1632" t="s">
        <v>2572</v>
      </c>
      <c r="B29" s="1600" t="s">
        <v>8401</v>
      </c>
      <c r="C29" s="1718" t="s">
        <v>10709</v>
      </c>
      <c r="D29" s="1476" t="s">
        <v>10989</v>
      </c>
      <c r="E29" s="1476" t="s">
        <v>10990</v>
      </c>
      <c r="F29" s="1476" t="s">
        <v>10991</v>
      </c>
      <c r="G29" s="1476" t="s">
        <v>10992</v>
      </c>
      <c r="H29" s="1476" t="s">
        <v>10993</v>
      </c>
      <c r="I29" s="1476" t="s">
        <v>10994</v>
      </c>
      <c r="J29" s="1476" t="s">
        <v>10995</v>
      </c>
      <c r="K29" s="1476" t="s">
        <v>9360</v>
      </c>
      <c r="L29" s="1476"/>
    </row>
    <row r="30" ht="15.75" customHeight="1">
      <c r="A30" s="1716" t="s">
        <v>5383</v>
      </c>
      <c r="B30" s="1541" t="s">
        <v>8373</v>
      </c>
      <c r="C30" s="1777" t="s">
        <v>10996</v>
      </c>
      <c r="D30" s="1476" t="s">
        <v>10997</v>
      </c>
      <c r="E30" s="1476" t="s">
        <v>10998</v>
      </c>
      <c r="F30" s="1476" t="s">
        <v>10999</v>
      </c>
      <c r="G30" s="1476" t="s">
        <v>11000</v>
      </c>
      <c r="H30" s="1476" t="s">
        <v>11001</v>
      </c>
      <c r="I30" s="1476" t="s">
        <v>11002</v>
      </c>
      <c r="J30" s="1476" t="s">
        <v>11003</v>
      </c>
      <c r="K30" s="1476" t="s">
        <v>11004</v>
      </c>
      <c r="L30" s="1476" t="s">
        <v>11005</v>
      </c>
    </row>
    <row r="31" ht="15.75" customHeight="1">
      <c r="A31" s="1716" t="s">
        <v>4870</v>
      </c>
      <c r="B31" s="1541" t="s">
        <v>8401</v>
      </c>
      <c r="C31" s="1777" t="s">
        <v>10795</v>
      </c>
      <c r="D31" s="1476" t="s">
        <v>11006</v>
      </c>
      <c r="E31" s="1476" t="s">
        <v>11007</v>
      </c>
      <c r="F31" s="1476" t="s">
        <v>11008</v>
      </c>
      <c r="G31" s="1476" t="s">
        <v>11009</v>
      </c>
      <c r="H31" s="1476" t="s">
        <v>11010</v>
      </c>
      <c r="I31" s="1476" t="s">
        <v>11011</v>
      </c>
      <c r="J31" s="1476" t="s">
        <v>11012</v>
      </c>
      <c r="K31" s="1476" t="s">
        <v>10449</v>
      </c>
      <c r="L31" s="1476" t="s">
        <v>11013</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11014</v>
      </c>
      <c r="C1" s="1782" t="s">
        <v>43</v>
      </c>
      <c r="D1" s="1783" t="s">
        <v>11015</v>
      </c>
      <c r="E1" s="1782" t="s">
        <v>11016</v>
      </c>
      <c r="F1" s="1784" t="s">
        <v>11017</v>
      </c>
    </row>
    <row r="2">
      <c r="A2" s="1785"/>
      <c r="B2" s="1786"/>
      <c r="C2" s="1786"/>
      <c r="D2" s="1786"/>
      <c r="E2" s="1786"/>
      <c r="F2" s="1786"/>
    </row>
    <row r="3">
      <c r="A3" s="1785"/>
      <c r="B3" s="1786"/>
      <c r="C3" s="1786"/>
      <c r="D3" s="1786"/>
      <c r="E3" s="1786"/>
      <c r="F3" s="1786"/>
    </row>
    <row r="4">
      <c r="A4" s="1787" t="s">
        <v>11018</v>
      </c>
      <c r="B4" s="1788" t="s">
        <v>11019</v>
      </c>
      <c r="C4" s="1789"/>
      <c r="D4" s="1789"/>
      <c r="E4" s="1789"/>
      <c r="F4" s="1790"/>
    </row>
    <row r="5">
      <c r="A5" s="1786"/>
      <c r="B5" s="1791"/>
      <c r="C5" s="1792"/>
      <c r="D5" s="1792"/>
      <c r="E5" s="1792"/>
      <c r="F5" s="1793"/>
    </row>
    <row r="6">
      <c r="A6" s="1794" t="s">
        <v>11019</v>
      </c>
      <c r="B6" s="1795" t="s">
        <v>11020</v>
      </c>
      <c r="C6" s="1796" t="s">
        <v>4259</v>
      </c>
      <c r="D6" s="1797" t="s">
        <v>11021</v>
      </c>
      <c r="E6" s="1796" t="s">
        <v>11022</v>
      </c>
      <c r="F6" s="1798">
        <v>44233.0</v>
      </c>
    </row>
    <row r="7">
      <c r="A7" s="1794" t="s">
        <v>11023</v>
      </c>
      <c r="B7" s="1799" t="s">
        <v>11024</v>
      </c>
      <c r="C7" s="1796" t="s">
        <v>826</v>
      </c>
      <c r="D7" s="1797" t="s">
        <v>11025</v>
      </c>
      <c r="E7" s="1796" t="s">
        <v>11022</v>
      </c>
      <c r="F7" s="1798">
        <v>43878.0</v>
      </c>
    </row>
    <row r="8">
      <c r="A8" s="1794" t="s">
        <v>11026</v>
      </c>
      <c r="B8" s="1800" t="s">
        <v>11027</v>
      </c>
      <c r="C8" s="1796" t="s">
        <v>330</v>
      </c>
      <c r="D8" s="1797" t="s">
        <v>11028</v>
      </c>
      <c r="E8" s="1796" t="s">
        <v>11022</v>
      </c>
      <c r="F8" s="1798">
        <v>43879.0</v>
      </c>
    </row>
    <row r="9">
      <c r="A9" s="1794" t="s">
        <v>11029</v>
      </c>
      <c r="B9" s="1801" t="s">
        <v>11030</v>
      </c>
      <c r="C9" s="1796" t="s">
        <v>3985</v>
      </c>
      <c r="D9" s="1797" t="s">
        <v>11031</v>
      </c>
      <c r="E9" s="1796" t="s">
        <v>11032</v>
      </c>
      <c r="F9" s="1798">
        <v>44084.0</v>
      </c>
    </row>
    <row r="10">
      <c r="A10" s="1794" t="s">
        <v>11033</v>
      </c>
      <c r="B10" s="1801" t="s">
        <v>11034</v>
      </c>
      <c r="C10" s="1802"/>
      <c r="D10" s="1803"/>
      <c r="E10" s="1802"/>
      <c r="F10" s="1802"/>
    </row>
    <row r="11">
      <c r="A11" s="1794" t="s">
        <v>11035</v>
      </c>
      <c r="B11" s="1788" t="s">
        <v>11023</v>
      </c>
      <c r="C11" s="1789"/>
      <c r="D11" s="1789"/>
      <c r="E11" s="1789"/>
      <c r="F11" s="1790"/>
    </row>
    <row r="12">
      <c r="A12" s="1794" t="s">
        <v>11036</v>
      </c>
      <c r="B12" s="1791"/>
      <c r="C12" s="1792"/>
      <c r="D12" s="1792"/>
      <c r="E12" s="1792"/>
      <c r="F12" s="1793"/>
    </row>
    <row r="13">
      <c r="A13" s="1794" t="s">
        <v>11037</v>
      </c>
      <c r="B13" s="1795" t="s">
        <v>11020</v>
      </c>
      <c r="C13" s="1796" t="s">
        <v>4259</v>
      </c>
      <c r="D13" s="1797" t="s">
        <v>11038</v>
      </c>
      <c r="E13" s="1796" t="s">
        <v>11022</v>
      </c>
      <c r="F13" s="1798">
        <v>44250.0</v>
      </c>
    </row>
    <row r="14" ht="15.75" customHeight="1">
      <c r="A14" s="1794" t="s">
        <v>11039</v>
      </c>
      <c r="B14" s="1799" t="s">
        <v>11024</v>
      </c>
      <c r="C14" s="1796" t="s">
        <v>4229</v>
      </c>
      <c r="D14" s="1797" t="s">
        <v>11040</v>
      </c>
      <c r="E14" s="1796" t="s">
        <v>11022</v>
      </c>
      <c r="F14" s="1798">
        <v>43364.0</v>
      </c>
    </row>
    <row r="15">
      <c r="A15" s="1794" t="s">
        <v>11041</v>
      </c>
      <c r="B15" s="1800" t="s">
        <v>11027</v>
      </c>
      <c r="C15" s="1796" t="s">
        <v>11042</v>
      </c>
      <c r="D15" s="1797" t="s">
        <v>11043</v>
      </c>
      <c r="E15" s="1796" t="s">
        <v>11032</v>
      </c>
      <c r="F15" s="1798">
        <v>43757.0</v>
      </c>
    </row>
    <row r="16">
      <c r="A16" s="1794" t="s">
        <v>11044</v>
      </c>
      <c r="B16" s="1801" t="s">
        <v>11030</v>
      </c>
      <c r="C16" s="1796" t="s">
        <v>11045</v>
      </c>
      <c r="D16" s="1797" t="s">
        <v>11046</v>
      </c>
      <c r="E16" s="1796" t="s">
        <v>11032</v>
      </c>
      <c r="F16" s="1798">
        <v>43438.0</v>
      </c>
    </row>
    <row r="17">
      <c r="A17" s="1794" t="s">
        <v>11047</v>
      </c>
      <c r="B17" s="1801" t="s">
        <v>11034</v>
      </c>
      <c r="C17" s="1802"/>
      <c r="D17" s="1803"/>
      <c r="E17" s="1802"/>
      <c r="F17" s="1802"/>
    </row>
    <row r="18">
      <c r="A18" s="1794" t="s">
        <v>11048</v>
      </c>
      <c r="B18" s="1804" t="s">
        <v>11026</v>
      </c>
      <c r="C18" s="1789"/>
      <c r="D18" s="1789"/>
      <c r="E18" s="1789"/>
      <c r="F18" s="1790"/>
    </row>
    <row r="19">
      <c r="A19" s="1794" t="s">
        <v>11049</v>
      </c>
      <c r="B19" s="1792"/>
      <c r="C19" s="1792"/>
      <c r="D19" s="1792"/>
      <c r="E19" s="1792"/>
      <c r="F19" s="1793"/>
    </row>
    <row r="20">
      <c r="A20" s="1805"/>
      <c r="B20" s="1795" t="s">
        <v>11020</v>
      </c>
      <c r="C20" s="1796" t="s">
        <v>11050</v>
      </c>
      <c r="D20" s="1797" t="s">
        <v>11051</v>
      </c>
      <c r="E20" s="1796" t="s">
        <v>11022</v>
      </c>
      <c r="F20" s="1798">
        <v>44021.0</v>
      </c>
    </row>
    <row r="21">
      <c r="A21" s="1805"/>
      <c r="B21" s="1799" t="s">
        <v>11024</v>
      </c>
      <c r="C21" s="1796" t="s">
        <v>5198</v>
      </c>
      <c r="D21" s="1797" t="s">
        <v>11052</v>
      </c>
      <c r="E21" s="1796" t="s">
        <v>11032</v>
      </c>
      <c r="F21" s="1798">
        <v>44022.0</v>
      </c>
    </row>
    <row r="22">
      <c r="A22" s="1806"/>
      <c r="B22" s="1800" t="s">
        <v>11027</v>
      </c>
      <c r="C22" s="1796" t="s">
        <v>11053</v>
      </c>
      <c r="D22" s="1797" t="s">
        <v>11054</v>
      </c>
      <c r="E22" s="1796" t="s">
        <v>11055</v>
      </c>
      <c r="F22" s="1798">
        <v>43884.0</v>
      </c>
    </row>
    <row r="23">
      <c r="A23" s="1806"/>
      <c r="B23" s="1801" t="s">
        <v>11030</v>
      </c>
      <c r="C23" s="1796" t="s">
        <v>5383</v>
      </c>
      <c r="D23" s="1797" t="s">
        <v>11056</v>
      </c>
      <c r="E23" s="1796" t="s">
        <v>11022</v>
      </c>
      <c r="F23" s="1798">
        <v>43892.0</v>
      </c>
    </row>
    <row r="24">
      <c r="A24" s="1806"/>
      <c r="B24" s="1801" t="s">
        <v>11034</v>
      </c>
      <c r="C24" s="1802"/>
      <c r="D24" s="1803"/>
      <c r="E24" s="1802"/>
      <c r="F24" s="1802"/>
    </row>
    <row r="25">
      <c r="A25" s="1806"/>
      <c r="B25" s="1788" t="s">
        <v>11029</v>
      </c>
      <c r="C25" s="1789"/>
      <c r="D25" s="1789"/>
      <c r="E25" s="1789"/>
      <c r="F25" s="1790"/>
    </row>
    <row r="26">
      <c r="A26" s="1806"/>
      <c r="B26" s="1791"/>
      <c r="C26" s="1792"/>
      <c r="D26" s="1792"/>
      <c r="E26" s="1792"/>
      <c r="F26" s="1793"/>
    </row>
    <row r="27">
      <c r="A27" s="1806"/>
      <c r="B27" s="1807" t="s">
        <v>11057</v>
      </c>
      <c r="C27" s="1789"/>
      <c r="D27" s="1789"/>
      <c r="E27" s="1789"/>
      <c r="F27" s="1790"/>
    </row>
    <row r="28">
      <c r="A28" s="1806"/>
      <c r="B28" s="1791"/>
      <c r="C28" s="1792"/>
      <c r="D28" s="1792"/>
      <c r="E28" s="1792"/>
      <c r="F28" s="1793"/>
    </row>
    <row r="29">
      <c r="A29" s="1806"/>
      <c r="B29" s="1795" t="s">
        <v>11020</v>
      </c>
      <c r="C29" s="1808" t="s">
        <v>436</v>
      </c>
      <c r="D29" s="1797" t="s">
        <v>11058</v>
      </c>
      <c r="E29" s="1796" t="s">
        <v>11022</v>
      </c>
      <c r="F29" s="1798">
        <v>43659.0</v>
      </c>
    </row>
    <row r="30">
      <c r="A30" s="1806"/>
      <c r="B30" s="1799" t="s">
        <v>11024</v>
      </c>
      <c r="C30" s="1796" t="s">
        <v>1630</v>
      </c>
      <c r="D30" s="1797" t="s">
        <v>11059</v>
      </c>
      <c r="E30" s="1796" t="s">
        <v>11022</v>
      </c>
      <c r="F30" s="1798">
        <v>43228.0</v>
      </c>
    </row>
    <row r="31">
      <c r="A31" s="1806"/>
      <c r="B31" s="1800" t="s">
        <v>11027</v>
      </c>
      <c r="C31" s="1802"/>
      <c r="D31" s="1809"/>
      <c r="E31" s="1802"/>
      <c r="F31" s="1802"/>
    </row>
    <row r="32">
      <c r="A32" s="1806"/>
      <c r="B32" s="1801" t="s">
        <v>11030</v>
      </c>
      <c r="C32" s="1802"/>
      <c r="D32" s="1809"/>
      <c r="E32" s="1802"/>
      <c r="F32" s="1802"/>
    </row>
    <row r="33">
      <c r="A33" s="1806"/>
      <c r="B33" s="1801" t="s">
        <v>11034</v>
      </c>
      <c r="C33" s="1802"/>
      <c r="D33" s="1809"/>
      <c r="E33" s="1802"/>
      <c r="F33" s="1802"/>
    </row>
    <row r="34">
      <c r="A34" s="1806"/>
      <c r="B34" s="1807" t="s">
        <v>11060</v>
      </c>
      <c r="C34" s="1789"/>
      <c r="D34" s="1789"/>
      <c r="E34" s="1789"/>
      <c r="F34" s="1790"/>
    </row>
    <row r="35">
      <c r="A35" s="1806"/>
      <c r="B35" s="1791"/>
      <c r="C35" s="1792"/>
      <c r="D35" s="1792"/>
      <c r="E35" s="1792"/>
      <c r="F35" s="1793"/>
    </row>
    <row r="36">
      <c r="A36" s="1806"/>
      <c r="B36" s="1795" t="s">
        <v>11020</v>
      </c>
      <c r="C36" s="1796" t="s">
        <v>1630</v>
      </c>
      <c r="D36" s="1797" t="s">
        <v>11061</v>
      </c>
      <c r="E36" s="1796" t="s">
        <v>11022</v>
      </c>
      <c r="F36" s="1798">
        <v>43352.0</v>
      </c>
    </row>
    <row r="37">
      <c r="A37" s="1806"/>
      <c r="B37" s="1799" t="s">
        <v>11024</v>
      </c>
      <c r="C37" s="1796" t="s">
        <v>11062</v>
      </c>
      <c r="D37" s="1797" t="s">
        <v>11063</v>
      </c>
      <c r="E37" s="1796" t="s">
        <v>11022</v>
      </c>
      <c r="F37" s="1798">
        <v>43799.0</v>
      </c>
    </row>
    <row r="38">
      <c r="A38" s="1806"/>
      <c r="B38" s="1800" t="s">
        <v>11027</v>
      </c>
      <c r="C38" s="1802"/>
      <c r="D38" s="1803"/>
      <c r="E38" s="1802"/>
      <c r="F38" s="1802"/>
    </row>
    <row r="39">
      <c r="A39" s="1806"/>
      <c r="B39" s="1801" t="s">
        <v>11030</v>
      </c>
      <c r="C39" s="1802"/>
      <c r="D39" s="1803"/>
      <c r="E39" s="1802"/>
      <c r="F39" s="1802"/>
    </row>
    <row r="40">
      <c r="A40" s="1806"/>
      <c r="B40" s="1801" t="s">
        <v>11034</v>
      </c>
      <c r="C40" s="1802"/>
      <c r="D40" s="1803"/>
      <c r="E40" s="1802"/>
      <c r="F40" s="1802"/>
    </row>
    <row r="41">
      <c r="A41" s="1806"/>
      <c r="B41" s="1788" t="s">
        <v>11033</v>
      </c>
      <c r="C41" s="1789"/>
      <c r="D41" s="1789"/>
      <c r="E41" s="1789"/>
      <c r="F41" s="1790"/>
    </row>
    <row r="42">
      <c r="A42" s="1806"/>
      <c r="B42" s="1791"/>
      <c r="C42" s="1792"/>
      <c r="D42" s="1792"/>
      <c r="E42" s="1792"/>
      <c r="F42" s="1793"/>
    </row>
    <row r="43">
      <c r="A43" s="1806"/>
      <c r="B43" s="1795" t="s">
        <v>11020</v>
      </c>
      <c r="C43" s="1796" t="s">
        <v>7076</v>
      </c>
      <c r="D43" s="1810" t="s">
        <v>11064</v>
      </c>
      <c r="E43" s="1796" t="s">
        <v>11022</v>
      </c>
      <c r="F43" s="1811">
        <v>44511.0</v>
      </c>
    </row>
    <row r="44">
      <c r="A44" s="1806"/>
      <c r="B44" s="1799" t="s">
        <v>11024</v>
      </c>
      <c r="C44" s="1796" t="s">
        <v>11062</v>
      </c>
      <c r="D44" s="1810" t="s">
        <v>11065</v>
      </c>
      <c r="E44" s="1796" t="s">
        <v>11022</v>
      </c>
      <c r="F44" s="1811">
        <v>43740.0</v>
      </c>
    </row>
    <row r="45">
      <c r="A45" s="1806"/>
      <c r="B45" s="1800" t="s">
        <v>11027</v>
      </c>
      <c r="C45" s="1796" t="s">
        <v>10134</v>
      </c>
      <c r="D45" s="1810" t="s">
        <v>11066</v>
      </c>
      <c r="E45" s="1796" t="s">
        <v>11022</v>
      </c>
      <c r="F45" s="1811">
        <v>42098.0</v>
      </c>
    </row>
    <row r="46">
      <c r="A46" s="1806"/>
      <c r="B46" s="1801" t="s">
        <v>11030</v>
      </c>
      <c r="C46" s="1796"/>
      <c r="D46" s="1810"/>
      <c r="E46" s="1796"/>
      <c r="F46" s="1811"/>
    </row>
    <row r="47">
      <c r="A47" s="1806"/>
      <c r="B47" s="1801" t="s">
        <v>11034</v>
      </c>
      <c r="C47" s="1802"/>
      <c r="D47" s="1812"/>
      <c r="E47" s="1802"/>
      <c r="F47" s="1806"/>
    </row>
    <row r="48">
      <c r="A48" s="1806"/>
      <c r="B48" s="1788" t="s">
        <v>11035</v>
      </c>
      <c r="C48" s="1789"/>
      <c r="D48" s="1789"/>
      <c r="E48" s="1789"/>
      <c r="F48" s="1790"/>
    </row>
    <row r="49">
      <c r="A49" s="1806"/>
      <c r="B49" s="1791"/>
      <c r="C49" s="1792"/>
      <c r="D49" s="1792"/>
      <c r="E49" s="1792"/>
      <c r="F49" s="1793"/>
    </row>
    <row r="50">
      <c r="A50" s="1806"/>
      <c r="B50" s="1795" t="s">
        <v>11020</v>
      </c>
      <c r="C50" s="1796" t="s">
        <v>11067</v>
      </c>
      <c r="D50" s="1810" t="s">
        <v>11068</v>
      </c>
      <c r="E50" s="1796" t="s">
        <v>11069</v>
      </c>
      <c r="F50" s="1811">
        <v>43395.0</v>
      </c>
    </row>
    <row r="51">
      <c r="A51" s="1806"/>
      <c r="B51" s="1799" t="s">
        <v>11024</v>
      </c>
      <c r="C51" s="1796" t="s">
        <v>2251</v>
      </c>
      <c r="D51" s="1810" t="s">
        <v>11070</v>
      </c>
      <c r="E51" s="1796" t="s">
        <v>11032</v>
      </c>
      <c r="F51" s="1811">
        <v>43376.0</v>
      </c>
    </row>
    <row r="52">
      <c r="A52" s="1806"/>
      <c r="B52" s="1800" t="s">
        <v>11027</v>
      </c>
      <c r="C52" s="1802"/>
      <c r="D52" s="1812"/>
      <c r="E52" s="1802"/>
      <c r="F52" s="1806"/>
    </row>
    <row r="53">
      <c r="A53" s="1806"/>
      <c r="B53" s="1801" t="s">
        <v>11030</v>
      </c>
      <c r="C53" s="1802"/>
      <c r="D53" s="1812"/>
      <c r="E53" s="1802"/>
      <c r="F53" s="1806"/>
    </row>
    <row r="54">
      <c r="A54" s="1806"/>
      <c r="B54" s="1801" t="s">
        <v>11034</v>
      </c>
      <c r="C54" s="1802"/>
      <c r="D54" s="1812"/>
      <c r="E54" s="1802"/>
      <c r="F54" s="1806"/>
    </row>
    <row r="55">
      <c r="A55" s="1806"/>
      <c r="B55" s="1788" t="s">
        <v>11036</v>
      </c>
      <c r="C55" s="1789"/>
      <c r="D55" s="1789"/>
      <c r="E55" s="1789"/>
      <c r="F55" s="1790"/>
    </row>
    <row r="56">
      <c r="A56" s="1806"/>
      <c r="B56" s="1791"/>
      <c r="C56" s="1792"/>
      <c r="D56" s="1792"/>
      <c r="E56" s="1792"/>
      <c r="F56" s="1793"/>
    </row>
    <row r="57">
      <c r="A57" s="1806"/>
      <c r="B57" s="1813" t="s">
        <v>11071</v>
      </c>
      <c r="C57" s="1789"/>
      <c r="D57" s="1789"/>
      <c r="E57" s="1789"/>
      <c r="F57" s="1790"/>
    </row>
    <row r="58">
      <c r="A58" s="1806"/>
      <c r="B58" s="1791"/>
      <c r="C58" s="1792"/>
      <c r="D58" s="1792"/>
      <c r="E58" s="1792"/>
      <c r="F58" s="1793"/>
    </row>
    <row r="59">
      <c r="A59" s="1806"/>
      <c r="B59" s="1795" t="s">
        <v>11020</v>
      </c>
      <c r="C59" s="1814" t="s">
        <v>436</v>
      </c>
      <c r="D59" s="1810" t="s">
        <v>11072</v>
      </c>
      <c r="E59" s="1796" t="s">
        <v>11022</v>
      </c>
      <c r="F59" s="1811">
        <v>43758.0</v>
      </c>
    </row>
    <row r="60">
      <c r="A60" s="1806"/>
      <c r="B60" s="1799" t="s">
        <v>11024</v>
      </c>
      <c r="C60" s="1802"/>
      <c r="D60" s="1812"/>
      <c r="E60" s="1802"/>
      <c r="F60" s="1806"/>
    </row>
    <row r="61">
      <c r="A61" s="1806"/>
      <c r="B61" s="1800" t="s">
        <v>11027</v>
      </c>
      <c r="C61" s="1802"/>
      <c r="D61" s="1812"/>
      <c r="E61" s="1802"/>
      <c r="F61" s="1806"/>
    </row>
    <row r="62">
      <c r="A62" s="1806"/>
      <c r="B62" s="1801" t="s">
        <v>11030</v>
      </c>
      <c r="C62" s="1802"/>
      <c r="D62" s="1812"/>
      <c r="E62" s="1802"/>
      <c r="F62" s="1806"/>
    </row>
    <row r="63">
      <c r="A63" s="1806"/>
      <c r="B63" s="1801" t="s">
        <v>11034</v>
      </c>
      <c r="C63" s="1802"/>
      <c r="D63" s="1812"/>
      <c r="E63" s="1802"/>
      <c r="F63" s="1806"/>
    </row>
    <row r="64">
      <c r="A64" s="1806"/>
      <c r="B64" s="1813" t="s">
        <v>11060</v>
      </c>
      <c r="C64" s="1789"/>
      <c r="D64" s="1789"/>
      <c r="E64" s="1789"/>
      <c r="F64" s="1790"/>
    </row>
    <row r="65">
      <c r="A65" s="1806"/>
      <c r="B65" s="1791"/>
      <c r="C65" s="1792"/>
      <c r="D65" s="1792"/>
      <c r="E65" s="1792"/>
      <c r="F65" s="1793"/>
    </row>
    <row r="66">
      <c r="A66" s="1806"/>
      <c r="B66" s="1795" t="s">
        <v>11020</v>
      </c>
      <c r="C66" s="1796" t="s">
        <v>11073</v>
      </c>
      <c r="D66" s="1815" t="s">
        <v>11074</v>
      </c>
      <c r="E66" s="1796" t="s">
        <v>11022</v>
      </c>
      <c r="F66" s="1811">
        <v>44805.0</v>
      </c>
    </row>
    <row r="67">
      <c r="A67" s="1806"/>
      <c r="B67" s="1799" t="s">
        <v>11024</v>
      </c>
      <c r="C67" s="1796" t="s">
        <v>11075</v>
      </c>
      <c r="D67" s="1810" t="s">
        <v>11076</v>
      </c>
      <c r="E67" s="1796" t="s">
        <v>11022</v>
      </c>
      <c r="F67" s="1811">
        <v>43307.0</v>
      </c>
    </row>
    <row r="68">
      <c r="A68" s="1806"/>
      <c r="B68" s="1800" t="s">
        <v>11027</v>
      </c>
      <c r="C68" s="1802"/>
      <c r="D68" s="1812"/>
      <c r="E68" s="1802"/>
      <c r="F68" s="1806"/>
    </row>
    <row r="69">
      <c r="A69" s="1806"/>
      <c r="B69" s="1801" t="s">
        <v>11030</v>
      </c>
      <c r="C69" s="1802"/>
      <c r="D69" s="1812"/>
      <c r="E69" s="1802"/>
      <c r="F69" s="1806"/>
    </row>
    <row r="70">
      <c r="A70" s="1806"/>
      <c r="B70" s="1801" t="s">
        <v>11034</v>
      </c>
      <c r="C70" s="1802"/>
      <c r="D70" s="1812"/>
      <c r="E70" s="1802"/>
      <c r="F70" s="1806"/>
    </row>
    <row r="71">
      <c r="A71" s="1806"/>
      <c r="B71" s="1788" t="s">
        <v>11037</v>
      </c>
      <c r="C71" s="1789"/>
      <c r="D71" s="1789"/>
      <c r="E71" s="1789"/>
      <c r="F71" s="1790"/>
    </row>
    <row r="72">
      <c r="A72" s="1806"/>
      <c r="B72" s="1791"/>
      <c r="C72" s="1792"/>
      <c r="D72" s="1792"/>
      <c r="E72" s="1792"/>
      <c r="F72" s="1793"/>
    </row>
    <row r="73">
      <c r="A73" s="1806"/>
      <c r="B73" s="1813" t="s">
        <v>11077</v>
      </c>
      <c r="C73" s="1789"/>
      <c r="D73" s="1789"/>
      <c r="E73" s="1789"/>
      <c r="F73" s="1790"/>
    </row>
    <row r="74">
      <c r="A74" s="1806"/>
      <c r="B74" s="1791"/>
      <c r="C74" s="1792"/>
      <c r="D74" s="1792"/>
      <c r="E74" s="1792"/>
      <c r="F74" s="1793"/>
    </row>
    <row r="75">
      <c r="A75" s="1806"/>
      <c r="B75" s="1795" t="s">
        <v>11020</v>
      </c>
      <c r="C75" s="1796" t="s">
        <v>4259</v>
      </c>
      <c r="D75" s="1810" t="s">
        <v>11078</v>
      </c>
      <c r="E75" s="1796" t="s">
        <v>11022</v>
      </c>
      <c r="F75" s="1811">
        <v>44246.0</v>
      </c>
    </row>
    <row r="76">
      <c r="A76" s="1806"/>
      <c r="B76" s="1799" t="s">
        <v>11024</v>
      </c>
      <c r="C76" s="1796" t="s">
        <v>11067</v>
      </c>
      <c r="D76" s="1810" t="s">
        <v>11079</v>
      </c>
      <c r="E76" s="1796" t="s">
        <v>11069</v>
      </c>
      <c r="F76" s="1811">
        <v>43637.0</v>
      </c>
    </row>
    <row r="77">
      <c r="A77" s="1806"/>
      <c r="B77" s="1800" t="s">
        <v>11027</v>
      </c>
      <c r="C77" s="1802"/>
      <c r="D77" s="1812"/>
      <c r="E77" s="1802"/>
      <c r="F77" s="1806"/>
    </row>
    <row r="78">
      <c r="A78" s="1806"/>
      <c r="B78" s="1801" t="s">
        <v>11030</v>
      </c>
      <c r="C78" s="1802"/>
      <c r="D78" s="1812"/>
      <c r="E78" s="1802"/>
      <c r="F78" s="1806"/>
    </row>
    <row r="79">
      <c r="A79" s="1806"/>
      <c r="B79" s="1801" t="s">
        <v>11034</v>
      </c>
      <c r="C79" s="1802"/>
      <c r="D79" s="1812"/>
      <c r="E79" s="1802"/>
      <c r="F79" s="1806"/>
    </row>
    <row r="80">
      <c r="A80" s="1806"/>
      <c r="B80" s="1813" t="s">
        <v>11080</v>
      </c>
      <c r="C80" s="1789"/>
      <c r="D80" s="1789"/>
      <c r="E80" s="1789"/>
      <c r="F80" s="1790"/>
    </row>
    <row r="81">
      <c r="A81" s="1806"/>
      <c r="B81" s="1791"/>
      <c r="C81" s="1792"/>
      <c r="D81" s="1792"/>
      <c r="E81" s="1792"/>
      <c r="F81" s="1793"/>
    </row>
    <row r="82">
      <c r="A82" s="1806"/>
      <c r="B82" s="1795" t="s">
        <v>11020</v>
      </c>
      <c r="C82" s="1796" t="s">
        <v>6095</v>
      </c>
      <c r="D82" s="1810" t="s">
        <v>11081</v>
      </c>
      <c r="E82" s="1796" t="s">
        <v>11022</v>
      </c>
      <c r="F82" s="1811">
        <v>43592.0</v>
      </c>
    </row>
    <row r="83">
      <c r="A83" s="1806"/>
      <c r="B83" s="1799" t="s">
        <v>11024</v>
      </c>
      <c r="C83" s="1796" t="s">
        <v>11082</v>
      </c>
      <c r="D83" s="1810" t="s">
        <v>11083</v>
      </c>
      <c r="E83" s="1796" t="s">
        <v>11022</v>
      </c>
      <c r="F83" s="1811">
        <v>43396.0</v>
      </c>
    </row>
    <row r="84">
      <c r="A84" s="1806"/>
      <c r="B84" s="1800" t="s">
        <v>11027</v>
      </c>
      <c r="C84" s="1802"/>
      <c r="D84" s="1812"/>
      <c r="E84" s="1802"/>
      <c r="F84" s="1806"/>
    </row>
    <row r="85">
      <c r="A85" s="1806"/>
      <c r="B85" s="1801" t="s">
        <v>11030</v>
      </c>
      <c r="C85" s="1802"/>
      <c r="D85" s="1812"/>
      <c r="E85" s="1802"/>
      <c r="F85" s="1806"/>
    </row>
    <row r="86">
      <c r="A86" s="1806"/>
      <c r="B86" s="1801" t="s">
        <v>11034</v>
      </c>
      <c r="C86" s="1802"/>
      <c r="D86" s="1812"/>
      <c r="E86" s="1802"/>
      <c r="F86" s="1806"/>
    </row>
    <row r="87">
      <c r="A87" s="1806"/>
      <c r="B87" s="1788" t="s">
        <v>11039</v>
      </c>
      <c r="C87" s="1789"/>
      <c r="D87" s="1789"/>
      <c r="E87" s="1789"/>
      <c r="F87" s="1790"/>
    </row>
    <row r="88">
      <c r="A88" s="1806"/>
      <c r="B88" s="1791"/>
      <c r="C88" s="1792"/>
      <c r="D88" s="1792"/>
      <c r="E88" s="1792"/>
      <c r="F88" s="1793"/>
    </row>
    <row r="89">
      <c r="A89" s="1806"/>
      <c r="B89" s="1795" t="s">
        <v>11020</v>
      </c>
      <c r="C89" s="1814" t="s">
        <v>436</v>
      </c>
      <c r="D89" s="1810" t="s">
        <v>11084</v>
      </c>
      <c r="E89" s="1796" t="s">
        <v>11022</v>
      </c>
      <c r="F89" s="1811">
        <v>43457.0</v>
      </c>
    </row>
    <row r="90">
      <c r="A90" s="1806"/>
      <c r="B90" s="1799" t="s">
        <v>11024</v>
      </c>
      <c r="C90" s="1796" t="s">
        <v>2453</v>
      </c>
      <c r="D90" s="1810" t="s">
        <v>11085</v>
      </c>
      <c r="E90" s="1796" t="s">
        <v>11022</v>
      </c>
      <c r="F90" s="1811">
        <v>43925.0</v>
      </c>
    </row>
    <row r="91">
      <c r="A91" s="1806"/>
      <c r="B91" s="1800" t="s">
        <v>11027</v>
      </c>
      <c r="C91" s="1796" t="s">
        <v>4702</v>
      </c>
      <c r="D91" s="1810" t="s">
        <v>11086</v>
      </c>
      <c r="E91" s="1796" t="s">
        <v>11055</v>
      </c>
      <c r="F91" s="1811">
        <v>43433.0</v>
      </c>
    </row>
    <row r="92">
      <c r="A92" s="1806"/>
      <c r="B92" s="1801" t="s">
        <v>11030</v>
      </c>
      <c r="C92" s="1802"/>
      <c r="D92" s="1812"/>
      <c r="E92" s="1802"/>
      <c r="F92" s="1806"/>
    </row>
    <row r="93">
      <c r="A93" s="1806"/>
      <c r="B93" s="1801" t="s">
        <v>11034</v>
      </c>
      <c r="C93" s="1802"/>
      <c r="D93" s="1812"/>
      <c r="E93" s="1802"/>
      <c r="F93" s="1806"/>
    </row>
    <row r="94">
      <c r="A94" s="1806"/>
      <c r="B94" s="1788" t="s">
        <v>11041</v>
      </c>
      <c r="C94" s="1789"/>
      <c r="D94" s="1789"/>
      <c r="E94" s="1789"/>
      <c r="F94" s="1790"/>
    </row>
    <row r="95">
      <c r="A95" s="1806"/>
      <c r="B95" s="1791"/>
      <c r="C95" s="1792"/>
      <c r="D95" s="1792"/>
      <c r="E95" s="1792"/>
      <c r="F95" s="1793"/>
    </row>
    <row r="96">
      <c r="A96" s="1806"/>
      <c r="B96" s="1813" t="s">
        <v>11087</v>
      </c>
      <c r="C96" s="1789"/>
      <c r="D96" s="1789"/>
      <c r="E96" s="1789"/>
      <c r="F96" s="1790"/>
    </row>
    <row r="97">
      <c r="A97" s="1806"/>
      <c r="B97" s="1791"/>
      <c r="C97" s="1792"/>
      <c r="D97" s="1792"/>
      <c r="E97" s="1792"/>
      <c r="F97" s="1793"/>
    </row>
    <row r="98">
      <c r="A98" s="1806"/>
      <c r="B98" s="1795" t="s">
        <v>11020</v>
      </c>
      <c r="C98" s="1796" t="s">
        <v>11062</v>
      </c>
      <c r="D98" s="1810" t="s">
        <v>11088</v>
      </c>
      <c r="E98" s="1796" t="s">
        <v>11022</v>
      </c>
      <c r="F98" s="1811">
        <v>43862.0</v>
      </c>
    </row>
    <row r="99">
      <c r="A99" s="1806"/>
      <c r="B99" s="1799" t="s">
        <v>11024</v>
      </c>
      <c r="C99" s="1802"/>
      <c r="D99" s="1812"/>
      <c r="E99" s="1802"/>
      <c r="F99" s="1806"/>
    </row>
    <row r="100">
      <c r="A100" s="1806"/>
      <c r="B100" s="1800" t="s">
        <v>11027</v>
      </c>
      <c r="C100" s="1802"/>
      <c r="D100" s="1812"/>
      <c r="E100" s="1802"/>
      <c r="F100" s="1806"/>
    </row>
    <row r="101">
      <c r="A101" s="1806"/>
      <c r="B101" s="1801" t="s">
        <v>11030</v>
      </c>
      <c r="C101" s="1802"/>
      <c r="D101" s="1812"/>
      <c r="E101" s="1802"/>
      <c r="F101" s="1806"/>
    </row>
    <row r="102">
      <c r="A102" s="1806"/>
      <c r="B102" s="1801" t="s">
        <v>11034</v>
      </c>
      <c r="C102" s="1802"/>
      <c r="D102" s="1812"/>
      <c r="E102" s="1802"/>
      <c r="F102" s="1806"/>
    </row>
    <row r="103">
      <c r="A103" s="1806"/>
      <c r="B103" s="1813" t="s">
        <v>11089</v>
      </c>
      <c r="C103" s="1789"/>
      <c r="D103" s="1789"/>
      <c r="E103" s="1789"/>
      <c r="F103" s="1790"/>
    </row>
    <row r="104">
      <c r="A104" s="1806"/>
      <c r="B104" s="1791"/>
      <c r="C104" s="1792"/>
      <c r="D104" s="1792"/>
      <c r="E104" s="1792"/>
      <c r="F104" s="1793"/>
    </row>
    <row r="105">
      <c r="A105" s="1806"/>
      <c r="B105" s="1795" t="s">
        <v>11020</v>
      </c>
      <c r="C105" s="1796" t="s">
        <v>11062</v>
      </c>
      <c r="D105" s="1810" t="s">
        <v>11090</v>
      </c>
      <c r="E105" s="1796" t="s">
        <v>11022</v>
      </c>
      <c r="F105" s="1811">
        <v>43862.0</v>
      </c>
    </row>
    <row r="106">
      <c r="A106" s="1806"/>
      <c r="B106" s="1799" t="s">
        <v>11024</v>
      </c>
      <c r="C106" s="1816" t="s">
        <v>6010</v>
      </c>
      <c r="D106" s="1810" t="s">
        <v>11091</v>
      </c>
      <c r="E106" s="1796" t="s">
        <v>11069</v>
      </c>
      <c r="F106" s="1811">
        <v>43630.0</v>
      </c>
    </row>
    <row r="107">
      <c r="A107" s="1806"/>
      <c r="B107" s="1800" t="s">
        <v>11027</v>
      </c>
      <c r="C107" s="1802"/>
      <c r="D107" s="1812"/>
      <c r="E107" s="1802"/>
      <c r="F107" s="1806"/>
    </row>
    <row r="108">
      <c r="A108" s="1806"/>
      <c r="B108" s="1801" t="s">
        <v>11030</v>
      </c>
      <c r="C108" s="1802"/>
      <c r="D108" s="1812"/>
      <c r="E108" s="1802"/>
      <c r="F108" s="1806"/>
    </row>
    <row r="109">
      <c r="A109" s="1806"/>
      <c r="B109" s="1801" t="s">
        <v>11034</v>
      </c>
      <c r="C109" s="1802"/>
      <c r="D109" s="1812"/>
      <c r="E109" s="1802"/>
      <c r="F109" s="1806"/>
    </row>
    <row r="110">
      <c r="A110" s="1806"/>
      <c r="B110" s="1788" t="s">
        <v>11044</v>
      </c>
      <c r="C110" s="1789"/>
      <c r="D110" s="1789"/>
      <c r="E110" s="1789"/>
      <c r="F110" s="1790"/>
    </row>
    <row r="111">
      <c r="A111" s="1806"/>
      <c r="B111" s="1791"/>
      <c r="C111" s="1792"/>
      <c r="D111" s="1792"/>
      <c r="E111" s="1792"/>
      <c r="F111" s="1793"/>
    </row>
    <row r="112">
      <c r="A112" s="1806"/>
      <c r="B112" s="1795" t="s">
        <v>11020</v>
      </c>
      <c r="C112" s="1796" t="s">
        <v>5198</v>
      </c>
      <c r="D112" s="1810" t="s">
        <v>11092</v>
      </c>
      <c r="E112" s="1796" t="s">
        <v>11032</v>
      </c>
      <c r="F112" s="1811">
        <v>44132.0</v>
      </c>
    </row>
    <row r="113">
      <c r="A113" s="1806"/>
      <c r="B113" s="1799" t="s">
        <v>11024</v>
      </c>
      <c r="C113" s="1802"/>
      <c r="D113" s="1812"/>
      <c r="E113" s="1802"/>
      <c r="F113" s="1806"/>
    </row>
    <row r="114">
      <c r="A114" s="1806"/>
      <c r="B114" s="1800" t="s">
        <v>11027</v>
      </c>
      <c r="C114" s="1802"/>
      <c r="D114" s="1812"/>
      <c r="E114" s="1802"/>
      <c r="F114" s="1806"/>
    </row>
    <row r="115">
      <c r="A115" s="1806"/>
      <c r="B115" s="1801" t="s">
        <v>11030</v>
      </c>
      <c r="C115" s="1802"/>
      <c r="D115" s="1812"/>
      <c r="E115" s="1802"/>
      <c r="F115" s="1806"/>
    </row>
    <row r="116">
      <c r="A116" s="1806"/>
      <c r="B116" s="1801" t="s">
        <v>11034</v>
      </c>
      <c r="C116" s="1802"/>
      <c r="D116" s="1812"/>
      <c r="E116" s="1802"/>
      <c r="F116" s="1806"/>
    </row>
    <row r="117">
      <c r="A117" s="1806"/>
      <c r="B117" s="1788" t="s">
        <v>11047</v>
      </c>
      <c r="C117" s="1789"/>
      <c r="D117" s="1789"/>
      <c r="E117" s="1789"/>
      <c r="F117" s="1790"/>
    </row>
    <row r="118">
      <c r="A118" s="1806"/>
      <c r="B118" s="1791"/>
      <c r="C118" s="1792"/>
      <c r="D118" s="1792"/>
      <c r="E118" s="1792"/>
      <c r="F118" s="1793"/>
    </row>
    <row r="119">
      <c r="A119" s="1806"/>
      <c r="B119" s="1795" t="s">
        <v>11020</v>
      </c>
      <c r="C119" s="1796" t="s">
        <v>6073</v>
      </c>
      <c r="D119" s="1810" t="s">
        <v>11093</v>
      </c>
      <c r="E119" s="1796" t="s">
        <v>11022</v>
      </c>
      <c r="F119" s="1811">
        <v>43741.0</v>
      </c>
    </row>
    <row r="120">
      <c r="A120" s="1806"/>
      <c r="B120" s="1799" t="s">
        <v>11024</v>
      </c>
      <c r="C120" s="1796" t="s">
        <v>11094</v>
      </c>
      <c r="D120" s="1810" t="s">
        <v>11095</v>
      </c>
      <c r="E120" s="1796" t="s">
        <v>11055</v>
      </c>
      <c r="F120" s="1811">
        <v>43748.0</v>
      </c>
    </row>
    <row r="121">
      <c r="A121" s="1806"/>
      <c r="B121" s="1800" t="s">
        <v>11027</v>
      </c>
      <c r="C121" s="1796" t="s">
        <v>2139</v>
      </c>
      <c r="D121" s="1810" t="s">
        <v>11096</v>
      </c>
      <c r="E121" s="1796" t="s">
        <v>11069</v>
      </c>
      <c r="F121" s="1811">
        <v>43729.0</v>
      </c>
    </row>
    <row r="122">
      <c r="A122" s="1806"/>
      <c r="B122" s="1801" t="s">
        <v>11030</v>
      </c>
      <c r="C122" s="1814" t="s">
        <v>436</v>
      </c>
      <c r="D122" s="1810" t="s">
        <v>11097</v>
      </c>
      <c r="E122" s="1796" t="s">
        <v>11022</v>
      </c>
      <c r="F122" s="1811">
        <v>44470.0</v>
      </c>
    </row>
    <row r="123">
      <c r="A123" s="1806"/>
      <c r="B123" s="1801" t="s">
        <v>11034</v>
      </c>
      <c r="C123" s="1796" t="s">
        <v>5198</v>
      </c>
      <c r="D123" s="1810" t="s">
        <v>11098</v>
      </c>
      <c r="E123" s="1796" t="s">
        <v>11032</v>
      </c>
      <c r="F123" s="1811">
        <v>44020.0</v>
      </c>
    </row>
    <row r="124">
      <c r="A124" s="1817" t="s">
        <v>11099</v>
      </c>
      <c r="B124" s="1788" t="s">
        <v>11048</v>
      </c>
      <c r="C124" s="1789"/>
      <c r="D124" s="1789"/>
      <c r="E124" s="1789"/>
      <c r="F124" s="1790"/>
    </row>
    <row r="125">
      <c r="A125" s="1817" t="s">
        <v>11100</v>
      </c>
      <c r="B125" s="1791"/>
      <c r="C125" s="1792"/>
      <c r="D125" s="1792"/>
      <c r="E125" s="1792"/>
      <c r="F125" s="1793"/>
    </row>
    <row r="126">
      <c r="A126" s="1818"/>
      <c r="B126" s="1795" t="s">
        <v>11020</v>
      </c>
      <c r="C126" s="1796" t="s">
        <v>985</v>
      </c>
      <c r="D126" s="1819">
        <v>0.06525462962962963</v>
      </c>
      <c r="E126" s="1796" t="s">
        <v>11032</v>
      </c>
      <c r="F126" s="1798">
        <v>44652.0</v>
      </c>
    </row>
    <row r="127">
      <c r="A127" s="1818"/>
      <c r="B127" s="1799" t="s">
        <v>11024</v>
      </c>
      <c r="C127" s="1796" t="s">
        <v>4111</v>
      </c>
      <c r="D127" s="1819">
        <v>0.06892361111111112</v>
      </c>
      <c r="E127" s="1796" t="s">
        <v>11032</v>
      </c>
      <c r="F127" s="1798">
        <v>44652.0</v>
      </c>
    </row>
    <row r="128">
      <c r="A128" s="1818"/>
      <c r="B128" s="1800" t="s">
        <v>11027</v>
      </c>
      <c r="C128" s="1805" t="s">
        <v>5329</v>
      </c>
      <c r="D128" s="1820">
        <v>0.07195601851851852</v>
      </c>
      <c r="E128" s="1805" t="s">
        <v>11032</v>
      </c>
      <c r="F128" s="1811">
        <v>44652.0</v>
      </c>
    </row>
    <row r="129">
      <c r="A129" s="1818"/>
      <c r="B129" s="1801" t="s">
        <v>11030</v>
      </c>
      <c r="C129" s="1802" t="s">
        <v>11101</v>
      </c>
      <c r="D129" s="1821">
        <v>0.07211805555555556</v>
      </c>
      <c r="E129" s="1822" t="s">
        <v>11102</v>
      </c>
      <c r="F129" s="1811">
        <v>44652.0</v>
      </c>
    </row>
    <row r="130">
      <c r="A130" s="1818"/>
      <c r="B130" s="1801" t="s">
        <v>11034</v>
      </c>
      <c r="C130" s="1802"/>
      <c r="D130" s="1802"/>
      <c r="E130" s="1802"/>
      <c r="F130" s="1802"/>
    </row>
    <row r="131">
      <c r="A131" s="1823" t="s">
        <v>11049</v>
      </c>
      <c r="B131" s="1788" t="s">
        <v>11049</v>
      </c>
      <c r="C131" s="1789"/>
      <c r="D131" s="1789"/>
      <c r="E131" s="1789"/>
      <c r="F131" s="1790"/>
    </row>
    <row r="132">
      <c r="A132" s="1818"/>
      <c r="B132" s="1791"/>
      <c r="C132" s="1792"/>
      <c r="D132" s="1792"/>
      <c r="E132" s="1792"/>
      <c r="F132" s="1793"/>
    </row>
    <row r="133">
      <c r="A133" s="1818"/>
      <c r="B133" s="1795" t="s">
        <v>11020</v>
      </c>
      <c r="C133" s="1796" t="s">
        <v>2453</v>
      </c>
      <c r="D133" s="1824" t="s">
        <v>11103</v>
      </c>
      <c r="E133" s="1796" t="s">
        <v>11022</v>
      </c>
      <c r="F133" s="1798">
        <v>45152.0</v>
      </c>
    </row>
    <row r="134">
      <c r="A134" s="1818"/>
      <c r="B134" s="1799" t="s">
        <v>11024</v>
      </c>
      <c r="C134" s="1796" t="s">
        <v>4229</v>
      </c>
      <c r="D134" s="1824" t="s">
        <v>11104</v>
      </c>
      <c r="E134" s="1796" t="s">
        <v>11022</v>
      </c>
      <c r="F134" s="1798">
        <v>44866.0</v>
      </c>
    </row>
    <row r="135">
      <c r="A135" s="1818"/>
      <c r="B135" s="1800" t="s">
        <v>11027</v>
      </c>
      <c r="C135" s="1802"/>
      <c r="D135" s="1821"/>
      <c r="E135" s="1822"/>
      <c r="F135" s="1811"/>
    </row>
    <row r="136">
      <c r="A136" s="1818"/>
      <c r="B136" s="1801" t="s">
        <v>11030</v>
      </c>
      <c r="C136" s="1802"/>
      <c r="D136" s="1821"/>
      <c r="E136" s="1822"/>
      <c r="F136" s="1811"/>
    </row>
    <row r="137">
      <c r="A137" s="1818"/>
      <c r="B137" s="1801" t="s">
        <v>11034</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