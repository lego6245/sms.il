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9/25/21</t>
      </text>
    </comment>
    <comment authorId="0" ref="C43">
      <text>
        <t xml:space="preserve">Updated 02/07/2024
PAL GANG
@siemke</t>
      </text>
    </comment>
    <comment authorId="0" ref="AE43">
      <text>
        <t xml:space="preserve">PAL Gang 4eva</t>
      </text>
    </comment>
    <comment authorId="0" ref="AL43">
      <text>
        <t xml:space="preserve">Retimed</t>
      </text>
    </comment>
    <comment authorId="0" ref="AS43">
      <text>
        <t xml:space="preserve">In sandbox any% race</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updated 04-02-24</t>
      </text>
    </comment>
    <comment authorId="0" ref="AF57">
      <text>
        <t xml:space="preserve">2:40.81 with hutful
also wtf is this gold</t>
      </text>
    </comment>
    <comment authorId="0" ref="D64">
      <text>
        <t xml:space="preserve">No SM Quick Kill, No over the building</t>
      </text>
    </comment>
    <comment authorId="0" ref="E64">
      <text>
        <t xml:space="preserve">No Fech strats</t>
      </text>
    </comment>
    <comment authorId="0" ref="F64">
      <text>
        <t xml:space="preserve">No hoverslide to Ricco, old Bianco 4 strats</t>
      </text>
    </comment>
    <comment authorId="0" ref="G64">
      <text>
        <t xml:space="preserve">Perfect pattern no tornadoes, unoptimal movement</t>
      </text>
    </comment>
    <comment authorId="0" ref="H64">
      <text>
        <t xml:space="preserve">Old setup, rollout spray coconut</t>
      </text>
    </comment>
    <comment authorId="0" ref="U64">
      <text>
        <t xml:space="preserve">Over Top Right, fruit storage</t>
      </text>
    </comment>
    <comment authorId="0" ref="AD64">
      <text>
        <t xml:space="preserve">No momentum spin</t>
      </text>
    </comment>
    <comment authorId="0" ref="AK64">
      <text>
        <t xml:space="preserve">2:27 IGT (bad)</t>
      </text>
    </comment>
    <comment authorId="0" ref="AN64">
      <text>
        <t xml:space="preserve">Sideflip cliff</t>
      </text>
    </comment>
    <comment authorId="0" ref="AP64">
      <text>
        <t xml:space="preserve">Easy entrance, no Diddeh strat</t>
      </text>
    </comment>
    <comment authorId="0" ref="AR64">
      <text>
        <t xml:space="preserve">Sideflip cliff, Pyro kick cycle</t>
      </text>
    </comment>
    <comment authorId="0" ref="AT64">
      <text>
        <t xml:space="preserve">Bad</t>
      </text>
    </comment>
    <comment authorId="0" ref="C66">
      <text>
        <t xml:space="preserve">2021-11-24</t>
      </text>
    </comment>
    <comment authorId="0" ref="C67">
      <text>
        <t xml:space="preserve">04/10/2021
</t>
      </text>
    </comment>
    <comment authorId="0" ref="AT67">
      <text>
        <t xml:space="preserve">normal corona</t>
      </text>
    </comment>
    <comment authorId="0" ref="C70">
      <text>
        <t xml:space="preserve">1/6/2021</t>
      </text>
    </comment>
    <comment authorId="0" ref="C71">
      <text>
        <t xml:space="preserve">ntsc-u gang!
updated 2022-07-13</t>
      </text>
    </comment>
    <comment authorId="0" ref="AF71">
      <text>
        <t xml:space="preserve">finally beat my old 2:40.45 that would've been global best at the time if i had a good entry. global best was ~2:37. it was still ntsc-u best for a couple years lol</t>
      </text>
    </comment>
    <comment authorId="0" ref="S77">
      <text>
        <t xml:space="preserve">Don't have video. I'll get it for the 1:19 next time. TAS strats.</t>
      </text>
    </comment>
    <comment authorId="0" ref="AD77">
      <text>
        <t xml:space="preserve">old school 2016 strats</t>
      </text>
    </comment>
    <comment authorId="0" ref="AS77">
      <text>
        <t xml:space="preserve">Ultra kill but slow setup at start  </t>
      </text>
    </comment>
    <comment authorId="0" ref="C82">
      <text>
        <t xml:space="preserve">4/16/23</t>
      </text>
    </comment>
    <comment authorId="0" ref="AD82">
      <text>
        <t xml:space="preserve">gotta get sub 1:50 at some point. unsure when it'll happen tho</t>
      </text>
    </comment>
    <comment authorId="0" ref="AN82">
      <text>
        <t xml:space="preserve">first ever community gold peepoHappy</t>
      </text>
    </comment>
    <comment authorId="0" ref="C90">
      <text>
        <t xml:space="preserve">2022/01/03 - 1:18:18
2022/03/05 - 1:17:13
2022/03/19 - 1:17:05
no early cycle, 3yg, honey skip, boat hop, or roof throw
1:17:05 including early cycle (!)</t>
      </text>
    </comment>
    <comment authorId="0" ref="D90">
      <text>
        <t xml:space="preserve">link to b2 gold, not airstrip
airstrip: 3:24.992
b2: 7:04.315
</t>
      </text>
    </comment>
    <comment authorId="0" ref="E90">
      <text>
        <t xml:space="preserve">nixon slide
pole spin-jump
triple-jump secret</t>
      </text>
    </comment>
    <comment authorId="0" ref="F90">
      <text>
        <t xml:space="preserve">grass-slide ms
no rope ms</t>
      </text>
    </comment>
    <comment authorId="0" ref="G90">
      <text>
        <t xml:space="preserve">rope-y</t>
      </text>
    </comment>
    <comment authorId="0" ref="H90">
      <text>
        <t xml:space="preserve">tree spray
no roof throw
reactionless gbs
</t>
      </text>
    </comment>
    <comment authorId="0" ref="J90">
      <text>
        <t xml:space="preserve">awning
normal q1 (bad 1st, good 2nd+3rd)
</t>
      </text>
    </comment>
    <comment authorId="0" ref="L90">
      <text>
        <t xml:space="preserve">standard strat (no ms)
grabs the box</t>
      </text>
    </comment>
    <comment authorId="0" ref="M90">
      <text>
        <t xml:space="preserve">mushroom movement
left pattern</t>
      </text>
    </comment>
    <comment authorId="0" ref="N90">
      <text>
        <t xml:space="preserve">no sjd entry
no early cycle
early cycle gold is 1:53.71 atm KEKW so i opted to exclude it (https://youtu.be/6xpRLkM-_pQ?t=5188)</t>
      </text>
    </comment>
    <comment authorId="0" ref="O90">
      <text>
        <t xml:space="preserve">tilt bridge waterslide
2:08.65 igt</t>
      </text>
    </comment>
    <comment authorId="0" ref="P90">
      <text>
        <t xml:space="preserve">non-instakill (dj variant)</t>
      </text>
    </comment>
    <comment authorId="0" ref="Q90">
      <text>
        <t xml:space="preserve">no honey skip
4-shot pre-grab mecha (jp grab)</t>
      </text>
    </comment>
    <comment authorId="0" ref="S90">
      <text>
        <t xml:space="preserve">true boatless
no ramp sprint</t>
      </text>
    </comment>
    <comment authorId="0" ref="T90">
      <text>
        <t xml:space="preserve">despin left-side strat</t>
      </text>
    </comment>
    <comment authorId="0" ref="U90">
      <text>
        <t xml:space="preserve">3Head 1-Stu 5YG
papaya
otr (dynamic shine-grab)</t>
      </text>
    </comment>
    <comment authorId="0" ref="V90">
      <text>
        <t xml:space="preserve">left non-instakill</t>
      </text>
    </comment>
    <comment authorId="0" ref="W90">
      <text>
        <t xml:space="preserve">ramp spin
box spin</t>
      </text>
    </comment>
    <comment authorId="0" ref="X90">
      <text>
        <t xml:space="preserve">blooperless entry+race</t>
      </text>
    </comment>
    <comment authorId="0" ref="Y90">
      <text>
        <t xml:space="preserve">ledge-cancel sjd
front-slope beyblade</t>
      </text>
    </comment>
    <comment authorId="0" ref="Z90">
      <text>
        <t xml:space="preserve">no beyblade (ramp spin)
yellow-cycle secret</t>
      </text>
    </comment>
    <comment authorId="0" ref="AA90">
      <text>
        <t xml:space="preserve">sewer (baby variant)</t>
      </text>
    </comment>
    <comment authorId="0" ref="AB90">
      <text>
        <t xml:space="preserve">no y-turn
boomer route</t>
      </text>
    </comment>
    <comment authorId="0" ref="AD90">
      <text>
        <t xml:space="preserve">2-slide (otherwise il entry)
step-y cube skip
no gwkd
left-side top</t>
      </text>
    </comment>
    <comment authorId="0" ref="AE90">
      <text>
        <t xml:space="preserve">instakill</t>
      </text>
    </comment>
    <comment authorId="0" ref="AF90">
      <text>
        <t xml:space="preserve">left-side yoshi sm
hutless</t>
      </text>
    </comment>
    <comment authorId="0" ref="AG90">
      <text>
        <t xml:space="preserve">boo bounce
sand-block sjds
no ms</t>
      </text>
    </comment>
    <comment authorId="0" ref="AH90">
      <text>
        <t xml:space="preserve">back-side wall-jumps (no gwk)</t>
      </text>
    </comment>
    <comment authorId="0" ref="AI90">
      <text>
        <t xml:space="preserve">sjd + sjd secret</t>
      </text>
    </comment>
    <comment authorId="0" ref="AJ90">
      <text>
        <t xml:space="preserve">no extra cycles
no cycle skip</t>
      </text>
    </comment>
    <comment authorId="0" ref="AK90">
      <text>
        <t xml:space="preserve">2:25.86 igt</t>
      </text>
    </comment>
    <comment authorId="0" ref="AL90">
      <text>
        <t xml:space="preserve">no instakill (classical setup)</t>
      </text>
    </comment>
    <comment authorId="0" ref="AM90">
      <text>
        <t xml:space="preserve">fast 2nd cycle (optimally 58 il)
spin-jump wall-kicks
sfhd onto slope
dive-rollout final jump
sj mole approach</t>
      </text>
    </comment>
    <comment authorId="0" ref="AN90">
      <text>
        <t xml:space="preserve">no instant rollout on ground
hover dj into wall-kicks
no hover spring-grab
no hover spring-clip</t>
      </text>
    </comment>
    <comment authorId="0" ref="AP90">
      <text>
        <t xml:space="preserve">bounce dj entry
6 tooth + cs escape</t>
      </text>
    </comment>
    <comment authorId="0" ref="AR90">
      <text>
        <t xml:space="preserve">rope entry (bfd variant)
green cycle (double-baby ending)</t>
      </text>
    </comment>
    <comment authorId="0" ref="AS90">
      <text>
        <t xml:space="preserve">failed instakill → spam-sprays</t>
      </text>
    </comment>
    <comment authorId="0" ref="AT90">
      <text>
        <t xml:space="preserve">some old shit, improvement soon</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C101">
      <text>
        <t xml:space="preserve">2024-06-30</t>
      </text>
    </comment>
    <comment authorId="0" ref="C102">
      <text>
        <t xml:space="preserve">Updated by Dogecyanide 2024/02/07
Golds accurate As of 2023/04/02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<sst xmlns="http://schemas.openxmlformats.org/spreadsheetml/2006/main" count="26646" uniqueCount="11011">
  <si>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</si>
  <si>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</si>
  <si>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</si>
  <si>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</si>
  <si>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</si>
  <si>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</si>
  <si>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</si>
  <si>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</si>
  <si>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</si>
  <si>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</si>
  <si>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</si>
  <si>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</si>
  <si>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</si>
  <si>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</si>
  <si>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</si>
  <si>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</si>
  <si>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</si>
  <si>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</si>
  <si>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</si>
  <si>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</si>
  <si>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</si>
  <si>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</si>
  <si>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</si>
  <si>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</si>
  <si>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</si>
  <si>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</si>
  <si>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</si>
  <si>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</si>
  <si>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</si>
  <si>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</si>
  <si>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</si>
  <si>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</si>
  <si>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</si>
  <si>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</si>
  <si>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</si>
  <si>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</si>
  <si>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</si>
  <si>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</si>
  <si>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</si>
  <si>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</si>
  <si>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</si>
  <si>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</si>
  <si>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</si>
  <si>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</si>
  <si>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</si>
  <si>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</si>
  <si>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</si>
  <si>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</si>
  <si>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</si>
  <si>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</si>
  <si>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</si>
  <si>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</si>
  <si>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</si>
  <si>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</si>
  <si>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</si>
  <si>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</si>
  <si>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</si>
  <si>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</si>
  <si>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</si>
  <si>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</si>
  <si>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</si>
  <si>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</si>
  <si>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</si>
  <si>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</si>
  <si>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</si>
  <si>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</si>
  <si>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</si>
  <si>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</si>
  <si>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</si>
  <si>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</si>
  <si>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</si>
  <si>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</si>
  <si>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</si>
  <si>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</si>
  <si>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</si>
  <si>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</si>
  <si>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</si>
  <si>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</si>
  <si>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</si>
  <si>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</si>
  <si>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</si>
  <si>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</si>
  <si>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</si>
  <si>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</si>
  <si>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</si>
  <si>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</si>
  <si>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</si>
  <si>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</si>
  <si>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</si>
  <si>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</si>
  <si>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</si>
  <si>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</si>
  <si>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</si>
  <si>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</si>
  <si>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</si>
  <si>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</si>
  <si>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</si>
  <si>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</si>
  <si>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</si>
  <si>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</si>
  <si>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</si>
  <si>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</si>
  <si>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</si>
  <si>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</si>
  <si>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</si>
  <si>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</si>
  <si>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</si>
  <si>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</si>
  <si>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</si>
  <si>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</si>
  <si>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</si>
  <si>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</si>
  <si>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</si>
  <si>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</si>
  <si>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</si>
  <si>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</si>
  <si>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</si>
  <si>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</si>
  <si>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</si>
  <si>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</si>
  <si>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</si>
  <si>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</si>
  <si>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</si>
  <si>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</si>
  <si>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</si>
  <si>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</si>
  <si>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</si>
  <si>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</si>
  <si>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</si>
  <si>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</si>
  <si>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</si>
  <si>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</si>
  <si>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</si>
  <si>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</si>
  <si>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</si>
  <si>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</si>
  <si>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</si>
  <si>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</si>
  <si>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</si>
  <si>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</si>
  <si>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</si>
  <si>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</si>
  <si>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</si>
  <si>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</si>
  <si>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</si>
  <si>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</si>
  <si>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</si>
  <si>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</si>
  <si>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</si>
  <si>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</si>
  <si>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</si>
  <si>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</si>
  <si>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</si>
  <si>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</si>
  <si>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</si>
  <si>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</si>
  <si>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</si>
  <si>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</si>
  <si>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</si>
  <si>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</si>
  <si>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</si>
  <si>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</si>
  <si>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</si>
  <si>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</si>
  <si>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</si>
  <si>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</si>
  <si>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</si>
  <si>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</si>
  <si>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</si>
  <si>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</si>
  <si>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</si>
  <si>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</si>
  <si>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</si>
  <si>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</si>
  <si>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</si>
  <si>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</si>
  <si>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</si>
  <si>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</si>
  <si>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</si>
  <si>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</si>
  <si>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</si>
  <si>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</si>
  <si>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</si>
  <si>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</si>
  <si>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</si>
  <si>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</si>
  <si>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</si>
  <si>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</si>
  <si>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</si>
  <si>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</si>
  <si>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</si>
  <si>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</si>
  <si>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</si>
  <si>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</si>
  <si>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</si>
  <si>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</si>
  <si>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</si>
  <si>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</si>
  <si>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</si>
  <si>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</si>
  <si>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</si>
  <si>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</si>
  <si>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</si>
  <si>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</si>
  <si>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</si>
  <si>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</si>
  <si>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</si>
  <si>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</si>
  <si>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</si>
  <si>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</si>
  <si>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</si>
  <si>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</si>
  <si>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</si>
  <si>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</si>
  <si>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</si>
  <si>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</si>
  <si>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</si>
  <si>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</si>
  <si>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</si>
  <si>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</si>
  <si>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</si>
  <si>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</si>
  <si>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</si>
  <si>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</si>
  <si>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</si>
  <si>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</si>
  <si>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</si>
  <si>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</si>
  <si>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</si>
  <si>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</si>
  <si>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</si>
  <si>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</si>
  <si>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</si>
  <si>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</si>
  <si>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</si>
  <si>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</si>
  <si>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</si>
  <si>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</si>
  <si>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</si>
  <si>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</si>
  <si>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</si>
  <si>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</si>
  <si>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</si>
  <si>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</si>
  <si>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</si>
  <si>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</si>
  <si>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</si>
  <si>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</si>
  <si>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</si>
  <si>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</si>
  <si>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</si>
  <si>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</si>
  <si>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</si>
  <si>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</si>
  <si>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</si>
  <si>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</si>
  <si>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</si>
  <si>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</si>
  <si>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</si>
  <si>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</si>
  <si>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</si>
  <si>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</si>
  <si>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</si>
  <si>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</si>
  <si>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</si>
  <si>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</si>
  <si>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</si>
  <si>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</si>
  <si>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</si>
  <si>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</si>
  <si>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</si>
  <si>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</si>
  <si>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</si>
  <si>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</si>
  <si>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</si>
  <si>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</si>
  <si>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</si>
  <si>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</si>
  <si>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</si>
  <si>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</si>
  <si>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</si>
  <si>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</si>
  <si>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</si>
  <si>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</si>
  <si>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</si>
  <si>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</si>
  <si>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</si>
  <si>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</si>
  <si>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</si>
  <si>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</si>
  <si>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</si>
  <si>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</si>
  <si>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</si>
  <si>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</si>
  <si>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</si>
  <si>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</si>
  <si>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</si>
  <si>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</si>
  <si>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</si>
  <si>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</si>
  <si>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</si>
  <si>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</si>
  <si>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</si>
  <si>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</si>
  <si>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</si>
  <si>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</si>
  <si>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</si>
  <si>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</si>
  <si>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</si>
  <si>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</si>
  <si>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</si>
  <si>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</si>
  <si>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</si>
  <si>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</si>
  <si>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</si>
  <si>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</si>
  <si>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</si>
  <si>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</si>
  <si>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</si>
  <si>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</si>
  <si>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</si>
  <si>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</si>
  <si>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</si>
  <si>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</si>
  <si>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</si>
  <si>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</si>
  <si>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</si>
  <si>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</si>
  <si>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</si>
  <si>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</si>
  <si>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</si>
  <si>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</si>
  <si>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</si>
  <si>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</si>
  <si>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</si>
  <si>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</si>
  <si>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</si>
  <si>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</si>
  <si>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</si>
  <si>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</si>
  <si>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</si>
  <si>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</si>
  <si>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</si>
  <si>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</si>
  <si>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</si>
  <si>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</si>
  <si>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</si>
  <si>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</si>
  <si>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</si>
  <si>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</si>
  <si>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</si>
  <si>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</si>
  <si>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</si>
  <si>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</si>
  <si>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</si>
  <si>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</si>
  <si>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</si>
  <si>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</si>
  <si>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</si>
  <si>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</si>
  <si>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</si>
  <si>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</si>
  <si>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</si>
  <si>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</si>
  <si>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</si>
  <si>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</si>
  <si>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</si>
  <si>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</si>
  <si>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</si>
  <si>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</si>
  <si>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</si>
  <si>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</si>
  <si>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</si>
  <si>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</si>
  <si>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</si>
  <si>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</si>
  <si>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</si>
  <si>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</si>
  <si>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</si>
  <si>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</si>
  <si>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</si>
  <si>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</si>
  <si>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</si>
  <si>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</si>
  <si>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</si>
  <si>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</si>
  <si>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</si>
  <si>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</si>
  <si>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</si>
  <si>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</si>
  <si>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</si>
  <si>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</si>
  <si>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</si>
  <si>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</si>
  <si>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</si>
  <si>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</si>
  <si>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</si>
  <si>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</si>
  <si>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</si>
  <si>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</si>
  <si>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</si>
  <si>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</si>
  <si>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</si>
  <si>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</si>
  <si>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</si>
  <si>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</si>
  <si>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</si>
  <si>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</si>
  <si>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</si>
  <si>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</si>
  <si>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</si>
  <si>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</si>
  <si>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</si>
  <si>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</si>
  <si>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</si>
  <si>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</si>
  <si>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</si>
  <si>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</si>
  <si>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</si>
  <si>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</si>
  <si>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</si>
  <si>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</si>
  <si>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</si>
  <si>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</si>
  <si>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</si>
  <si>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</si>
  <si>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</si>
  <si>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</si>
  <si>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</si>
  <si>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</si>
  <si>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</si>
  <si>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</si>
  <si>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</si>
  <si>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</si>
  <si>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</si>
  <si>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</si>
  <si>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</si>
  <si>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</si>
  <si>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</si>
  <si>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</si>
  <si>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</si>
  <si>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</si>
  <si>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</si>
  <si>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</si>
  <si>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</si>
  <si>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</si>
  <si>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</si>
  <si>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</si>
  <si>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</si>
  <si>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</si>
  <si>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</si>
  <si>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</si>
  <si>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</si>
  <si>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</si>
  <si>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</si>
  <si>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</si>
  <si>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</si>
  <si>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</si>
  <si>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</si>
  <si>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</si>
  <si>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</si>
  <si>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</si>
  <si>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</si>
  <si>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</si>
  <si>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</si>
  <si>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</si>
  <si>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</si>
  <si>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</si>
  <si>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</si>
  <si>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</si>
  <si>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</si>
  <si>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</si>
  <si>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</si>
  <si>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</si>
  <si>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</si>
  <si>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</si>
  <si>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</si>
  <si>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</si>
  <si>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</si>
  <si>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</si>
  <si>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</si>
  <si>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</si>
  <si>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</si>
  <si>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</si>
  <si>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</si>
  <si>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</si>
  <si>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</si>
  <si>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</si>
  <si>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</si>
  <si>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</si>
  <si>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</si>
  <si>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</si>
  <si>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</si>
  <si>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</si>
  <si>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</si>
  <si>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</si>
  <si>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</si>
  <si>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</si>
  <si>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</si>
  <si>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</si>
  <si>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</si>
  <si>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</si>
  <si>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</si>
  <si>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</si>
  <si>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</si>
  <si>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</si>
  <si>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</si>
  <si>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</si>
  <si>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</si>
  <si>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</si>
  <si>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</si>
  <si>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</si>
  <si>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</si>
  <si>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</si>
  <si>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</si>
  <si>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</si>
  <si>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</si>
  <si>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</si>
  <si>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</si>
  <si>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</si>
  <si>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</si>
  <si>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</si>
  <si>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</si>
  <si>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</si>
  <si>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</si>
  <si>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</si>
  <si>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</si>
  <si>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</si>
  <si>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</si>
  <si>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</si>
  <si>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</si>
  <si>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</si>
  <si>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</si>
  <si>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</si>
  <si>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</si>
  <si>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</si>
  <si>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</si>
  <si>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</si>
  <si>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</si>
  <si>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</si>
  <si>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</si>
  <si>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</si>
  <si>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</si>
  <si>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</si>
  <si>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</si>
  <si>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</si>
  <si>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</si>
  <si>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</si>
  <si>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</si>
  <si>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</si>
  <si>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</si>
  <si>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</si>
  <si>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</si>
  <si>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</si>
  <si>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</si>
  <si>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</si>
  <si>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</si>
  <si>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</si>
  <si>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</si>
  <si>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</si>
  <si>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</si>
  <si>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</si>
  <si>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</si>
  <si>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</si>
  <si>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</si>
  <si>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</si>
  <si>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</si>
  <si>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</si>
  <si>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</si>
  <si>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</si>
  <si>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</si>
  <si>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</si>
  <si>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</si>
  <si>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</si>
  <si>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</si>
  <si>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</si>
  <si>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</si>
  <si>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</si>
  <si>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</si>
  <si>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</si>
  <si>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</si>
  <si>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</si>
  <si>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</si>
  <si>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</si>
  <si>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</si>
  <si>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</si>
  <si>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</si>
  <si>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</si>
  <si>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</si>
  <si>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</si>
  <si>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</si>
  <si>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</si>
  <si>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</si>
  <si>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</si>
  <si>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</si>
  <si>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</si>
  <si>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</si>
  <si>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</si>
  <si>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</si>
  <si>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</si>
  <si>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</si>
  <si>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</si>
  <si>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</si>
  <si>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</si>
  <si>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</si>
  <si>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</si>
  <si>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</si>
  <si>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</si>
  <si>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</si>
  <si>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</si>
  <si>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</si>
  <si>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</si>
  <si>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</si>
  <si>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</si>
  <si>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</si>
  <si>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</si>
  <si>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</si>
  <si>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</si>
  <si>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</si>
  <si>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</si>
  <si>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</si>
  <si>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</si>
  <si>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</si>
  <si>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</si>
  <si>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</si>
  <si>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</si>
  <si>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</si>
  <si>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</si>
  <si>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</si>
  <si>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</si>
  <si>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</si>
  <si>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</si>
  <si>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</si>
  <si>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</si>
  <si>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</si>
  <si>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</si>
  <si>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</si>
  <si>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</si>
  <si>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</si>
  <si>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</si>
  <si>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</si>
  <si>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</si>
  <si>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</si>
  <si>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</si>
  <si>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</si>
  <si>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</si>
  <si>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</si>
  <si>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</si>
  <si>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</si>
  <si>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</si>
  <si>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</si>
  <si>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</si>
  <si>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</si>
  <si>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</si>
  <si>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</si>
  <si>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</si>
  <si>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</si>
  <si>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</si>
  <si>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</si>
  <si>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</si>
  <si>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</si>
  <si>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</si>
  <si>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</si>
  <si>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</si>
  <si>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</si>
  <si>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</si>
  <si>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</si>
  <si>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</si>
  <si>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</si>
  <si>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</si>
  <si>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</si>
  <si>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</si>
  <si>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</si>
  <si>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</si>
  <si>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</si>
  <si>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</si>
  <si>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</si>
  <si>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</si>
  <si>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</si>
  <si>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</si>
  <si>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</si>
  <si>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</si>
  <si>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</si>
  <si>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</si>
  <si>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</si>
  <si>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</si>
  <si>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</si>
  <si>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</si>
  <si>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</si>
  <si>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</si>
  <si>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</si>
  <si>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</si>
  <si>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</si>
  <si>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</si>
  <si>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</si>
  <si>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</si>
  <si>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</si>
  <si>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</si>
  <si>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</si>
  <si>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</si>
  <si>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</si>
  <si>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</si>
  <si>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</si>
  <si>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</si>
  <si>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</si>
  <si>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</si>
  <si>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</si>
  <si>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</si>
  <si>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</si>
  <si>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</si>
  <si>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</si>
  <si>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</si>
  <si>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</si>
  <si>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</si>
  <si>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</si>
  <si>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</si>
  <si>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</si>
  <si>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</si>
  <si>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</si>
  <si>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</si>
  <si>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</si>
  <si>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</si>
  <si>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</si>
  <si>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</si>
  <si>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</si>
  <si>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</si>
  <si>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</si>
  <si>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</si>
  <si>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</si>
  <si>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</si>
  <si>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</si>
  <si>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</si>
  <si>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</si>
  <si>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</si>
  <si>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</si>
  <si>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</si>
  <si>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</si>
  <si>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</si>
  <si>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</si>
  <si>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</si>
  <si>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</si>
  <si>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</si>
  <si>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</si>
  <si>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</si>
  <si>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</si>
  <si>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</si>
  <si>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</si>
  <si>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</si>
  <si>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</si>
  <si>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</si>
  <si>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</si>
  <si>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</si>
  <si>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</si>
  <si>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</si>
  <si>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</si>
  <si>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</si>
  <si>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</si>
  <si>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</si>
  <si>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</si>
  <si>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</si>
  <si>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</si>
  <si>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</si>
  <si>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</si>
  <si>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</si>
  <si>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</si>
  <si>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</si>
  <si>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</si>
  <si>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</si>
  <si>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</si>
  <si>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</si>
  <si>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</si>
  <si>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</si>
  <si>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</si>
  <si>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</si>
  <si>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</si>
  <si>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</si>
  <si>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</si>
  <si>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</si>
  <si>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</si>
  <si>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</si>
  <si>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</si>
  <si>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</si>
  <si>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</si>
  <si>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</si>
  <si>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</si>
  <si>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</si>
  <si>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</si>
  <si>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</si>
  <si>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</si>
  <si>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</si>
  <si>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</si>
  <si>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</si>
  <si>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</si>
  <si>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</si>
  <si>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</si>
  <si>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</si>
  <si>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</si>
  <si>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</si>
  <si>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</si>
  <si>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</si>
  <si>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</si>
  <si>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</si>
  <si>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</si>
  <si>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</si>
  <si>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</si>
  <si>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</si>
  <si>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</si>
  <si>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</si>
  <si>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</si>
  <si>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</si>
  <si>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</si>
  <si>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</si>
  <si>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</si>
  <si>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</si>
  <si>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</si>
  <si>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</si>
  <si>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</si>
  <si>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</si>
  <si>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</si>
  <si>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</si>
  <si>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</si>
  <si>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</si>
  <si>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</si>
  <si>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</si>
  <si>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</si>
  <si>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</si>
  <si>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</si>
  <si>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</si>
  <si>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</si>
  <si>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</si>
  <si>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</si>
  <si>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</si>
  <si>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</si>
  <si>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</si>
  <si>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</si>
  <si>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</si>
  <si>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</si>
  <si>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</si>
  <si>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</si>
  <si>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</si>
  <si>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</si>
  <si>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</si>
  <si>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</si>
  <si>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</si>
  <si>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</si>
  <si>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</si>
  <si>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</si>
  <si>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</si>
  <si>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</si>
  <si>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</si>
  <si>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</si>
  <si>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</si>
  <si>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</si>
  <si>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</si>
  <si>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</si>
  <si>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</si>
  <si>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</si>
  <si>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</si>
  <si>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</si>
  <si>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</si>
  <si>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</si>
  <si>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</si>
  <si>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</si>
  <si>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</si>
  <si>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</si>
  <si>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</si>
  <si>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</si>
  <si>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</si>
  <si>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</si>
  <si>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</si>
  <si>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</si>
  <si>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</si>
  <si>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</si>
  <si>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</si>
  <si>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</si>
  <si>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</si>
  <si>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</si>
  <si>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</si>
  <si>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</si>
  <si>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</si>
  <si>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</si>
  <si>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</si>
  <si>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</si>
  <si>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</si>
  <si>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</si>
  <si>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</si>
  <si>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</si>
  <si>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</si>
  <si>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</si>
  <si>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</si>
  <si>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</si>
  <si>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</si>
  <si>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</si>
  <si>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</si>
  <si>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</si>
  <si>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</si>
  <si>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</si>
  <si>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</si>
  <si>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</si>
  <si>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</si>
  <si>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</si>
  <si>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</si>
  <si>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</si>
  <si>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</si>
  <si>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</si>
  <si>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</si>
  <si>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</si>
  <si>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</si>
  <si>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</si>
  <si>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</si>
  <si>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</si>
  <si>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</si>
  <si>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</si>
  <si>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</si>
  <si>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</si>
  <si>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</si>
  <si>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</si>
  <si>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</si>
  <si>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</si>
  <si>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</si>
  <si>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</si>
  <si>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</si>
  <si>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</si>
  <si>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</si>
  <si>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</si>
  <si>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</si>
  <si>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</si>
  <si>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</si>
  <si>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</si>
  <si>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</si>
  <si>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</si>
  <si>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</si>
  <si>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</si>
  <si>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</si>
  <si>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</si>
  <si>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</si>
  <si>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</si>
  <si>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</si>
  <si>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</si>
  <si>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</si>
  <si>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</si>
  <si>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</si>
  <si>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</si>
  <si>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</si>
  <si>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</si>
  <si>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</si>
  <si>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</si>
  <si>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</si>
  <si>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</si>
  <si>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</si>
  <si>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</si>
  <si>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</si>
  <si>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</si>
  <si>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</si>
  <si>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</si>
  <si>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</si>
  <si>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</si>
  <si>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</si>
  <si>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</si>
  <si>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</si>
  <si>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</si>
  <si>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</si>
  <si>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</si>
  <si>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</si>
  <si>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</si>
  <si>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</si>
  <si>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</si>
  <si>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</si>
  <si>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</si>
  <si>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</si>
  <si>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</si>
  <si>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</si>
  <si>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</si>
  <si>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</si>
  <si>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</si>
  <si>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</si>
  <si>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</si>
  <si>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</si>
  <si>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</si>
  <si>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</si>
  <si>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</si>
  <si>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</si>
  <si>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</si>
  <si>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</si>
  <si>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</si>
  <si>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</si>
  <si>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</si>
  <si>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</si>
  <si>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</si>
  <si>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</si>
  <si>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</si>
  <si>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</si>
  <si>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</si>
  <si>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</si>
  <si>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</si>
  <si>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</si>
  <si>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</si>
  <si>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</si>
  <si>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</si>
  <si>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</si>
  <si>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</si>
  <si>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</si>
  <si>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</si>
  <si>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</si>
  <si>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</si>
  <si>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</si>
  <si>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</si>
  <si>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</si>
  <si>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</si>
  <si>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</si>
  <si>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</si>
  <si>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</si>
  <si>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</si>
  <si>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</si>
  <si>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</si>
  <si>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</si>
  <si>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</si>
  <si>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</si>
  <si>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</si>
  <si>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</si>
  <si>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</si>
  <si>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</si>
  <si>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</si>
  <si>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</si>
  <si>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</si>
  <si>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</si>
  <si>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</si>
  <si>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</si>
  <si>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</si>
  <si>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</si>
  <si>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</si>
  <si>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</si>
  <si>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</si>
  <si>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</si>
  <si>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</si>
  <si>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</si>
  <si>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</si>
  <si>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</si>
  <si>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</si>
  <si>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</si>
  <si>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</si>
  <si>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</si>
  <si>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</si>
  <si>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</si>
  <si>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</si>
  <si>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</si>
  <si>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</si>
  <si>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</si>
  <si>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</si>
  <si>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</si>
  <si>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</si>
  <si>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</si>
  <si>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</si>
  <si>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</si>
  <si>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</si>
  <si>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</si>
  <si>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</si>
  <si>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</si>
  <si>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</si>
  <si>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</si>
  <si>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</si>
  <si>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</si>
  <si>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</si>
  <si>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</si>
  <si>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</si>
  <si>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</si>
  <si>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</si>
  <si>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</si>
  <si>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</si>
  <si>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</si>
  <si>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</si>
  <si>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</si>
  <si>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</si>
  <si>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</si>
  <si>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</si>
  <si>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</si>
  <si>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</si>
  <si>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</si>
  <si>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</si>
  <si>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</si>
  <si>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</si>
  <si>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</si>
  <si>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</si>
  <si>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</si>
  <si>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</si>
  <si>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</si>
  <si>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</si>
  <si>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</si>
  <si>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</si>
  <si>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</si>
  <si>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</si>
  <si>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</si>
  <si>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</si>
  <si>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</si>
  <si>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</si>
  <si>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</si>
  <si>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</si>
  <si>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</si>
  <si>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</si>
  <si>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</si>
  <si>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</si>
  <si>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</si>
  <si>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</si>
  <si>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</si>
  <si>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</si>
  <si>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</si>
  <si>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</si>
  <si>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</si>
  <si>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</si>
  <si>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</si>
  <si>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</si>
  <si>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</si>
  <si>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</si>
  <si>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</si>
  <si>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</si>
  <si>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</si>
  <si>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</si>
  <si>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</si>
  <si>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</si>
  <si>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</si>
  <si>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</si>
  <si>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</si>
  <si>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</si>
  <si>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</si>
  <si>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</si>
  <si>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</si>
  <si>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</si>
  <si>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</si>
  <si>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</si>
  <si>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</si>
  <si>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</si>
  <si>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</si>
  <si>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</si>
  <si>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</si>
  <si>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</si>
  <si>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</si>
  <si>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</si>
  <si>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</si>
  <si>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</si>
  <si>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</si>
  <si>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</si>
  <si>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</si>
  <si>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</si>
  <si>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</si>
  <si>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</si>
  <si>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</si>
  <si>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</si>
  <si>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</si>
  <si>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</si>
  <si>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</si>
  <si>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</si>
  <si>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</si>
  <si>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</si>
  <si>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</si>
  <si>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</si>
  <si>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</si>
  <si>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</si>
  <si>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</si>
  <si>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</si>
  <si>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</si>
  <si>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</si>
  <si>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</si>
  <si>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</si>
  <si>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</si>
  <si>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</si>
  <si>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</si>
  <si>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</si>
  <si>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</si>
  <si>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</si>
  <si>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</si>
  <si>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</si>
  <si>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</si>
  <si>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</si>
  <si>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</si>
  <si>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</si>
  <si>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</si>
  <si>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</si>
  <si>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</si>
  <si>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</si>
  <si>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</si>
  <si>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</si>
  <si>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</si>
  <si>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</si>
  <si>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</si>
  <si>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</si>
  <si>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</si>
  <si>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</si>
  <si>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</si>
  <si>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</si>
  <si>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</si>
  <si>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</si>
  <si>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</si>
  <si>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</si>
  <si>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</si>
  <si>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</si>
  <si>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</si>
  <si>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</si>
  <si>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</si>
  <si>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</si>
  <si>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</si>
  <si>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</si>
  <si>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</si>
  <si>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</si>
  <si>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</si>
  <si>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</si>
  <si>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</si>
  <si>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</si>
  <si>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</si>
  <si>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</si>
  <si>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</si>
  <si>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</si>
  <si>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</si>
  <si>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</si>
  <si>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</si>
  <si>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</si>
  <si>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</si>
  <si>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</si>
  <si>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</si>
  <si>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</si>
  <si>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</si>
  <si>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</si>
  <si>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</si>
  <si>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</si>
  <si>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</si>
  <si>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</si>
  <si>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</si>
  <si>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</si>
  <si>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</si>
  <si>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</si>
  <si>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</si>
  <si>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</si>
  <si>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</si>
  <si>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</si>
  <si>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</si>
  <si>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</si>
  <si>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</si>
  <si>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</si>
  <si>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</si>
  <si>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</si>
  <si>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</si>
  <si>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</si>
  <si>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</si>
  <si>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</si>
  <si>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</si>
  <si>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</si>
  <si>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</si>
  <si>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</si>
  <si>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</si>
  <si>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</si>
  <si>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</si>
  <si>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</si>
  <si>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</si>
  <si>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</si>
  <si>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</si>
  <si>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</si>
  <si>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</si>
  <si>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</si>
  <si>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</si>
  <si>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</si>
  <si>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</si>
  <si>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</si>
  <si>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</si>
  <si>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</si>
  <si>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</si>
  <si>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</si>
  <si>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</si>
  <si>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</si>
  <si>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</si>
  <si>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</si>
  <si>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</si>
  <si>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</si>
  <si>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</si>
  <si>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</si>
  <si>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</si>
  <si>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</si>
  <si>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</si>
  <si>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</si>
  <si>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</si>
  <si>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</si>
  <si>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</si>
  <si>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</si>
  <si>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</si>
  <si>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</si>
  <si>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</si>
  <si>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</si>
  <si>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</si>
  <si>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</si>
  <si>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</si>
  <si>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</si>
  <si>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</si>
  <si>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</si>
  <si>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</si>
  <si>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</si>
  <si>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</si>
  <si>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</si>
  <si>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</si>
  <si>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</si>
  <si>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</si>
  <si>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</si>
  <si>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</si>
  <si>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</si>
  <si>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</si>
  <si>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</si>
  <si>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</si>
  <si>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</si>
  <si>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</si>
  <si>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</si>
  <si>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</si>
  <si>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</si>
  <si>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</si>
  <si>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</si>
  <si>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</si>
  <si>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</si>
  <si>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</si>
  <si>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</si>
  <si>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</si>
  <si>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</si>
  <si>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</si>
  <si>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</si>
  <si>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</si>
  <si>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</si>
  <si>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</si>
  <si>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</si>
  <si>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</si>
  <si>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</si>
  <si>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</si>
  <si>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</si>
  <si>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</si>
  <si>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</si>
  <si>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</si>
  <si>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</si>
  <si>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</si>
  <si>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</si>
  <si>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</si>
  <si>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</si>
  <si>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</si>
  <si>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</si>
  <si>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</si>
  <si>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</si>
  <si>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</si>
  <si>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</si>
  <si>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</si>
  <si>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</si>
  <si>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</si>
  <si>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</si>
  <si>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</si>
  <si>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</si>
  <si>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</si>
  <si>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</si>
  <si>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</si>
  <si>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</si>
  <si>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</si>
  <si>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</si>
  <si>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</si>
  <si>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</si>
  <si>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</si>
  <si>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</si>
  <si>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</si>
  <si>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</si>
  <si>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</si>
  <si>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</si>
  <si>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</si>
  <si>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</si>
  <si>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</si>
  <si>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</si>
  <si>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</si>
  <si>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</si>
  <si>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</si>
  <si>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</si>
  <si>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</si>
  <si>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</si>
  <si>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</si>
  <si>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</si>
  <si>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</si>
  <si>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</si>
  <si>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</si>
  <si>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</si>
  <si>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</si>
  <si>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</si>
  <si>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</si>
  <si>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</si>
  <si>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</si>
  <si>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</si>
  <si>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</si>
  <si>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</si>
  <si>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</si>
  <si>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</si>
  <si>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</si>
  <si>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</si>
  <si>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</si>
  <si>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</si>
  <si>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</si>
  <si>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</si>
  <si>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</si>
  <si>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</si>
  <si>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</si>
  <si>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</si>
  <si>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</si>
  <si>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</si>
  <si>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</si>
  <si>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</si>
  <si>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</si>
  <si>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</si>
  <si>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</si>
  <si>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</si>
  <si>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</si>
  <si>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</si>
  <si>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</si>
  <si>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</si>
  <si>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</si>
  <si>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</si>
  <si>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</si>
  <si>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</si>
  <si>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</si>
  <si>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</si>
  <si>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</si>
  <si>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</si>
  <si>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</si>
  <si>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</si>
  <si>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</si>
  <si>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</si>
  <si>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</si>
  <si>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</si>
  <si>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</si>
  <si>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</si>
  <si>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</si>
  <si>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</si>
  <si>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</si>
  <si>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</si>
  <si>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</si>
  <si>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</si>
  <si>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</si>
  <si>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</si>
  <si>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</si>
  <si>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</si>
  <si>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</si>
  <si>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</si>
  <si>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</si>
  <si>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</si>
  <si>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</si>
  <si>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</si>
  <si>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</si>
  <si>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</si>
  <si>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</si>
  <si>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</si>
  <si>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</si>
  <si>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</si>
  <si>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</si>
  <si>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</si>
  <si>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</si>
  <si>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</si>
  <si>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</si>
  <si>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</si>
  <si>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</si>
  <si>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</si>
  <si>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</si>
  <si>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</si>
  <si>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</si>
  <si>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</si>
  <si>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</si>
  <si>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</si>
  <si>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</si>
  <si>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</si>
  <si>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</si>
  <si>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</si>
  <si>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</si>
  <si>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</si>
  <si>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</si>
  <si>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</si>
  <si>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</si>
  <si>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</si>
  <si>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</si>
  <si>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</si>
  <si>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</si>
  <si>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</si>
  <si>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</si>
  <si>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</si>
  <si>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</si>
  <si>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</si>
  <si>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</si>
  <si>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</si>
  <si>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</si>
  <si>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</si>
  <si>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</si>
  <si>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</si>
  <si>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</si>
  <si>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</si>
  <si>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</si>
  <si>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</si>
  <si>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</si>
  <si>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</si>
  <si>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</si>
  <si>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</si>
  <si>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</si>
  <si>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</si>
  <si>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</si>
  <si>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</si>
  <si>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</si>
  <si>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</si>
  <si>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</si>
  <si>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</si>
  <si>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</si>
  <si>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</si>
  <si>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</si>
  <si>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</si>
  <si>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</si>
  <si>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</si>
  <si>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</si>
  <si>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</si>
  <si>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</si>
  <si>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</si>
  <si>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</si>
  <si>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</si>
  <si>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</si>
  <si>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</si>
  <si>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</si>
  <si>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</si>
  <si>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</si>
  <si>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</si>
  <si>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</si>
  <si>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</si>
  <si>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</si>
  <si>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</si>
  <si>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</si>
  <si>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</si>
  <si>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</si>
  <si>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</si>
  <si>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</si>
  <si>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</si>
  <si>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</si>
  <si>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</si>
  <si>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</si>
  <si>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</si>
  <si>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</si>
  <si>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</si>
  <si>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</si>
  <si>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</si>
  <si>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</si>
  <si>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</si>
  <si>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</si>
  <si>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</si>
  <si>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</si>
  <si>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</si>
  <si>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</si>
  <si>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</si>
  <si>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</si>
  <si>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</si>
  <si>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</si>
  <si>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</si>
  <si>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</si>
  <si>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</si>
  <si>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</si>
  <si>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</si>
  <si>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</si>
  <si>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</si>
  <si>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</si>
  <si>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</si>
  <si>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</si>
  <si>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</si>
  <si>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</si>
  <si>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</si>
  <si>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</si>
  <si>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</si>
  <si>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</si>
  <si>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</si>
  <si>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</si>
  <si>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</si>
  <si>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</si>
  <si>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</si>
  <si>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</si>
  <si>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</si>
  <si>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</si>
  <si>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</si>
  <si>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</si>
  <si>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</si>
  <si>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</si>
  <si>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</si>
  <si>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</si>
  <si>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</si>
  <si>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</si>
  <si>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</si>
  <si>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</si>
  <si>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</si>
  <si>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</si>
  <si>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</si>
  <si>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</si>
  <si>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</si>
  <si>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</si>
  <si>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</si>
  <si>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</si>
  <si>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</si>
  <si>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</si>
  <si>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</si>
  <si>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</si>
  <si>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</si>
  <si>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</si>
  <si>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</si>
  <si>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</si>
  <si>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</si>
  <si>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</si>
  <si>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</si>
  <si>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</si>
  <si>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</si>
  <si>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</si>
  <si>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</si>
  <si>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</si>
  <si>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</si>
  <si>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</si>
  <si>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</si>
  <si>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</si>
  <si>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</si>
  <si>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</si>
  <si>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</si>
  <si>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</si>
  <si>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</si>
  <si>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</si>
  <si>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</si>
  <si>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</si>
  <si>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</si>
  <si>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</si>
  <si>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</si>
  <si>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</si>
  <si>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</si>
  <si>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</si>
  <si>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</si>
  <si>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</si>
  <si>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</si>
  <si>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</si>
  <si>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</si>
  <si>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</si>
  <si>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</si>
  <si>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</si>
  <si>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</si>
  <si>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</si>
  <si>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</si>
  <si>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</si>
  <si>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</si>
  <si>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</si>
  <si>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</si>
  <si>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</si>
  <si>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</si>
  <si>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</si>
  <si>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</si>
  <si>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</si>
  <si>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</si>
  <si>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</si>
  <si>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</si>
  <si>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</si>
  <si>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</si>
  <si>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</si>
  <si>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</si>
  <si>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</si>
  <si>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</si>
  <si>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</si>
  <si>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</si>
  <si>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</si>
  <si>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</si>
  <si>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</si>
  <si>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</si>
  <si>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</si>
  <si>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</si>
  <si>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</si>
  <si>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</si>
  <si>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</si>
  <si>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</si>
  <si>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</si>
  <si>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</si>
  <si>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</si>
  <si>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</si>
  <si>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</si>
  <si>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</si>
  <si>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</si>
  <si>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</si>
  <si>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</si>
  <si>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</si>
  <si>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</si>
  <si>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</si>
  <si>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</si>
  <si>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</si>
  <si>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</si>
  <si>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</si>
  <si>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</si>
  <si>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</si>
  <si>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</si>
  <si>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</si>
  <si>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</si>
  <si>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</si>
  <si>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</si>
  <si>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</si>
  <si>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</si>
  <si>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</si>
  <si>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</si>
  <si>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</si>
  <si>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</si>
  <si>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</si>
  <si>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</si>
  <si>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</si>
  <si>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</si>
  <si>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</si>
  <si>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</si>
  <si>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</si>
  <si>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</si>
  <si>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</si>
  <si>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</si>
  <si>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</si>
  <si>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</si>
  <si>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</si>
  <si>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</si>
  <si>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</si>
  <si>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</si>
  <si>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</si>
  <si>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</si>
  <si>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</si>
  <si>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</si>
  <si>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</si>
  <si>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</si>
  <si>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</si>
  <si>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</si>
  <si>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</si>
  <si>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</si>
  <si>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</si>
  <si>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</si>
  <si>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</si>
  <si>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</si>
  <si>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</si>
  <si>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</si>
  <si>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</si>
  <si>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</si>
  <si>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</si>
  <si>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</si>
  <si>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</si>
  <si>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</si>
  <si>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</si>
  <si>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</si>
  <si>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</si>
  <si>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</si>
  <si>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</si>
  <si>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</si>
  <si>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</si>
  <si>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</si>
  <si>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</si>
  <si>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</si>
  <si>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</si>
  <si>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</si>
  <si>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</si>
  <si>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</si>
  <si>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</si>
  <si>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</si>
  <si>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</si>
  <si>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</si>
  <si>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</si>
  <si>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</si>
  <si>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</si>
  <si>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</si>
  <si>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</si>
  <si>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</si>
  <si>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</si>
  <si>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</si>
  <si>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</si>
  <si>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</si>
  <si>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</si>
  <si>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</si>
  <si>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</si>
  <si>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</si>
  <si>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</si>
  <si>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</si>
  <si>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</si>
  <si>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</si>
  <si>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</si>
  <si>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</si>
  <si>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</si>
  <si>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</si>
  <si>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</si>
  <si>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</si>
  <si>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</si>
  <si>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</si>
  <si>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</si>
  <si>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</si>
  <si>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</si>
  <si>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</si>
  <si>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</si>
  <si>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</si>
  <si>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</si>
  <si>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</si>
  <si>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</si>
  <si>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</si>
  <si>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</si>
  <si>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</si>
  <si>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</si>
  <si>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</si>
  <si>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</si>
  <si>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</si>
  <si>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</si>
  <si>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</si>
  <si>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</si>
  <si>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</si>
  <si>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</si>
  <si>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</si>
  <si>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</si>
  <si>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</si>
  <si>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</si>
  <si>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</si>
  <si>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</si>
  <si>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</si>
  <si>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</si>
  <si>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</si>
  <si>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</si>
  <si>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</si>
  <si>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</si>
  <si>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</si>
  <si>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</si>
  <si>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</si>
  <si>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</si>
  <si>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</si>
  <si>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</si>
  <si>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</si>
  <si>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</si>
  <si>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</si>
  <si>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</si>
  <si>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</si>
  <si>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</si>
  <si>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</si>
  <si>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</si>
  <si>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</si>
  <si>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</si>
  <si>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</si>
  <si>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</si>
  <si>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</si>
  <si>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</si>
  <si>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</si>
  <si>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</si>
  <si>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</si>
  <si>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</si>
  <si>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</si>
  <si>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</si>
  <si>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</si>
  <si>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</si>
  <si>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</si>
  <si>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</si>
  <si>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</si>
  <si>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</si>
  <si>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</si>
  <si>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</si>
  <si>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</si>
  <si>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</si>
  <si>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</si>
  <si>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</si>
  <si>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</si>
  <si>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</si>
  <si>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</si>
  <si>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</si>
  <si>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</si>
  <si>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</si>
  <si>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</si>
  <si>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</si>
  <si>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</si>
  <si>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</si>
  <si>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</si>
  <si>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</si>
  <si>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</si>
  <si>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</si>
  <si>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</si>
  <si>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</si>
  <si>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</si>
  <si>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</si>
  <si>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</si>
  <si>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</si>
  <si>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</si>
  <si>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</si>
  <si>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</si>
  <si>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</si>
  <si>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</si>
  <si>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</si>
  <si>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</si>
  <si>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</si>
  <si>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</si>
  <si>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</si>
  <si>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</si>
  <si>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</si>
  <si>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</si>
  <si>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</si>
  <si>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</si>
  <si>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</si>
  <si>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</si>
  <si>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</si>
  <si>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</si>
  <si>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</si>
  <si>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</si>
  <si>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</si>
  <si>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</si>
  <si>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</si>
  <si>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</si>
  <si>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</si>
  <si>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</si>
  <si>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</si>
  <si>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</si>
  <si>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</si>
  <si>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</si>
  <si>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</si>
  <si>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</si>
  <si>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</si>
  <si>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</si>
  <si>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</si>
  <si>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</si>
  <si>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</si>
  <si>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</si>
  <si>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</si>
  <si>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</si>
  <si>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</si>
  <si>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</si>
  <si>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</si>
  <si>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</si>
  <si>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</si>
  <si>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</si>
  <si>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</si>
  <si>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</si>
  <si>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</si>
  <si>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</si>
  <si>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</si>
  <si>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</si>
  <si>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</si>
  <si>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</si>
  <si>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</si>
  <si>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</si>
  <si>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</si>
  <si>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</si>
  <si>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</si>
  <si>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</si>
  <si>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</si>
  <si>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</si>
  <si>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</si>
  <si>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</si>
  <si>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</si>
  <si>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</si>
  <si>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</si>
  <si>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</si>
  <si>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</si>
  <si>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</si>
  <si>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</si>
  <si>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</si>
  <si>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</si>
  <si>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</si>
  <si>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</si>
  <si>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</si>
  <si>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</si>
  <si>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</si>
  <si>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</si>
  <si>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</si>
  <si>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</si>
  <si>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</si>
  <si>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</si>
  <si>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</si>
  <si>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</si>
  <si>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</si>
  <si>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</si>
  <si>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</si>
  <si>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</si>
  <si>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</si>
  <si>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</si>
  <si>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</si>
  <si>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</si>
  <si>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</si>
  <si>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</si>
  <si>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</si>
  <si>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</si>
  <si>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</si>
  <si>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</si>
  <si>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</si>
  <si>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</si>
  <si>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</si>
  <si>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</si>
  <si>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</si>
  <si>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</si>
  <si>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</si>
  <si>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</si>
  <si>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</si>
  <si>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</si>
  <si>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</si>
  <si>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</si>
  <si>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</si>
  <si>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</si>
  <si>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</si>
  <si>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</si>
  <si>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</si>
  <si>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</si>
  <si>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</si>
  <si>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</si>
  <si>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</si>
  <si>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</si>
  <si>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</si>
  <si>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</si>
  <si>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</si>
  <si>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</si>
  <si>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</si>
  <si>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</si>
  <si>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</si>
  <si>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</si>
  <si>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</si>
  <si>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</si>
  <si>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</si>
  <si>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</si>
  <si>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</si>
  <si>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</si>
  <si>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</si>
  <si>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</si>
  <si>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</si>
  <si>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</si>
  <si>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</si>
  <si>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</si>
  <si>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</si>
  <si>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</si>
  <si>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</si>
  <si>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</si>
  <si>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</si>
  <si>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</si>
  <si>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</si>
  <si>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</si>
  <si>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</si>
  <si>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</si>
  <si>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</si>
  <si>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</si>
  <si>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</si>
  <si>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</si>
  <si>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</si>
  <si>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</si>
  <si>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</si>
  <si>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</si>
  <si>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</si>
  <si>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</si>
  <si>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</si>
  <si>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</si>
  <si>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</si>
  <si>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</si>
  <si>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</si>
  <si>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</si>
  <si>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</si>
  <si>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</si>
  <si>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</si>
  <si>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</si>
  <si>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</si>
  <si>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</si>
  <si>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</si>
  <si>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</si>
  <si>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</si>
  <si>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</si>
  <si>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</si>
  <si>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</si>
  <si>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</si>
  <si>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</si>
  <si>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</si>
  <si>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</si>
  <si>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</si>
  <si>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</si>
  <si>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</si>
  <si>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</si>
  <si>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</si>
  <si>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</si>
  <si>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</si>
  <si>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</si>
  <si>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</si>
  <si>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</si>
  <si>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</si>
  <si>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</si>
  <si>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</si>
  <si>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</si>
  <si>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</si>
  <si>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</si>
  <si>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</si>
  <si>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</si>
  <si>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</si>
  <si>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</si>
  <si>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</si>
  <si>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</si>
  <si>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</si>
  <si>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</si>
  <si>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</si>
  <si>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</si>
  <si>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</si>
  <si>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</si>
  <si>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</si>
  <si>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</si>
  <si>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</si>
  <si>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</si>
  <si>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</si>
  <si>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</si>
  <si>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</si>
  <si>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</si>
  <si>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</si>
  <si>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</si>
  <si>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</si>
  <si>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</si>
  <si>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</si>
  <si>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</si>
  <si>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</si>
  <si>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</si>
  <si>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</si>
  <si>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</si>
  <si>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</si>
  <si>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</si>
  <si>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</si>
  <si>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</si>
  <si>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</si>
  <si>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</si>
  <si>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</si>
  <si>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</si>
  <si>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</si>
  <si>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</si>
  <si>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</si>
  <si>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</si>
  <si>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</si>
  <si>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</si>
  <si>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</si>
  <si>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</si>
  <si>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</si>
  <si>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</si>
  <si>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</si>
  <si>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</si>
  <si>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</si>
  <si>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</si>
  <si>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</si>
  <si>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</si>
  <si>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</si>
  <si>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</si>
  <si>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</si>
  <si>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</si>
  <si>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</si>
  <si>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</si>
  <si>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</si>
  <si>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</si>
  <si>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</si>
  <si>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</si>
  <si>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</si>
  <si>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</si>
  <si>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</si>
  <si>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</si>
  <si>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</si>
  <si>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</si>
  <si>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</si>
  <si>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</si>
  <si>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</si>
  <si>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</si>
  <si>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</si>
  <si>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</si>
  <si>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</si>
  <si>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</si>
  <si>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</si>
  <si>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</si>
  <si>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</si>
  <si>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</si>
  <si>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</si>
  <si>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</si>
  <si>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</si>
  <si>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</si>
  <si>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</si>
  <si>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</si>
  <si>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</si>
  <si>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</si>
  <si>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</si>
  <si>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</si>
  <si>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</si>
  <si>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</si>
  <si>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</si>
  <si>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</si>
  <si>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</si>
  <si>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</si>
  <si>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</si>
  <si>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</si>
  <si>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</si>
  <si>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</si>
  <si>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</si>
  <si>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</si>
  <si>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</si>
  <si>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</si>
  <si>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</si>
  <si>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</si>
  <si>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</si>
  <si>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</si>
  <si>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</si>
  <si>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</si>
  <si>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</si>
  <si>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</si>
  <si>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</si>
  <si>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</si>
  <si>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</si>
  <si>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</si>
  <si>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</si>
  <si>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</si>
  <si>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</si>
  <si>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</si>
  <si>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</si>
  <si>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</si>
  <si>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</si>
  <si>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</si>
  <si>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</si>
  <si>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</si>
  <si>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</si>
  <si>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</si>
  <si>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</si>
  <si>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</si>
  <si>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</si>
  <si>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</si>
  <si>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</si>
  <si>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</si>
  <si>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</si>
  <si>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</si>
  <si>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</si>
  <si>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</si>
  <si>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</si>
  <si>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</si>
  <si>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</si>
  <si>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</si>
  <si>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</si>
  <si>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</si>
  <si>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</si>
  <si>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</si>
  <si>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</si>
  <si>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</si>
  <si>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</si>
  <si>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</si>
  <si>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</si>
  <si>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</si>
  <si>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</si>
  <si>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</si>
  <si>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</si>
  <si>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</si>
  <si>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</si>
  <si>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</si>
  <si>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</si>
  <si>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</si>
  <si>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</si>
  <si>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</si>
  <si>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</si>
  <si>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</si>
  <si>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</si>
  <si>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</si>
  <si>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</si>
  <si>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</si>
  <si>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</si>
  <si>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</si>
  <si>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</si>
  <si>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</si>
  <si>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</si>
  <si>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</si>
  <si>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</si>
  <si>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</si>
  <si>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</si>
  <si>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</si>
  <si>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</si>
  <si>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</si>
  <si>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</si>
  <si>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</si>
  <si>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</si>
  <si>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</si>
  <si>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</si>
  <si>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</si>
  <si>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</si>
  <si>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</si>
  <si>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</si>
  <si>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</si>
  <si>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</si>
  <si>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</si>
  <si>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</si>
  <si>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</si>
  <si>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</si>
  <si>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</si>
  <si>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</si>
  <si>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</si>
  <si>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</si>
  <si>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</si>
  <si>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</si>
  <si>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</si>
  <si>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</si>
  <si>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</si>
  <si>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</si>
  <si>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</si>
  <si>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</si>
  <si>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</si>
  <si>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</si>
  <si>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</si>
  <si>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</si>
  <si>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</si>
  <si>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</si>
  <si>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</si>
  <si>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</si>
  <si>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</si>
  <si>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</si>
  <si>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</si>
  <si>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</si>
  <si>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</si>
  <si>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</si>
  <si>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</si>
  <si>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</si>
  <si>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</si>
  <si>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</si>
  <si>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</si>
  <si>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</si>
  <si>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</si>
  <si>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</si>
  <si>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</si>
  <si>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</si>
  <si>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</si>
  <si>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</si>
  <si>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</si>
  <si>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</si>
  <si>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</si>
  <si>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</si>
  <si>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</si>
  <si>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</si>
  <si>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</si>
  <si>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</si>
  <si>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</si>
  <si>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</si>
  <si>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</si>
  <si>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</si>
  <si>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</si>
  <si>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</si>
  <si>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</si>
  <si>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</si>
  <si>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</si>
  <si>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</si>
  <si>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</si>
  <si>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</si>
  <si>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</si>
  <si>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</si>
  <si>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</si>
  <si>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</si>
  <si>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</si>
  <si>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</si>
  <si>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</si>
  <si>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</si>
  <si>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</si>
  <si>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</si>
  <si>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</si>
  <si>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</si>
  <si>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</si>
  <si>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</si>
  <si>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</si>
  <si>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</si>
  <si>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</si>
  <si>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</si>
  <si>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</si>
  <si>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</si>
  <si>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</si>
  <si>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</si>
  <si>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</si>
  <si>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</si>
  <si>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</si>
  <si>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</si>
  <si>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</si>
  <si>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</si>
  <si>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</si>
  <si>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</si>
  <si>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</si>
  <si>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</si>
  <si>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</si>
  <si>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</si>
  <si>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</si>
  <si>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</si>
  <si>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</si>
  <si>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</si>
  <si>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</si>
  <si>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</si>
  <si>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</si>
  <si>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</si>
  <si>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</si>
  <si>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</si>
  <si>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</si>
  <si>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</si>
  <si>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</si>
  <si>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</si>
  <si>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</si>
  <si>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</si>
  <si>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</si>
  <si>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</si>
  <si>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</si>
  <si>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</si>
  <si>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</si>
  <si>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</si>
  <si>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</si>
  <si>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</si>
  <si>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</si>
  <si>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</si>
  <si>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</si>
  <si>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</si>
  <si>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</si>
  <si>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</si>
  <si>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</si>
  <si>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</si>
  <si>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</si>
  <si>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</si>
  <si>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</si>
  <si>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</si>
  <si>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</si>
  <si>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</si>
  <si>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</si>
  <si>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</si>
  <si>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</si>
  <si>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</si>
  <si>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</si>
  <si>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</si>
  <si>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</si>
  <si>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</si>
  <si>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</si>
  <si>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</si>
  <si>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</si>
  <si>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</si>
  <si>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</si>
  <si>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</si>
  <si>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</si>
  <si>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</si>
  <si>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</si>
  <si>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</si>
  <si>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</si>
  <si>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</si>
  <si>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</si>
  <si>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</si>
  <si>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</si>
  <si>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</si>
  <si>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</si>
  <si>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</si>
  <si>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</si>
  <si>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</si>
  <si>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</si>
  <si>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</si>
  <si>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</si>
  <si>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</si>
  <si>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</si>
  <si>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</si>
  <si>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</si>
  <si>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</si>
  <si>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</si>
  <si>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</si>
  <si>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</si>
  <si>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</si>
  <si>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</si>
  <si>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</si>
  <si>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</si>
  <si>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</si>
  <si>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</si>
  <si>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</si>
  <si>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</si>
  <si>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</si>
  <si>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</si>
  <si>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</si>
  <si>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</si>
  <si>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</si>
  <si>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</si>
  <si>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</si>
  <si>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</si>
  <si>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</si>
  <si>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</si>
  <si>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</si>
  <si>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</si>
  <si>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</si>
  <si>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</si>
  <si>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</si>
  <si>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</si>
  <si>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</si>
  <si>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</si>
  <si>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</si>
  <si>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</si>
  <si>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</si>
  <si>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</si>
  <si>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</si>
  <si>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</si>
  <si>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</si>
  <si>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</si>
  <si>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</si>
  <si>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</si>
  <si>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</si>
  <si>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</si>
  <si>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</si>
  <si>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</si>
  <si>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</si>
  <si>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</si>
  <si>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</si>
  <si>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</si>
  <si>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</si>
  <si>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</si>
  <si>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</si>
  <si>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</si>
  <si>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</si>
  <si>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</si>
  <si>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</si>
  <si>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</si>
  <si>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</si>
  <si>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</si>
  <si>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</si>
  <si>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</si>
  <si>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</si>
  <si>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</si>
  <si>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</si>
  <si>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</si>
  <si>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</si>
  <si>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</si>
  <si>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</si>
  <si>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</si>
  <si>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</si>
  <si>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</si>
  <si>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</si>
  <si>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</si>
  <si>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</si>
  <si>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</si>
  <si>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</si>
  <si>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</si>
  <si>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</si>
  <si>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</si>
  <si>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</si>
  <si>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</si>
  <si>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</si>
  <si>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</si>
  <si>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</si>
  <si>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</si>
  <si>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</si>
  <si>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</si>
  <si>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</si>
  <si>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</si>
  <si>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</si>
  <si>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</si>
  <si>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</si>
  <si>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</si>
  <si>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</si>
  <si>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</si>
  <si>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</si>
  <si>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</si>
  <si>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</si>
  <si>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</si>
  <si>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</si>
  <si>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</si>
  <si>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</si>
  <si>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</si>
  <si>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</si>
  <si>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</si>
  <si>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</si>
  <si>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</si>
  <si>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</si>
  <si>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</si>
  <si>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</si>
  <si>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</si>
  <si>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</si>
  <si>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</si>
  <si>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</si>
  <si>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</si>
  <si>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</si>
  <si>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</si>
  <si>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</si>
  <si>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</si>
  <si>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</si>
  <si>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</si>
  <si>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</si>
  <si>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</si>
  <si>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</si>
  <si>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</si>
  <si>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</si>
  <si>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</si>
  <si>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</si>
  <si>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</si>
  <si>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</si>
  <si>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</si>
  <si>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</si>
  <si>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</si>
  <si>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</si>
  <si>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</si>
  <si>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</si>
  <si>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</si>
  <si>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</si>
  <si>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</si>
  <si>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</si>
  <si>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</si>
  <si>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</si>
  <si>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</si>
  <si>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</si>
  <si>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</si>
  <si>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</si>
  <si>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</si>
  <si>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</si>
  <si>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</si>
  <si>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</si>
  <si>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</si>
  <si>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</si>
  <si>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</si>
  <si>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</si>
  <si>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</si>
  <si>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</si>
  <si>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</si>
  <si>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</si>
  <si>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</si>
  <si>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</si>
  <si>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</si>
  <si>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</si>
  <si>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</si>
  <si>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</si>
  <si>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</si>
  <si>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</si>
  <si>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</si>
  <si>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</si>
  <si>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</si>
  <si>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</si>
  <si>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</si>
  <si>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</si>
  <si>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</si>
  <si>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</si>
  <si>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</si>
  <si>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</si>
  <si>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</si>
  <si>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</si>
  <si>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</si>
  <si>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</si>
  <si>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</si>
  <si>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</si>
  <si>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</si>
  <si>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</si>
  <si>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</si>
  <si>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</si>
  <si>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</si>
  <si>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</si>
  <si>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</si>
  <si>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</si>
  <si>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</si>
  <si>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</si>
  <si>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</si>
  <si>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</si>
  <si>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</si>
  <si>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</si>
  <si>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</si>
  <si>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</si>
  <si>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</si>
  <si>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</si>
  <si>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</si>
  <si>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</si>
  <si>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</si>
  <si>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</si>
  <si>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</si>
  <si>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</si>
  <si>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</si>
  <si>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</si>
  <si>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</si>
  <si>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</si>
  <si>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</si>
  <si>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</si>
  <si>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</si>
  <si>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</si>
  <si>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</si>
  <si>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</si>
  <si>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</si>
  <si>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</si>
  <si>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</si>
  <si>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</si>
  <si>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</si>
  <si>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</si>
  <si>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</si>
  <si>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</si>
  <si>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</si>
  <si>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</si>
  <si>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</si>
  <si>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</si>
  <si>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</si>
  <si>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</si>
  <si>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</si>
  <si>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</si>
  <si>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</si>
  <si>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</si>
  <si>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</si>
  <si>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</si>
  <si>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</si>
  <si>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</si>
  <si>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</si>
  <si>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</si>
  <si>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</si>
  <si>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</si>
  <si>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</si>
  <si>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</si>
  <si>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</si>
  <si>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</si>
  <si>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</si>
  <si>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</si>
  <si>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</si>
  <si>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</si>
  <si>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</si>
  <si>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</si>
  <si>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</si>
  <si>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</si>
  <si>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</si>
  <si>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</si>
  <si>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</si>
  <si>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</si>
  <si>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</si>
  <si>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</si>
  <si>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</si>
  <si>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</si>
  <si>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</si>
  <si>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</si>
  <si>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</si>
  <si>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</si>
  <si>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</si>
  <si>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</si>
  <si>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</si>
  <si>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</si>
  <si>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</si>
  <si>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</si>
  <si>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</si>
  <si>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</si>
  <si>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</si>
  <si>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</si>
  <si>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</si>
  <si>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</si>
  <si>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</si>
  <si>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</si>
  <si>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</si>
  <si>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</si>
  <si>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</si>
  <si>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</si>
  <si>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</si>
  <si>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</si>
  <si>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</si>
  <si>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</si>
  <si>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</si>
  <si>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</si>
  <si>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</si>
  <si>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</si>
  <si>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</si>
  <si>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</si>
  <si>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</si>
  <si>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</si>
  <si>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</si>
  <si>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</si>
  <si>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</si>
  <si>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</si>
  <si>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</si>
  <si>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</si>
  <si>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</si>
  <si>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</si>
  <si>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</si>
  <si>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</si>
  <si>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</si>
  <si>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</si>
  <si>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</si>
  <si>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</si>
  <si>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</si>
  <si>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</si>
  <si>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</si>
  <si>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</si>
  <si>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</si>
  <si>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</si>
  <si>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</si>
  <si>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</si>
  <si>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</si>
  <si>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</si>
  <si>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</si>
  <si>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</si>
  <si>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</si>
  <si>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</si>
  <si>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</si>
  <si>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</si>
  <si>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</si>
  <si>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</si>
  <si>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</si>
  <si>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</si>
  <si>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</si>
  <si>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</si>
  <si>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</si>
  <si>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</si>
  <si>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</si>
  <si>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</si>
  <si>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</si>
  <si>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</si>
  <si>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</si>
  <si>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</si>
  <si>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</si>
  <si>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</si>
  <si>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</si>
  <si>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</si>
  <si>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</si>
  <si>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</si>
  <si>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</si>
  <si>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</si>
  <si>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</si>
  <si>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</si>
  <si>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</si>
  <si>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</si>
  <si>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</si>
  <si>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</si>
  <si>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</si>
  <si>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</si>
  <si>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</si>
  <si>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</si>
  <si>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</si>
  <si>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</si>
  <si>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</si>
  <si>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</si>
  <si>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</si>
  <si>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</si>
  <si>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</si>
  <si>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</si>
  <si>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</si>
  <si>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</si>
  <si>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</si>
  <si>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</si>
  <si>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</si>
  <si>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</si>
  <si>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</si>
  <si>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</si>
  <si>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</si>
  <si>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</si>
  <si>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</si>
  <si>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</si>
  <si>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</si>
  <si>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</si>
  <si>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</si>
  <si>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</si>
  <si>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</si>
  <si>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</si>
  <si>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</si>
  <si>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</si>
  <si>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</si>
  <si>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</si>
  <si>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</si>
  <si>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</si>
  <si>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</si>
  <si>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</si>
  <si>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</si>
  <si>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</si>
  <si>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</si>
  <si>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</si>
  <si>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</si>
  <si>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</si>
  <si>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</si>
  <si>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</si>
  <si>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</si>
  <si>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</si>
  <si>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</si>
  <si>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</si>
  <si>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</si>
  <si>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</si>
  <si>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</si>
  <si>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</si>
  <si>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</si>
  <si>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</si>
  <si>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</si>
  <si>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</si>
  <si>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</si>
  <si>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</si>
  <si>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</si>
  <si>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</si>
  <si>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</si>
  <si>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</si>
  <si>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</si>
  <si>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</si>
  <si>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</si>
  <si>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</si>
  <si>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</si>
  <si>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</si>
  <si>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</si>
  <si>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</si>
  <si>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</si>
  <si>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</si>
  <si>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</si>
  <si>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</si>
  <si>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</si>
  <si>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</si>
  <si>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</si>
  <si>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</si>
  <si>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</si>
  <si>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</si>
  <si>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</si>
  <si>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</si>
  <si>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</si>
  <si>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</si>
  <si>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</si>
  <si>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</si>
  <si>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</si>
  <si>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</si>
  <si>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</si>
  <si>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</si>
  <si>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</si>
  <si>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</si>
  <si>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</si>
  <si>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</si>
  <si>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</si>
  <si>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</si>
  <si>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</si>
  <si>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</si>
  <si>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</si>
  <si>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</si>
  <si>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</si>
  <si>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</si>
  <si>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</si>
  <si>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</si>
  <si>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</si>
  <si>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</si>
  <si>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</si>
  <si>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</si>
  <si>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</si>
  <si>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</si>
  <si>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</si>
  <si>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</si>
  <si>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</si>
  <si>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</si>
  <si>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</si>
  <si>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</si>
  <si>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</si>
  <si>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</si>
  <si>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</si>
  <si>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</si>
  <si>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</si>
  <si>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</si>
  <si>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</si>
  <si>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</si>
  <si>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</si>
  <si>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</si>
  <si>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</si>
  <si>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</si>
  <si>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</si>
  <si>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</si>
  <si>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</si>
  <si>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</si>
  <si>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</si>
  <si>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</si>
  <si>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</si>
  <si>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</si>
  <si>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</si>
  <si>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</si>
  <si>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</si>
  <si>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</si>
  <si>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</si>
  <si>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</si>
  <si>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</si>
  <si>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</si>
  <si>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</si>
  <si>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</si>
  <si>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</si>
  <si>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</si>
  <si>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</si>
  <si>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</si>
  <si>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</si>
  <si>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</si>
  <si>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</si>
  <si>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</si>
  <si>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</si>
  <si>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</si>
  <si>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</si>
  <si>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</si>
  <si>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</si>
  <si>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</si>
  <si>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</si>
  <si>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</si>
  <si>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</si>
  <si>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</si>
  <si>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</si>
  <si>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</si>
  <si>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</si>
  <si>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</si>
  <si>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</si>
  <si>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</si>
  <si>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</si>
  <si>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</si>
  <si>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</si>
  <si>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</si>
  <si>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</si>
  <si>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</si>
  <si>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</si>
  <si>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</si>
  <si>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</si>
  <si>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</si>
  <si>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</si>
  <si>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</si>
  <si>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</si>
  <si>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</si>
  <si>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</si>
  <si>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</si>
  <si>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</si>
  <si>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</si>
  <si>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</si>
  <si>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</si>
  <si>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</si>
  <si>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</si>
  <si>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</si>
  <si>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</si>
  <si>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</si>
  <si>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</si>
  <si>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</si>
  <si>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</si>
  <si>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</si>
  <si>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</si>
  <si>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</si>
  <si>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</si>
  <si>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</si>
  <si>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</si>
  <si>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</si>
  <si>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</si>
  <si>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</si>
  <si>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</si>
  <si>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</si>
  <si>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</si>
  <si>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</si>
  <si>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</si>
  <si>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</si>
  <si>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</si>
  <si>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</si>
  <si>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</si>
  <si>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</si>
  <si>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</si>
  <si>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</si>
  <si>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</si>
  <si>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</si>
  <si>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</si>
  <si>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</si>
  <si>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</si>
  <si>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</si>
  <si>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</si>
  <si>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</si>
  <si>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</si>
  <si>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</si>
  <si>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</si>
  <si>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</si>
  <si>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</si>
  <si>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</si>
  <si>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</si>
  <si>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</si>
  <si>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</si>
  <si>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</si>
  <si>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</si>
  <si>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</si>
  <si>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</si>
  <si>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</si>
  <si>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</si>
  <si>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</si>
  <si>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</si>
  <si>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</si>
  <si>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</si>
  <si>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</si>
  <si>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</si>
  <si>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</si>
  <si>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</si>
  <si>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</si>
  <si>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</si>
  <si>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</si>
  <si>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</si>
  <si>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</si>
  <si>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</si>
  <si>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</si>
  <si>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</si>
  <si>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</si>
  <si>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</si>
  <si>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</si>
  <si>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</si>
  <si>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</si>
  <si>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</si>
  <si>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</si>
  <si>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</si>
  <si>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</si>
  <si>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</si>
  <si>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</si>
  <si>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</si>
  <si>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</si>
  <si>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</si>
  <si>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</si>
  <si>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</si>
  <si>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</si>
  <si>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</si>
  <si>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</si>
  <si>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</si>
  <si>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</si>
  <si>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</si>
  <si>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</si>
  <si>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</si>
  <si>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</si>
  <si>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</si>
  <si>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</si>
  <si>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</si>
  <si>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</si>
  <si>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</si>
  <si>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</si>
  <si>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</si>
  <si>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</si>
  <si>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</si>
  <si>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</si>
  <si>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</si>
  <si>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</si>
  <si>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</si>
  <si>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</si>
  <si>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</si>
  <si>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</si>
  <si>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</si>
  <si>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</si>
  <si>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</si>
  <si>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</si>
  <si>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</si>
  <si>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</si>
  <si>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</si>
  <si>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</si>
  <si>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</si>
  <si>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</si>
  <si>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</si>
  <si>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</si>
  <si>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</si>
  <si>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</si>
  <si>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</si>
  <si>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</si>
  <si>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</si>
  <si>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</si>
  <si>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</si>
  <si>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</si>
  <si>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</si>
  <si>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</si>
  <si>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</si>
  <si>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</si>
  <si>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</si>
  <si>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</si>
  <si>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</si>
  <si>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</si>
  <si>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</si>
  <si>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</si>
  <si>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</si>
  <si>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</si>
  <si>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</si>
  <si>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</si>
  <si>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</si>
  <si>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</si>
  <si>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</si>
  <si>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</si>
  <si>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</si>
  <si>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</si>
  <si>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</si>
  <si>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</si>
  <si>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</si>
  <si>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</si>
  <si>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</si>
  <si>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</si>
  <si>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</si>
  <si>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</si>
  <si>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</si>
  <si>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</si>
  <si>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</si>
  <si>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</si>
  <si>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</si>
  <si>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</si>
  <si>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</si>
  <si>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</si>
  <si>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</si>
  <si>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</si>
  <si>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</si>
  <si>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</si>
  <si>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</si>
  <si>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</si>
  <si>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</si>
  <si>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</si>
  <si>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</si>
  <si>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</si>
  <si>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</si>
  <si>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</si>
  <si>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</si>
  <si>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</si>
  <si>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</si>
  <si>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</si>
  <si>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</si>
  <si>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</si>
  <si>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</si>
  <si>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</si>
  <si>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</si>
  <si>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</si>
  <si>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</si>
  <si>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</si>
  <si>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</si>
  <si>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</si>
  <si>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</si>
  <si>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</si>
  <si>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</si>
  <si>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</si>
  <si>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</si>
  <si>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</si>
  <si>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</si>
  <si>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</si>
  <si>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</si>
  <si>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</si>
  <si>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</si>
  <si>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</si>
  <si>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</si>
  <si>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</si>
  <si>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</si>
  <si>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</si>
  <si>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</si>
  <si>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</si>
  <si>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</si>
  <si>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</si>
  <si>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</si>
  <si>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</si>
  <si>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</si>
  <si>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</si>
  <si>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</si>
  <si>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</si>
  <si>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</si>
  <si>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</si>
  <si>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</si>
  <si>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</si>
  <si>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</si>
  <si>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</si>
  <si>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</si>
  <si>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</si>
  <si>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</si>
  <si>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</si>
  <si>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</si>
  <si>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</si>
  <si>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</si>
  <si>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</si>
  <si>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</si>
  <si>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</si>
  <si>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</si>
  <si>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</si>
  <si>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</si>
  <si>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</si>
  <si>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</si>
  <si>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</si>
  <si>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</si>
  <si>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</si>
  <si>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</si>
  <si>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</si>
  <si>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</si>
  <si>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</si>
  <si>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</si>
  <si>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</si>
  <si>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</si>
  <si>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</si>
  <si>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</si>
  <si>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</si>
  <si>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</si>
  <si>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</si>
  <si>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</si>
  <si>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</si>
  <si>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</si>
  <si>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</si>
  <si>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</si>
  <si>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</si>
  <si>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</si>
  <si>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</si>
  <si>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</si>
  <si>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</si>
  <si>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</si>
  <si>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</si>
  <si>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</si>
  <si>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</si>
  <si>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</si>
  <si>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</si>
  <si>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</si>
  <si>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</si>
  <si>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</si>
  <si>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</si>
  <si>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</si>
  <si>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</si>
  <si>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</si>
  <si>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</si>
  <si>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</si>
  <si>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</si>
  <si>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</si>
  <si>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</si>
  <si>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</si>
  <si>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</si>
  <si>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</si>
  <si>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</si>
  <si>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</si>
  <si>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</si>
  <si>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</si>
  <si>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</si>
  <si>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</si>
  <si>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</si>
  <si>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</si>
  <si>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</si>
  <si>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</si>
  <si>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</si>
  <si>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</si>
  <si>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</si>
  <si>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</si>
  <si>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</si>
  <si>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</si>
  <si>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</si>
  <si>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</si>
  <si>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</si>
  <si>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</si>
  <si>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</si>
  <si>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</si>
  <si>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</si>
  <si>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</si>
  <si>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</si>
  <si>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</si>
  <si>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</si>
  <si>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</si>
  <si>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</si>
  <si>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</si>
  <si>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</si>
  <si>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</si>
  <si>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</si>
  <si>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</si>
  <si>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</si>
  <si>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</si>
  <si>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</si>
  <si>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</si>
  <si>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</si>
  <si>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</si>
  <si>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</si>
  <si>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</si>
  <si>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</si>
  <si>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</si>
  <si>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</si>
  <si>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</si>
  <si>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</si>
  <si>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</si>
  <si>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</si>
  <si>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</si>
  <si>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</si>
  <si>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</si>
  <si>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</si>
  <si>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</si>
  <si>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</si>
  <si>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</si>
  <si>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</si>
  <si>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</si>
  <si>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</si>
  <si>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</si>
  <si>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</si>
  <si>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</si>
  <si>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</si>
  <si>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</si>
  <si>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</si>
  <si>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</si>
  <si>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</si>
  <si>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</si>
  <si>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</si>
  <si>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</si>
  <si>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</si>
  <si>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</si>
  <si>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</si>
  <si>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</si>
  <si>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</si>
  <si>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</si>
  <si>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</si>
  <si>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</si>
  <si>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</si>
  <si>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</si>
  <si>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</si>
  <si>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</si>
  <si>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</si>
  <si>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</si>
  <si>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</si>
  <si>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</si>
  <si>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</si>
  <si>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</si>
  <si>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</si>
  <si>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</si>
  <si>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</si>
  <si>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</si>
  <si>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</si>
  <si>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</si>
  <si>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</si>
  <si>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</si>
  <si>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</si>
  <si>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</si>
  <si>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</si>
  <si>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</si>
  <si>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</si>
  <si>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</si>
  <si>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</si>
  <si>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</si>
  <si>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</si>
  <si>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</si>
  <si>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</si>
  <si>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</si>
  <si>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</si>
  <si>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</si>
  <si>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</si>
  <si>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</si>
  <si>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</si>
  <si>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</si>
  <si>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</si>
  <si>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</si>
  <si>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</si>
  <si>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</si>
  <si>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</si>
  <si>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</si>
  <si>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</si>
  <si>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</si>
  <si>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</si>
  <si>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</si>
  <si>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</si>
  <si>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</si>
  <si>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</si>
  <si>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</si>
  <si>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</si>
  <si>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</si>
  <si>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</si>
  <si>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</si>
  <si>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</si>
  <si>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</si>
  <si>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</si>
  <si>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</si>
  <si>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</si>
  <si>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</si>
  <si>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</si>
  <si>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</si>
  <si>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</si>
  <si>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</si>
  <si>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</si>
  <si>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</si>
  <si>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</si>
  <si>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</si>
  <si>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</si>
  <si>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</si>
  <si>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</si>
  <si>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</si>
  <si>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</si>
  <si>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</si>
  <si>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</si>
  <si>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</si>
  <si>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</si>
  <si>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</si>
  <si>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</si>
  <si>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</si>
  <si>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</si>
  <si>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</si>
  <si>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</si>
  <si>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</si>
  <si>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</si>
  <si>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</si>
  <si>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</si>
  <si>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</si>
  <si>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</si>
  <si>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</si>
  <si>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</si>
  <si>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</si>
  <si>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</si>
  <si>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</si>
  <si>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</si>
  <si>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</si>
  <si>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</si>
  <si>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</si>
  <si>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</si>
  <si>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</si>
  <si>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</si>
  <si>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</si>
  <si>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</si>
  <si>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</si>
  <si>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</si>
  <si>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</si>
  <si>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</si>
  <si>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</si>
  <si>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</si>
  <si>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</si>
  <si>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</si>
  <si>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</si>
  <si>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</si>
  <si>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</si>
  <si>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</si>
  <si>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</si>
  <si>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</si>
  <si>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</si>
  <si>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</si>
  <si>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</si>
  <si>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</si>
  <si>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</si>
  <si>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</si>
  <si>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</si>
  <si>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</si>
  <si>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</si>
  <si>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</si>
  <si>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</si>
  <si>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</si>
  <si>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</si>
  <si>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</si>
  <si>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</si>
  <si>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</si>
  <si>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</si>
  <si>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</si>
  <si>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</si>
  <si>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</si>
  <si>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</si>
  <si>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</si>
  <si>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</si>
  <si>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</si>
  <si>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</si>
  <si>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</si>
  <si>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</si>
  <si>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</si>
  <si>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</si>
  <si>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</si>
  <si>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</si>
  <si>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</si>
  <si>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</si>
  <si>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</si>
  <si>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</si>
  <si>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</si>
  <si>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</si>
  <si>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</si>
  <si>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</si>
  <si>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</si>
  <si>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</si>
  <si>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</si>
  <si>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</si>
  <si>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</si>
  <si>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</si>
  <si>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</si>
  <si>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</si>
  <si>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</si>
  <si>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</si>
  <si>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</si>
  <si>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</si>
  <si>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</si>
  <si>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</si>
  <si>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</si>
  <si>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</si>
  <si>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</si>
  <si>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</si>
  <si>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</si>
  <si>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</si>
  <si>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</si>
  <si>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</si>
  <si>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</si>
  <si>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</si>
  <si>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</si>
  <si>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</si>
  <si>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</si>
  <si>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</si>
  <si>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</si>
  <si>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</si>
  <si>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</si>
  <si>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</si>
  <si>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</si>
  <si>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</si>
  <si>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</si>
  <si>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</si>
  <si>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</si>
  <si>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</si>
  <si>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</si>
  <si>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</si>
  <si>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</si>
  <si>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</si>
  <si>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</si>
  <si>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</si>
  <si>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</si>
  <si>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</si>
  <si>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</si>
  <si>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</si>
  <si>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</si>
  <si>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</si>
  <si>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</si>
  <si>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</si>
  <si>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</si>
  <si>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</si>
  <si>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</si>
  <si>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</si>
  <si>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</si>
  <si>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</si>
  <si>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</si>
  <si>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</si>
  <si>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</si>
  <si>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</si>
  <si>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</si>
  <si>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</si>
  <si>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</si>
  <si>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</si>
  <si>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</si>
  <si>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</si>
  <si>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</si>
  <si>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</si>
  <si>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</si>
  <si>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</si>
  <si>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</si>
  <si>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</si>
  <si>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</si>
  <si>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</si>
  <si>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</si>
  <si>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</si>
  <si>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</si>
  <si>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</si>
  <si>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</si>
  <si>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</si>
  <si>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</si>
  <si>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</si>
  <si>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</si>
  <si>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</si>
  <si>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</si>
  <si>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</si>
  <si>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</si>
  <si>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</si>
  <si>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</si>
  <si>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</si>
  <si>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</si>
  <si>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</si>
  <si>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</si>
  <si>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</si>
  <si>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</si>
  <si>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</si>
  <si>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</si>
  <si>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</si>
  <si>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</si>
  <si>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</si>
  <si>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</si>
  <si>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</si>
  <si>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</si>
  <si>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</si>
  <si>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</si>
  <si>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</si>
  <si>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</si>
  <si>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</si>
  <si>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</si>
  <si>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</si>
  <si>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</si>
  <si>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</si>
  <si>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</si>
  <si>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</si>
  <si>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</si>
  <si>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</si>
  <si>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</si>
  <si>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</si>
  <si>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</si>
  <si>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</si>
  <si>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</si>
  <si>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</si>
  <si>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</si>
  <si>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</si>
  <si>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</si>
  <si>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</si>
  <si>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</si>
  <si>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</si>
  <si>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</si>
  <si>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</si>
  <si>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</si>
  <si>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</si>
  <si>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</si>
  <si>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</si>
  <si>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</si>
  <si>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</si>
  <si>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</si>
  <si>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</si>
  <si>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</si>
  <si>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</si>
  <si>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</si>
  <si>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</si>
  <si>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</si>
  <si>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</si>
  <si>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</si>
  <si>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</si>
  <si>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</si>
  <si>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</si>
  <si>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</si>
  <si>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</si>
  <si>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</si>
  <si>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</si>
  <si>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</si>
  <si>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</si>
  <si>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</si>
  <si>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</si>
  <si>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</si>
  <si>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</si>
  <si>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</si>
  <si>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</si>
  <si>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</si>
  <si>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</si>
  <si>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</si>
  <si>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</si>
  <si>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</si>
  <si>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</si>
  <si>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</si>
  <si>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</si>
  <si>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</si>
  <si>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</si>
  <si>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</si>
  <si>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</si>
  <si>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</si>
  <si>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</si>
  <si>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</si>
  <si>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</si>
  <si>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</si>
  <si>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</si>
  <si>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</si>
  <si>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</si>
  <si>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</si>
  <si>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</si>
  <si>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</si>
  <si>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</si>
  <si>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</si>
  <si>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</si>
  <si>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</si>
  <si>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</si>
  <si>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</si>
  <si>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</si>
  <si>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</si>
  <si>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</si>
  <si>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</si>
  <si>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</si>
  <si>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</si>
  <si>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</si>
  <si>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</si>
  <si>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</si>
  <si>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</si>
  <si>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</si>
  <si>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</si>
  <si>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</si>
  <si>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</si>
  <si>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</si>
  <si>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</si>
  <si>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</si>
  <si>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</si>
  <si>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</si>
  <si>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</si>
  <si>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</si>
  <si>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</si>
  <si>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</si>
  <si>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</si>
  <si>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</si>
  <si>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</si>
  <si>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</si>
  <si>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</si>
  <si>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</si>
  <si>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</si>
  <si>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</si>
  <si>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</si>
  <si>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</si>
  <si>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</si>
  <si>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</si>
  <si>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</si>
  <si>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</si>
  <si>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</si>
  <si>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</si>
  <si>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</si>
  <si>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</si>
  <si>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</si>
  <si>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</si>
  <si>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</si>
  <si>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</si>
  <si>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</si>
  <si>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</si>
  <si>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</si>
  <si>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</si>
  <si>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</si>
  <si>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</si>
  <si>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</si>
  <si>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</si>
  <si>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</si>
  <si>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</si>
  <si>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</si>
  <si>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</si>
  <si>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</si>
  <si>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</si>
  <si>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</si>
  <si>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</si>
  <si>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</si>
  <si>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</si>
  <si>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</si>
  <si>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</si>
  <si>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</si>
  <si>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</si>
  <si>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</si>
  <si>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</si>
  <si>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</si>
  <si>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</si>
  <si>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</si>
  <si>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</si>
  <si>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</si>
  <si>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</si>
  <si>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</si>
  <si>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</si>
  <si>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</si>
  <si>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</si>
  <si>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</si>
  <si>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</si>
  <si>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</si>
  <si>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</si>
  <si>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</si>
  <si>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</si>
  <si>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</si>
  <si>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</si>
  <si>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</si>
  <si>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</si>
  <si>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</si>
  <si>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</si>
  <si>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</si>
  <si>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</si>
  <si>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</si>
  <si>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</si>
  <si>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</si>
  <si>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</si>
  <si>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</si>
  <si>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</si>
  <si>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</si>
  <si>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</si>
  <si>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</si>
  <si>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</si>
  <si>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</si>
  <si>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</si>
  <si>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</si>
  <si>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</si>
  <si>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</si>
  <si>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</si>
  <si>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</si>
  <si>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</si>
  <si>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</si>
  <si>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</si>
  <si>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</si>
  <si>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</si>
  <si>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</si>
  <si>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</si>
  <si>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</si>
  <si>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</si>
  <si>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</si>
  <si>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</si>
  <si>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</si>
  <si>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</si>
  <si>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</si>
  <si>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</si>
  <si>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</si>
  <si>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</si>
  <si>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</si>
  <si>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</si>
  <si>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</si>
  <si>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</si>
  <si>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</si>
  <si>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</si>
  <si>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</si>
  <si>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</si>
  <si>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</si>
  <si>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</si>
  <si>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</si>
  <si>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</si>
  <si>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</si>
  <si>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</si>
  <si>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</si>
  <si>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</si>
  <si>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</si>
  <si>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</si>
  <si>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</si>
  <si>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</si>
  <si>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</si>
  <si>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</si>
  <si>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</si>
  <si>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</si>
  <si>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</si>
  <si>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</si>
  <si>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</si>
  <si>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</si>
  <si>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</si>
  <si>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</si>
  <si>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</si>
  <si>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</si>
  <si>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</si>
  <si>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</si>
  <si>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</si>
  <si>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</si>
  <si>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</si>
  <si>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</si>
  <si>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</si>
  <si>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</si>
  <si>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</si>
  <si>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</si>
  <si>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</si>
  <si>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</si>
  <si>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</si>
  <si>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</si>
  <si>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</si>
  <si>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</si>
  <si>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</si>
  <si>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</si>
  <si>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</si>
  <si>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</si>
  <si>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</si>
  <si>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</si>
  <si>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</si>
  <si>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</si>
  <si>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</si>
  <si>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</si>
  <si>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</si>
  <si>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</si>
  <si>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</si>
  <si>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</si>
  <si>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</si>
  <si>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</si>
  <si>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</si>
  <si>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</si>
  <si>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</si>
  <si>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</si>
  <si>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</si>
  <si>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</si>
  <si>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</si>
  <si>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</si>
  <si>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</si>
  <si>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</si>
  <si>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</si>
  <si>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</si>
  <si>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</si>
  <si>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</si>
  <si>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</si>
  <si>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</si>
  <si>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</si>
  <si>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</si>
  <si>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</si>
  <si>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</si>
  <si>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</si>
  <si>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</si>
  <si>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</si>
  <si>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</si>
  <si>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</si>
  <si>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</si>
  <si>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</si>
  <si>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</si>
  <si>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</si>
  <si>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</si>
  <si>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</si>
  <si>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</si>
  <si>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</si>
  <si>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</si>
  <si>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</si>
  <si>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</si>
  <si>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</si>
  <si>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</si>
  <si>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</si>
  <si>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</si>
  <si>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</si>
  <si>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</si>
  <si>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</si>
  <si>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</si>
  <si>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</si>
  <si>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</si>
  <si>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</si>
  <si>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</si>
  <si>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</si>
  <si>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</si>
  <si>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</si>
  <si>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</si>
  <si>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</si>
  <si>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</si>
  <si>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</si>
  <si>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</si>
  <si>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</si>
  <si>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</si>
  <si>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</si>
  <si>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</si>
  <si>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</si>
  <si>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</si>
  <si>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</si>
  <si>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</si>
  <si>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</si>
  <si>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</si>
  <si>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</si>
  <si>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</si>
  <si>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</si>
  <si>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</si>
  <si>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</si>
  <si>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</si>
  <si>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</si>
  <si>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</si>
  <si>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</si>
  <si>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</si>
  <si>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</si>
  <si>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</si>
  <si>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</si>
  <si>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</si>
  <si>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</si>
  <si>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</si>
  <si>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</si>
  <si>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</si>
  <si>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</si>
  <si>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</si>
  <si>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</si>
  <si>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</si>
  <si>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</si>
  <si>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</si>
  <si>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</si>
  <si>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</si>
  <si>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</si>
  <si>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</si>
  <si>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</si>
  <si>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</si>
  <si>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</si>
  <si>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</si>
  <si>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</si>
  <si>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</si>
  <si>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</si>
  <si>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</si>
  <si>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</si>
  <si>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</si>
  <si>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</si>
  <si>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</si>
  <si>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</si>
  <si>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</si>
  <si>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</si>
  <si>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</si>
  <si>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</si>
  <si>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</si>
  <si>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</si>
  <si>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</si>
  <si>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</si>
  <si>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</si>
  <si>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</si>
  <si>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</si>
  <si>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</si>
  <si>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</si>
  <si>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</si>
  <si>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</si>
  <si>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</si>
  <si>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</si>
  <si>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</si>
  <si>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</si>
  <si>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</si>
  <si>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</si>
  <si>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</si>
  <si>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</si>
  <si>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</si>
  <si>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</si>
  <si>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</si>
  <si>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</si>
  <si>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</si>
  <si>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</si>
  <si>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</si>
  <si>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</si>
  <si>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</si>
  <si>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</si>
  <si>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</si>
  <si>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</si>
  <si>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</si>
  <si>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</si>
  <si>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</si>
  <si>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</si>
  <si>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</si>
  <si>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</si>
  <si>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</si>
  <si>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</si>
  <si>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</si>
  <si>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</si>
  <si>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</si>
  <si>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</si>
  <si>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</si>
  <si>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</si>
  <si>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</si>
  <si>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</si>
  <si>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</si>
  <si>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</si>
  <si>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</si>
  <si>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</si>
  <si>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</si>
  <si>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</si>
  <si>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</si>
  <si>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</si>
  <si>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</si>
  <si>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</si>
  <si>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</si>
  <si>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</si>
  <si>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</si>
  <si>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</si>
  <si>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</si>
  <si>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</si>
  <si>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</si>
  <si>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</si>
  <si>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</si>
  <si>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</si>
  <si>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</si>
  <si>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</si>
  <si>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</si>
  <si>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</si>
  <si>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</si>
  <si>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</si>
  <si>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</si>
  <si>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</si>
  <si>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</si>
  <si>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</si>
  <si>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</si>
  <si>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</si>
  <si>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</si>
  <si>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</si>
  <si>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</si>
  <si>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</si>
  <si>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</si>
  <si>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</si>
  <si>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</si>
  <si>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</si>
  <si>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</si>
  <si>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</si>
  <si>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</si>
  <si>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</si>
  <si>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</si>
  <si>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</si>
  <si>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</si>
  <si>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</si>
  <si>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</si>
  <si>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</si>
  <si>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</si>
  <si>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</si>
  <si>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</si>
  <si>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</si>
  <si>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</si>
  <si>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</si>
  <si>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</si>
  <si>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</si>
  <si>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</si>
  <si>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</si>
  <si>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</si>
  <si>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</si>
  <si>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</si>
  <si>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</si>
  <si>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</si>
  <si>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</si>
  <si>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</si>
  <si>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</si>
  <si>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</si>
  <si>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</si>
  <si>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</si>
  <si>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</si>
  <si>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</si>
  <si>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</si>
  <si>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</si>
  <si>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</si>
  <si>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</si>
  <si>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</si>
  <si>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</si>
  <si>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</si>
  <si>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</si>
  <si>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</si>
  <si>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</si>
  <si>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</si>
  <si>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</si>
  <si>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</si>
  <si>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</si>
  <si>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</si>
  <si>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</si>
  <si>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</si>
  <si>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</si>
  <si>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</si>
  <si>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</si>
  <si>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</si>
  <si>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</si>
  <si>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</si>
  <si>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</si>
  <si>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</si>
  <si>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</si>
  <si>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</si>
  <si>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</si>
  <si>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</si>
  <si>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</si>
  <si>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</si>
  <si>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</si>
  <si>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</si>
  <si>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</si>
  <si>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</si>
  <si>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</si>
  <si>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</si>
  <si>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</si>
  <si>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</si>
  <si>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</si>
  <si>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</si>
  <si>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</si>
  <si>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</si>
  <si>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</si>
  <si>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</si>
  <si>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</si>
  <si>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</si>
  <si>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</si>
  <si>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</si>
  <si>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</si>
  <si>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</si>
  <si>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</si>
  <si>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</si>
  <si>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</si>
  <si>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</si>
  <si>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</si>
  <si>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</si>
  <si>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</si>
  <si>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</si>
  <si>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</si>
  <si>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</si>
  <si>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</si>
  <si>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</si>
  <si>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</si>
  <si>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</si>
  <si>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</si>
  <si>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</si>
  <si>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</si>
  <si>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</si>
  <si>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</si>
  <si>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</si>
  <si>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</si>
  <si>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</si>
  <si>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</si>
  <si>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</si>
  <si>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</si>
  <si>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</si>
  <si>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</si>
  <si>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</si>
  <si>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</si>
  <si>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</si>
  <si>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</si>
  <si>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</si>
  <si>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</si>
  <si>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</si>
  <si>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</si>
  <si>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</si>
  <si>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</si>
  <si>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</si>
  <si>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</si>
  <si>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</si>
  <si>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</si>
  <si>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</si>
  <si>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</si>
  <si>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</si>
  <si>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</si>
  <si>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</si>
  <si>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</si>
  <si>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</si>
  <si>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</si>
  <si>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</si>
  <si>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</si>
  <si>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</si>
  <si>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</si>
  <si>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</si>
  <si>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</si>
  <si>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</si>
  <si>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</si>
  <si>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</si>
  <si>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</si>
  <si>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</si>
  <si>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</si>
  <si>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</si>
  <si>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</si>
  <si>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</si>
  <si>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</si>
  <si>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</si>
  <si>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</si>
  <si>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</si>
  <si>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</si>
  <si>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</si>
  <si>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</si>
  <si>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</si>
  <si>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</si>
  <si>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</si>
  <si>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</si>
  <si>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</si>
  <si>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</si>
  <si>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</si>
  <si>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</si>
  <si>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</si>
  <si>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</si>
  <si>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</si>
  <si>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</si>
  <si>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</si>
  <si>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</si>
  <si>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</si>
  <si>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</si>
  <si>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</si>
  <si>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</si>
  <si>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</si>
  <si>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</si>
  <si>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</si>
  <si>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</si>
  <si>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</si>
  <si>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</si>
  <si>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</si>
  <si>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</si>
  <si>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</si>
  <si>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</si>
  <si>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</si>
  <si>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</si>
  <si>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</si>
  <si>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</si>
  <si>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</si>
  <si>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</si>
  <si>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</si>
  <si>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</si>
  <si>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</si>
  <si>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</si>
  <si>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</si>
  <si>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</si>
  <si>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</si>
  <si>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</si>
  <si>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</si>
  <si>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</si>
  <si>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</si>
  <si>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</si>
  <si>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</si>
  <si>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</si>
  <si>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</si>
  <si>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</si>
  <si>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</si>
  <si>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</si>
  <si>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</si>
  <si>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</si>
  <si>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</si>
  <si>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</si>
  <si>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</si>
  <si>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</si>
  <si>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</si>
  <si>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</si>
  <si>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</si>
  <si>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</si>
  <si>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</si>
  <si>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</si>
  <si>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</si>
  <si>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</si>
  <si>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</si>
  <si>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</si>
  <si>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</si>
  <si>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</si>
  <si>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</si>
  <si>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</si>
  <si>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</si>
  <si>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</si>
  <si>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</si>
  <si>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</si>
  <si>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</si>
  <si>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</si>
  <si>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</si>
  <si>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</si>
  <si>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</si>
  <si>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</si>
  <si>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</si>
  <si>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</si>
  <si>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</si>
  <si>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</si>
  <si>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</si>
  <si>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</si>
  <si>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</si>
  <si>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</si>
  <si>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</si>
  <si>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</si>
  <si>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</si>
  <si>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</si>
  <si>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</si>
  <si>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</si>
  <si>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</si>
  <si>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</si>
  <si>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</si>
  <si>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</si>
  <si>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</si>
  <si>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</si>
  <si>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</si>
  <si>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</si>
  <si>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</si>
  <si>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</si>
  <si>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</si>
  <si>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</si>
  <si>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</si>
  <si>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</si>
  <si>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</si>
  <si>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</si>
  <si>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</si>
  <si>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</si>
  <si>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</si>
  <si>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</si>
  <si>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</si>
  <si>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</si>
  <si>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</si>
  <si>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</si>
  <si>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</si>
  <si>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</si>
  <si>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</si>
  <si>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</si>
  <si>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</si>
  <si>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</si>
  <si>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</si>
  <si>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</si>
  <si>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</si>
  <si>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</si>
  <si>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</si>
  <si>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</si>
  <si>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</si>
  <si>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</si>
  <si>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</si>
  <si>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</si>
  <si>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</si>
  <si>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</si>
  <si>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</si>
  <si>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</si>
  <si>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</si>
  <si>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</si>
  <si>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</si>
  <si>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</si>
  <si>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</si>
  <si>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</si>
  <si>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</si>
  <si>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</si>
  <si>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</si>
  <si>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</si>
  <si>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</si>
  <si>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</si>
  <si>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</si>
  <si>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</si>
  <si>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</si>
  <si>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</si>
  <si>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</si>
  <si>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</si>
  <si>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</si>
  <si>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</si>
  <si>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</si>
  <si>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</si>
  <si>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</si>
  <si>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</si>
  <si>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</si>
  <si>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</si>
  <si>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</si>
  <si>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</si>
  <si>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</si>
  <si>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</si>
  <si>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</si>
  <si>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</si>
  <si>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</si>
  <si>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</si>
  <si>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</si>
  <si>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</si>
  <si>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</si>
  <si>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</si>
  <si>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</si>
  <si>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</si>
  <si>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</si>
  <si>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</si>
  <si>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</si>
  <si>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</si>
  <si>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</si>
  <si>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</si>
  <si>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</si>
  <si>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</si>
  <si>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</si>
  <si>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</si>
  <si>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</si>
  <si>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</si>
  <si>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</si>
  <si>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</si>
  <si>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</si>
  <si>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</si>
  <si>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</si>
  <si>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</si>
  <si>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</si>
  <si>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</si>
  <si>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</si>
  <si>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</si>
  <si>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</si>
  <si>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</si>
  <si>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</si>
  <si>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</si>
  <si>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</si>
  <si>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</si>
  <si>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</si>
  <si>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</si>
  <si>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</si>
  <si>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</si>
  <si>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</si>
  <si>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</si>
  <si>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</si>
  <si>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</si>
  <si>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</si>
  <si>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</si>
  <si>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</si>
  <si>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</si>
  <si>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</si>
  <si>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</si>
  <si>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</si>
  <si>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</si>
  <si>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</si>
  <si>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</si>
  <si>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</si>
  <si>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</si>
  <si>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</si>
  <si>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</si>
  <si>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</si>
  <si>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</si>
  <si>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</si>
  <si>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</si>
  <si>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</si>
  <si>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</si>
  <si>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</si>
  <si>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</si>
  <si>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</si>
  <si>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</si>
  <si>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</si>
  <si>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</si>
  <si>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</si>
  <si>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</si>
  <si>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</si>
  <si>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</si>
  <si>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</si>
  <si>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</si>
  <si>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</si>
  <si>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</si>
  <si>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</si>
  <si>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</si>
  <si>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</si>
  <si>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</si>
  <si>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</si>
  <si>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</si>
  <si>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</si>
  <si>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</si>
  <si>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</si>
  <si>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</si>
  <si>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</si>
  <si>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</si>
  <si>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</si>
  <si>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</si>
  <si>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</si>
  <si>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</si>
  <si>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</si>
  <si>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</si>
  <si>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</si>
  <si>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</si>
  <si>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</si>
  <si>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</si>
  <si>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</si>
  <si>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</si>
  <si>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</si>
  <si>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</si>
  <si>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</si>
  <si>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</si>
  <si>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</si>
  <si>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</si>
  <si>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</si>
  <si>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</si>
  <si>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</si>
  <si>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</si>
  <si>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</si>
  <si>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</si>
  <si>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</si>
  <si>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</si>
  <si>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</si>
  <si>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</si>
  <si>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</si>
  <si>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</si>
  <si>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</si>
  <si>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</si>
  <si>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</si>
  <si>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</si>
  <si>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</si>
  <si>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</si>
  <si>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</si>
  <si>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</si>
  <si>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</si>
  <si>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</si>
  <si>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</si>
  <si>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</si>
  <si>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</si>
  <si>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</si>
  <si>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</si>
  <si>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</si>
  <si>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</si>
  <si>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</si>
  <si>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</si>
  <si>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</si>
  <si>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</si>
  <si>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</si>
  <si>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</si>
  <si>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</si>
  <si>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</si>
  <si>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</si>
  <si>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</si>
  <si>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</si>
  <si>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</si>
  <si>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</si>
  <si>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</si>
  <si>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</si>
  <si>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</si>
  <si>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</si>
  <si>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</si>
  <si>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</si>
  <si>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</si>
  <si>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</si>
  <si>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</si>
  <si>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</si>
  <si>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</si>
  <si>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</si>
  <si>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</si>
  <si>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</si>
  <si>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</si>
  <si>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</si>
  <si>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</si>
  <si>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</si>
  <si>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</si>
  <si>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</si>
  <si>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</si>
  <si>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</si>
  <si>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</si>
  <si>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</si>
  <si>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</si>
  <si>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</si>
  <si>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</si>
  <si>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</si>
  <si>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</si>
  <si>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</si>
  <si>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</si>
  <si>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</si>
  <si>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</si>
  <si>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</si>
  <si>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</si>
  <si>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</si>
  <si>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</si>
  <si>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</si>
  <si>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</si>
  <si>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</si>
  <si>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</si>
  <si>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</si>
  <si>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</si>
  <si>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</si>
  <si>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</si>
  <si>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</si>
  <si>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</si>
  <si>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</si>
  <si>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</si>
  <si>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</si>
  <si>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</si>
  <si>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</si>
  <si>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</si>
  <si>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</si>
  <si>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</si>
  <si>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</si>
  <si>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</si>
  <si>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</si>
  <si>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</si>
  <si>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</si>
  <si>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</si>
  <si>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</si>
  <si>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</si>
  <si>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</si>
  <si>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</si>
  <si>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</si>
  <si>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</si>
  <si>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</si>
  <si>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</si>
  <si>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</si>
  <si>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</si>
  <si>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</si>
  <si>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</si>
  <si>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</si>
  <si>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</si>
  <si>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</si>
  <si>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</si>
  <si>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</si>
  <si>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</si>
  <si>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</si>
  <si>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</si>
  <si>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</si>
  <si>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</si>
  <si>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</si>
  <si>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</si>
  <si>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</si>
  <si>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</si>
  <si>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</si>
  <si>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</si>
  <si>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</si>
  <si>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</si>
  <si>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</si>
  <si>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</si>
  <si>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</si>
  <si>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</si>
  <si>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</si>
  <si>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</si>
  <si>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</si>
  <si>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</si>
  <si>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</si>
  <si>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</si>
  <si>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</si>
  <si>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</si>
  <si>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</si>
  <si>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</si>
  <si>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</si>
  <si>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</si>
  <si>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</si>
  <si>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</si>
  <si>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</si>
  <si>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</si>
  <si>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</si>
  <si>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</si>
  <si>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</si>
  <si>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</si>
  <si>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</si>
  <si>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</si>
  <si>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</si>
  <si>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</si>
  <si>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</si>
  <si>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</si>
  <si>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</si>
  <si>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</si>
  <si>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</si>
  <si>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</si>
  <si>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</si>
  <si>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</si>
  <si>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</si>
  <si>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</si>
  <si>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</si>
  <si>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</si>
  <si>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</si>
  <si>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</si>
  <si>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</si>
  <si>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</si>
  <si>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</si>
  <si>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</si>
  <si>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</si>
  <si>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</si>
  <si>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</si>
  <si>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</si>
  <si>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</si>
  <si>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</si>
  <si>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</si>
  <si>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</si>
  <si>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</si>
  <si>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</si>
  <si>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</si>
  <si>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</si>
  <si>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</si>
  <si>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</si>
  <si>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</si>
  <si>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</si>
  <si>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</si>
  <si>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</si>
  <si>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</si>
  <si>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</si>
  <si>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</si>
  <si>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</si>
  <si>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</si>
  <si>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</si>
  <si>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</si>
  <si>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</si>
  <si>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</si>
  <si>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</si>
  <si>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</si>
  <si>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</si>
  <si>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</si>
  <si>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</si>
  <si>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</si>
  <si>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</si>
  <si>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</si>
  <si>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</si>
  <si>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</si>
  <si>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</si>
  <si>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</si>
  <si>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</si>
  <si>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</si>
  <si>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</si>
  <si>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</si>
  <si>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</si>
  <si>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</si>
  <si>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</si>
  <si>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</si>
  <si>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</si>
  <si>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</si>
  <si>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</si>
  <si>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</si>
  <si>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</si>
  <si>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</si>
  <si>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</si>
  <si>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</si>
  <si>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</si>
  <si>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</si>
  <si>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</si>
  <si>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</si>
  <si>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</si>
  <si>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</si>
  <si>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</si>
  <si>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</si>
  <si>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</si>
  <si>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</si>
  <si>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</si>
  <si>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</si>
  <si>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</si>
  <si>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</si>
  <si>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</si>
  <si>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</si>
  <si>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</si>
  <si>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</si>
  <si>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</si>
  <si>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</si>
  <si>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</si>
  <si>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</si>
  <si>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</si>
  <si>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</si>
  <si>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</si>
  <si>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</si>
  <si>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</si>
  <si>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</si>
  <si>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</si>
  <si>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</si>
  <si>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</si>
  <si>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</si>
  <si>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</si>
  <si>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</si>
  <si>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</si>
  <si>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</si>
  <si>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</si>
  <si>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</si>
  <si>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</si>
  <si>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</si>
  <si>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</si>
  <si>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</si>
  <si>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</si>
  <si>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</si>
  <si>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</si>
  <si>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</si>
  <si>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</si>
  <si>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</si>
  <si>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</si>
  <si>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</si>
  <si>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</si>
  <si>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</si>
  <si>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</si>
  <si>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</si>
  <si>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</si>
  <si>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</si>
  <si>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</si>
  <si>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</si>
  <si>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</si>
  <si>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</si>
  <si>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</si>
  <si>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</si>
  <si>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</si>
  <si>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</si>
  <si>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</si>
  <si>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</si>
  <si>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</si>
  <si>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</si>
  <si>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</si>
  <si>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</si>
  <si>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</si>
  <si>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</si>
  <si>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</si>
  <si>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</si>
  <si>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</si>
  <si>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</si>
  <si>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</si>
  <si>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</si>
  <si>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</si>
  <si>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</si>
  <si>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</si>
  <si>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</si>
  <si>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</si>
  <si>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</si>
  <si>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</si>
  <si>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</si>
  <si>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</si>
  <si>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</si>
  <si>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</si>
  <si>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</si>
  <si>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</si>
  <si>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</si>
  <si>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</si>
  <si>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</si>
  <si>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</si>
  <si>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</si>
  <si>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</si>
  <si>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</si>
  <si>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</si>
  <si>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</si>
  <si>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</si>
  <si>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</si>
  <si>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</si>
  <si>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</si>
  <si>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</si>
  <si>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</si>
  <si>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</si>
  <si>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</si>
  <si>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</si>
  <si>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</si>
  <si>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</si>
  <si>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</si>
  <si>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</si>
  <si>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</si>
  <si>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</si>
  <si>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</si>
  <si>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</si>
  <si>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</si>
  <si>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</si>
  <si>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</si>
  <si>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</si>
  <si>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</si>
  <si>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</si>
  <si>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</si>
  <si>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</si>
  <si>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</si>
  <si>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</si>
  <si>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</si>
  <si>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</si>
  <si>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</si>
  <si>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</si>
  <si>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</si>
  <si>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</si>
  <si>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</si>
  <si>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</si>
  <si>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</si>
  <si>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</si>
  <si>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</si>
  <si>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</si>
  <si>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</si>
  <si>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</si>
  <si>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</si>
  <si>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</si>
  <si>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</si>
  <si>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</si>
  <si>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</si>
  <si>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</si>
  <si>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</si>
  <si>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</si>
  <si>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</si>
  <si>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</si>
  <si>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</si>
  <si>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</si>
  <si>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</si>
  <si>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</si>
  <si>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</si>
  <si>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</si>
  <si>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</si>
  <si>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</si>
  <si>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</si>
  <si>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</si>
  <si>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</si>
  <si>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</si>
  <si>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</si>
  <si>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</si>
  <si>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</si>
  <si>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</si>
  <si>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</si>
  <si>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</si>
  <si>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</si>
  <si>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</si>
  <si>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</si>
  <si>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</si>
  <si>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</si>
  <si>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</si>
  <si>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</si>
  <si>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</si>
  <si>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</si>
  <si>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</si>
  <si>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</si>
  <si>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</si>
  <si>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</si>
  <si>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</si>
  <si>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</si>
  <si>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</si>
  <si>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</si>
  <si>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</si>
  <si>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</si>
  <si>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</si>
  <si>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</si>
  <si>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</si>
  <si>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</si>
  <si>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</si>
  <si>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</si>
  <si>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</si>
  <si>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</si>
  <si>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</si>
  <si>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</si>
  <si>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</si>
  <si>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</si>
  <si>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</si>
  <si>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</si>
  <si>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</si>
  <si>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</si>
  <si>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</si>
  <si>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</si>
  <si>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</si>
  <si>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</si>
  <si>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</si>
  <si>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</si>
  <si>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</si>
  <si>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</si>
  <si>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</si>
  <si>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</si>
  <si>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</si>
  <si>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</si>
  <si>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</si>
  <si>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</si>
  <si>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</si>
  <si>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</si>
  <si>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</si>
  <si>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</si>
  <si>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</si>
  <si>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</si>
  <si>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</si>
  <si>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</si>
  <si>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</si>
  <si>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</si>
  <si>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</si>
  <si>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</si>
  <si>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</si>
  <si>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</si>
  <si>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</si>
  <si>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</si>
  <si>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</si>
  <si>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</si>
  <si>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</si>
  <si>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</si>
  <si>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</si>
  <si>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</si>
  <si>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</si>
  <si>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</si>
  <si>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</si>
  <si>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</si>
  <si>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</si>
  <si>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</si>
  <si>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</si>
  <si>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</si>
  <si>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</si>
  <si>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</si>
  <si>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</si>
  <si>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</si>
  <si>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</si>
  <si>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</si>
  <si>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</si>
  <si>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</si>
  <si>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</si>
  <si>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</si>
  <si>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</si>
  <si>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</si>
  <si>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</si>
  <si>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</si>
  <si>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</si>
  <si>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</si>
  <si>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</si>
  <si>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</si>
  <si>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</si>
  <si>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</si>
  <si>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</si>
  <si>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</si>
  <si>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</si>
  <si>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</si>
  <si>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</si>
  <si>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</si>
  <si>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</si>
  <si>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</si>
  <si>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</si>
  <si>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</si>
  <si>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</si>
  <si>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</si>
  <si>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</si>
  <si>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</si>
  <si>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</si>
  <si>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</si>
  <si>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</si>
  <si>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</si>
  <si>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</si>
  <si>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</si>
  <si>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</si>
  <si>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</si>
  <si>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</si>
  <si>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</si>
  <si>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</si>
  <si>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</si>
  <si>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</si>
  <si>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</si>
  <si>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</si>
  <si>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</si>
  <si>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</si>
  <si>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</si>
  <si>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</si>
  <si>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</si>
  <si>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</si>
  <si>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</si>
  <si>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</si>
  <si>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</si>
  <si>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</si>
  <si>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</si>
  <si>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</si>
  <si>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</si>
  <si>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</si>
  <si>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</si>
  <si>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</si>
  <si>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</si>
  <si>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</si>
  <si>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</si>
  <si>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</si>
  <si>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</si>
  <si>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</si>
  <si>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</si>
  <si>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</si>
  <si>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</si>
  <si>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</si>
  <si>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</si>
  <si>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</si>
  <si>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</si>
  <si>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</si>
  <si>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</si>
  <si>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</si>
  <si>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</si>
  <si>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</si>
  <si>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</si>
  <si>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</si>
  <si>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</si>
  <si>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</si>
  <si>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</si>
  <si>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</si>
  <si>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</si>
  <si>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</si>
  <si>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</si>
  <si>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</si>
  <si>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</si>
  <si>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</si>
  <si>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</si>
  <si>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</si>
  <si>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</si>
  <si>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</si>
  <si>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</si>
  <si>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</si>
  <si>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</si>
  <si>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</si>
  <si>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</si>
  <si>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</si>
  <si>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</si>
  <si>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</si>
  <si>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</si>
  <si>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</si>
  <si>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</si>
  <si>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</si>
  <si>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</si>
  <si>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</si>
  <si>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</si>
  <si>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</si>
  <si>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</si>
  <si>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</si>
  <si>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</si>
  <si>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</si>
  <si>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</si>
  <si>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</si>
  <si>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</si>
  <si>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</si>
  <si>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</si>
  <si>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</si>
  <si>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</si>
  <si>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</si>
  <si>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</si>
  <si>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</si>
  <si>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</si>
  <si>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</si>
  <si>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</si>
  <si>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</si>
  <si>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</si>
  <si>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</si>
  <si>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</si>
  <si>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</si>
  <si>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</si>
  <si>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</si>
  <si>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</si>
  <si>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</si>
  <si>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</si>
  <si>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</si>
  <si>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</si>
  <si>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</si>
  <si>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</si>
  <si>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</si>
  <si>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</si>
  <si>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</si>
  <si>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</si>
  <si>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</si>
  <si>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</si>
  <si>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</si>
  <si>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</si>
  <si>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</si>
  <si>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</si>
  <si>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</si>
  <si>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</si>
  <si>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</si>
  <si>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</si>
  <si>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</si>
  <si>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</si>
  <si>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</si>
  <si>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</si>
  <si>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</si>
  <si>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</si>
  <si>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</si>
  <si>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</si>
  <si>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</si>
  <si>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</si>
  <si>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</si>
  <si>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</si>
  <si>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</si>
  <si>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</si>
  <si>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</si>
  <si>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</si>
  <si>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</si>
  <si>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</si>
  <si>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</si>
  <si>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</si>
  <si>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</si>
  <si>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</si>
  <si>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</si>
  <si>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</si>
  <si>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</si>
  <si>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</si>
  <si>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</si>
  <si>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</si>
  <si>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</si>
  <si>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</si>
  <si>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</si>
  <si>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</si>
  <si>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</si>
  <si>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</si>
  <si>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</si>
  <si>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</si>
  <si>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</si>
  <si>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</si>
  <si>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</si>
  <si>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</si>
  <si>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</si>
  <si>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</si>
  <si>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</si>
  <si>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</si>
  <si>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</si>
  <si>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</si>
  <si>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</si>
  <si>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</si>
  <si>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</si>
  <si>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</si>
  <si>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</si>
  <si>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</si>
  <si>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</si>
  <si>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</si>
  <si>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</si>
  <si>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</si>
  <si>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</si>
  <si>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</si>
  <si>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</si>
  <si>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</si>
  <si>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</si>
  <si>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</si>
  <si>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</si>
  <si>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</si>
  <si>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</si>
  <si>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</si>
  <si>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</si>
  <si>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</si>
  <si>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</si>
  <si>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</si>
  <si>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</si>
  <si>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</si>
  <si>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</si>
  <si>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</si>
  <si>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</si>
  <si>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</si>
  <si>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</si>
  <si>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</si>
  <si>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</si>
  <si>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</si>
  <si>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</si>
  <si>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</si>
  <si>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</si>
  <si>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</si>
  <si>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</si>
  <si>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</si>
  <si>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</si>
  <si>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</si>
  <si>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</si>
  <si>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</si>
  <si>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</si>
  <si>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</si>
  <si>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</si>
  <si>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</si>
  <si>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</si>
  <si>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</si>
  <si>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</si>
  <si>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</si>
  <si>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</si>
  <si>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</si>
  <si>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</si>
  <si>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</si>
  <si>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</si>
  <si>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</si>
  <si>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</si>
  <si>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</si>
  <si>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</si>
  <si>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</si>
  <si>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</si>
  <si>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</si>
  <si>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</si>
  <si>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</si>
  <si>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</si>
  <si>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</si>
  <si>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</si>
  <si>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</si>
  <si>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</si>
  <si>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</si>
  <si>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</si>
  <si>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</si>
  <si>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</si>
  <si>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</si>
  <si>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</si>
  <si>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</si>
  <si>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</si>
  <si>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</si>
  <si>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</si>
  <si>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</si>
  <si>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</si>
  <si>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</si>
  <si>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</si>
  <si>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</si>
  <si>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</si>
  <si>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</si>
  <si>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</si>
  <si>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</si>
  <si>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</si>
  <si>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</si>
  <si>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</si>
  <si>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</si>
  <si>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</si>
  <si>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</si>
  <si>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</si>
  <si>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</si>
  <si>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</si>
  <si>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</si>
  <si>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</si>
  <si>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</si>
  <si>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</si>
  <si>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</si>
  <si>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</si>
  <si>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</si>
  <si>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</si>
  <si>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</si>
  <si>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</si>
  <si>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</si>
  <si>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</si>
  <si>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</si>
  <si>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</si>
  <si>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</si>
  <si>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</si>
  <si>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</si>
  <si>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</si>
  <si>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</si>
  <si>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</si>
  <si>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</si>
  <si>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</si>
  <si>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</si>
  <si>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</si>
  <si>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</si>
  <si>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</si>
  <si>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</si>
  <si>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</si>
  <si>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</si>
  <si>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</si>
  <si>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</si>
  <si>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</si>
  <si>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</si>
  <si>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</si>
  <si>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</si>
  <si>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</si>
  <si>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</si>
  <si>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</si>
  <si>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</si>
  <si>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</si>
  <si>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</si>
  <si>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</si>
  <si>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</si>
  <si>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</si>
  <si>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</si>
  <si>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</si>
  <si>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</si>
  <si>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</si>
  <si>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</si>
  <si>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</si>
  <si>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</si>
  <si>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</si>
  <si>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</si>
  <si>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</si>
  <si>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</si>
  <si>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</si>
  <si>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</si>
  <si>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</si>
  <si>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</si>
  <si>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</si>
  <si>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</si>
  <si>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</si>
  <si>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</si>
  <si>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</si>
  <si>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</si>
  <si>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</si>
  <si>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</si>
  <si>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</si>
  <si>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</si>
  <si>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</si>
  <si>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</si>
  <si>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</si>
  <si>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</si>
  <si>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</si>
  <si>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</si>
  <si>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</si>
  <si>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</si>
  <si>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</si>
  <si>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</si>
  <si>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</si>
  <si>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</si>
  <si>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</si>
  <si>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</si>
  <si>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</si>
  <si>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</si>
  <si>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</si>
  <si>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</si>
  <si>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</si>
  <si>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</si>
  <si>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</si>
  <si>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</si>
  <si>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</si>
  <si>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</si>
  <si>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</si>
  <si>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</si>
  <si>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</si>
  <si>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</si>
  <si>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</si>
  <si>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</si>
  <si>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</si>
  <si>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</si>
  <si>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</si>
  <si>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</si>
  <si>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</si>
  <si>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</si>
  <si>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</si>
  <si>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</si>
  <si>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</si>
  <si>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</si>
  <si>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</si>
  <si>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</si>
  <si>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</si>
  <si>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</si>
  <si>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</si>
  <si>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</si>
  <si>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</si>
  <si>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</si>
  <si>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</si>
  <si>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</si>
  <si>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</si>
  <si>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</si>
  <si>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</si>
  <si>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</si>
  <si>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</si>
  <si>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</si>
  <si>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</si>
  <si>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</si>
  <si>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</si>
  <si>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</si>
  <si>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</si>
  <si>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</si>
  <si>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</si>
  <si>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</si>
  <si>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</si>
  <si>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</si>
  <si>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</si>
  <si>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</si>
  <si>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</si>
  <si>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</si>
  <si>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</si>
  <si>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</si>
  <si>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</si>
  <si>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</si>
  <si>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</si>
  <si>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</si>
  <si>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</si>
  <si>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</si>
  <si>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</si>
  <si>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</si>
  <si>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</si>
  <si>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</si>
  <si>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</si>
  <si>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</si>
  <si>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</si>
  <si>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</si>
  <si>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</si>
  <si>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</si>
  <si>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</si>
  <si>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</si>
  <si>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</si>
  <si>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</si>
  <si>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</si>
  <si>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</si>
  <si>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</si>
  <si>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</si>
  <si>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</si>
  <si>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</si>
  <si>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</si>
  <si>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</si>
  <si>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</si>
  <si>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</si>
  <si>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</si>
  <si>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</si>
  <si>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</si>
  <si>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</si>
  <si>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</si>
  <si>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</si>
  <si>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</si>
  <si>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</si>
  <si>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</si>
  <si>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</si>
  <si>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</si>
  <si>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</si>
  <si>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</si>
  <si>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</si>
  <si>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</si>
  <si>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</si>
  <si>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</si>
  <si>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</si>
  <si>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</si>
  <si>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</si>
  <si>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</si>
  <si>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</si>
  <si>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</si>
  <si>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</si>
  <si>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</si>
  <si>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</si>
  <si>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</si>
  <si>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</si>
  <si>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</si>
  <si>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</si>
  <si>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</si>
  <si>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</si>
  <si>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</si>
  <si>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</si>
  <si>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</si>
  <si>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</si>
  <si>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</si>
  <si>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</si>
  <si>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</si>
  <si>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</si>
  <si>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</si>
  <si>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</si>
  <si>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</si>
  <si>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</si>
  <si>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</si>
  <si>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</si>
  <si>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</si>
  <si>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</si>
  <si>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</si>
  <si>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</si>
  <si>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</si>
  <si>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</si>
  <si>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</si>
  <si>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</si>
  <si>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</si>
  <si>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</si>
  <si>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</si>
  <si>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</si>
  <si>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</si>
  <si>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</si>
  <si>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</si>
  <si>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</si>
  <si>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</si>
  <si>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</si>
  <si>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</si>
  <si>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</si>
  <si>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</si>
  <si>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</si>
  <si>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</si>
  <si>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</si>
  <si>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</si>
  <si>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</si>
  <si>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</si>
  <si>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</si>
  <si>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</si>
  <si>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</si>
  <si>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</si>
  <si>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</si>
  <si>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</si>
  <si>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</si>
  <si>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</si>
  <si>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</si>
  <si>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</si>
  <si>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</si>
  <si>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</si>
  <si>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</si>
  <si>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</si>
  <si>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</si>
  <si>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</si>
  <si>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</si>
  <si>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</si>
  <si>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</si>
  <si>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</si>
  <si>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</si>
  <si>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</si>
  <si>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</si>
  <si>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</si>
  <si>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</si>
  <si>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</si>
  <si>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</si>
  <si>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</si>
  <si>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</si>
  <si>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</si>
  <si>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</si>
  <si>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</si>
  <si>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</si>
  <si>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</si>
  <si>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</si>
  <si>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</si>
  <si>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</si>
  <si>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</si>
  <si>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</si>
  <si>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</si>
  <si>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</si>
  <si>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</si>
  <si>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</si>
  <si>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</si>
  <si>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</si>
  <si>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</si>
  <si>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</si>
  <si>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</si>
  <si>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</si>
  <si>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</si>
  <si>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</si>
  <si>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</si>
  <si>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</si>
  <si>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</si>
  <si>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</si>
  <si>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</si>
  <si>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</si>
  <si>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</si>
  <si>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</si>
  <si>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</si>
  <si>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</si>
  <si>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</si>
  <si>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</si>
  <si>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</si>
  <si>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</si>
  <si>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</si>
  <si>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</si>
  <si>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</si>
  <si>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</si>
  <si>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</si>
  <si>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</si>
  <si>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</si>
  <si>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</si>
  <si>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</si>
  <si>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</si>
  <si>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</si>
  <si>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</si>
  <si>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</si>
  <si>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</si>
  <si>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</si>
  <si>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</si>
  <si>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</si>
  <si>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</si>
  <si>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</si>
  <si>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</si>
  <si>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</si>
  <si>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</si>
  <si>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</si>
  <si>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</si>
  <si>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</si>
  <si>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</si>
  <si>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</si>
  <si>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</si>
  <si>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</si>
  <si>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</si>
  <si>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</si>
  <si>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</si>
  <si>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</si>
  <si>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</si>
  <si>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</si>
  <si>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</si>
  <si>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</si>
  <si>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</si>
  <si>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</si>
  <si>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</si>
  <si>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</si>
  <si>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</si>
  <si>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</si>
  <si>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</si>
  <si>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</si>
  <si>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</si>
  <si>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</si>
  <si>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</si>
  <si>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</si>
  <si>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</si>
  <si>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</si>
  <si>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</si>
  <si>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</si>
  <si>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</si>
  <si>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</si>
  <si>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</si>
  <si>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</si>
  <si>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</si>
  <si>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</si>
  <si>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</si>
  <si>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</si>
  <si>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</si>
  <si>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</si>
  <si>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</si>
  <si>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</si>
  <si>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</si>
  <si>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</si>
  <si>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</si>
  <si>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</si>
  <si>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</si>
  <si>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</si>
  <si>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</si>
  <si>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</si>
  <si>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</si>
  <si>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</si>
  <si>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</si>
  <si>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</si>
  <si>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</si>
  <si>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</si>
  <si>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</si>
  <si>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</si>
  <si>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</si>
  <si>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</si>
  <si>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</si>
  <si>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</si>
  <si>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</si>
  <si>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</si>
  <si>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</si>
  <si>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</si>
  <si>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</si>
  <si>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</si>
  <si>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</si>
  <si>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</si>
  <si>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</si>
  <si>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</si>
  <si>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</si>
  <si>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</si>
  <si>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</si>
  <si>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</si>
  <si>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</si>
  <si>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</si>
  <si>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</si>
  <si>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</si>
  <si>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</si>
  <si>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</si>
  <si>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</si>
  <si>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</si>
  <si>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</si>
  <si>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</si>
  <si>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</si>
  <si>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</si>
  <si>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</si>
  <si>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</si>
  <si>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</si>
  <si>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</si>
  <si>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</si>
  <si>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</si>
  <si>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</si>
  <si>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</si>
  <si>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</si>
  <si>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</si>
  <si>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</si>
  <si>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</si>
  <si>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</si>
  <si>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</si>
  <si>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</si>
  <si>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</si>
  <si>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</si>
  <si>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</si>
  <si>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</si>
  <si>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</si>
  <si>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</si>
  <si>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</si>
  <si>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</si>
  <si>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</si>
  <si>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</si>
  <si>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</si>
  <si>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</si>
  <si>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</si>
  <si>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</si>
  <si>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</si>
  <si>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</si>
  <si>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</si>
  <si>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</si>
  <si>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</si>
  <si>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</si>
  <si>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</si>
  <si>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</si>
  <si>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</si>
  <si>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</si>
  <si>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</si>
  <si>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</si>
  <si>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</si>
  <si>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</si>
  <si>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</si>
  <si>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</si>
  <si>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</si>
  <si>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</si>
  <si>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</si>
  <si>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</si>
  <si>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</si>
  <si>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</si>
  <si>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</si>
  <si>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</si>
  <si>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</si>
  <si>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</si>
  <si>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</si>
  <si>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</si>
  <si>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</si>
  <si>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</si>
  <si>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</si>
  <si>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</si>
  <si>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</si>
  <si>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</si>
  <si>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</si>
  <si>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</si>
  <si>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</si>
  <si>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</si>
  <si>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</si>
  <si>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</si>
  <si>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</si>
  <si>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</si>
  <si>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</si>
  <si>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</si>
  <si>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</si>
  <si>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</si>
  <si>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</si>
  <si>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</si>
  <si>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</si>
  <si>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</si>
  <si>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</si>
  <si>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</si>
  <si>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</si>
  <si>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</si>
  <si>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</si>
  <si>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</si>
  <si>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</si>
  <si>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</si>
  <si>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</si>
  <si>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</si>
  <si>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</si>
  <si>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</si>
  <si>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</si>
  <si>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</si>
  <si>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</si>
  <si>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</si>
  <si>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</si>
  <si>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</si>
  <si>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</si>
  <si>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</si>
  <si>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</si>
  <si>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</si>
  <si>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</si>
  <si>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</si>
  <si>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</si>
  <si>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</si>
  <si>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</si>
  <si>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</si>
  <si>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</si>
  <si>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</si>
  <si>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</si>
  <si>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</si>
  <si>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</si>
  <si>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</si>
  <si>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</si>
  <si>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</si>
  <si>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</si>
  <si>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</si>
  <si>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</si>
  <si>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</si>
  <si>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</si>
  <si>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</si>
  <si>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</si>
  <si>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</si>
  <si>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</si>
  <si>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</si>
  <si>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</si>
  <si>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</si>
  <si>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</si>
  <si>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</si>
  <si>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</si>
  <si>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</si>
  <si>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</si>
  <si>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</si>
  <si>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</si>
  <si>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</si>
  <si>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</si>
  <si>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</si>
  <si>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</si>
  <si>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</si>
  <si>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</si>
  <si>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</si>
  <si>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</si>
  <si>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</si>
  <si>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</si>
  <si>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</si>
  <si>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</si>
  <si>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</si>
  <si>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</si>
  <si>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</si>
  <si>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</si>
  <si>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</si>
  <si>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</si>
  <si>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</si>
  <si>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</si>
  <si>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</si>
  <si>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</si>
  <si>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</si>
  <si>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</si>
  <si>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</si>
  <si>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</si>
  <si>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</si>
  <si>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</si>
  <si>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</si>
  <si>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</si>
  <si>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</si>
  <si>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</si>
  <si>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</si>
  <si>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</si>
  <si>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</si>
  <si>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</si>
  <si>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</si>
  <si>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</si>
  <si>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</si>
  <si>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</si>
  <si>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</si>
  <si>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</si>
  <si>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</si>
  <si>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</si>
  <si>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</si>
  <si>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</si>
  <si>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</si>
  <si>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</si>
  <si>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</si>
  <si>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</si>
  <si>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</si>
  <si>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</si>
  <si>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</si>
  <si>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</si>
  <si>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</si>
  <si>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</si>
  <si>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</si>
  <si>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</si>
  <si>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</si>
  <si>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</si>
  <si>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</si>
  <si>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</si>
  <si>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</si>
  <si>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</si>
  <si>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</si>
  <si>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</si>
  <si>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</si>
  <si>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</si>
  <si>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</si>
  <si>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</si>
  <si>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</si>
  <si>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</si>
  <si>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</si>
  <si>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</si>
  <si>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</si>
  <si>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</si>
  <si>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</si>
  <si>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</si>
  <si>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</si>
  <si>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</si>
  <si>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</si>
  <si>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</si>
  <si>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</si>
  <si>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</si>
  <si>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</si>
  <si>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</si>
  <si>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</si>
  <si>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</si>
  <si>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</si>
  <si>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</si>
  <si>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</si>
  <si>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</si>
  <si>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</si>
  <si>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</si>
  <si>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</si>
  <si>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</si>
  <si>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</si>
  <si>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</si>
  <si>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</si>
  <si>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</si>
  <si>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</si>
  <si>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</si>
  <si>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</si>
  <si>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</si>
  <si>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</si>
  <si>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</si>
  <si>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</si>
  <si>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</si>
  <si>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</si>
  <si>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</si>
  <si>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</si>
  <si>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</si>
  <si>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</si>
  <si>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</si>
  <si>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</si>
  <si>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</si>
  <si>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</si>
  <si>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</si>
  <si>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</si>
  <si>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</si>
  <si>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</si>
  <si>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</si>
  <si>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</si>
  <si>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</si>
  <si>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</si>
  <si>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</si>
  <si>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</si>
  <si>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</si>
  <si>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</si>
  <si>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</si>
  <si>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</si>
  <si>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</si>
  <si>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</si>
  <si>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</si>
  <si>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</si>
  <si>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</si>
  <si>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</si>
  <si>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</si>
  <si>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</si>
  <si>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</si>
  <si>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</si>
  <si>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</si>
  <si>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</si>
  <si>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</si>
  <si>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</si>
  <si>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</si>
  <si>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</si>
  <si>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</si>
  <si>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</si>
  <si>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</si>
  <si>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</si>
  <si>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</si>
  <si>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</si>
  <si>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</si>
  <si>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</si>
  <si>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</si>
  <si>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</si>
  <si>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</si>
  <si>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</si>
  <si>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</si>
  <si>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</si>
  <si>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</si>
  <si>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</si>
  <si>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</si>
  <si>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</si>
  <si>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</si>
  <si>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</si>
  <si>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</si>
  <si>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</si>
  <si>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</si>
  <si>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</si>
  <si>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</si>
  <si>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</si>
  <si>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</si>
  <si>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</si>
  <si>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</si>
  <si>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</si>
  <si>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</si>
  <si>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</si>
  <si>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</si>
  <si>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</si>
  <si>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</si>
  <si>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</si>
  <si>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</si>
  <si>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</si>
  <si>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</si>
  <si>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</si>
  <si>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</si>
  <si>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</si>
  <si>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</si>
  <si>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</si>
  <si>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</si>
  <si>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</si>
  <si>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</si>
  <si>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</si>
  <si>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</si>
  <si>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</si>
  <si>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</si>
  <si>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</si>
  <si>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</si>
  <si>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</si>
  <si>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</si>
  <si>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</si>
  <si>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</si>
  <si>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</si>
  <si>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</si>
  <si>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</si>
  <si>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</si>
  <si>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</si>
  <si>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</si>
  <si>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</si>
  <si>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</si>
  <si>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</si>
  <si>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</si>
  <si>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</si>
  <si>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</si>
  <si>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</si>
  <si>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</si>
  <si>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</si>
  <si>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</si>
  <si>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</si>
  <si>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</si>
  <si>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</si>
  <si>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</si>
  <si>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</si>
  <si>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</si>
  <si>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</si>
  <si>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</si>
  <si>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</si>
  <si>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</si>
  <si>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</si>
  <si>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</si>
  <si>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</si>
  <si>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</si>
  <si>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</si>
  <si>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</si>
  <si>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</si>
  <si>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</si>
  <si>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</si>
  <si>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</si>
  <si>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</si>
  <si>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</si>
  <si>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</si>
  <si>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</si>
  <si>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</si>
  <si>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</si>
  <si>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</si>
  <si>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</si>
  <si>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</si>
  <si>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</si>
  <si>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</si>
  <si>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</si>
  <si>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</si>
  <si>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</si>
  <si>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</si>
  <si>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</si>
  <si>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</si>
  <si>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</si>
  <si>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</si>
  <si>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</si>
  <si>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</si>
  <si>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</si>
  <si>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</si>
  <si>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</si>
  <si>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</si>
  <si>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</si>
  <si>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</si>
  <si>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</si>
  <si>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</si>
  <si>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</si>
  <si>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</si>
  <si>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</si>
  <si>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</si>
  <si>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</si>
  <si>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</si>
  <si>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</si>
  <si>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</si>
  <si>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</si>
  <si>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</si>
  <si>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</si>
  <si>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</si>
  <si>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</si>
  <si>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</si>
  <si>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</si>
  <si>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</si>
  <si>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</si>
  <si>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</si>
  <si>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</si>
  <si>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</si>
  <si>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</si>
  <si>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</si>
  <si>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</si>
  <si>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</si>
  <si>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</si>
  <si>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</si>
  <si>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</si>
  <si>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</si>
  <si>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</si>
  <si>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</si>
  <si>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</si>
  <si>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</si>
  <si>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</si>
  <si>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</si>
  <si>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</si>
  <si>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</si>
  <si>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</si>
  <si>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</si>
  <si>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</si>
  <si>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</si>
  <si>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</si>
  <si>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</si>
  <si>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</si>
  <si>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</si>
  <si>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</si>
  <si>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</si>
  <si>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</si>
  <si>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</si>
  <si>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</si>
  <si>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</si>
  <si>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</si>
  <si>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</si>
  <si>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</si>
  <si>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</si>
  <si>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</si>
  <si>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</si>
  <si>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</si>
  <si>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</si>
  <si>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</si>
  <si>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</si>
  <si>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</si>
  <si>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</si>
  <si>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</si>
  <si>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</si>
  <si>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</si>
  <si>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</si>
  <si>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</si>
  <si>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</si>
  <si>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</si>
  <si>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</si>
  <si>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</si>
  <si>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</si>
  <si>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</si>
  <si>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</si>
  <si>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</si>
  <si>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</si>
  <si>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</si>
  <si>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</si>
  <si>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</si>
  <si>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</si>
  <si>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</si>
  <si>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</si>
  <si>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</si>
  <si>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</si>
  <si>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</si>
  <si>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</si>
  <si>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</si>
  <si>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</si>
  <si>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</si>
  <si>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</si>
  <si>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</si>
  <si>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</si>
  <si>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</si>
  <si>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</si>
  <si>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</si>
  <si>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</si>
  <si>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</si>
  <si>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</si>
  <si>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</si>
  <si>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</si>
  <si>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</si>
  <si>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</si>
  <si>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</si>
  <si>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</si>
  <si>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</si>
  <si>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</si>
  <si>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</si>
  <si>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</si>
  <si>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</si>
  <si>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</si>
  <si>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</si>
  <si>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</si>
  <si>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</si>
  <si>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</si>
  <si>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</si>
  <si>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</si>
  <si>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</si>
  <si>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</si>
  <si>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</si>
  <si>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</si>
  <si>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</si>
  <si>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</si>
  <si>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</si>
  <si>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</si>
  <si>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</si>
  <si>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</si>
  <si>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</si>
  <si>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</si>
  <si>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</si>
  <si>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</si>
  <si>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</si>
  <si>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</si>
  <si>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</si>
  <si>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</si>
  <si>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</si>
  <si>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</si>
  <si>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</si>
  <si>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</si>
  <si>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</si>
  <si>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</si>
  <si>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</si>
  <si>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</si>
  <si>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</si>
  <si>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</si>
  <si>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</si>
  <si>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</si>
  <si>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</si>
  <si>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</si>
  <si>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</si>
  <si>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</si>
  <si>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</si>
  <si>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</si>
  <si>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</si>
  <si>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</si>
  <si>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</si>
  <si>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</si>
  <si>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</si>
  <si>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</si>
  <si>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</si>
  <si>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</si>
  <si>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</si>
  <si>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</si>
  <si>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</si>
  <si>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</si>
  <si>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</si>
  <si>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</si>
  <si>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</si>
  <si>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</si>
  <si>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</si>
  <si>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</si>
  <si>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</si>
  <si>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</si>
  <si>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</si>
  <si>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</si>
  <si>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</si>
  <si>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</si>
  <si>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</si>
  <si>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</si>
  <si>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</si>
  <si>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</si>
  <si>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</si>
  <si>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</si>
  <si>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</si>
  <si>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</si>
  <si>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</si>
  <si>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</si>
  <si>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</si>
  <si>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</si>
  <si>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</si>
  <si>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</si>
  <si>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</si>
  <si>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</si>
  <si>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</si>
  <si>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</si>
  <si>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</si>
  <si>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</si>
  <si>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</si>
  <si>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</si>
  <si>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</si>
  <si>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</si>
  <si>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</si>
  <si>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</si>
  <si>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</si>
  <si>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</si>
  <si>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</si>
  <si>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</si>
  <si>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</si>
  <si>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</si>
  <si>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</si>
  <si>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</si>
  <si>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</si>
  <si>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</si>
  <si>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</si>
  <si>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</si>
  <si>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</si>
  <si>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</si>
  <si>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</si>
  <si>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</si>
  <si>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</si>
  <si>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</si>
  <si>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</si>
  <si>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</si>
  <si>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</si>
  <si>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</si>
  <si>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</si>
  <si>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</si>
  <si>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</si>
  <si>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</si>
  <si>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</si>
  <si>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</si>
  <si>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</si>
  <si>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</si>
  <si>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</si>
  <si>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</si>
  <si>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</si>
  <si>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</si>
  <si>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</si>
  <si>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</si>
  <si>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</si>
  <si>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</si>
  <si>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</si>
  <si>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</si>
  <si>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</si>
  <si>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</si>
  <si>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</si>
  <si>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</si>
  <si>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</si>
  <si>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</si>
  <si>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</si>
  <si>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</si>
  <si>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</si>
  <si>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</si>
  <si>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</si>
  <si>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</si>
  <si>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</si>
  <si>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</si>
  <si>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</si>
  <si>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</si>
  <si>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</si>
  <si>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</si>
  <si>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</si>
  <si>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</si>
  <si>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</si>
  <si>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</si>
  <si>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</si>
  <si>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</si>
  <si>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</si>
  <si>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</si>
  <si>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</si>
  <si>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</si>
  <si>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</si>
  <si>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</si>
  <si>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</si>
  <si>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</si>
  <si>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</si>
  <si>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</si>
  <si>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</si>
  <si>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</si>
  <si>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</si>
  <si>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</si>
  <si>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</si>
  <si>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</si>
  <si>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</si>
  <si>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</si>
  <si>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</si>
  <si>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</si>
  <si>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</si>
  <si>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</si>
  <si>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</si>
  <si>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</si>
  <si>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</si>
  <si>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</si>
  <si>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</si>
  <si>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</si>
  <si>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</si>
  <si>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</si>
  <si>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</si>
  <si>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</si>
  <si>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</si>
  <si>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</si>
  <si>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</si>
  <si>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</si>
  <si>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</si>
  <si>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</si>
  <si>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</si>
  <si>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</si>
  <si>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</si>
  <si>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</si>
  <si>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</si>
  <si>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</si>
  <si>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</si>
  <si>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</si>
  <si>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</si>
  <si>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</si>
  <si>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</si>
  <si>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</si>
  <si>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</si>
  <si>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</si>
  <si>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</si>
  <si>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</si>
  <si>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</si>
  <si>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</si>
  <si>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</si>
  <si>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</si>
  <si>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</si>
  <si>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</si>
  <si>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</si>
  <si>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</si>
  <si>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</si>
  <si>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</si>
  <si>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</si>
  <si>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</si>
  <si>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</si>
  <si>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</si>
  <si>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</si>
  <si>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</si>
  <si>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</si>
  <si>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</si>
  <si>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</si>
  <si>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</si>
  <si>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</si>
  <si>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</si>
  <si>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</si>
  <si>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</si>
  <si>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</si>
  <si>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</si>
  <si>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</si>
  <si>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</si>
  <si>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</si>
  <si>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</si>
  <si>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</si>
  <si>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</si>
  <si>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</si>
  <si>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</si>
  <si>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</si>
  <si>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</si>
  <si>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</si>
  <si>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</si>
  <si>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</si>
  <si>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</si>
  <si>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</si>
  <si>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</si>
  <si>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</si>
  <si>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</si>
  <si>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</si>
  <si>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</si>
  <si>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</si>
  <si>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</si>
  <si>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</si>
  <si>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</si>
  <si>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</si>
  <si>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</si>
  <si>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</si>
  <si>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</si>
  <si>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</si>
  <si>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</si>
  <si>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</si>
  <si>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</si>
  <si>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</si>
  <si>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</si>
  <si>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</si>
  <si>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</si>
  <si>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</si>
  <si>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</si>
  <si>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</si>
  <si>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</si>
  <si>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</si>
  <si>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</si>
  <si>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</si>
  <si>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</si>
  <si>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</si>
  <si>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</si>
  <si>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</si>
  <si>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</si>
  <si>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</si>
  <si>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</si>
  <si>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</si>
  <si>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</si>
  <si>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</si>
  <si>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</si>
  <si>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</si>
  <si>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</si>
  <si>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</si>
  <si>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</si>
  <si>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</si>
  <si>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</si>
  <si>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</si>
  <si>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</si>
  <si>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</si>
  <si>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</si>
  <si>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</si>
  <si>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</si>
  <si>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</si>
  <si>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</si>
  <si>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</si>
  <si>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</si>
  <si>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</si>
  <si>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</si>
  <si>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</si>
  <si>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</si>
  <si>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</si>
  <si>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</si>
  <si>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</si>
  <si>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</si>
  <si>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</si>
  <si>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</si>
  <si>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</si>
  <si>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</si>
  <si>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</si>
  <si>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</si>
  <si>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</si>
  <si>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</si>
  <si>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</si>
  <si>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</si>
  <si>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</si>
  <si>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</si>
  <si>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</si>
  <si>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</si>
  <si>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</si>
  <si>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</si>
  <si>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</si>
  <si>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</si>
  <si>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</si>
  <si>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</si>
  <si>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</si>
  <si>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</si>
  <si>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</si>
  <si>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</si>
  <si>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</si>
  <si>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</si>
  <si>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</si>
  <si>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</si>
  <si>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</si>
  <si>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</si>
  <si>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</si>
  <si>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</si>
  <si>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</si>
  <si>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</si>
  <si>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</si>
  <si>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</si>
  <si>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</si>
  <si>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</si>
  <si>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</si>
  <si>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</si>
  <si>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</si>
  <si>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</si>
  <si>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</si>
  <si>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</si>
  <si>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</si>
  <si>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</si>
  <si>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</si>
  <si>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</si>
  <si>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</si>
  <si>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</si>
  <si>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</si>
  <si>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</si>
  <si>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</si>
  <si>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</si>
  <si>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</si>
  <si>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</si>
  <si>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</si>
  <si>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</si>
  <si>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</si>
  <si>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</si>
  <si>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</si>
  <si>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</si>
  <si>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</si>
  <si>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</si>
  <si>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</si>
  <si>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</si>
  <si>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</si>
  <si>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</si>
  <si>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</si>
  <si>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</si>
  <si>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</si>
  <si>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</si>
  <si>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</si>
  <si>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</si>
  <si>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</si>
  <si>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</si>
  <si>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</si>
  <si>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</si>
  <si>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</si>
  <si>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</si>
  <si>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</si>
  <si>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</si>
  <si>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</si>
  <si>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</si>
  <si>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</si>
  <si>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</si>
  <si>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</si>
  <si>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</si>
  <si>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</si>
  <si>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</si>
  <si>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</si>
  <si>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</si>
  <si>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</si>
  <si>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</si>
  <si>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</si>
  <si>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</si>
  <si>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</si>
  <si>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</si>
  <si>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</si>
  <si>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</si>
  <si>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</si>
  <si>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</si>
  <si>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</si>
  <si>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</si>
  <si>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</si>
  <si>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</si>
  <si>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</si>
  <si>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</si>
  <si>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</si>
  <si>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</si>
  <si>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</si>
  <si>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</si>
  <si>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</si>
  <si>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</si>
  <si>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</si>
  <si>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</si>
  <si>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</si>
  <si>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</si>
  <si>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</si>
  <si>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</si>
  <si>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</si>
  <si>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</si>
  <si>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</si>
  <si>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</si>
  <si>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</si>
  <si>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</si>
  <si>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</si>
  <si>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</si>
  <si>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</si>
  <si>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</si>
  <si>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</si>
  <si>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</si>
  <si>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</si>
  <si>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</si>
  <si>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</si>
  <si>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</si>
  <si>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</si>
  <si>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</si>
  <si>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</si>
  <si>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</si>
  <si>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</si>
  <si>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</si>
  <si>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</si>
  <si>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</si>
  <si>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</si>
  <si>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</si>
  <si>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</si>
  <si>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</si>
  <si>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</si>
  <si>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</si>
  <si>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</si>
  <si>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</si>
  <si>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</si>
  <si>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</si>
  <si>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</si>
  <si>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</si>
  <si>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</si>
  <si>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</si>
  <si>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</si>
  <si>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</si>
  <si>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</si>
  <si>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</si>
  <si>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</si>
  <si>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</si>
  <si>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</si>
  <si>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</si>
  <si>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</si>
  <si>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</si>
  <si>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</si>
  <si>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</si>
  <si>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</si>
  <si>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</si>
  <si>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</si>
  <si>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</si>
  <si>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</si>
  <si>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</si>
  <si>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</si>
  <si>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</si>
  <si>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</si>
  <si>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</si>
  <si>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</si>
  <si>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</si>
  <si>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</si>
  <si>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</si>
  <si>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</si>
  <si>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</si>
  <si>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</si>
  <si>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</si>
  <si>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</si>
  <si>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</si>
  <si>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</si>
  <si>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</si>
  <si>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</si>
  <si>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</si>
  <si>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</si>
  <si>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</si>
  <si>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</si>
  <si>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</si>
  <si>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</si>
  <si>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</si>
  <si>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</si>
  <si>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</si>
  <si>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</si>
  <si>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</si>
  <si>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</si>
  <si>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</si>
  <si>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</si>
  <si>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</si>
  <si>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</si>
  <si>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</si>
  <si>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</si>
  <si>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</si>
  <si>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</si>
  <si>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</si>
  <si>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</si>
  <si>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</si>
  <si>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</si>
  <si>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</si>
  <si>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</si>
  <si>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</si>
  <si>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</si>
  <si>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</si>
  <si>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</si>
  <si>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</si>
  <si>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</si>
  <si>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</si>
  <si>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</si>
  <si>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</si>
  <si>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</si>
  <si>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</si>
  <si>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</si>
  <si>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</si>
  <si>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</si>
  <si>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</si>
  <si>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</si>
  <si>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</si>
  <si>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</si>
  <si>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</si>
  <si>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</si>
  <si>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</si>
  <si>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</si>
  <si>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</si>
  <si>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</si>
  <si>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</si>
  <si>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</si>
  <si>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</si>
  <si>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</si>
  <si>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</si>
  <si>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</si>
  <si>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</si>
  <si>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</si>
  <si>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</si>
  <si>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</si>
  <si>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</si>
  <si>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</si>
  <si>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</si>
  <si>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</si>
  <si>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</si>
  <si>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</si>
  <si>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</si>
  <si>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</si>
  <si>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</si>
  <si>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</si>
  <si>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</si>
  <si>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</si>
  <si>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</si>
  <si>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</si>
  <si>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</si>
  <si>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</si>
  <si>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</si>
  <si>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</si>
  <si>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</si>
  <si>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</si>
  <si>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</si>
  <si>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</si>
  <si>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</si>
  <si>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</si>
  <si>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</si>
  <si>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</si>
  <si>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</si>
  <si>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</si>
  <si>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</si>
  <si>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</si>
  <si>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</si>
  <si>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</si>
  <si>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</si>
  <si>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</si>
  <si>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</si>
  <si>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</si>
  <si>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</si>
  <si>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</si>
  <si>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</si>
  <si>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</si>
  <si>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</si>
  <si>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</si>
  <si>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</si>
  <si>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</si>
  <si>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</si>
  <si>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</si>
  <si>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</si>
  <si>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</si>
  <si>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</si>
  <si>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</si>
  <si>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</si>
  <si>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</si>
  <si>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</si>
  <si>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</si>
  <si>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</si>
  <si>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</si>
  <si>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</si>
  <si>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</si>
  <si>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</si>
  <si>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</si>
  <si>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</si>
  <si>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</si>
  <si>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</si>
  <si>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</si>
  <si>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</si>
  <si>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</si>
  <si>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</si>
  <si>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</si>
  <si>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</si>
  <si>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</si>
  <si>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</si>
  <si>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</si>
  <si>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</si>
  <si>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</si>
  <si>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</si>
  <si>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</si>
  <si>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</si>
  <si>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</si>
  <si>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</si>
  <si>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</si>
  <si>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</si>
  <si>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</si>
  <si>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</si>
  <si>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</si>
  <si>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</si>
  <si>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</si>
  <si>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</si>
  <si>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</si>
  <si>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</si>
  <si>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</si>
  <si>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</si>
  <si>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</si>
  <si>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</si>
  <si>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</si>
  <si>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</si>
  <si>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</si>
  <si>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</si>
  <si>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</si>
  <si>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</si>
  <si>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</si>
  <si>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</si>
  <si>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</si>
  <si>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</si>
  <si>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</si>
  <si>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</si>
  <si>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</si>
  <si>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</si>
  <si>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</si>
  <si>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</si>
  <si>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</si>
  <si>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</si>
  <si>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</si>
  <si>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</si>
  <si>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</si>
  <si>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</si>
  <si>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</si>
  <si>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</si>
  <si>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</si>
  <si>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</si>
  <si>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</si>
  <si>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</si>
  <si>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</si>
  <si>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</si>
  <si>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</si>
  <si>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</si>
  <si>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</si>
  <si>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</si>
  <si>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</si>
  <si>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</si>
  <si>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</si>
  <si>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</si>
  <si>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</si>
  <si>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</si>
  <si>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</si>
  <si>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</si>
  <si>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</si>
  <si>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</si>
  <si>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</si>
  <si>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</si>
  <si>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</si>
  <si>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</si>
  <si>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</si>
  <si>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</si>
  <si>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</si>
  <si>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</si>
  <si>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</si>
  <si>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</si>
  <si>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</si>
  <si>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</si>
  <si>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</si>
  <si>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</si>
  <si>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</si>
  <si>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</si>
  <si>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</si>
  <si>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</si>
  <si>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</si>
  <si>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</si>
  <si>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</si>
  <si>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</si>
  <si>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</si>
  <si>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</si>
  <si>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</si>
  <si>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</si>
  <si>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</si>
  <si>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</si>
  <si>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</si>
  <si>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</si>
  <si>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</si>
  <si>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</si>
  <si>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</si>
  <si>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</si>
  <si>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</si>
  <si>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</si>
  <si>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</si>
  <si>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</si>
  <si>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</si>
  <si>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</si>
  <si>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</si>
  <si>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</si>
  <si>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</si>
  <si>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</si>
  <si>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</si>
  <si>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</si>
  <si>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</si>
  <si>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</si>
  <si>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</si>
  <si>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</si>
  <si>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</si>
  <si>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</si>
  <si>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</si>
  <si>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</si>
  <si>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</si>
  <si>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</si>
  <si>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</si>
  <si>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</si>
  <si>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</si>
  <si>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</si>
  <si>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</si>
  <si>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</si>
  <si>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</si>
  <si>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</si>
  <si>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</si>
  <si>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</si>
  <si>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</si>
  <si>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</si>
  <si>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</si>
  <si>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</si>
  <si>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</si>
  <si>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</si>
  <si>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</si>
  <si>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</si>
  <si>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</si>
  <si>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</si>
  <si>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</si>
  <si>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</si>
  <si>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</si>
  <si>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</si>
  <si>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</si>
  <si>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</si>
  <si>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</si>
  <si>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</si>
  <si>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</si>
  <si>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</si>
  <si>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</si>
  <si>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</si>
  <si>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</si>
  <si>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</si>
  <si>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</si>
  <si>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</si>
  <si>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</si>
  <si>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</si>
  <si>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</si>
  <si>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</si>
  <si>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</si>
  <si>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</si>
  <si>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</si>
  <si>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</si>
  <si>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</si>
  <si>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</si>
  <si>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</si>
  <si>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</si>
  <si>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</si>
  <si>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</si>
  <si>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</si>
  <si>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</si>
  <si>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</si>
  <si>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</si>
  <si>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</si>
  <si>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</si>
  <si>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</si>
  <si>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</si>
  <si>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</si>
  <si>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</si>
  <si>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</si>
  <si>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</si>
  <si>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</si>
  <si>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</si>
  <si>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</si>
  <si>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</si>
  <si>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</si>
  <si>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</si>
  <si>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</si>
  <si>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</si>
  <si>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</si>
  <si>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</si>
  <si>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</si>
  <si>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</si>
  <si>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</si>
  <si>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</si>
  <si>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</si>
  <si>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</si>
  <si>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</si>
  <si>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</si>
  <si>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</si>
  <si>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</si>
  <si>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</si>
  <si>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</si>
  <si>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</si>
  <si>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</si>
  <si>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</si>
  <si>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</si>
  <si>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</si>
  <si>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</si>
  <si>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</si>
  <si>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</si>
  <si>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</si>
  <si>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</si>
  <si>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</si>
  <si>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</si>
  <si>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</si>
  <si>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</si>
  <si>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</si>
  <si>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</si>
  <si>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</si>
  <si>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</si>
  <si>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</si>
  <si>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</si>
  <si>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</si>
  <si>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</si>
  <si>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</si>
  <si>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</si>
  <si>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</si>
  <si>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</si>
  <si>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</si>
  <si>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</si>
  <si>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</si>
  <si>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</si>
  <si>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</si>
  <si>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</si>
  <si>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</si>
  <si>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</si>
  <si>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</si>
  <si>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</si>
  <si>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</si>
  <si>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</si>
  <si>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</si>
  <si>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</si>
  <si>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</si>
  <si>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</si>
  <si>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</si>
  <si>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</si>
  <si>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</si>
  <si>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</si>
  <si>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</si>
  <si>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</si>
  <si>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</si>
  <si>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</si>
  <si>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</si>
  <si>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</si>
  <si>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</si>
  <si>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</si>
  <si>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</si>
  <si>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</si>
  <si>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</si>
  <si>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</si>
  <si>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</si>
  <si>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</si>
  <si>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</si>
  <si>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</si>
  <si>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</si>
  <si>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</si>
  <si>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</si>
  <si>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</si>
  <si>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</si>
  <si>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</si>
  <si>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</si>
  <si>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</si>
  <si>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</si>
  <si>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</si>
  <si>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</si>
  <si>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</si>
  <si>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</si>
  <si>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</si>
  <si>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</si>
  <si>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</si>
  <si>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</si>
  <si>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</si>
  <si>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</si>
  <si>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</si>
  <si>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</si>
  <si>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</si>
  <si>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</si>
  <si>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</si>
  <si>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</si>
  <si>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</si>
  <si>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</si>
  <si>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</si>
  <si>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</si>
  <si>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</si>
  <si>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</si>
  <si>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</si>
  <si>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</si>
  <si>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</si>
  <si>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</si>
  <si>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</si>
  <si>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</si>
  <si>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</si>
  <si>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</si>
  <si>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</si>
  <si>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</si>
  <si>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</si>
  <si>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</si>
  <si>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</si>
  <si>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</si>
  <si>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</si>
  <si>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</si>
  <si>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</si>
  <si>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</si>
  <si>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</si>
  <si>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</si>
  <si>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</si>
  <si>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</si>
  <si>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</si>
  <si>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</si>
  <si>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</si>
  <si>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</si>
  <si>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</si>
  <si>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</si>
  <si>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</si>
  <si>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</si>
  <si>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</si>
  <si>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</si>
  <si>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</si>
  <si>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</si>
  <si>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</si>
  <si>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</si>
  <si>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</si>
  <si>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</si>
  <si>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</si>
  <si>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</si>
  <si>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</si>
  <si>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</si>
  <si>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</si>
  <si>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</si>
  <si>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</si>
  <si>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</si>
  <si>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</si>
  <si>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</si>
  <si>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</si>
  <si>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</si>
  <si>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</si>
  <si>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</si>
  <si>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</si>
  <si>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</si>
  <si>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</si>
  <si>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</si>
  <si>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</si>
  <si>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</si>
  <si>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</si>
  <si>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</si>
  <si>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</si>
  <si>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</si>
  <si>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</si>
  <si>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</si>
  <si>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</si>
  <si>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</si>
  <si>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</si>
  <si>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</si>
  <si>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</si>
  <si>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</si>
  <si>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</si>
  <si>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</si>
  <si>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</si>
  <si>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</si>
  <si>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</si>
  <si>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</si>
  <si>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</si>
  <si>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</si>
  <si>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</si>
  <si>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</si>
  <si>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</si>
  <si>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</si>
  <si>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</si>
  <si>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</si>
  <si>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</si>
  <si>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</si>
  <si>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</si>
  <si>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</si>
  <si>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</si>
  <si>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</si>
  <si>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</si>
  <si>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</si>
  <si>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</si>
  <si>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</si>
  <si>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</si>
  <si>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</si>
  <si>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</si>
  <si>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</si>
  <si>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</si>
  <si>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</si>
  <si>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</si>
  <si>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</si>
  <si>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</si>
  <si>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</si>
  <si>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</si>
  <si>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</si>
  <si>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</si>
  <si>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</si>
  <si>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</si>
  <si>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</si>
  <si>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</si>
  <si>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</si>
  <si>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</si>
  <si>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</si>
  <si>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</si>
  <si>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</si>
  <si>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</si>
  <si>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</si>
  <si>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</si>
  <si>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</si>
  <si>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</si>
  <si>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</si>
  <si>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</si>
  <si>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</si>
  <si>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</si>
  <si>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</si>
  <si>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</si>
  <si>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</si>
  <si>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</si>
  <si>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</si>
  <si>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</si>
  <si>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</si>
  <si>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</si>
  <si>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</si>
  <si>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</si>
  <si>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</si>
  <si>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</si>
  <si>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</si>
  <si>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</si>
  <si>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</si>
  <si>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</si>
  <si>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</si>
  <si>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</si>
  <si>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</si>
  <si>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</si>
  <si>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</si>
  <si>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</si>
  <si>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</si>
  <si>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</si>
  <si>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</si>
  <si>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</si>
  <si>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</si>
  <si>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</si>
  <si>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</si>
  <si>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</si>
  <si>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</si>
  <si>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</si>
  <si>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</si>
  <si>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</si>
  <si>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</si>
  <si>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</si>
  <si>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</si>
  <si>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</si>
  <si>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</si>
  <si>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</si>
  <si>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</si>
  <si>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</si>
  <si>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</si>
  <si>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</si>
  <si>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</si>
  <si>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</si>
  <si>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</si>
  <si>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</si>
  <si>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</si>
  <si>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</si>
  <si>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</si>
  <si>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</si>
  <si>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</si>
  <si>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</si>
  <si>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</si>
  <si>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</si>
  <si>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</si>
  <si>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</si>
  <si>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</si>
  <si>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</si>
  <si>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</si>
  <si>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</si>
  <si>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</si>
  <si>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</si>
  <si>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</si>
  <si>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</si>
  <si>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</si>
  <si>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</si>
  <si>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</si>
  <si>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</si>
  <si>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</si>
  <si>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</si>
  <si>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</si>
  <si>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</si>
  <si>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</si>
  <si>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</si>
  <si>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</si>
  <si>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</si>
  <si>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</si>
  <si>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</si>
  <si>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</si>
  <si>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</si>
  <si>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</si>
  <si>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</si>
  <si>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</si>
  <si>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</si>
  <si>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</si>
  <si>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</si>
  <si>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</si>
  <si>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</si>
  <si>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</si>
  <si>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</si>
  <si>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</si>
  <si>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</si>
  <si>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</si>
  <si>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</si>
  <si>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</si>
  <si>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</si>
  <si>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</si>
  <si>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</si>
  <si>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</si>
  <si>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</si>
  <si>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</si>
  <si>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</si>
  <si>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</si>
  <si>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</si>
  <si>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</si>
  <si>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</si>
  <si>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</si>
  <si>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</si>
  <si>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</si>
  <si>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</si>
  <si>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</si>
  <si>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</si>
  <si>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</si>
  <si>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</si>
  <si>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</si>
  <si>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</si>
  <si>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</si>
  <si>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</si>
  <si>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</si>
  <si>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</si>
  <si>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</si>
  <si>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</si>
  <si>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</si>
  <si>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</si>
  <si>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</si>
  <si>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</si>
  <si>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</si>
  <si>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</si>
  <si>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</si>
  <si>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</si>
  <si>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</si>
  <si>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</si>
  <si>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</si>
  <si>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</si>
  <si>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</si>
  <si>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</si>
  <si>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</si>
  <si>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</si>
  <si>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</si>
  <si>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</si>
  <si>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</si>
  <si>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</si>
  <si>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</si>
  <si>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</si>
  <si>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</si>
  <si>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</si>
  <si>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</si>
  <si>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</si>
  <si>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</si>
  <si>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</si>
  <si>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</si>
  <si>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</si>
  <si>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</si>
  <si>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</si>
  <si>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</si>
  <si>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</si>
  <si>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</si>
  <si>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</si>
  <si>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</si>
  <si>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</si>
  <si>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</si>
  <si>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</si>
  <si>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</si>
  <si>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</si>
  <si>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</si>
  <si>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</si>
  <si>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</si>
  <si>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</si>
  <si>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</si>
  <si>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</si>
  <si>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</si>
  <si>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</si>
  <si>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</si>
  <si>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</si>
  <si>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</si>
  <si>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</si>
  <si>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</si>
  <si>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</si>
  <si>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</si>
  <si>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</si>
  <si>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</si>
  <si>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</si>
  <si>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</si>
  <si>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</si>
  <si>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</si>
  <si>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</si>
  <si>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</si>
  <si>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</si>
  <si>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</si>
  <si>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</si>
  <si>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</si>
  <si>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</si>
  <si>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</si>
  <si>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</si>
  <si>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</si>
  <si>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</si>
  <si>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</si>
  <si>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</si>
  <si>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</si>
  <si>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</si>
  <si>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</si>
  <si>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</si>
  <si>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</si>
  <si>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</si>
  <si>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</si>
  <si>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</si>
  <si>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</si>
  <si>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</si>
  <si>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</si>
  <si>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</si>
  <si>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</si>
  <si>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</si>
  <si>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</si>
  <si>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</si>
  <si>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</si>
  <si>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</si>
  <si>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</si>
  <si>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</si>
  <si>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</si>
  <si>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</si>
  <si>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</si>
  <si>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</si>
  <si>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</si>
  <si>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</si>
  <si>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</si>
  <si>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</si>
  <si>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</si>
  <si>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</si>
  <si>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</si>
  <si>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</si>
  <si>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</si>
  <si>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</si>
  <si>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</si>
  <si>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</si>
  <si>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</si>
  <si>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</si>
  <si>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</si>
  <si>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</si>
  <si>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</si>
  <si>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</si>
  <si>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</si>
  <si>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</si>
  <si>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</si>
  <si>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</si>
  <si>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</si>
  <si>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</si>
  <si>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</si>
  <si>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</si>
  <si>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</si>
  <si>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</si>
  <si>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</si>
  <si>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</si>
  <si>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</si>
  <si>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</si>
  <si>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</si>
  <si>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</si>
  <si>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</si>
  <si>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</si>
  <si>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</si>
  <si>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</si>
  <si>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</si>
  <si>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</si>
  <si>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</si>
  <si>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</si>
  <si>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</si>
  <si>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</si>
  <si>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</si>
  <si>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</si>
  <si>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</si>
  <si>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</si>
  <si>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</si>
  <si>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</si>
  <si>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</si>
  <si>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</si>
  <si>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</si>
  <si>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</si>
  <si>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</si>
  <si>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</si>
  <si>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</si>
  <si>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</si>
  <si>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</si>
  <si>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</si>
  <si>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</si>
  <si>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</si>
  <si>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</si>
  <si>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</si>
  <si>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</si>
  <si>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</si>
  <si>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</si>
  <si>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</si>
  <si>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</si>
  <si>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</si>
  <si>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</si>
  <si>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</si>
  <si>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</si>
  <si>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</si>
  <si>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</si>
  <si>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</si>
  <si>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</si>
  <si>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</si>
  <si>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</si>
  <si>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</si>
  <si>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</si>
  <si>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</si>
  <si>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</si>
  <si>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</si>
  <si>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</si>
  <si>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</si>
  <si>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</si>
  <si>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</si>
  <si>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</si>
  <si>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</si>
  <si>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</si>
  <si>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</si>
  <si>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</si>
  <si>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</si>
  <si>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</si>
  <si>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</si>
  <si>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</si>
  <si>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</si>
  <si>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</si>
  <si>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</si>
  <si>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</si>
  <si>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</si>
  <si>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</si>
  <si>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</si>
  <si>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</si>
  <si>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</si>
  <si>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</si>
  <si>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</si>
  <si>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</si>
  <si>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</si>
  <si>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</si>
  <si>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</si>
  <si>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</si>
  <si>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</si>
  <si>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</si>
  <si>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</si>
  <si>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</si>
  <si>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</si>
  <si>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</si>
  <si>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</si>
  <si>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</si>
  <si>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</si>
  <si>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</si>
  <si>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</si>
  <si>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</si>
  <si>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</si>
  <si>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</si>
  <si>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</si>
  <si>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</si>
  <si>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</si>
  <si>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</si>
  <si>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</si>
  <si>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</si>
  <si>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</si>
  <si>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</si>
  <si>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</si>
  <si>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</si>
  <si>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</si>
  <si>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</si>
  <si>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</si>
  <si>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</si>
  <si>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</si>
  <si>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</si>
  <si>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</si>
  <si>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</si>
  <si>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</si>
  <si>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</si>
  <si>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</si>
  <si>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</si>
  <si>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</si>
  <si>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</si>
  <si>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</si>
  <si>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</si>
  <si>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</si>
  <si>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</si>
  <si>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</si>
  <si>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</si>
  <si>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</si>
  <si>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</si>
  <si>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</si>
  <si>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</si>
  <si>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</si>
  <si>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</si>
  <si>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</si>
  <si>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</si>
  <si>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</si>
  <si>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</si>
  <si>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</si>
  <si>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</si>
  <si>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</si>
  <si>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</si>
  <si>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</si>
  <si>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</si>
  <si>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</si>
  <si>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</si>
  <si>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</si>
  <si>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</si>
  <si>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</si>
  <si>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</si>
  <si>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</si>
  <si>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</si>
  <si>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</si>
  <si>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</si>
  <si>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</si>
  <si>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</si>
  <si>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</si>
  <si>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</si>
  <si>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</si>
  <si>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</si>
  <si>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</si>
  <si>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</si>
  <si>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</si>
  <si>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</si>
  <si>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</si>
  <si>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</si>
  <si>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</si>
  <si>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</si>
  <si>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</si>
  <si>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</si>
  <si>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</si>
  <si>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</si>
  <si>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</si>
  <si>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</si>
  <si>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</si>
  <si>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</si>
  <si>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</si>
  <si>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</si>
  <si>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</si>
  <si>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</si>
  <si>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</si>
  <si>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</si>
  <si>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</si>
  <si>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</si>
  <si>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</si>
  <si>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</si>
  <si>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</si>
  <si>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</si>
  <si>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</si>
  <si>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</si>
  <si>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</si>
  <si>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</si>
  <si>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</si>
  <si>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</si>
  <si>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</si>
  <si>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</si>
  <si>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</si>
  <si>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</si>
  <si>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</si>
  <si>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</si>
  <si>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</si>
  <si>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</si>
  <si>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</si>
  <si>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</si>
  <si>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</si>
  <si>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</si>
  <si>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</si>
  <si>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</si>
  <si>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</si>
  <si>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</si>
  <si>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</si>
  <si>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</si>
  <si>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</si>
  <si>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</si>
  <si>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</si>
  <si>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</si>
  <si>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</si>
  <si>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</si>
  <si>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</si>
  <si>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</si>
  <si>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</si>
  <si>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</si>
  <si>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</si>
  <si>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</si>
  <si>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</si>
  <si>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</si>
  <si>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</si>
  <si>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</si>
  <si>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</si>
  <si>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</si>
  <si>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</si>
  <si>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</si>
  <si>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</si>
  <si>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</si>
  <si>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</si>
  <si>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</si>
  <si>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</si>
  <si>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</si>
  <si>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</si>
  <si>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</si>
  <si>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</si>
  <si>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</si>
  <si>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</si>
  <si>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</si>
  <si>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</si>
  <si>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</si>
  <si>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</si>
  <si>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</si>
  <si>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</si>
  <si>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</si>
  <si>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</si>
  <si>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</si>
  <si>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</si>
  <si>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</si>
  <si>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</si>
  <si>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</si>
  <si>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</si>
  <si>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</si>
  <si>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</si>
  <si>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</si>
  <si>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</si>
  <si>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</si>
  <si>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</si>
  <si>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</si>
  <si>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</si>
  <si>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</si>
  <si>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</si>
  <si>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</si>
  <si>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</si>
  <si>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</si>
  <si>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</si>
  <si>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</si>
  <si>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</si>
  <si>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</si>
  <si>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</si>
  <si>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</si>
  <si>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</si>
  <si>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</si>
  <si>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</si>
  <si>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</si>
  <si>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</si>
  <si>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</si>
  <si>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</si>
  <si>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</si>
  <si>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</si>
  <si>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</si>
  <si>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</si>
  <si>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</si>
  <si>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</si>
  <si>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</si>
  <si>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</si>
  <si>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</si>
  <si>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</si>
  <si>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</si>
  <si>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</si>
  <si>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</si>
  <si>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</si>
  <si>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</si>
  <si>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</si>
  <si>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</si>
  <si>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</si>
  <si>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</si>
  <si>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</si>
  <si>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</si>
  <si>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</si>
  <si>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</si>
  <si>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</si>
  <si>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</si>
  <si>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</si>
  <si>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</si>
  <si>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</si>
  <si>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</si>
  <si>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</si>
  <si>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</si>
  <si>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</si>
  <si>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</si>
  <si>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</si>
  <si>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</si>
  <si>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</si>
  <si>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</si>
  <si>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</si>
  <si>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</si>
  <si>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</si>
  <si>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</si>
  <si>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</si>
  <si>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</si>
  <si>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</si>
  <si>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</si>
  <si>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</si>
  <si>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</si>
  <si>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</si>
  <si>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</si>
  <si>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</si>
  <si>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</si>
  <si>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</si>
  <si>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</si>
  <si>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</si>
  <si>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</si>
  <si>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</si>
  <si>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</si>
  <si>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</si>
  <si>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</si>
  <si>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</si>
  <si>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</si>
  <si>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</si>
  <si>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</si>
  <si>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</si>
  <si>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</si>
  <si>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</si>
  <si>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</si>
  <si>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</si>
  <si>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</si>
  <si>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</si>
  <si>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</si>
  <si>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</si>
  <si>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</si>
  <si>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</si>
  <si>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</si>
  <si>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</si>
  <si>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</si>
  <si>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</si>
  <si>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</si>
  <si>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</si>
  <si>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</si>
  <si>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</si>
  <si>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</si>
  <si>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</si>
  <si>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</si>
  <si>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</si>
  <si>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</si>
  <si>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</si>
  <si>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</si>
  <si>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</si>
  <si>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</si>
  <si>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</si>
  <si>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</si>
  <si>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</si>
  <si>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</si>
  <si>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</si>
  <si>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</si>
  <si>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</si>
  <si>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</si>
  <si>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</si>
  <si>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</si>
  <si>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</si>
  <si>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</si>
  <si>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</si>
  <si>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</si>
  <si>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</si>
  <si>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</si>
  <si>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</si>
  <si>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</si>
  <si>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</si>
  <si>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</si>
  <si>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</si>
  <si>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</si>
  <si>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</si>
  <si>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</si>
  <si>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</si>
  <si>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</si>
  <si>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</si>
  <si>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</si>
  <si>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</si>
  <si>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</si>
  <si>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</si>
  <si>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</si>
  <si>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</si>
  <si>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</si>
  <si>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</si>
  <si>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</si>
  <si>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</si>
  <si>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</si>
  <si>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</si>
  <si>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</si>
  <si>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</si>
  <si>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</si>
  <si>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</si>
  <si>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</si>
  <si>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</si>
  <si>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</si>
  <si>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</si>
  <si>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</si>
  <si>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</si>
  <si>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</si>
  <si>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</si>
  <si>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</si>
  <si>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</si>
  <si>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</si>
  <si>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</si>
  <si>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</si>
  <si>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</si>
  <si>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</si>
  <si>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</si>
  <si>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</si>
  <si>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</si>
  <si>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</si>
  <si>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</si>
  <si>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</si>
  <si>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</si>
  <si>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</si>
  <si>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</si>
  <si>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</si>
  <si>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</si>
  <si>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</si>
  <si>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</si>
  <si>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</si>
  <si>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</si>
  <si>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</si>
  <si>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</si>
  <si>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</si>
  <si>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</si>
  <si>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</si>
  <si>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</si>
  <si>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</si>
  <si>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</si>
  <si>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</si>
  <si>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</si>
  <si>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</si>
  <si>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</si>
  <si>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</si>
  <si>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</si>
  <si>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</si>
  <si>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</si>
  <si>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</si>
  <si>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</si>
  <si>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</si>
  <si>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</si>
  <si>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</si>
  <si>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</si>
  <si>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</si>
  <si>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</si>
  <si>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</si>
  <si>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</si>
  <si>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</si>
  <si>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</si>
  <si>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</si>
  <si>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</si>
  <si>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</si>
  <si>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</si>
  <si>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</si>
  <si>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</si>
  <si>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</si>
  <si>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</si>
  <si>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</si>
  <si>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</si>
  <si>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</si>
  <si>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</si>
  <si>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</si>
  <si>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</si>
  <si>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</si>
  <si>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</si>
  <si>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</si>
  <si>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</si>
  <si>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</si>
  <si>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</si>
  <si>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</si>
  <si>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</si>
  <si>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</si>
  <si>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</si>
  <si>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</si>
  <si>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</si>
  <si>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</si>
  <si>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</si>
  <si>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</si>
  <si>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</si>
  <si>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</si>
  <si>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</si>
  <si>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</si>
  <si>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</si>
  <si>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</si>
  <si>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</si>
  <si>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</si>
  <si>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</si>
  <si>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</si>
  <si>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</si>
  <si>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</si>
  <si>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</si>
  <si>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</si>
  <si>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</si>
  <si>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</si>
  <si>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</si>
  <si>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</si>
  <si>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</si>
  <si>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</si>
  <si>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</si>
  <si>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</si>
  <si>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</si>
  <si>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</si>
  <si>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</si>
  <si>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</si>
  <si>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</si>
  <si>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</si>
  <si>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</si>
  <si>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</si>
  <si>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</si>
  <si>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</si>
  <si>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</si>
  <si>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</si>
  <si>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</si>
  <si>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</si>
  <si>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</si>
  <si>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</si>
  <si>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</si>
  <si>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</si>
  <si>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</si>
  <si>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</si>
  <si>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</si>
  <si>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</si>
  <si>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</si>
  <si>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</si>
  <si>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</si>
  <si>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</si>
  <si>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</si>
  <si>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</si>
  <si>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</si>
  <si>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</si>
  <si>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</si>
  <si>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</si>
  <si>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</si>
  <si>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</si>
  <si>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</si>
  <si>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</si>
  <si>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</si>
  <si>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</si>
  <si>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</si>
  <si>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</si>
  <si>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</si>
  <si>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</si>
  <si>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</si>
  <si>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</si>
  <si>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</si>
  <si>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</si>
  <si>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</si>
  <si>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</si>
  <si>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</si>
  <si>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</si>
  <si>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</si>
  <si>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</si>
  <si>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</si>
  <si>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</si>
  <si>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</si>
  <si>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</si>
  <si>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</si>
  <si>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</si>
  <si>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</si>
  <si>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</si>
  <si>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</si>
  <si>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</si>
  <si>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</si>
  <si>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</si>
  <si>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</si>
  <si>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</si>
  <si>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</si>
  <si>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</si>
  <si>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</si>
  <si>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</si>
  <si>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</si>
  <si>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</si>
  <si>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</si>
  <si>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</si>
  <si>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</si>
  <si>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</si>
  <si>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</si>
  <si>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</si>
  <si>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</si>
  <si>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</si>
  <si>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</si>
  <si>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</si>
  <si>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</si>
  <si>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</si>
  <si>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</si>
  <si>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</si>
  <si>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</si>
  <si>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</si>
  <si>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</si>
  <si>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</si>
  <si>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</si>
  <si>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</si>
  <si>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</si>
  <si>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</si>
  <si>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</si>
  <si>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</si>
  <si>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</si>
  <si>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</si>
  <si>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</si>
  <si>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</si>
  <si>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</si>
  <si>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</si>
  <si>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</si>
  <si>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</si>
  <si>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</si>
  <si>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</si>
  <si>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</si>
  <si>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</si>
  <si>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</si>
  <si>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</si>
  <si>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</si>
  <si>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</si>
  <si>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</si>
  <si>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</si>
  <si>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</si>
  <si>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</si>
  <si>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</si>
  <si>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</si>
  <si>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</si>
  <si>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</si>
  <si>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</si>
  <si>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</si>
  <si>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</si>
  <si>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</si>
  <si>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</si>
  <si>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</si>
  <si>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</si>
  <si>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</si>
  <si>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</si>
  <si>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</si>
  <si>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</si>
  <si>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</si>
  <si>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</si>
  <si>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</si>
  <si>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</si>
  <si>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</si>
  <si>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</si>
  <si>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</si>
  <si>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</si>
  <si>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</si>
  <si>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</si>
  <si>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</si>
  <si>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</si>
  <si>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</si>
  <si>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</si>
  <si>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</si>
  <si>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</si>
  <si>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</si>
  <si>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</si>
  <si>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</si>
  <si>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</si>
  <si>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w/ Fludd</t>
  </si>
  <si>
    <t>Ep. 5 
w/ Fludd</t>
  </si>
  <si>
    <t>Under- bell</t>
  </si>
  <si>
    <t>5.95</t>
  </si>
  <si>
    <t>11.23</t>
  </si>
  <si>
    <t>5.59</t>
  </si>
  <si>
    <t>6.26</t>
  </si>
  <si>
    <t>12.15</t>
  </si>
  <si>
    <t>11.07</t>
  </si>
  <si>
    <t>1:13.36</t>
  </si>
  <si>
    <t>4.55</t>
  </si>
  <si>
    <t>1:08.68</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</si>
  <si>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</si>
  <si>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</si>
  <si>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</si>
  <si>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</si>
  <si>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</si>
  <si>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</si>
  <si>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</si>
  <si>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</si>
  <si>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</si>
  <si>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</si>
  <si>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</si>
  <si>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</si>
  <si>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</si>
  <si>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</si>
  <si>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</si>
  <si>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</si>
  <si>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</si>
  <si>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</si>
  <si>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</si>
  <si>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</si>
  <si>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</si>
  <si>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</si>
  <si>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</si>
  <si>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</si>
  <si>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</si>
  <si>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</si>
  <si>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</si>
  <si>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</si>
  <si>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</si>
  <si>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</si>
  <si>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</si>
  <si>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</si>
  <si>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</si>
  <si>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</si>
  <si>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</si>
  <si>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</si>
  <si>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</si>
  <si>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</si>
  <si>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</si>
  <si>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</si>
  <si>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</si>
  <si>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</si>
  <si>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</si>
  <si>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</si>
  <si>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</si>
  <si>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</si>
  <si>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</si>
  <si>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</si>
  <si>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</si>
  <si>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</si>
  <si>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</si>
  <si>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</si>
  <si>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</si>
  <si>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</si>
  <si>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</si>
  <si>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</si>
  <si>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</si>
  <si>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</si>
  <si>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</si>
  <si>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</si>
  <si>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</si>
  <si>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</si>
  <si>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</si>
  <si>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</si>
  <si>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</si>
  <si>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</si>
  <si>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</si>
  <si>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</si>
  <si>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</si>
  <si>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</si>
  <si>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</si>
  <si>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</si>
  <si>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</si>
  <si>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</si>
  <si>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</si>
  <si>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</si>
  <si>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</si>
  <si>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</si>
  <si>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</si>
  <si>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</si>
  <si>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56.83</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</si>
  <si>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</si>
  <si>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</si>
  <si>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</si>
  <si>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</si>
  <si>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</si>
  <si>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</si>
  <si>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</si>
  <si>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</si>
  <si>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</si>
  <si>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</si>
  <si>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</si>
  <si>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</si>
  <si>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</si>
  <si>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</si>
  <si>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</si>
  <si>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</si>
  <si>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</si>
  <si>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</si>
  <si>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</si>
  <si>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</si>
  <si>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</si>
  <si>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</si>
  <si>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</si>
  <si>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</si>
  <si>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</si>
  <si>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</si>
  <si>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</si>
  <si>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</si>
  <si>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</si>
  <si>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</si>
  <si>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</si>
  <si>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</si>
  <si>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</si>
  <si>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</si>
  <si>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</si>
  <si>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</si>
  <si>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</si>
  <si>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</si>
  <si>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</si>
  <si>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</si>
  <si>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</si>
  <si>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</si>
  <si>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</si>
  <si>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</si>
  <si>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</si>
  <si>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</si>
  <si>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</si>
  <si>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</si>
  <si>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</si>
  <si>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</si>
  <si>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</si>
  <si>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</si>
  <si>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</si>
  <si>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</si>
  <si>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</si>
  <si>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</si>
  <si>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</si>
  <si>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</si>
  <si>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</si>
  <si>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</si>
  <si>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</si>
  <si>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</si>
  <si>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</si>
  <si>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</si>
  <si>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</si>
  <si>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</si>
  <si>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</si>
  <si>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</si>
  <si>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</si>
  <si>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</si>
  <si>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</si>
  <si>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</si>
  <si>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</si>
  <si>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</si>
  <si>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</si>
  <si>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</si>
  <si>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</si>
  <si>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</si>
  <si>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</si>
  <si>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</si>
  <si>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</si>
  <si>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</si>
  <si>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</si>
  <si>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</si>
  <si>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</si>
  <si>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</si>
  <si>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</si>
  <si>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</si>
  <si>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</si>
  <si>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</si>
  <si>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</si>
  <si>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</si>
  <si>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</si>
  <si>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</si>
  <si>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</si>
  <si>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</si>
  <si>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</si>
  <si>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</si>
  <si>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</si>
  <si>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</si>
  <si>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</si>
  <si>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</si>
  <si>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</si>
  <si>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</si>
  <si>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</si>
  <si>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</si>
  <si>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</si>
  <si>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</si>
  <si>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</si>
  <si>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</si>
  <si>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</si>
  <si>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</si>
  <si>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</si>
  <si>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</si>
  <si>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</si>
  <si>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</si>
  <si>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</si>
  <si>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</si>
  <si>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</si>
  <si>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</si>
  <si>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</si>
  <si>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</si>
  <si>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</si>
  <si>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</si>
  <si>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</si>
  <si>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</si>
  <si>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</si>
  <si>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</si>
  <si>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</si>
  <si>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</si>
  <si>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</si>
  <si>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</si>
  <si>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</si>
  <si>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</si>
  <si>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</si>
  <si>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</si>
  <si>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</si>
  <si>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</si>
  <si>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</si>
  <si>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</si>
  <si>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</si>
  <si>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</si>
  <si>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</si>
  <si>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</si>
  <si>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</si>
  <si>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</si>
  <si>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</si>
  <si>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</si>
  <si>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</si>
  <si>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</si>
  <si>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</si>
  <si>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</si>
  <si>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</si>
  <si>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</si>
  <si>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</si>
  <si>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</si>
  <si>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</si>
  <si>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</si>
  <si>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</si>
  <si>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</si>
  <si>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</si>
  <si>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</si>
  <si>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</si>
  <si>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</si>
  <si>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</si>
  <si>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</si>
  <si>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</si>
  <si>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</si>
  <si>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</si>
  <si>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</si>
  <si>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</si>
  <si>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</si>
  <si>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</si>
  <si>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</si>
  <si>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</si>
  <si>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</si>
  <si>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</si>
  <si>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</si>
  <si>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</si>
  <si>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</si>
  <si>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</si>
  <si>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</si>
  <si>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</si>
  <si>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</si>
  <si>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</si>
  <si>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</si>
  <si>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</si>
  <si>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</si>
  <si>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</si>
  <si>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</si>
  <si>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</si>
  <si>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</si>
  <si>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</si>
  <si>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</si>
  <si>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</si>
  <si>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</si>
  <si>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</si>
  <si>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</si>
  <si>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</si>
  <si>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</si>
  <si>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</si>
  <si>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</si>
  <si>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</si>
  <si>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</si>
  <si>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</si>
  <si>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</si>
  <si>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</si>
  <si>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</si>
  <si>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</si>
  <si>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</si>
  <si>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</si>
  <si>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</si>
  <si>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</si>
  <si>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</si>
  <si>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</si>
  <si>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</si>
  <si>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</si>
  <si>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</si>
  <si>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</si>
  <si>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</si>
  <si>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</si>
  <si>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</si>
  <si>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</si>
  <si>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</si>
  <si>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</si>
  <si>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</si>
  <si>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</si>
  <si>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</si>
  <si>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</si>
  <si>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</si>
  <si>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</si>
  <si>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</si>
  <si>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</si>
  <si>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</si>
  <si>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</si>
  <si>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</si>
  <si>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</si>
  <si>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</si>
  <si>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</si>
  <si>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</si>
  <si>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</si>
  <si>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</si>
  <si>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</si>
  <si>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</si>
  <si>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</si>
  <si>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</si>
  <si>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</si>
  <si>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</si>
  <si>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</si>
  <si>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</si>
  <si>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</si>
  <si>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</si>
  <si>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</si>
  <si>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</si>
  <si>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</si>
  <si>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</si>
  <si>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</si>
  <si>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</si>
  <si>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</si>
  <si>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</si>
  <si>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</si>
  <si>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</si>
  <si>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</si>
  <si>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</si>
  <si>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</si>
  <si>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</si>
  <si>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</si>
  <si>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</si>
  <si>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</si>
  <si>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</si>
  <si>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</si>
  <si>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</si>
  <si>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</si>
  <si>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</si>
  <si>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</si>
  <si>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</si>
  <si>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</si>
  <si>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</si>
  <si>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</si>
  <si>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</si>
  <si>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</si>
  <si>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</si>
  <si>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</si>
  <si>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</si>
  <si>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</si>
  <si>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</si>
  <si>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</si>
  <si>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</si>
  <si>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</si>
  <si>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</si>
  <si>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</si>
  <si>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</si>
  <si>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</si>
  <si>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</si>
  <si>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</si>
  <si>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</si>
  <si>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</si>
  <si>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</si>
  <si>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</si>
  <si>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</si>
  <si>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</si>
  <si>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</si>
  <si>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</si>
  <si>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</si>
  <si>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</si>
  <si>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</si>
  <si>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</si>
  <si>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</si>
  <si>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</si>
  <si>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</si>
  <si>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</si>
  <si>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</si>
  <si>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</si>
  <si>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</si>
  <si>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</si>
  <si>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</si>
  <si>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</si>
  <si>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</si>
  <si>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</si>
  <si>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</si>
  <si>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</si>
  <si>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</si>
  <si>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</si>
  <si>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</si>
  <si>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</si>
  <si>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</si>
  <si>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</si>
  <si>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</si>
  <si>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</si>
  <si>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</si>
  <si>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</si>
  <si>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</si>
  <si>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</si>
  <si>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</si>
  <si>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</si>
  <si>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</si>
  <si>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</si>
  <si>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</si>
  <si>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</si>
  <si>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</si>
  <si>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</si>
  <si>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</si>
  <si>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</si>
  <si>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</si>
  <si>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</si>
  <si>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</si>
  <si>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</si>
  <si>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</si>
  <si>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</si>
  <si>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</si>
  <si>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</si>
  <si>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</si>
  <si>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</si>
  <si>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</si>
  <si>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</si>
  <si>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</si>
  <si>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</si>
  <si>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</si>
  <si>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</si>
  <si>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</si>
  <si>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</si>
  <si>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</si>
  <si>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</si>
  <si>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</si>
  <si>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</si>
  <si>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</si>
  <si>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</si>
  <si>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</si>
  <si>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</si>
  <si>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</si>
  <si>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</si>
  <si>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</si>
  <si>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</si>
  <si>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</si>
  <si>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</si>
  <si>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</si>
  <si>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</si>
  <si>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</si>
  <si>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</si>
  <si>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</si>
  <si>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</si>
  <si>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</si>
  <si>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</si>
  <si>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</si>
  <si>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</si>
  <si>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</si>
  <si>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</si>
  <si>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</si>
  <si>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</si>
  <si>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</si>
  <si>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</si>
  <si>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</si>
  <si>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</si>
  <si>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</si>
  <si>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</si>
  <si>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</si>
  <si>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</si>
  <si>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</si>
  <si>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</si>
  <si>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</si>
  <si>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</si>
  <si>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</si>
  <si>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</si>
  <si>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</si>
  <si>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</si>
  <si>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</si>
  <si>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</si>
  <si>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</si>
  <si>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</si>
  <si>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</si>
  <si>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</si>
  <si>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</si>
  <si>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</si>
  <si>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</si>
  <si>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</si>
  <si>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</si>
  <si>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</si>
  <si>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</si>
  <si>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</si>
  <si>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</si>
  <si>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</si>
  <si>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</si>
  <si>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</si>
  <si>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</si>
  <si>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</si>
  <si>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</si>
  <si>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</si>
  <si>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</si>
  <si>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</si>
  <si>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</si>
  <si>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</si>
  <si>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</si>
  <si>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</si>
  <si>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</si>
  <si>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</si>
  <si>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</si>
  <si>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</si>
  <si>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</si>
  <si>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</si>
  <si>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</si>
  <si>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</si>
  <si>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</si>
  <si>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</si>
  <si>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</si>
  <si>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</si>
  <si>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</si>
  <si>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</si>
  <si>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</si>
  <si>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</si>
  <si>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</si>
  <si>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</si>
  <si>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</si>
  <si>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</si>
  <si>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</si>
  <si>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</si>
  <si>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</si>
  <si>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</si>
  <si>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</si>
  <si>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</si>
  <si>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</si>
  <si>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</si>
  <si>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</si>
  <si>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</si>
  <si>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</si>
  <si>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</si>
  <si>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</si>
  <si>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</si>
  <si>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</si>
  <si>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</si>
  <si>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</si>
  <si>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</si>
  <si>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</si>
  <si>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</si>
  <si>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</si>
  <si>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</si>
  <si>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</si>
  <si>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</si>
  <si>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</si>
  <si>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</si>
  <si>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</si>
  <si>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</si>
  <si>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</si>
  <si>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</si>
  <si>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</si>
  <si>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</si>
  <si>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</si>
  <si>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</si>
  <si>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</si>
  <si>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</si>
  <si>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</si>
  <si>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</si>
  <si>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</si>
  <si>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</si>
  <si>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</si>
  <si>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</si>
  <si>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</si>
  <si>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</si>
  <si>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</si>
  <si>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</si>
  <si>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</si>
  <si>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</si>
  <si>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</si>
  <si>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</si>
  <si>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</si>
  <si>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</si>
  <si>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56.93</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</si>
  <si>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</si>
  <si>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</si>
  <si>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</si>
  <si>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</si>
  <si>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</si>
  <si>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</si>
  <si>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</si>
  <si>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</si>
  <si>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</si>
  <si>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</si>
  <si>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</si>
  <si>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</si>
  <si>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</si>
  <si>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</si>
  <si>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</si>
  <si>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</si>
  <si>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</si>
  <si>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</si>
  <si>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</si>
  <si>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</si>
  <si>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</si>
  <si>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</si>
  <si>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</si>
  <si>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</si>
  <si>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</si>
  <si>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</si>
  <si>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</si>
  <si>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</si>
  <si>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</si>
  <si>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</si>
  <si>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</si>
  <si>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</si>
  <si>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</si>
  <si>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</si>
  <si>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</si>
  <si>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</si>
  <si>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</si>
  <si>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</si>
  <si>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</si>
  <si>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</si>
  <si>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</si>
  <si>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</si>
  <si>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</si>
  <si>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</si>
  <si>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</si>
  <si>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</si>
  <si>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</si>
  <si>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</si>
  <si>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</si>
  <si>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</si>
  <si>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</si>
  <si>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</si>
  <si>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</si>
  <si>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</si>
  <si>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</si>
  <si>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</si>
  <si>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</si>
  <si>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</si>
  <si>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</si>
  <si>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</si>
  <si>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</si>
  <si>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</si>
  <si>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</si>
  <si>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</si>
  <si>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</si>
  <si>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</si>
  <si>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</si>
  <si>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</si>
  <si>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</si>
  <si>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</si>
  <si>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</si>
  <si>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</si>
  <si>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</si>
  <si>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</si>
  <si>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</si>
  <si>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</si>
  <si>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</si>
  <si>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</si>
  <si>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</si>
  <si>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</si>
  <si>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</si>
  <si>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</si>
  <si>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</si>
  <si>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</si>
  <si>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</si>
  <si>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</si>
  <si>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</si>
  <si>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</si>
  <si>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</si>
  <si>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</si>
  <si>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</si>
  <si>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</si>
  <si>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</si>
  <si>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</si>
  <si>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</si>
  <si>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</si>
  <si>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</si>
  <si>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</si>
  <si>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</si>
  <si>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</si>
  <si>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</si>
  <si>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</si>
  <si>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</si>
  <si>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</si>
  <si>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</si>
  <si>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</si>
  <si>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</si>
  <si>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</si>
  <si>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</si>
  <si>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</si>
  <si>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</si>
  <si>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</si>
  <si>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</si>
  <si>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</si>
  <si>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</si>
  <si>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</si>
  <si>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</si>
  <si>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</si>
  <si>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</si>
  <si>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</si>
  <si>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</si>
  <si>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</si>
  <si>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</si>
  <si>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</si>
  <si>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</si>
  <si>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</si>
  <si>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</si>
  <si>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</si>
  <si>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</si>
  <si>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</si>
  <si>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</si>
  <si>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</si>
  <si>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</si>
  <si>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</si>
  <si>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</si>
  <si>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</si>
  <si>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</si>
  <si>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</si>
  <si>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</si>
  <si>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</si>
  <si>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</si>
  <si>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</si>
  <si>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</si>
  <si>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</si>
  <si>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</si>
  <si>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</si>
  <si>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</si>
  <si>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</si>
  <si>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</si>
  <si>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</si>
  <si>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</si>
  <si>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</si>
  <si>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</si>
  <si>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</si>
  <si>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</si>
  <si>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</si>
  <si>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</si>
  <si>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</si>
  <si>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</si>
  <si>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</si>
  <si>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</si>
  <si>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</si>
  <si>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</si>
  <si>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</si>
  <si>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</si>
  <si>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</si>
  <si>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</si>
  <si>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</si>
  <si>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</si>
  <si>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</si>
  <si>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</si>
  <si>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</si>
  <si>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</si>
  <si>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</si>
  <si>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</si>
  <si>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</si>
  <si>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</si>
  <si>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</si>
  <si>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</si>
  <si>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</si>
  <si>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</si>
  <si>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</si>
  <si>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</si>
  <si>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</si>
  <si>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</si>
  <si>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</si>
  <si>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</si>
  <si>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</si>
  <si>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</si>
  <si>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</si>
  <si>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</si>
  <si>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</si>
  <si>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</si>
  <si>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</si>
  <si>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</si>
  <si>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</si>
  <si>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</si>
  <si>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</si>
  <si>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</si>
  <si>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</si>
  <si>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</si>
  <si>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</si>
  <si>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</si>
  <si>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</si>
  <si>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</si>
  <si>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</si>
  <si>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</si>
  <si>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</si>
  <si>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</si>
  <si>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</si>
  <si>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</si>
  <si>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</si>
  <si>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</si>
  <si>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</si>
  <si>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</si>
  <si>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</si>
  <si>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</si>
  <si>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</si>
  <si>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</si>
  <si>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</si>
  <si>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</si>
  <si>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</si>
  <si>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</si>
  <si>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</si>
  <si>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</si>
  <si>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</si>
  <si>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</si>
  <si>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</si>
  <si>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</si>
  <si>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</si>
  <si>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</si>
  <si>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</si>
  <si>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</si>
  <si>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</si>
  <si>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</si>
  <si>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</si>
  <si>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</si>
  <si>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</si>
  <si>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</si>
  <si>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</si>
  <si>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</si>
  <si>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</si>
  <si>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</si>
  <si>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</si>
  <si>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</si>
  <si>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</si>
  <si>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</si>
  <si>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</si>
  <si>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</si>
  <si>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</si>
  <si>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</si>
  <si>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</si>
  <si>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</si>
  <si>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</si>
  <si>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</si>
  <si>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</si>
  <si>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</si>
  <si>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</si>
  <si>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</si>
  <si>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</si>
  <si>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</si>
  <si>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</si>
  <si>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</si>
  <si>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</si>
  <si>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</si>
  <si>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</si>
  <si>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</si>
  <si>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</si>
  <si>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</si>
  <si>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</si>
  <si>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</si>
  <si>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</si>
  <si>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</si>
  <si>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</si>
  <si>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</si>
  <si>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</si>
  <si>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</si>
  <si>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</si>
  <si>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</si>
  <si>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</si>
  <si>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</si>
  <si>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</si>
  <si>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</si>
  <si>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</si>
  <si>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</si>
  <si>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</si>
  <si>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</si>
  <si>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</si>
  <si>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</si>
  <si>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</si>
  <si>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</si>
  <si>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</si>
  <si>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</si>
  <si>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</si>
  <si>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</si>
  <si>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</si>
  <si>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</si>
  <si>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</si>
  <si>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</si>
  <si>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</si>
  <si>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</si>
  <si>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</si>
  <si>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</si>
  <si>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</si>
  <si>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</si>
  <si>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</si>
  <si>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</si>
  <si>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</si>
  <si>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</si>
  <si>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</si>
  <si>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</si>
  <si>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</si>
  <si>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</si>
  <si>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</si>
  <si>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</si>
  <si>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</si>
  <si>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</si>
  <si>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</si>
  <si>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</si>
  <si>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</si>
  <si>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</si>
  <si>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</si>
  <si>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</si>
  <si>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</si>
  <si>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</si>
  <si>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</si>
  <si>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</si>
  <si>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</si>
  <si>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</si>
  <si>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</si>
  <si>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</si>
  <si>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</si>
  <si>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</si>
  <si>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</si>
  <si>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</si>
  <si>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</si>
  <si>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</si>
  <si>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</si>
  <si>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</si>
  <si>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</si>
  <si>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</si>
  <si>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</si>
  <si>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</si>
  <si>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</si>
  <si>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</si>
  <si>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</si>
  <si>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</si>
  <si>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</si>
  <si>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</si>
  <si>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</si>
  <si>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</si>
  <si>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</si>
  <si>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</si>
  <si>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</si>
  <si>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</si>
  <si>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</si>
  <si>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</si>
  <si>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</si>
  <si>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</si>
  <si>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</si>
  <si>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</si>
  <si>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</si>
  <si>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</si>
  <si>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</si>
  <si>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</si>
  <si>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</si>
  <si>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</si>
  <si>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</si>
  <si>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</si>
  <si>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</si>
  <si>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</si>
  <si>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</si>
  <si>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</si>
  <si>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</si>
  <si>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</si>
  <si>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</si>
  <si>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</si>
  <si>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</si>
  <si>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</si>
  <si>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</si>
  <si>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</si>
  <si>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</si>
  <si>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</si>
  <si>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</si>
  <si>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</si>
  <si>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</si>
  <si>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</si>
  <si>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</si>
  <si>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</si>
  <si>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</si>
  <si>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</si>
  <si>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</si>
  <si>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</si>
  <si>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</si>
  <si>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</si>
  <si>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</si>
  <si>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</si>
  <si>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</si>
  <si>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</si>
  <si>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</si>
  <si>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</si>
  <si>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</si>
  <si>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</si>
  <si>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</si>
  <si>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</si>
  <si>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</si>
  <si>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</si>
  <si>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</si>
  <si>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</si>
  <si>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</si>
  <si>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</si>
  <si>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</si>
  <si>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</si>
  <si>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</si>
  <si>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</si>
  <si>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</si>
  <si>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</si>
  <si>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</si>
  <si>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</si>
  <si>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</si>
  <si>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</si>
  <si>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</si>
  <si>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</si>
  <si>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</si>
  <si>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</si>
  <si>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</si>
  <si>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</si>
  <si>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</si>
  <si>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</si>
  <si>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</si>
  <si>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</si>
  <si>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</si>
  <si>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</si>
  <si>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</si>
  <si>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</si>
  <si>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</si>
  <si>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</si>
  <si>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</si>
  <si>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</si>
  <si>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</si>
  <si>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</si>
  <si>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</si>
  <si>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</si>
  <si>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</si>
  <si>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</si>
  <si>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</si>
  <si>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</si>
  <si>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</si>
  <si>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</si>
  <si>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</si>
  <si>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</si>
  <si>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</si>
  <si>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</si>
  <si>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</si>
  <si>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</si>
  <si>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</si>
  <si>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</si>
  <si>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</si>
  <si>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</si>
  <si>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</si>
  <si>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</si>
  <si>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</si>
  <si>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</si>
  <si>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</si>
  <si>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</si>
  <si>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</si>
  <si>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</si>
  <si>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</si>
  <si>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</si>
  <si>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</si>
  <si>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</si>
  <si>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</si>
  <si>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</si>
  <si>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</si>
  <si>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</si>
  <si>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</si>
  <si>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</si>
  <si>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</si>
  <si>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</si>
  <si>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</si>
  <si>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</si>
  <si>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</si>
  <si>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</si>
  <si>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</si>
  <si>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</si>
  <si>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</si>
  <si>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</si>
  <si>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</si>
  <si>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</si>
  <si>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</si>
  <si>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</si>
  <si>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</si>
  <si>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</si>
  <si>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</si>
  <si>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</si>
  <si>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</si>
  <si>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</si>
  <si>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</si>
  <si>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</si>
  <si>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</si>
  <si>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</si>
  <si>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</si>
  <si>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</si>
  <si>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</si>
  <si>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</si>
  <si>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</si>
  <si>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</si>
  <si>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</si>
  <si>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</si>
  <si>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</si>
  <si>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</si>
  <si>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</si>
  <si>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</si>
  <si>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</si>
  <si>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</si>
  <si>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</si>
  <si>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</si>
  <si>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</si>
  <si>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</si>
  <si>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</si>
  <si>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</si>
  <si>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</si>
  <si>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</si>
  <si>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</si>
  <si>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</si>
  <si>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</si>
  <si>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</si>
  <si>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</si>
  <si>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</si>
  <si>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</si>
  <si>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</si>
  <si>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</si>
  <si>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</si>
  <si>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</si>
  <si>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</si>
  <si>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</si>
  <si>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</si>
  <si>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</si>
  <si>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</si>
  <si>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</si>
  <si>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</si>
  <si>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</si>
  <si>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</si>
  <si>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</si>
  <si>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</si>
  <si>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</si>
  <si>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</si>
  <si>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</si>
  <si>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</si>
  <si>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</si>
  <si>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</si>
  <si>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</si>
  <si>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</si>
  <si>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</si>
  <si>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</si>
  <si>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</si>
  <si>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</si>
  <si>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</si>
  <si>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</si>
  <si>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</si>
  <si>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</si>
  <si>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</si>
  <si>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</si>
  <si>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</si>
  <si>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</si>
  <si>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</si>
  <si>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</si>
  <si>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</si>
  <si>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</si>
  <si>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</si>
  <si>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</si>
  <si>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</si>
  <si>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</si>
  <si>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</si>
  <si>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</si>
  <si>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</si>
  <si>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</si>
  <si>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</si>
  <si>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</si>
  <si>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</si>
  <si>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</si>
  <si>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</si>
  <si>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</si>
  <si>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</si>
  <si>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</si>
  <si>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</si>
  <si>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</si>
  <si>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</si>
  <si>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</si>
  <si>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</si>
  <si>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</si>
  <si>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</si>
  <si>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</si>
  <si>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</si>
  <si>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</si>
  <si>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</si>
  <si>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</si>
  <si>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</si>
  <si>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</si>
  <si>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</si>
  <si>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</si>
  <si>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</si>
  <si>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</si>
  <si>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</si>
  <si>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</si>
  <si>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</si>
  <si>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</si>
  <si>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</si>
  <si>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</si>
  <si>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</si>
  <si>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</si>
  <si>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</si>
  <si>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</si>
  <si>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</si>
  <si>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</si>
  <si>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</si>
  <si>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</si>
  <si>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</si>
  <si>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</si>
  <si>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</si>
  <si>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</si>
  <si>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</si>
  <si>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</si>
  <si>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</si>
  <si>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</si>
  <si>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</si>
  <si>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</si>
  <si>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</si>
  <si>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</si>
  <si>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</si>
  <si>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</si>
  <si>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</si>
  <si>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</si>
  <si>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</si>
  <si>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</si>
  <si>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</si>
  <si>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</si>
  <si>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</si>
  <si>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</si>
  <si>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</si>
  <si>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</si>
  <si>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</si>
  <si>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</si>
  <si>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</si>
  <si>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</si>
  <si>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</si>
  <si>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</si>
  <si>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</si>
  <si>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</si>
  <si>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</si>
  <si>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</si>
  <si>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</si>
  <si>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</si>
  <si>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</si>
  <si>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</si>
  <si>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</si>
  <si>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</si>
  <si>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</si>
  <si>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</si>
  <si>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</si>
  <si>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</si>
  <si>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</si>
  <si>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</si>
  <si>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</si>
  <si>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</si>
  <si>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</si>
  <si>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</si>
  <si>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</si>
  <si>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</si>
  <si>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</si>
  <si>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</si>
  <si>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</si>
  <si>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</si>
  <si>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</si>
  <si>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</si>
  <si>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</si>
  <si>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</si>
  <si>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</si>
  <si>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</si>
  <si>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</si>
  <si>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</si>
  <si>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</si>
  <si>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</si>
  <si>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</si>
  <si>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</si>
  <si>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</si>
  <si>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</si>
  <si>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</si>
  <si>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</si>
  <si>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</si>
  <si>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</si>
  <si>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</si>
  <si>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</si>
  <si>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</si>
  <si>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</si>
  <si>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</si>
  <si>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</si>
  <si>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</si>
  <si>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</si>
  <si>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</si>
  <si>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</si>
  <si>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</si>
  <si>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</si>
  <si>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</si>
  <si>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</si>
  <si>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</si>
  <si>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</si>
  <si>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</si>
  <si>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</si>
  <si>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</si>
  <si>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</si>
  <si>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</si>
  <si>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</si>
  <si>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</si>
  <si>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</si>
  <si>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</si>
  <si>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</si>
  <si>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</si>
  <si>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</si>
  <si>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</si>
  <si>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</si>
  <si>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</si>
  <si>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</si>
  <si>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</si>
  <si>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</si>
  <si>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</si>
  <si>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</si>
  <si>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</si>
  <si>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</si>
  <si>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</si>
  <si>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</si>
  <si>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</si>
  <si>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</si>
  <si>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</si>
  <si>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</si>
  <si>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</si>
  <si>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</si>
  <si>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</si>
  <si>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</si>
  <si>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</si>
  <si>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</si>
  <si>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</si>
  <si>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</si>
  <si>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</si>
  <si>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</si>
  <si>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</si>
  <si>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</si>
  <si>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</si>
  <si>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</si>
  <si>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</si>
  <si>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</si>
  <si>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</si>
  <si>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</si>
  <si>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</si>
  <si>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</si>
  <si>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</si>
  <si>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</si>
  <si>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</si>
  <si>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</si>
  <si>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</si>
  <si>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</si>
  <si>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</si>
  <si>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</si>
  <si>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</si>
  <si>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</si>
  <si>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</si>
  <si>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</si>
  <si>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</si>
  <si>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</si>
  <si>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</si>
  <si>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</si>
  <si>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</si>
  <si>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</si>
  <si>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</si>
  <si>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</si>
  <si>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</si>
  <si>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</si>
  <si>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</si>
  <si>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</si>
  <si>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</si>
  <si>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</si>
  <si>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</si>
  <si>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</si>
  <si>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</si>
  <si>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</si>
  <si>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</si>
  <si>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</si>
  <si>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</si>
  <si>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</si>
  <si>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</si>
  <si>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</si>
  <si>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</si>
  <si>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</si>
  <si>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</si>
  <si>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</si>
  <si>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</si>
  <si>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</si>
  <si>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</si>
  <si>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</si>
  <si>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</si>
  <si>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</si>
  <si>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</si>
  <si>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</si>
  <si>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</si>
  <si>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</si>
  <si>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</si>
  <si>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</si>
  <si>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</si>
  <si>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</si>
  <si>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</si>
  <si>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</si>
  <si>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</si>
  <si>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</si>
  <si>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</si>
  <si>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</si>
  <si>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</si>
  <si>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</si>
  <si>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</si>
  <si>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</si>
  <si>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</si>
  <si>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</si>
  <si>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</si>
  <si>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</si>
  <si>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</si>
  <si>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</si>
  <si>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</si>
  <si>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</si>
  <si>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</si>
  <si>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</si>
  <si>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</si>
  <si>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</si>
  <si>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</si>
  <si>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</si>
  <si>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</si>
  <si>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</si>
  <si>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</si>
  <si>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</si>
  <si>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</si>
  <si>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</si>
  <si>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</si>
  <si>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</si>
  <si>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</si>
  <si>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</si>
  <si>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</si>
  <si>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</si>
  <si>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</si>
  <si>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</si>
  <si>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</si>
  <si>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</si>
  <si>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</si>
  <si>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</si>
  <si>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</si>
  <si>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</si>
  <si>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</si>
  <si>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</si>
  <si>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</si>
  <si>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</si>
  <si>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</si>
  <si>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</si>
  <si>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</si>
  <si>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</si>
  <si>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</si>
  <si>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</si>
  <si>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</si>
  <si>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</si>
  <si>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</si>
  <si>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</si>
  <si>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</si>
  <si>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</si>
  <si>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</si>
  <si>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</si>
  <si>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</si>
  <si>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</si>
  <si>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</si>
  <si>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</si>
  <si>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</si>
  <si>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</si>
  <si>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</si>
  <si>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</si>
  <si>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</si>
  <si>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</si>
  <si>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</si>
  <si>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</si>
  <si>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</si>
  <si>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</si>
  <si>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</si>
  <si>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</si>
  <si>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</si>
  <si>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</si>
  <si>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</si>
  <si>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</si>
  <si>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</si>
  <si>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</si>
  <si>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</si>
  <si>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</si>
  <si>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</si>
  <si>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</si>
  <si>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</si>
  <si>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</si>
  <si>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</si>
  <si>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</si>
  <si>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</si>
  <si>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</si>
  <si>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</si>
  <si>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</si>
  <si>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</si>
  <si>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</si>
  <si>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</si>
  <si>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</si>
  <si>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</si>
  <si>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</si>
  <si>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</si>
  <si>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</si>
  <si>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</si>
  <si>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</si>
  <si>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</si>
  <si>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</si>
  <si>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</si>
  <si>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</si>
  <si>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</si>
  <si>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</si>
  <si>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</si>
  <si>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</si>
  <si>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</si>
  <si>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</si>
  <si>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</si>
  <si>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</si>
  <si>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</si>
  <si>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</si>
  <si>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</si>
  <si>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</si>
  <si>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</si>
  <si>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</si>
  <si>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</si>
  <si>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</si>
  <si>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</si>
  <si>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</si>
  <si>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</si>
  <si>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</si>
  <si>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</si>
  <si>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</si>
  <si>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</si>
  <si>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</si>
  <si>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</si>
  <si>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</si>
  <si>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</si>
  <si>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</si>
  <si>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</si>
  <si>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</si>
  <si>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</si>
  <si>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</si>
  <si>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</si>
  <si>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</si>
  <si>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</si>
  <si>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</si>
  <si>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</si>
  <si>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</si>
  <si>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</si>
  <si>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</si>
  <si>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</si>
  <si>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</si>
  <si>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</si>
  <si>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</si>
  <si>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</si>
  <si>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</si>
  <si>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</si>
  <si>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</si>
  <si>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</si>
  <si>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</si>
  <si>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</si>
  <si>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</si>
  <si>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</si>
  <si>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</si>
  <si>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</si>
  <si>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</si>
  <si>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</si>
  <si>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</si>
  <si>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</si>
  <si>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</si>
  <si>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</si>
  <si>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</si>
  <si>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</si>
  <si>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</si>
  <si>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</si>
  <si>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</si>
  <si>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</si>
  <si>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</si>
  <si>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</si>
  <si>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</si>
  <si>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</si>
  <si>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</si>
  <si>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</si>
  <si>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</si>
  <si>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</si>
  <si>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</si>
  <si>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</si>
  <si>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</si>
  <si>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</si>
  <si>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</si>
  <si>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</si>
  <si>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</si>
  <si>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</si>
  <si>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</si>
  <si>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</si>
  <si>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</si>
  <si>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</si>
  <si>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</si>
  <si>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</si>
  <si>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</si>
  <si>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</si>
  <si>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</si>
  <si>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</si>
  <si>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</si>
  <si>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</si>
  <si>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</si>
  <si>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</si>
  <si>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</si>
  <si>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</si>
  <si>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</si>
  <si>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</si>
  <si>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</si>
  <si>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</si>
  <si>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</si>
  <si>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</si>
  <si>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</si>
  <si>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</si>
  <si>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</si>
  <si>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</si>
  <si>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</si>
  <si>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</si>
  <si>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</si>
  <si>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</si>
  <si>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</si>
  <si>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</si>
  <si>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</si>
  <si>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</si>
  <si>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</si>
  <si>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</si>
  <si>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</si>
  <si>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</si>
  <si>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</si>
  <si>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</si>
  <si>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</si>
  <si>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</si>
  <si>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</si>
  <si>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</si>
  <si>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</si>
  <si>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</si>
  <si>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</si>
  <si>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</si>
  <si>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</si>
  <si>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</si>
  <si>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</si>
  <si>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</si>
  <si>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</si>
  <si>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</si>
  <si>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</si>
  <si>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</si>
  <si>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</si>
  <si>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</si>
  <si>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</si>
  <si>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</si>
  <si>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</si>
  <si>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</si>
  <si>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</si>
  <si>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</si>
  <si>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</si>
  <si>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</si>
  <si>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</si>
  <si>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</si>
  <si>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</si>
  <si>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</si>
  <si>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</si>
  <si>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</si>
  <si>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</si>
  <si>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</si>
  <si>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</si>
  <si>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</si>
  <si>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</si>
  <si>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</si>
  <si>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</si>
  <si>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</si>
  <si>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</si>
  <si>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</si>
  <si>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</si>
  <si>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</si>
  <si>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</si>
  <si>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</si>
  <si>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</si>
  <si>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</si>
  <si>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</si>
  <si>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</si>
  <si>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</si>
  <si>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</si>
  <si>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</si>
  <si>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</si>
  <si>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</si>
  <si>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</si>
  <si>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</si>
  <si>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</si>
  <si>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</si>
  <si>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</si>
  <si>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</si>
  <si>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</si>
  <si>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</si>
  <si>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</si>
  <si>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</si>
  <si>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</si>
  <si>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</si>
  <si>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</si>
  <si>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</si>
  <si>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</si>
  <si>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1:27.93</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</si>
  <si>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</si>
  <si>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</si>
  <si>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</si>
  <si>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</si>
  <si>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</si>
  <si>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</si>
  <si>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</si>
  <si>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</si>
  <si>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</si>
  <si>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</si>
  <si>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</si>
  <si>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</si>
  <si>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</si>
  <si>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</si>
  <si>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</si>
  <si>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</si>
  <si>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</si>
  <si>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</si>
  <si>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</si>
  <si>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</si>
  <si>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</si>
  <si>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</si>
  <si>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</si>
  <si>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</si>
  <si>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</si>
  <si>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</si>
  <si>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</si>
  <si>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</si>
  <si>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</si>
  <si>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</si>
  <si>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</si>
  <si>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</si>
  <si>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</si>
  <si>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</si>
  <si>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</si>
  <si>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</si>
  <si>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</si>
  <si>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</si>
  <si>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</si>
  <si>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</si>
  <si>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</si>
  <si>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</si>
  <si>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</si>
  <si>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</si>
  <si>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</si>
  <si>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</si>
  <si>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</si>
  <si>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</si>
  <si>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</si>
  <si>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</si>
  <si>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</si>
  <si>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</si>
  <si>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</si>
  <si>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1:13.76</t>
  </si>
  <si>
    <t>2:05.36</t>
  </si>
  <si>
    <t>2:47.48</t>
  </si>
  <si>
    <t>1:59.20</t>
  </si>
  <si>
    <t>49.49</t>
  </si>
  <si>
    <t>1:30.74</t>
  </si>
  <si>
    <t>2:25.37</t>
  </si>
  <si>
    <t>1:29.55</t>
  </si>
  <si>
    <t>2:32.97</t>
  </si>
  <si>
    <t>1:00.35</t>
  </si>
  <si>
    <t>1:49.20</t>
  </si>
  <si>
    <t>48.95</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</si>
  <si>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</si>
  <si>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</si>
  <si>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</si>
  <si>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</si>
  <si>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</si>
  <si>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</si>
  <si>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</si>
  <si>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</si>
  <si>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</si>
  <si>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</si>
  <si>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</si>
  <si>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</si>
  <si>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</si>
  <si>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</si>
  <si>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</si>
  <si>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</si>
  <si>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</si>
  <si>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</si>
  <si>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</si>
  <si>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</si>
  <si>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</si>
  <si>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</si>
  <si>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</si>
  <si>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</si>
  <si>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</si>
  <si>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</si>
  <si>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</si>
  <si>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</si>
  <si>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</si>
  <si>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</si>
  <si>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</si>
  <si>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</si>
  <si>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</si>
  <si>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</si>
  <si>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</si>
  <si>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</si>
  <si>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</si>
  <si>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</si>
  <si>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</si>
  <si>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</si>
  <si>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</si>
  <si>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</si>
  <si>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</si>
  <si>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</si>
  <si>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</si>
  <si>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</si>
  <si>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</si>
  <si>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</si>
  <si>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</si>
  <si>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</si>
  <si>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</si>
  <si>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</si>
  <si>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</si>
  <si>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</si>
  <si>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</si>
  <si>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</si>
  <si>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</si>
  <si>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</si>
  <si>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</si>
  <si>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</si>
  <si>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</si>
  <si>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</si>
  <si>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</si>
  <si>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</si>
  <si>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</si>
  <si>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</si>
  <si>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</si>
  <si>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</si>
  <si>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</si>
  <si>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</si>
  <si>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</si>
  <si>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</si>
  <si>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</si>
  <si>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</si>
  <si>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</si>
  <si>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</si>
  <si>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</si>
  <si>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</si>
  <si>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</si>
  <si>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</si>
  <si>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</si>
  <si>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</si>
  <si>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</si>
  <si>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</si>
  <si>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</si>
  <si>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</si>
  <si>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</si>
  <si>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</si>
  <si>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</si>
  <si>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</si>
  <si>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</si>
  <si>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</si>
  <si>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</si>
  <si>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</si>
  <si>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</si>
  <si>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</si>
  <si>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</si>
  <si>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</si>
  <si>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</si>
  <si>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</si>
  <si>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</si>
  <si>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</si>
  <si>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</si>
  <si>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</si>
  <si>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</si>
  <si>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</si>
  <si>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</si>
  <si>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</si>
  <si>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</si>
  <si>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</si>
  <si>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</si>
  <si>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</si>
  <si>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</si>
  <si>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</si>
  <si>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</si>
  <si>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</si>
  <si>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</si>
  <si>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</si>
  <si>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</si>
  <si>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</si>
  <si>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</si>
  <si>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</si>
  <si>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</si>
  <si>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</si>
  <si>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</si>
  <si>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</si>
  <si>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</si>
  <si>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</si>
  <si>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</si>
  <si>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</si>
  <si>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</si>
  <si>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</si>
  <si>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</si>
  <si>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</si>
  <si>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</si>
  <si>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</si>
  <si>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</si>
  <si>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</si>
  <si>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</si>
  <si>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</si>
  <si>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</si>
  <si>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</si>
  <si>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</si>
  <si>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</si>
  <si>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</si>
  <si>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</si>
  <si>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</si>
  <si>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</si>
  <si>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</si>
  <si>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</si>
  <si>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</si>
  <si>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</si>
  <si>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</si>
  <si>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</si>
  <si>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</si>
  <si>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</si>
  <si>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</si>
  <si>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</si>
  <si>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</si>
  <si>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</si>
  <si>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</si>
  <si>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</si>
  <si>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</si>
  <si>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</si>
  <si>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</si>
  <si>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</si>
  <si>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</si>
  <si>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</si>
  <si>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</si>
  <si>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</si>
  <si>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</si>
  <si>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</si>
  <si>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</si>
  <si>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</si>
  <si>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</si>
  <si>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</si>
  <si>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</si>
  <si>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</si>
  <si>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</si>
  <si>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</si>
  <si>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</si>
  <si>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10:29.30</t>
  </si>
  <si>
    <t>1:14.20</t>
  </si>
  <si>
    <t>2:07.96</t>
  </si>
  <si>
    <t>2:55.00</t>
  </si>
  <si>
    <t>2:08.21</t>
  </si>
  <si>
    <t>1:30.21</t>
  </si>
  <si>
    <t>1:18.48</t>
  </si>
  <si>
    <t>1:56.03</t>
  </si>
  <si>
    <t>1:52.63</t>
  </si>
  <si>
    <t>1:37.06</t>
  </si>
  <si>
    <t>1:01.93</t>
  </si>
  <si>
    <t>1:49.00</t>
  </si>
  <si>
    <t>1:31.56</t>
  </si>
  <si>
    <t>1:54.88</t>
  </si>
  <si>
    <t>59.30</t>
  </si>
  <si>
    <t>2:53.27</t>
  </si>
  <si>
    <t>1:25.59</t>
  </si>
  <si>
    <t>1:32.86</t>
  </si>
  <si>
    <t>59.19</t>
  </si>
  <si>
    <t>1:24.56</t>
  </si>
  <si>
    <t>2:12.17</t>
  </si>
  <si>
    <t>1:37.93</t>
  </si>
  <si>
    <t>1:25.78</t>
  </si>
  <si>
    <t>2:50.93</t>
  </si>
  <si>
    <t>1:22:05</t>
  </si>
  <si>
    <t>slow fast hazel</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</si>
  <si>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</si>
  <si>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</si>
  <si>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</si>
  <si>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</si>
  <si>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</si>
  <si>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</si>
  <si>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</si>
  <si>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</si>
  <si>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</si>
  <si>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</si>
  <si>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</si>
  <si>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</si>
  <si>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</si>
  <si>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</si>
  <si>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</si>
  <si>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</si>
  <si>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</si>
  <si>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</si>
  <si>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</si>
  <si>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</si>
  <si>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</si>
  <si>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</si>
  <si>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</si>
  <si>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</si>
  <si>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</si>
  <si>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</si>
  <si>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</si>
  <si>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</si>
  <si>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</si>
  <si>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</si>
  <si>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</si>
  <si>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</si>
  <si>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</si>
  <si>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</si>
  <si>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</si>
  <si>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</si>
  <si>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</si>
  <si>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</si>
  <si>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</si>
  <si>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</si>
  <si>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</si>
  <si>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</si>
  <si>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</si>
  <si>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</si>
  <si>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</si>
  <si>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</si>
  <si>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</si>
  <si>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</si>
  <si>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</si>
  <si>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</si>
  <si>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</si>
  <si>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</si>
  <si>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</si>
  <si>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</si>
  <si>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</si>
  <si>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</si>
  <si>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</si>
  <si>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</si>
  <si>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</si>
  <si>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</si>
  <si>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</si>
  <si>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</si>
  <si>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</si>
  <si>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</si>
  <si>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</si>
  <si>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</si>
  <si>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</si>
  <si>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</si>
  <si>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</si>
  <si>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</si>
  <si>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</si>
  <si>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</si>
  <si>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</si>
  <si>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</si>
  <si>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</si>
  <si>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</si>
  <si>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</si>
  <si>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</si>
  <si>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</si>
  <si>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</si>
  <si>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</si>
  <si>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</si>
  <si>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</si>
  <si>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</si>
  <si>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</si>
  <si>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</si>
  <si>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</si>
  <si>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</si>
  <si>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</si>
  <si>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</si>
  <si>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</si>
  <si>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</si>
  <si>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</si>
  <si>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</si>
  <si>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</si>
  <si>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</si>
  <si>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</si>
  <si>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</si>
  <si>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</si>
  <si>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</si>
  <si>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</si>
  <si>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</si>
  <si>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</si>
  <si>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</si>
  <si>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</si>
  <si>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</si>
  <si>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</si>
  <si>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</si>
  <si>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</si>
  <si>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</si>
  <si>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</si>
  <si>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</si>
  <si>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</si>
  <si>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</si>
  <si>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</si>
  <si>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</si>
  <si>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</si>
  <si>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</si>
  <si>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</si>
  <si>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</si>
  <si>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</si>
  <si>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</si>
  <si>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</si>
  <si>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</si>
  <si>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</si>
  <si>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</si>
  <si>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</si>
  <si>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</si>
  <si>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</si>
  <si>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</si>
  <si>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</si>
  <si>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</si>
  <si>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</si>
  <si>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</si>
  <si>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</si>
  <si>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</si>
  <si>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</si>
  <si>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</si>
  <si>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</si>
  <si>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</si>
  <si>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</si>
  <si>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</si>
  <si>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</si>
  <si>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</si>
  <si>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</si>
  <si>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</si>
  <si>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</si>
  <si>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</si>
  <si>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</si>
  <si>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</si>
  <si>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</si>
  <si>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</si>
  <si>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</si>
  <si>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</si>
  <si>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</si>
  <si>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</si>
  <si>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</si>
  <si>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</si>
  <si>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</si>
  <si>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</si>
  <si>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</si>
  <si>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</si>
  <si>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</si>
  <si>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</si>
  <si>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</si>
  <si>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</si>
  <si>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</si>
  <si>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</si>
  <si>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</si>
  <si>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</si>
  <si>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</si>
  <si>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</si>
  <si>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</si>
  <si>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</si>
  <si>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</si>
  <si>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</si>
  <si>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</si>
  <si>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</si>
  <si>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</si>
  <si>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</si>
  <si>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</si>
  <si>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</si>
  <si>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</si>
  <si>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</si>
  <si>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</si>
  <si>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</si>
  <si>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</si>
  <si>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</si>
  <si>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</si>
  <si>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</si>
  <si>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</si>
  <si>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</si>
  <si>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</si>
  <si>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</si>
  <si>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</si>
  <si>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</si>
  <si>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</si>
  <si>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</si>
  <si>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10:22.69</t>
  </si>
  <si>
    <t>1:23.28</t>
  </si>
  <si>
    <t>1:49.94</t>
  </si>
  <si>
    <t>48.31</t>
  </si>
  <si>
    <t>1:25.96</t>
  </si>
  <si>
    <t>2:09.07</t>
  </si>
  <si>
    <t>59.93</t>
  </si>
  <si>
    <t>1:47.38</t>
  </si>
  <si>
    <t>1:20.94</t>
  </si>
  <si>
    <t>1:52.88</t>
  </si>
  <si>
    <t>2:47.39</t>
  </si>
  <si>
    <t>1:34.52</t>
  </si>
  <si>
    <t>47.08</t>
  </si>
  <si>
    <t>2:38.81</t>
  </si>
  <si>
    <t>10:26.32</t>
  </si>
  <si>
    <t>2:04.74</t>
  </si>
  <si>
    <t>2:47.90</t>
  </si>
  <si>
    <t>1:59.14</t>
  </si>
  <si>
    <t>2:17.91</t>
  </si>
  <si>
    <t>2:04.63</t>
  </si>
  <si>
    <t>1:48.64</t>
  </si>
  <si>
    <t>1:23.71</t>
  </si>
  <si>
    <t>1:53.24</t>
  </si>
  <si>
    <t>1:22.43</t>
  </si>
  <si>
    <t>2:09.50</t>
  </si>
  <si>
    <t>2:39.36</t>
  </si>
  <si>
    <t>1:18:26</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</si>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</sst>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u/>
      <sz val="10.0"/>
      <color rgb="FF000000"/>
      <name val="Inherit"/>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8" numFmtId="49" xfId="0" applyFont="1" applyNumberFormat="1"/>
    <xf borderId="0" fillId="18" fontId="18" numFmtId="49" xfId="0" applyFont="1" applyNumberFormat="1"/>
    <xf borderId="0" fillId="19" fontId="19" numFmtId="49" xfId="0" applyAlignment="1" applyFont="1" applyNumberFormat="1">
      <alignment horizontal="center" readingOrder="0" shrinkToFit="0" vertical="center" wrapText="1"/>
    </xf>
    <xf borderId="0" fillId="19" fontId="18" numFmtId="49" xfId="0" applyFont="1" applyNumberFormat="1"/>
    <xf borderId="0" fillId="20" fontId="18" numFmtId="49" xfId="0" applyFont="1" applyNumberFormat="1"/>
    <xf borderId="0" fillId="22" fontId="18" numFmtId="49" xfId="0" applyFont="1" applyNumberFormat="1"/>
    <xf borderId="0" fillId="23" fontId="487" numFmtId="49" xfId="0" applyAlignment="1" applyFont="1" applyNumberFormat="1">
      <alignment horizontal="center" readingOrder="0" vertical="center"/>
    </xf>
    <xf borderId="0" fillId="23" fontId="18" numFmtId="49" xfId="0" applyFont="1" applyNumberFormat="1"/>
    <xf borderId="0" fillId="24" fontId="17" numFmtId="49" xfId="0" applyAlignment="1" applyFont="1" applyNumberFormat="1">
      <alignment horizontal="center" readingOrder="0" shrinkToFit="0" textRotation="0" vertical="center" wrapText="1"/>
    </xf>
    <xf borderId="0" fillId="24" fontId="18" numFmtId="49" xfId="0" applyFont="1" applyNumberFormat="1"/>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4" fontId="501"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30" fontId="482" numFmtId="49" xfId="0" applyAlignment="1" applyFont="1" applyNumberFormat="1">
      <alignment horizontal="center" readingOrder="0" vertical="center"/>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6" numFmtId="49" xfId="0" applyAlignment="1" applyFont="1" applyNumberFormat="1">
      <alignment horizontal="center" readingOrder="0" shrinkToFit="0" wrapText="1"/>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200"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200"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200"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200"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200"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200"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200"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200"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200"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200"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200"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vuFh5rRxHA" TargetMode="External"/><Relationship Id="rId42" Type="http://schemas.openxmlformats.org/officeDocument/2006/relationships/hyperlink" Target="https://www.youtube.com/watch?v=24VyyY1MAqA" TargetMode="External"/><Relationship Id="rId41" Type="http://schemas.openxmlformats.org/officeDocument/2006/relationships/hyperlink" Target="https://www.youtube.com/watch?v=TOs2y1nhsmY" TargetMode="External"/><Relationship Id="rId44" Type="http://schemas.openxmlformats.org/officeDocument/2006/relationships/vmlDrawing" Target="../drawings/vmlDrawing5.vml"/><Relationship Id="rId43" Type="http://schemas.openxmlformats.org/officeDocument/2006/relationships/drawing" Target="../drawings/drawing6.xml"/><Relationship Id="rId31" Type="http://schemas.openxmlformats.org/officeDocument/2006/relationships/hyperlink" Target="https://youtu.be/eES9hGASt-g" TargetMode="External"/><Relationship Id="rId30" Type="http://schemas.openxmlformats.org/officeDocument/2006/relationships/hyperlink" Target="https://youtu.be/dvKLQgKFYCM" TargetMode="External"/><Relationship Id="rId33" Type="http://schemas.openxmlformats.org/officeDocument/2006/relationships/hyperlink" Target="https://youtu.be/Ys_dz_ayCY8" TargetMode="External"/><Relationship Id="rId32" Type="http://schemas.openxmlformats.org/officeDocument/2006/relationships/hyperlink" Target="https://youtu.be/blV8jWUOv60" TargetMode="External"/><Relationship Id="rId35" Type="http://schemas.openxmlformats.org/officeDocument/2006/relationships/hyperlink" Target="https://youtu.be/zfFvCEAM4r0" TargetMode="External"/><Relationship Id="rId34" Type="http://schemas.openxmlformats.org/officeDocument/2006/relationships/hyperlink" Target="https://youtu.be/YDozPfbut-Q" TargetMode="External"/><Relationship Id="rId37" Type="http://schemas.openxmlformats.org/officeDocument/2006/relationships/hyperlink" Target="https://youtu.be/txmlCrRSxv8" TargetMode="External"/><Relationship Id="rId36" Type="http://schemas.openxmlformats.org/officeDocument/2006/relationships/hyperlink" Target="https://www.youtube.com/watch?v=8Nmgc4YR0x8&amp;ab_channel=SMSArchives" TargetMode="External"/><Relationship Id="rId39" Type="http://schemas.openxmlformats.org/officeDocument/2006/relationships/hyperlink" Target="https://www.youtube.com/watch?v=NmuMzHCy200" TargetMode="External"/><Relationship Id="rId38" Type="http://schemas.openxmlformats.org/officeDocument/2006/relationships/hyperlink" Target="https://youtu.be/nlxXYunRZ2c"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clips.twitch.tv/ShyVibrantSushiDoggo-lUXeFszX6eBm4MM-"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1.xml"/><Relationship Id="rId61" Type="http://schemas.openxmlformats.org/officeDocument/2006/relationships/table" Target="../tables/table40.xml"/><Relationship Id="rId60" Type="http://schemas.openxmlformats.org/officeDocument/2006/relationships/table" Target="../tables/table39.xml"/><Relationship Id="rId55" Type="http://schemas.openxmlformats.org/officeDocument/2006/relationships/table" Target="../tables/table34.xml"/><Relationship Id="rId54" Type="http://schemas.openxmlformats.org/officeDocument/2006/relationships/table" Target="../tables/table33.xml"/><Relationship Id="rId57" Type="http://schemas.openxmlformats.org/officeDocument/2006/relationships/table" Target="../tables/table36.xml"/><Relationship Id="rId56" Type="http://schemas.openxmlformats.org/officeDocument/2006/relationships/table" Target="../tables/table35.xml"/><Relationship Id="rId59" Type="http://schemas.openxmlformats.org/officeDocument/2006/relationships/table" Target="../tables/table38.xml"/><Relationship Id="rId5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clips.twitch.tv/AwkwardLuckyTapirTF2John-DzuFsIjGqHTHkB-6" TargetMode="External"/><Relationship Id="rId83" Type="http://schemas.openxmlformats.org/officeDocument/2006/relationships/hyperlink" Target="https://www.twitch.tv/videos/912125210" TargetMode="External"/><Relationship Id="rId86" Type="http://schemas.openxmlformats.org/officeDocument/2006/relationships/hyperlink" Target="https://clips.twitch.tv/CulturedFrigidBeefFrankerZ-HUBEM7Mel-rDl8pV" TargetMode="External"/><Relationship Id="rId85" Type="http://schemas.openxmlformats.org/officeDocument/2006/relationships/hyperlink" Target="https://youtu.be/mkw0CiTYRbw" TargetMode="External"/><Relationship Id="rId88" Type="http://schemas.openxmlformats.org/officeDocument/2006/relationships/hyperlink" Target="https://youtu.be/8_bvt6heBzg?t=1927" TargetMode="External"/><Relationship Id="rId87" Type="http://schemas.openxmlformats.org/officeDocument/2006/relationships/hyperlink" Target="https://youtu.be/0fiQ_aSM0wg" TargetMode="External"/><Relationship Id="rId89" Type="http://schemas.openxmlformats.org/officeDocument/2006/relationships/hyperlink" Target="https://youtu.be/21UvDyoXDtM?t=12547" TargetMode="External"/><Relationship Id="rId80" Type="http://schemas.openxmlformats.org/officeDocument/2006/relationships/hyperlink" Target="https://www.twitch.tv/videos/2071937833?t=00h22m39s" TargetMode="External"/><Relationship Id="rId82" Type="http://schemas.openxmlformats.org/officeDocument/2006/relationships/hyperlink" Target="https://www.twitch.tv/videos/2133355260" TargetMode="External"/><Relationship Id="rId81" Type="http://schemas.openxmlformats.org/officeDocument/2006/relationships/hyperlink" Target="https://www.twitch.tv/videos/2133351951"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youtu.be/A0YUGkD8OG8?t=9908" TargetMode="External"/><Relationship Id="rId94" Type="http://schemas.openxmlformats.org/officeDocument/2006/relationships/hyperlink" Target="https://youtu.be/9To5KyzYhWU?t=2163" TargetMode="External"/><Relationship Id="rId97" Type="http://schemas.openxmlformats.org/officeDocument/2006/relationships/hyperlink" Target="https://youtu.be/kBtjIB1EgtE?t=8607" TargetMode="External"/><Relationship Id="rId96" Type="http://schemas.openxmlformats.org/officeDocument/2006/relationships/hyperlink" Target="https://youtu.be/JsJs4IM489I?t=3951" TargetMode="External"/><Relationship Id="rId99" Type="http://schemas.openxmlformats.org/officeDocument/2006/relationships/hyperlink" Target="https://youtu.be/YZcI7Fq6wB0?t=2070" TargetMode="External"/><Relationship Id="rId98" Type="http://schemas.openxmlformats.org/officeDocument/2006/relationships/hyperlink" Target="https://youtu.be/ZuFWBKyky7w?t=2362" TargetMode="External"/><Relationship Id="rId91" Type="http://schemas.openxmlformats.org/officeDocument/2006/relationships/hyperlink" Target="https://youtu.be/nRWXrjW-QUI?t=3106" TargetMode="External"/><Relationship Id="rId90" Type="http://schemas.openxmlformats.org/officeDocument/2006/relationships/hyperlink" Target="https://youtu.be/sbUYpsEl3ho?t=10866" TargetMode="External"/><Relationship Id="rId93" Type="http://schemas.openxmlformats.org/officeDocument/2006/relationships/hyperlink" Target="https://youtu.be/kBtjIB1EgtE?t=6177" TargetMode="External"/><Relationship Id="rId92" Type="http://schemas.openxmlformats.org/officeDocument/2006/relationships/hyperlink" Target="https://youtu.be/guqE6JqA2eY?t=1433"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drawing" Target="../drawings/drawing7.xm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u7MF6kjqbA" TargetMode="External"/><Relationship Id="rId131" Type="http://schemas.openxmlformats.org/officeDocument/2006/relationships/hyperlink" Target="https://youtu.be/dQ7VhFGoKII?t=2927" TargetMode="External"/><Relationship Id="rId130" Type="http://schemas.openxmlformats.org/officeDocument/2006/relationships/hyperlink" Target="https://youtu.be/21UvDyoXDtM?t=16936"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youtu.be/CEL7xt6r-fI" TargetMode="External"/><Relationship Id="rId134" Type="http://schemas.openxmlformats.org/officeDocument/2006/relationships/hyperlink" Target="https://youtu.be/DIoSLIL-Lqs" TargetMode="External"/><Relationship Id="rId133" Type="http://schemas.openxmlformats.org/officeDocument/2006/relationships/hyperlink" Target="https://www.youtube.com/watch?v=oRen7GNVatA"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8hhI8RDE8jM?t=4687" TargetMode="External"/><Relationship Id="rId106" Type="http://schemas.openxmlformats.org/officeDocument/2006/relationships/hyperlink" Target="https://youtu.be/vceSIdnP3Ww?t=2655" TargetMode="External"/><Relationship Id="rId105" Type="http://schemas.openxmlformats.org/officeDocument/2006/relationships/hyperlink" Target="https://youtu.be/nRWXrjW-QUI?t=7365" TargetMode="External"/><Relationship Id="rId104" Type="http://schemas.openxmlformats.org/officeDocument/2006/relationships/hyperlink" Target="https://youtu.be/-MNIyH2cuWg?t=2575" TargetMode="External"/><Relationship Id="rId109" Type="http://schemas.openxmlformats.org/officeDocument/2006/relationships/hyperlink" Target="https://youtu.be/2shC0_kRhe0?t=6577" TargetMode="External"/><Relationship Id="rId108" Type="http://schemas.openxmlformats.org/officeDocument/2006/relationships/hyperlink" Target="https://youtu.be/A0YUGkD8OG8?t=5929" TargetMode="External"/><Relationship Id="rId103" Type="http://schemas.openxmlformats.org/officeDocument/2006/relationships/hyperlink" Target="https://youtu.be/-j0LD57ZyB4?t=7447" TargetMode="External"/><Relationship Id="rId102" Type="http://schemas.openxmlformats.org/officeDocument/2006/relationships/hyperlink" Target="https://youtu.be/meI_m2oa7tw?t=2645" TargetMode="External"/><Relationship Id="rId101" Type="http://schemas.openxmlformats.org/officeDocument/2006/relationships/hyperlink" Target="https://youtu.be/9BhZn3SirkA?t=2922" TargetMode="External"/><Relationship Id="rId100" Type="http://schemas.openxmlformats.org/officeDocument/2006/relationships/hyperlink" Target="https://youtu.be/-MNIyH2cuWg?t=2188" TargetMode="External"/><Relationship Id="rId129" Type="http://schemas.openxmlformats.org/officeDocument/2006/relationships/hyperlink" Target="https://youtu.be/c7ECwqGu2Zs?t=5365" TargetMode="External"/><Relationship Id="rId128" Type="http://schemas.openxmlformats.org/officeDocument/2006/relationships/hyperlink" Target="https://youtu.be/Xhn_AOrRoQA?t=15731" TargetMode="External"/><Relationship Id="rId127" Type="http://schemas.openxmlformats.org/officeDocument/2006/relationships/hyperlink" Target="https://youtu.be/8hhI8RDE8jM?t=4423" TargetMode="External"/><Relationship Id="rId126" Type="http://schemas.openxmlformats.org/officeDocument/2006/relationships/hyperlink" Target="https://youtu.be/knYe9ZLyAsk?t=8764" TargetMode="External"/><Relationship Id="rId121" Type="http://schemas.openxmlformats.org/officeDocument/2006/relationships/hyperlink" Target="https://youtu.be/zY3HbRD_vZw?t=3657" TargetMode="External"/><Relationship Id="rId120" Type="http://schemas.openxmlformats.org/officeDocument/2006/relationships/hyperlink" Target="https://youtu.be/vceSIdnP3Ww?t=3381" TargetMode="External"/><Relationship Id="rId125" Type="http://schemas.openxmlformats.org/officeDocument/2006/relationships/hyperlink" Target="https://youtu.be/sbUYpsEl3ho?t=14256" TargetMode="External"/><Relationship Id="rId124" Type="http://schemas.openxmlformats.org/officeDocument/2006/relationships/hyperlink" Target="https://youtu.be/g55vxDDYaYw?t=12056" TargetMode="External"/><Relationship Id="rId123" Type="http://schemas.openxmlformats.org/officeDocument/2006/relationships/hyperlink" Target="https://youtu.be/sbUYpsEl3ho?t=14100" TargetMode="External"/><Relationship Id="rId122" Type="http://schemas.openxmlformats.org/officeDocument/2006/relationships/hyperlink" Target="https://youtu.be/9d4wWOmNHs4?t=3643" TargetMode="External"/><Relationship Id="rId118" Type="http://schemas.openxmlformats.org/officeDocument/2006/relationships/hyperlink" Target="https://youtu.be/sbUYpsEl3ho?t=13580" TargetMode="External"/><Relationship Id="rId117" Type="http://schemas.openxmlformats.org/officeDocument/2006/relationships/hyperlink" Target="https://youtu.be/9d4wWOmNHs4?t=3092" TargetMode="External"/><Relationship Id="rId116" Type="http://schemas.openxmlformats.org/officeDocument/2006/relationships/hyperlink" Target="https://youtu.be/nRWXrjW-QUI?t=7752" TargetMode="External"/><Relationship Id="rId115" Type="http://schemas.openxmlformats.org/officeDocument/2006/relationships/hyperlink" Target="https://youtu.be/-j0LD57ZyB4?t=8063" TargetMode="External"/><Relationship Id="rId119" Type="http://schemas.openxmlformats.org/officeDocument/2006/relationships/hyperlink" Target="https://youtu.be/A0YUGkD8OG8?t=11715" TargetMode="External"/><Relationship Id="rId110" Type="http://schemas.openxmlformats.org/officeDocument/2006/relationships/hyperlink" Target="https://youtu.be/9d4wWOmNHs4?t=4706" TargetMode="External"/><Relationship Id="rId114" Type="http://schemas.openxmlformats.org/officeDocument/2006/relationships/hyperlink" Target="https://youtu.be/vceSIdnP3Ww?t=2717" TargetMode="External"/><Relationship Id="rId113" Type="http://schemas.openxmlformats.org/officeDocument/2006/relationships/hyperlink" Target="https://youtu.be/-j0LD57ZyB4?t=10326" TargetMode="External"/><Relationship Id="rId112" Type="http://schemas.openxmlformats.org/officeDocument/2006/relationships/hyperlink" Target="https://youtu.be/Xhn_AOrRoQA?t=9828" TargetMode="External"/><Relationship Id="rId111" Type="http://schemas.openxmlformats.org/officeDocument/2006/relationships/hyperlink" Target="https://youtu.be/guqE6JqA2eY?t=12415"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03" t="s">
        <v>5692</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19" t="s">
        <v>6324</v>
      </c>
      <c r="B9" s="720" t="s">
        <v>6310</v>
      </c>
      <c r="C9" s="721"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6329</v>
      </c>
      <c r="B10" s="720" t="s">
        <v>6312</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6330</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6321</v>
      </c>
      <c r="C11" s="721" t="s">
        <v>6331</v>
      </c>
      <c r="D11" s="703" t="s">
        <v>1237</v>
      </c>
      <c r="E11" s="704"/>
      <c r="F11" s="705" t="s">
        <v>6331</v>
      </c>
      <c r="G11" s="723"/>
      <c r="H11" s="704"/>
      <c r="I11" s="705" t="s">
        <v>2063</v>
      </c>
      <c r="J11" s="704"/>
      <c r="K11" s="704"/>
      <c r="L11" s="723"/>
      <c r="M11" s="723"/>
      <c r="N11" s="723"/>
      <c r="O11" s="704"/>
      <c r="P11" s="723"/>
      <c r="Q11" s="723"/>
      <c r="R11" s="704"/>
      <c r="S11" s="723"/>
      <c r="T11" s="704"/>
      <c r="U11" s="704"/>
      <c r="V11" s="705" t="s">
        <v>6332</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1" t="s">
        <v>3020</v>
      </c>
      <c r="D12" s="705" t="s">
        <v>3020</v>
      </c>
      <c r="E12" s="704" t="s">
        <v>4410</v>
      </c>
      <c r="F12" s="726"/>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6324</v>
      </c>
      <c r="B14" s="728" t="s">
        <v>6334</v>
      </c>
      <c r="C14" s="721" t="s">
        <v>5948</v>
      </c>
      <c r="D14" s="705" t="s">
        <v>5948</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6339</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6329</v>
      </c>
      <c r="B16" s="733" t="s">
        <v>6344</v>
      </c>
      <c r="C16" s="734"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6347</v>
      </c>
      <c r="C17" s="722" t="s">
        <v>6348</v>
      </c>
      <c r="D17" s="703" t="s">
        <v>1163</v>
      </c>
      <c r="E17" s="735"/>
      <c r="F17" s="705" t="s">
        <v>1839</v>
      </c>
      <c r="G17" s="704" t="s">
        <v>6349</v>
      </c>
      <c r="H17" s="704" t="s">
        <v>6350</v>
      </c>
      <c r="I17" s="705" t="s">
        <v>2204</v>
      </c>
      <c r="J17" s="704"/>
      <c r="K17" s="707" t="s">
        <v>6351</v>
      </c>
      <c r="L17" s="705" t="s">
        <v>6349</v>
      </c>
      <c r="M17" s="707" t="s">
        <v>6345</v>
      </c>
      <c r="N17" s="704"/>
      <c r="O17" s="704"/>
      <c r="P17" s="707" t="s">
        <v>6352</v>
      </c>
      <c r="Q17" s="735"/>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6353</v>
      </c>
      <c r="B18" s="720" t="s">
        <v>6354</v>
      </c>
      <c r="C18" s="721"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1" t="s">
        <v>1696</v>
      </c>
      <c r="D19" s="705" t="s">
        <v>1103</v>
      </c>
      <c r="E19" s="705" t="s">
        <v>6358</v>
      </c>
      <c r="F19" s="704"/>
      <c r="G19" s="736"/>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6360</v>
      </c>
      <c r="C20" s="702" t="s">
        <v>3056</v>
      </c>
      <c r="D20" s="705" t="s">
        <v>965</v>
      </c>
      <c r="E20" s="704"/>
      <c r="F20" s="704"/>
      <c r="G20" s="704"/>
      <c r="H20" s="704"/>
      <c r="I20" s="704"/>
      <c r="J20" s="704"/>
      <c r="K20" s="704"/>
      <c r="L20" s="704"/>
      <c r="M20" s="704"/>
      <c r="N20" s="704"/>
      <c r="O20" s="703" t="s">
        <v>6361</v>
      </c>
      <c r="P20" s="738"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6364</v>
      </c>
      <c r="C21" s="721" t="s">
        <v>6365</v>
      </c>
      <c r="D21" s="705" t="s">
        <v>6365</v>
      </c>
      <c r="E21" s="705" t="s">
        <v>583</v>
      </c>
      <c r="F21" s="708" t="s">
        <v>990</v>
      </c>
      <c r="G21" s="703" t="s">
        <v>619</v>
      </c>
      <c r="H21" s="703" t="s">
        <v>2396</v>
      </c>
      <c r="I21" s="739"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6369</v>
      </c>
      <c r="C23" s="721" t="s">
        <v>6370</v>
      </c>
      <c r="D23" s="705" t="s">
        <v>3721</v>
      </c>
      <c r="E23" s="704"/>
      <c r="F23" s="704"/>
      <c r="G23" s="742" t="s">
        <v>781</v>
      </c>
      <c r="H23" s="707" t="s">
        <v>6371</v>
      </c>
      <c r="I23" s="741"/>
      <c r="J23" s="704"/>
      <c r="K23" s="704"/>
      <c r="L23" s="741"/>
      <c r="M23" s="741"/>
      <c r="N23" s="741"/>
      <c r="O23" s="704"/>
      <c r="P23" s="741" t="s">
        <v>6372</v>
      </c>
      <c r="Q23" s="741"/>
      <c r="R23" s="704"/>
      <c r="S23" s="741"/>
      <c r="T23" s="704"/>
      <c r="U23" s="704"/>
      <c r="V23" s="706" t="s">
        <v>6373</v>
      </c>
      <c r="W23" s="741"/>
      <c r="X23" s="711"/>
      <c r="Y23" s="706" t="s">
        <v>6370</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6378</v>
      </c>
      <c r="C25" s="721"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6380</v>
      </c>
      <c r="C26" s="721"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6382</v>
      </c>
      <c r="C27" s="746"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6324</v>
      </c>
      <c r="B28" s="720" t="s">
        <v>6389</v>
      </c>
      <c r="C28" s="721"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5"/>
      <c r="B29" s="727" t="s">
        <v>6391</v>
      </c>
      <c r="C29" s="721"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6393</v>
      </c>
      <c r="C30" s="722"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6395</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6396</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6397</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6398</v>
      </c>
      <c r="C34" s="722"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6400</v>
      </c>
      <c r="C35" s="734"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6402</v>
      </c>
      <c r="C36" s="722" t="s">
        <v>2263</v>
      </c>
      <c r="D36" s="705" t="s">
        <v>3024</v>
      </c>
      <c r="E36" s="705" t="s">
        <v>6401</v>
      </c>
      <c r="F36" s="749"/>
      <c r="G36" s="704"/>
      <c r="H36" s="704"/>
      <c r="I36" s="704"/>
      <c r="J36" s="704" t="s">
        <v>6403</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6404</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6329</v>
      </c>
      <c r="B38" s="720"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6408</v>
      </c>
      <c r="C39" s="746" t="s">
        <v>2487</v>
      </c>
      <c r="D39" s="705" t="s">
        <v>3363</v>
      </c>
      <c r="E39" s="704"/>
      <c r="F39" s="704"/>
      <c r="G39" s="704"/>
      <c r="H39" s="725"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6353</v>
      </c>
      <c r="B40" s="720" t="s">
        <v>6354</v>
      </c>
      <c r="C40" s="746"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1" t="s">
        <v>997</v>
      </c>
      <c r="D44" s="705" t="s">
        <v>6416</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6417</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5" t="s">
        <v>187</v>
      </c>
      <c r="E49" s="705" t="s">
        <v>749</v>
      </c>
      <c r="F49" s="762"/>
      <c r="G49" s="703" t="s">
        <v>833</v>
      </c>
      <c r="H49" s="762"/>
      <c r="I49" s="705" t="s">
        <v>1867</v>
      </c>
      <c r="J49" s="762" t="s">
        <v>5978</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7" t="s">
        <v>347</v>
      </c>
      <c r="E52" s="762"/>
      <c r="F52" s="772" t="s">
        <v>6427</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6329</v>
      </c>
      <c r="B53" s="774" t="s">
        <v>6421</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7" t="s">
        <v>6428</v>
      </c>
      <c r="E54" s="762"/>
      <c r="F54" s="762"/>
      <c r="G54" s="762"/>
      <c r="H54" s="707" t="s">
        <v>462</v>
      </c>
      <c r="I54" s="762"/>
      <c r="J54" s="762"/>
      <c r="K54" s="764" t="s">
        <v>6429</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6424</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7" t="s">
        <v>135</v>
      </c>
      <c r="E56" s="762"/>
      <c r="F56" s="705" t="s">
        <v>3651</v>
      </c>
      <c r="G56" s="762"/>
      <c r="H56" s="705" t="s">
        <v>614</v>
      </c>
      <c r="I56" s="705" t="s">
        <v>6430</v>
      </c>
      <c r="J56" s="762"/>
      <c r="K56" s="729" t="s">
        <v>6431</v>
      </c>
      <c r="L56" s="762"/>
      <c r="M56" s="762"/>
      <c r="N56" s="764"/>
      <c r="O56" s="762"/>
      <c r="P56" s="775" t="s">
        <v>6362</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6324</v>
      </c>
      <c r="B57" s="777" t="s">
        <v>6310</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6311</v>
      </c>
      <c r="B58" s="760" t="s">
        <v>6310</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6434</v>
      </c>
      <c r="AU59" s="762"/>
      <c r="AV59" s="762"/>
      <c r="AW59" s="762"/>
      <c r="AX59" s="762"/>
      <c r="AY59" s="762"/>
      <c r="AZ59" s="762"/>
      <c r="BA59" s="716"/>
      <c r="BB59" s="716"/>
      <c r="BC59" s="716"/>
      <c r="BD59" s="762"/>
      <c r="BE59" s="762"/>
      <c r="BF59" s="762"/>
      <c r="BG59" s="762"/>
      <c r="BH59" s="716"/>
      <c r="BI59" s="716"/>
      <c r="BJ59" s="716"/>
    </row>
    <row r="60" ht="15.75" customHeight="1">
      <c r="A60" s="786"/>
      <c r="B60" s="768" t="s">
        <v>6435</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6329</v>
      </c>
      <c r="B61" s="783" t="s">
        <v>6433</v>
      </c>
      <c r="C61" s="722" t="s">
        <v>6057</v>
      </c>
      <c r="D61" s="704"/>
      <c r="E61" s="704"/>
      <c r="F61" s="712"/>
      <c r="G61" s="712"/>
      <c r="H61" s="712"/>
      <c r="I61" s="704"/>
      <c r="J61" s="712"/>
      <c r="K61" s="712"/>
      <c r="L61" s="703" t="s">
        <v>6057</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6435</v>
      </c>
      <c r="C62" s="784" t="s">
        <v>2275</v>
      </c>
      <c r="D62" s="705" t="s">
        <v>4214</v>
      </c>
      <c r="E62" s="705" t="s">
        <v>4214</v>
      </c>
      <c r="F62" s="762"/>
      <c r="G62" s="762"/>
      <c r="H62" s="705" t="s">
        <v>566</v>
      </c>
      <c r="I62" s="726"/>
      <c r="J62" s="762"/>
      <c r="K62" s="762"/>
      <c r="L62" s="750" t="s">
        <v>6436</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6439</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29" t="s">
        <v>834</v>
      </c>
      <c r="E65" s="705" t="s">
        <v>5654</v>
      </c>
      <c r="F65" s="705" t="s">
        <v>6441</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6442</v>
      </c>
      <c r="B66" s="760" t="s">
        <v>6443</v>
      </c>
      <c r="C66" s="721" t="s">
        <v>2142</v>
      </c>
      <c r="D66" s="705" t="s">
        <v>2142</v>
      </c>
      <c r="E66" s="762"/>
      <c r="F66" s="762"/>
      <c r="G66" s="762"/>
      <c r="H66" s="762"/>
      <c r="I66" s="705" t="s">
        <v>6219</v>
      </c>
      <c r="J66" s="762" t="s">
        <v>6444</v>
      </c>
      <c r="K66" s="762"/>
      <c r="L66" s="762"/>
      <c r="M66" s="762"/>
      <c r="N66" s="764" t="s">
        <v>6445</v>
      </c>
      <c r="O66" s="705"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6448</v>
      </c>
      <c r="P67" s="762" t="s">
        <v>6449</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6324</v>
      </c>
      <c r="B68" s="774" t="s">
        <v>6450</v>
      </c>
      <c r="C68" s="746" t="s">
        <v>5874</v>
      </c>
      <c r="D68" s="705" t="s">
        <v>752</v>
      </c>
      <c r="E68" s="705" t="s">
        <v>752</v>
      </c>
      <c r="F68" s="705" t="s">
        <v>1000</v>
      </c>
      <c r="G68" s="707" t="s">
        <v>118</v>
      </c>
      <c r="H68" s="788" t="s">
        <v>5874</v>
      </c>
      <c r="I68" s="705" t="s">
        <v>1270</v>
      </c>
      <c r="J68" s="710" t="str">
        <f>HYPERLINK("https://www.youtube.com/watch?v=Imyo7x5mfG4&amp;feature=youtu.be","30.15")</f>
        <v>30.15</v>
      </c>
      <c r="K68" s="729" t="s">
        <v>4258</v>
      </c>
      <c r="L68" s="708" t="s">
        <v>1561</v>
      </c>
      <c r="M68" s="762"/>
      <c r="N68" s="762" t="s">
        <v>118</v>
      </c>
      <c r="O68" s="705" t="s">
        <v>1814</v>
      </c>
      <c r="P68" s="729" t="s">
        <v>6451</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6453</v>
      </c>
      <c r="C70" s="702" t="s">
        <v>2718</v>
      </c>
      <c r="D70" s="705" t="s">
        <v>2317</v>
      </c>
      <c r="E70" s="764" t="s">
        <v>6454</v>
      </c>
      <c r="F70" s="762"/>
      <c r="G70" s="764"/>
      <c r="H70" s="729"/>
      <c r="I70" s="705" t="s">
        <v>6455</v>
      </c>
      <c r="J70" s="762"/>
      <c r="K70" s="729" t="s">
        <v>6456</v>
      </c>
      <c r="L70" s="762"/>
      <c r="M70" s="762"/>
      <c r="N70" s="769"/>
      <c r="O70" s="762"/>
      <c r="P70" s="762"/>
      <c r="Q70" s="705" t="s">
        <v>3635</v>
      </c>
      <c r="R70" s="729" t="s">
        <v>6456</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6353</v>
      </c>
      <c r="B72" s="774" t="s">
        <v>6354</v>
      </c>
      <c r="C72" s="721" t="s">
        <v>6458</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2201</v>
      </c>
      <c r="D73" s="705" t="s">
        <v>2201</v>
      </c>
      <c r="E73" s="762"/>
      <c r="F73" s="762"/>
      <c r="G73" s="792"/>
      <c r="H73" s="762"/>
      <c r="I73" s="705"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6461</v>
      </c>
      <c r="C74" s="721" t="s">
        <v>2606</v>
      </c>
      <c r="D74" s="705" t="s">
        <v>2606</v>
      </c>
      <c r="E74" s="762"/>
      <c r="F74" s="762"/>
      <c r="G74" s="707" t="s">
        <v>5048</v>
      </c>
      <c r="H74" s="762"/>
      <c r="I74" s="762"/>
      <c r="J74" s="762"/>
      <c r="K74" s="729" t="s">
        <v>3410</v>
      </c>
      <c r="L74" s="762"/>
      <c r="M74" s="762"/>
      <c r="N74" s="710" t="str">
        <f>HYPERLINK("https://youtu.be/HUwmtKe7cOY","56.54")</f>
        <v>56.54</v>
      </c>
      <c r="O74" s="705" t="s">
        <v>6462</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6465</v>
      </c>
      <c r="B76" s="760" t="s">
        <v>6466</v>
      </c>
      <c r="C76" s="746" t="s">
        <v>3194</v>
      </c>
      <c r="D76" s="705" t="s">
        <v>6467</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6469</v>
      </c>
      <c r="AY77" s="762"/>
      <c r="AZ77" s="762"/>
      <c r="BA77" s="716"/>
      <c r="BB77" s="716"/>
      <c r="BC77" s="716"/>
      <c r="BD77" s="762"/>
      <c r="BE77" s="762"/>
      <c r="BF77" s="762"/>
      <c r="BG77" s="762"/>
      <c r="BH77" s="716"/>
      <c r="BI77" s="716"/>
      <c r="BJ77" s="716"/>
    </row>
    <row r="78" ht="15.75" customHeight="1">
      <c r="A78" s="767"/>
      <c r="B78" s="768" t="s">
        <v>6470</v>
      </c>
      <c r="C78" s="721" t="s">
        <v>1756</v>
      </c>
      <c r="D78" s="707" t="s">
        <v>6471</v>
      </c>
      <c r="E78" s="705" t="s">
        <v>755</v>
      </c>
      <c r="F78" s="705" t="s">
        <v>660</v>
      </c>
      <c r="G78" s="707" t="s">
        <v>755</v>
      </c>
      <c r="H78" s="705" t="s">
        <v>1143</v>
      </c>
      <c r="I78" s="705" t="s">
        <v>1273</v>
      </c>
      <c r="J78" s="762" t="s">
        <v>2935</v>
      </c>
      <c r="K78" s="729" t="s">
        <v>6472</v>
      </c>
      <c r="L78" s="762"/>
      <c r="M78" s="762"/>
      <c r="N78" s="705" t="s">
        <v>1756</v>
      </c>
      <c r="O78" s="705"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4" t="s">
        <v>6475</v>
      </c>
      <c r="B79" s="795" t="s">
        <v>6310</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6477</v>
      </c>
      <c r="B80" s="795" t="s">
        <v>6310</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6478</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6481</v>
      </c>
      <c r="C84" s="734" t="s">
        <v>1144</v>
      </c>
      <c r="D84" s="703" t="s">
        <v>355</v>
      </c>
      <c r="E84" s="705" t="s">
        <v>5810</v>
      </c>
      <c r="F84" s="705" t="s">
        <v>837</v>
      </c>
      <c r="G84" s="729" t="s">
        <v>837</v>
      </c>
      <c r="H84" s="705" t="s">
        <v>1144</v>
      </c>
      <c r="I84" s="706" t="s">
        <v>122</v>
      </c>
      <c r="J84" s="762"/>
      <c r="K84" s="729" t="s">
        <v>837</v>
      </c>
      <c r="L84" s="708" t="s">
        <v>6482</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6418</v>
      </c>
      <c r="B86" s="760" t="s">
        <v>6485</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6310</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1"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1"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1"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1"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1"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1" t="s">
        <v>6509</v>
      </c>
      <c r="D106" s="805" t="s">
        <v>6509</v>
      </c>
      <c r="E106" s="805" t="s">
        <v>766</v>
      </c>
      <c r="F106" s="805" t="s">
        <v>4580</v>
      </c>
      <c r="G106" s="806"/>
      <c r="H106" s="806"/>
      <c r="I106" s="806"/>
      <c r="J106" s="819" t="s">
        <v>256</v>
      </c>
      <c r="K106" s="809" t="s">
        <v>5858</v>
      </c>
      <c r="L106" s="763"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1"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1"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6"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1"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1"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1"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1"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6"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1"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1"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1"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1"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1"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1"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1"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1"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1"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1" t="s">
        <v>6606</v>
      </c>
      <c r="D158" s="705" t="s">
        <v>6607</v>
      </c>
      <c r="E158" s="705" t="s">
        <v>6608</v>
      </c>
      <c r="F158" s="762"/>
      <c r="G158" s="707" t="s">
        <v>6608</v>
      </c>
      <c r="H158" s="729" t="s">
        <v>6607</v>
      </c>
      <c r="I158" s="705" t="s">
        <v>6609</v>
      </c>
      <c r="J158" s="762"/>
      <c r="K158" s="707" t="s">
        <v>6607</v>
      </c>
      <c r="L158" s="703" t="s">
        <v>6610</v>
      </c>
      <c r="M158" s="762"/>
      <c r="N158" s="764"/>
      <c r="O158" s="705" t="s">
        <v>6611</v>
      </c>
      <c r="P158" s="762"/>
      <c r="Q158" s="705" t="s">
        <v>6612</v>
      </c>
      <c r="R158" s="762"/>
      <c r="S158" s="762"/>
      <c r="T158" s="762"/>
      <c r="U158" s="762"/>
      <c r="V158" s="762"/>
      <c r="W158" s="705" t="s">
        <v>6587</v>
      </c>
      <c r="X158" s="762"/>
      <c r="Y158" s="705" t="s">
        <v>6606</v>
      </c>
      <c r="Z158" s="762"/>
      <c r="AA158" s="762"/>
      <c r="AB158" s="762"/>
      <c r="AC158" s="762"/>
      <c r="AD158" s="729" t="s">
        <v>6609</v>
      </c>
      <c r="AE158" s="729" t="s">
        <v>6611</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6613</v>
      </c>
      <c r="C159" s="746" t="s">
        <v>6614</v>
      </c>
      <c r="D159" s="705" t="s">
        <v>6610</v>
      </c>
      <c r="E159" s="762"/>
      <c r="F159" s="762"/>
      <c r="G159" s="762"/>
      <c r="H159" s="788" t="s">
        <v>6614</v>
      </c>
      <c r="I159" s="707"/>
      <c r="J159" s="762"/>
      <c r="K159" s="707" t="s">
        <v>6615</v>
      </c>
      <c r="L159" s="762"/>
      <c r="M159" s="707" t="s">
        <v>6610</v>
      </c>
      <c r="N159" s="764"/>
      <c r="O159" s="762"/>
      <c r="P159" s="762"/>
      <c r="Q159" s="762"/>
      <c r="R159" s="762"/>
      <c r="S159" s="705"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6616</v>
      </c>
      <c r="B160" s="861" t="s">
        <v>6310</v>
      </c>
      <c r="C160" s="721" t="s">
        <v>1981</v>
      </c>
      <c r="D160" s="705" t="s">
        <v>6617</v>
      </c>
      <c r="E160" s="762"/>
      <c r="F160" s="762"/>
      <c r="G160" s="707" t="s">
        <v>4405</v>
      </c>
      <c r="H160" s="729" t="s">
        <v>2822</v>
      </c>
      <c r="I160" s="705" t="s">
        <v>6618</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6324</v>
      </c>
      <c r="B161" s="866" t="s">
        <v>6310</v>
      </c>
      <c r="C161" s="746" t="s">
        <v>6619</v>
      </c>
      <c r="D161" s="725" t="s">
        <v>6620</v>
      </c>
      <c r="E161" s="762"/>
      <c r="F161" s="762"/>
      <c r="G161" s="726"/>
      <c r="H161" s="788" t="s">
        <v>6619</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6311</v>
      </c>
      <c r="B162" s="867" t="s">
        <v>6621</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6622</v>
      </c>
      <c r="C163" s="721" t="s">
        <v>4689</v>
      </c>
      <c r="D163" s="705" t="s">
        <v>4689</v>
      </c>
      <c r="E163" s="762"/>
      <c r="F163" s="705" t="s">
        <v>6623</v>
      </c>
      <c r="G163" s="762"/>
      <c r="H163" s="725" t="s">
        <v>5978</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6324</v>
      </c>
      <c r="B164" s="868" t="s">
        <v>6624</v>
      </c>
      <c r="C164" s="721" t="s">
        <v>6625</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6627</v>
      </c>
      <c r="C165" s="702" t="s">
        <v>6628</v>
      </c>
      <c r="D165" s="705" t="s">
        <v>6628</v>
      </c>
      <c r="E165" s="705" t="s">
        <v>2809</v>
      </c>
      <c r="F165" s="705" t="s">
        <v>6629</v>
      </c>
      <c r="G165" s="703" t="s">
        <v>865</v>
      </c>
      <c r="H165" s="781" t="s">
        <v>6630</v>
      </c>
      <c r="I165" s="708" t="s">
        <v>1298</v>
      </c>
      <c r="J165" s="762" t="s">
        <v>1457</v>
      </c>
      <c r="K165" s="729" t="s">
        <v>1837</v>
      </c>
      <c r="L165" s="708" t="s">
        <v>2052</v>
      </c>
      <c r="M165" s="762"/>
      <c r="N165" s="762" t="s">
        <v>1837</v>
      </c>
      <c r="O165" s="705"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6632</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6633</v>
      </c>
      <c r="B167" s="868" t="s">
        <v>6438</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6634</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6635</v>
      </c>
      <c r="B169" s="868" t="s">
        <v>6438</v>
      </c>
      <c r="C169" s="702" t="s">
        <v>6636</v>
      </c>
      <c r="D169" s="769"/>
      <c r="E169" s="764"/>
      <c r="F169" s="762"/>
      <c r="G169" s="726"/>
      <c r="H169" s="788" t="s">
        <v>6636</v>
      </c>
      <c r="I169" s="762"/>
      <c r="J169" s="764"/>
      <c r="K169" s="762"/>
      <c r="L169" s="705" t="s">
        <v>6637</v>
      </c>
      <c r="M169" s="762"/>
      <c r="N169" s="762"/>
      <c r="O169" s="762"/>
      <c r="P169" s="762"/>
      <c r="Q169" s="762"/>
      <c r="R169" s="762"/>
      <c r="S169" s="762"/>
      <c r="T169" s="762"/>
      <c r="U169" s="762"/>
      <c r="V169" s="762"/>
      <c r="W169" s="762"/>
      <c r="X169" s="762"/>
      <c r="Y169" s="762"/>
      <c r="Z169" s="762"/>
      <c r="AA169" s="762"/>
      <c r="AB169" s="729"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6634</v>
      </c>
      <c r="C170" s="702" t="s">
        <v>6639</v>
      </c>
      <c r="D170" s="703" t="s">
        <v>6639</v>
      </c>
      <c r="E170" s="790"/>
      <c r="F170" s="712"/>
      <c r="G170" s="712"/>
      <c r="H170" s="729" t="s">
        <v>6639</v>
      </c>
      <c r="I170" s="704"/>
      <c r="J170" s="790"/>
      <c r="K170" s="712"/>
      <c r="L170" s="712"/>
      <c r="M170" s="712"/>
      <c r="N170" s="712"/>
      <c r="O170" s="712"/>
      <c r="P170" s="712"/>
      <c r="Q170" s="712"/>
      <c r="R170" s="712"/>
      <c r="S170" s="731"/>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1" t="str">
        <f>HYPERLINK("https://www.youtube.com/watch?v=_HQgQjbTLjM","1:11.32")</f>
        <v>1:11.32</v>
      </c>
      <c r="D171" s="769"/>
      <c r="E171" s="788" t="s">
        <v>883</v>
      </c>
      <c r="F171" s="762"/>
      <c r="G171" s="729" t="s">
        <v>874</v>
      </c>
      <c r="H171" s="762"/>
      <c r="I171" s="708" t="s">
        <v>1304</v>
      </c>
      <c r="J171" s="764" t="s">
        <v>1472</v>
      </c>
      <c r="K171" s="762"/>
      <c r="L171" s="708" t="s">
        <v>6643</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6644</v>
      </c>
      <c r="B172" s="868" t="s">
        <v>6310</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6645</v>
      </c>
      <c r="B173" s="868" t="s">
        <v>6646</v>
      </c>
      <c r="C173" s="761" t="s">
        <v>6647</v>
      </c>
      <c r="D173" s="769"/>
      <c r="E173" s="872"/>
      <c r="F173" s="762"/>
      <c r="G173" s="729"/>
      <c r="H173" s="762"/>
      <c r="I173" s="708"/>
      <c r="J173" s="764"/>
      <c r="K173" s="762"/>
      <c r="L173" s="763" t="s">
        <v>6647</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6648</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6333</v>
      </c>
      <c r="B175" s="867" t="s">
        <v>6649</v>
      </c>
      <c r="C175" s="721" t="s">
        <v>2563</v>
      </c>
      <c r="D175" s="769"/>
      <c r="E175" s="762"/>
      <c r="F175" s="762"/>
      <c r="G175" s="762"/>
      <c r="H175" s="762"/>
      <c r="I175" s="705" t="s">
        <v>6650</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6651</v>
      </c>
      <c r="C176" s="721" t="s">
        <v>816</v>
      </c>
      <c r="D176" s="769"/>
      <c r="E176" s="762"/>
      <c r="F176" s="762"/>
      <c r="G176" s="762"/>
      <c r="H176" s="762"/>
      <c r="I176" s="762"/>
      <c r="J176" s="788" t="s">
        <v>6652</v>
      </c>
      <c r="K176" s="762"/>
      <c r="L176" s="762"/>
      <c r="M176" s="762"/>
      <c r="N176" s="764" t="s">
        <v>6653</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6654</v>
      </c>
      <c r="C177" s="702" t="s">
        <v>488</v>
      </c>
      <c r="D177" s="769"/>
      <c r="E177" s="762"/>
      <c r="F177" s="705" t="s">
        <v>1026</v>
      </c>
      <c r="G177" s="703" t="s">
        <v>866</v>
      </c>
      <c r="H177" s="705" t="s">
        <v>781</v>
      </c>
      <c r="I177" s="708" t="s">
        <v>623</v>
      </c>
      <c r="J177" s="762"/>
      <c r="K177" s="762"/>
      <c r="L177" s="708" t="s">
        <v>5441</v>
      </c>
      <c r="M177" s="703" t="s">
        <v>488</v>
      </c>
      <c r="N177" s="762"/>
      <c r="O177" s="762"/>
      <c r="P177" s="729" t="s">
        <v>6213</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6324</v>
      </c>
      <c r="B178" s="868" t="s">
        <v>6655</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6656</v>
      </c>
      <c r="C179" s="702" t="s">
        <v>6657</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6658</v>
      </c>
      <c r="C180" s="702"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6660</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6442</v>
      </c>
      <c r="B182" s="874" t="s">
        <v>6661</v>
      </c>
      <c r="C182" s="702" t="s">
        <v>5270</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6662</v>
      </c>
      <c r="C183" s="702" t="s">
        <v>5313</v>
      </c>
      <c r="D183" s="769"/>
      <c r="E183" s="762"/>
      <c r="F183" s="762"/>
      <c r="G183" s="707" t="s">
        <v>1589</v>
      </c>
      <c r="H183" s="762"/>
      <c r="I183" s="705" t="s">
        <v>6236</v>
      </c>
      <c r="J183" s="762"/>
      <c r="K183" s="762"/>
      <c r="L183" s="762"/>
      <c r="M183" s="707" t="s">
        <v>3188</v>
      </c>
      <c r="N183" s="764" t="s">
        <v>4555</v>
      </c>
      <c r="O183" s="705"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6664</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6665</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6666</v>
      </c>
      <c r="C186" s="702" t="s">
        <v>867</v>
      </c>
      <c r="D186" s="729"/>
      <c r="E186" s="705" t="s">
        <v>782</v>
      </c>
      <c r="F186" s="762"/>
      <c r="G186" s="705" t="s">
        <v>867</v>
      </c>
      <c r="H186" s="705" t="s">
        <v>6667</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6324</v>
      </c>
      <c r="B187" s="868" t="s">
        <v>6661</v>
      </c>
      <c r="C187" s="702" t="s">
        <v>1488</v>
      </c>
      <c r="D187" s="729"/>
      <c r="E187" s="762"/>
      <c r="F187" s="762"/>
      <c r="G187" s="764"/>
      <c r="H187" s="762"/>
      <c r="I187" s="707"/>
      <c r="J187" s="762"/>
      <c r="K187" s="762"/>
      <c r="L187" s="705" t="s">
        <v>5344</v>
      </c>
      <c r="M187" s="762"/>
      <c r="N187" s="762"/>
      <c r="O187" s="762"/>
      <c r="P187" s="762"/>
      <c r="Q187" s="762"/>
      <c r="R187" s="762"/>
      <c r="S187" s="762"/>
      <c r="T187" s="762"/>
      <c r="U187" s="762"/>
      <c r="V187" s="762"/>
      <c r="W187" s="762"/>
      <c r="X187" s="762"/>
      <c r="Y187" s="762"/>
      <c r="Z187" s="762"/>
      <c r="AA187" s="762"/>
      <c r="AB187" s="705" t="s">
        <v>929</v>
      </c>
      <c r="AC187" s="762"/>
      <c r="AD187" s="705"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2"/>
      <c r="BB187" s="862"/>
      <c r="BC187" s="862"/>
      <c r="BD187" s="762"/>
      <c r="BE187" s="762"/>
      <c r="BF187" s="762"/>
      <c r="BG187" s="762"/>
      <c r="BH187" s="862"/>
      <c r="BI187" s="862"/>
      <c r="BJ187" s="862"/>
    </row>
    <row r="188" ht="15.75" customHeight="1">
      <c r="A188" s="863"/>
      <c r="B188" s="864" t="s">
        <v>6662</v>
      </c>
      <c r="C188" s="702" t="s">
        <v>6670</v>
      </c>
      <c r="D188" s="729" t="s">
        <v>3418</v>
      </c>
      <c r="E188" s="762"/>
      <c r="F188" s="762"/>
      <c r="G188" s="764" t="s">
        <v>3418</v>
      </c>
      <c r="H188" s="762"/>
      <c r="I188" s="705" t="s">
        <v>6671</v>
      </c>
      <c r="J188" s="762" t="s">
        <v>6672</v>
      </c>
      <c r="K188" s="729" t="s">
        <v>3606</v>
      </c>
      <c r="L188" s="762"/>
      <c r="M188" s="762"/>
      <c r="N188" s="762" t="s">
        <v>6673</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6664</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6665</v>
      </c>
      <c r="C190" s="721" t="s">
        <v>2750</v>
      </c>
      <c r="D190" s="705" t="s">
        <v>2750</v>
      </c>
      <c r="E190" s="705" t="s">
        <v>6674</v>
      </c>
      <c r="F190" s="705" t="s">
        <v>4669</v>
      </c>
      <c r="G190" s="769"/>
      <c r="H190" s="762"/>
      <c r="I190" s="762"/>
      <c r="J190" s="762" t="s">
        <v>1458</v>
      </c>
      <c r="K190" s="705" t="s">
        <v>6675</v>
      </c>
      <c r="L190" s="705" t="s">
        <v>6676</v>
      </c>
      <c r="M190" s="762"/>
      <c r="N190" s="762" t="s">
        <v>4411</v>
      </c>
      <c r="O190" s="705" t="s">
        <v>4073</v>
      </c>
      <c r="P190" s="762"/>
      <c r="Q190" s="762"/>
      <c r="R190" s="729" t="s">
        <v>2480</v>
      </c>
      <c r="S190" s="762"/>
      <c r="T190" s="762"/>
      <c r="U190" s="762"/>
      <c r="V190" s="762"/>
      <c r="W190" s="762"/>
      <c r="X190" s="762"/>
      <c r="Y190" s="762"/>
      <c r="Z190" s="762"/>
      <c r="AA190" s="705" t="s">
        <v>4669</v>
      </c>
      <c r="AB190" s="729" t="s">
        <v>6677</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6666</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6329</v>
      </c>
      <c r="B192" s="868" t="s">
        <v>6310</v>
      </c>
      <c r="C192" s="721" t="s">
        <v>977</v>
      </c>
      <c r="D192" s="703" t="s">
        <v>376</v>
      </c>
      <c r="E192" s="762"/>
      <c r="F192" s="762"/>
      <c r="G192" s="707" t="s">
        <v>6678</v>
      </c>
      <c r="H192" s="764" t="s">
        <v>6679</v>
      </c>
      <c r="I192" s="705" t="s">
        <v>6680</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6502</v>
      </c>
      <c r="B195" s="867" t="s">
        <v>6685</v>
      </c>
      <c r="C195" s="702" t="s">
        <v>6686</v>
      </c>
      <c r="D195" s="705" t="s">
        <v>6686</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6329</v>
      </c>
      <c r="B196" s="868" t="s">
        <v>6310</v>
      </c>
      <c r="C196" s="721" t="s">
        <v>4366</v>
      </c>
      <c r="D196" s="705" t="s">
        <v>4366</v>
      </c>
      <c r="E196" s="762"/>
      <c r="F196" s="726"/>
      <c r="G196" s="764" t="s">
        <v>311</v>
      </c>
      <c r="H196" s="764" t="s">
        <v>1049</v>
      </c>
      <c r="I196" s="705" t="s">
        <v>894</v>
      </c>
      <c r="J196" s="762"/>
      <c r="K196" s="762"/>
      <c r="L196" s="762"/>
      <c r="M196" s="762"/>
      <c r="N196" s="762"/>
      <c r="O196" s="762"/>
      <c r="P196" s="762"/>
      <c r="Q196" s="705" t="s">
        <v>6687</v>
      </c>
      <c r="R196" s="705" t="s">
        <v>6688</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6374</v>
      </c>
      <c r="B197" s="867" t="s">
        <v>6689</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6690</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6414</v>
      </c>
      <c r="B199" s="867" t="s">
        <v>6691</v>
      </c>
      <c r="C199" s="721" t="s">
        <v>1995</v>
      </c>
      <c r="D199" s="769"/>
      <c r="E199" s="762"/>
      <c r="F199" s="705" t="s">
        <v>6692</v>
      </c>
      <c r="G199" s="762"/>
      <c r="H199" s="762"/>
      <c r="I199" s="705" t="s">
        <v>2948</v>
      </c>
      <c r="J199" s="762"/>
      <c r="K199" s="729" t="s">
        <v>6693</v>
      </c>
      <c r="L199" s="762"/>
      <c r="M199" s="762"/>
      <c r="N199" s="762" t="s">
        <v>6694</v>
      </c>
      <c r="O199" s="729" t="s">
        <v>1192</v>
      </c>
      <c r="P199" s="762"/>
      <c r="Q199" s="705"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6695</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6418</v>
      </c>
      <c r="B201" s="867" t="s">
        <v>6696</v>
      </c>
      <c r="C201" s="702" t="s">
        <v>1463</v>
      </c>
      <c r="D201" s="769"/>
      <c r="E201" s="762"/>
      <c r="F201" s="762"/>
      <c r="G201" s="762"/>
      <c r="H201" s="762"/>
      <c r="I201" s="729"/>
      <c r="J201" s="705" t="s">
        <v>1463</v>
      </c>
      <c r="K201" s="762"/>
      <c r="L201" s="708" t="s">
        <v>6697</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2"/>
      <c r="BB201" s="862"/>
      <c r="BC201" s="862"/>
      <c r="BD201" s="762"/>
      <c r="BE201" s="762"/>
      <c r="BF201" s="762"/>
      <c r="BG201" s="762"/>
      <c r="BH201" s="862"/>
      <c r="BI201" s="862"/>
      <c r="BJ201" s="862"/>
    </row>
    <row r="202" ht="15.75" customHeight="1">
      <c r="A202" s="860" t="s">
        <v>57</v>
      </c>
      <c r="B202" s="867" t="s">
        <v>6699</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1"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1"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6"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1"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1" t="s">
        <v>6719</v>
      </c>
      <c r="D212" s="735"/>
      <c r="E212" s="806"/>
      <c r="F212" s="806"/>
      <c r="G212" s="735"/>
      <c r="H212" s="806"/>
      <c r="I212" s="805" t="s">
        <v>6720</v>
      </c>
      <c r="J212" s="806"/>
      <c r="K212" s="806"/>
      <c r="L212" s="829" t="s">
        <v>4479</v>
      </c>
      <c r="M212" s="806"/>
      <c r="N212" s="806"/>
      <c r="O212" s="806"/>
      <c r="P212" s="806"/>
      <c r="Q212" s="735"/>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1"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1"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1"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1"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1"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1"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4"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1" t="s">
        <v>4149</v>
      </c>
      <c r="D250" s="805" t="s">
        <v>3993</v>
      </c>
      <c r="E250" s="818" t="s">
        <v>6777</v>
      </c>
      <c r="F250" s="806"/>
      <c r="G250" s="817" t="s">
        <v>6778</v>
      </c>
      <c r="H250" s="806"/>
      <c r="I250" s="805" t="s">
        <v>6779</v>
      </c>
      <c r="J250" s="808" t="str">
        <f>HYPERLINK("https://youtu.be/fNmQmNF7N9I","46.93")</f>
        <v>46.93</v>
      </c>
      <c r="K250" s="806"/>
      <c r="L250" s="763"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1"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1"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1"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1"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1"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1"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1"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1"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6"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1"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1"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1"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6"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6119</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7188</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7397</v>
      </c>
      <c r="BT27" s="1075" t="s">
        <v>316</v>
      </c>
      <c r="BU27" s="1048" t="s">
        <v>7456</v>
      </c>
      <c r="BV27" s="1019"/>
      <c r="BW27" s="1020" t="s">
        <v>3617</v>
      </c>
      <c r="BX27" s="1031"/>
      <c r="BY27" s="1025"/>
      <c r="BZ27" s="1025"/>
      <c r="CA27" s="1051"/>
      <c r="CB27" s="1051"/>
      <c r="CC27" s="1051"/>
      <c r="CD27" s="1025"/>
      <c r="CE27" s="1024" t="s">
        <v>7398</v>
      </c>
      <c r="CF27" s="1024" t="s">
        <v>7457</v>
      </c>
      <c r="CG27" s="1025"/>
      <c r="CH27" s="1025"/>
      <c r="CI27" s="1025"/>
      <c r="CJ27" s="1051"/>
      <c r="CK27" s="1051"/>
    </row>
    <row r="28">
      <c r="A28" s="1143" t="s">
        <v>5236</v>
      </c>
      <c r="B28" s="983" t="s">
        <v>7420</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7327</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7582</v>
      </c>
      <c r="Z39" s="736"/>
      <c r="AA39" s="736"/>
      <c r="AB39" s="708" t="s">
        <v>4956</v>
      </c>
      <c r="AC39" s="736"/>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6" t="s">
        <v>7740</v>
      </c>
      <c r="I3" s="1189" t="s">
        <v>7741</v>
      </c>
      <c r="J3" s="736" t="s">
        <v>7432</v>
      </c>
      <c r="K3" s="1190" t="s">
        <v>7742</v>
      </c>
      <c r="L3" s="1189" t="s">
        <v>3941</v>
      </c>
      <c r="M3" s="772" t="s">
        <v>7743</v>
      </c>
      <c r="N3" s="736" t="s">
        <v>7744</v>
      </c>
      <c r="O3" s="1191" t="s">
        <v>7745</v>
      </c>
      <c r="P3" s="1192" t="s">
        <v>7746</v>
      </c>
      <c r="Q3" s="1191" t="s">
        <v>7747</v>
      </c>
      <c r="R3" s="736" t="s">
        <v>7748</v>
      </c>
      <c r="S3" s="1193" t="s">
        <v>7749</v>
      </c>
      <c r="T3" s="708" t="s">
        <v>7750</v>
      </c>
      <c r="U3" s="1192" t="s">
        <v>7751</v>
      </c>
      <c r="V3" s="736" t="s">
        <v>7752</v>
      </c>
      <c r="W3" s="736" t="s">
        <v>2389</v>
      </c>
      <c r="X3" s="1193" t="s">
        <v>1689</v>
      </c>
      <c r="Y3" s="736" t="s">
        <v>1866</v>
      </c>
      <c r="Z3" s="1193" t="s">
        <v>7753</v>
      </c>
      <c r="AA3" s="736" t="s">
        <v>4370</v>
      </c>
      <c r="AB3" s="1193"/>
      <c r="AC3" s="736" t="s">
        <v>7754</v>
      </c>
      <c r="AD3" s="736" t="s">
        <v>3716</v>
      </c>
      <c r="AE3" s="736" t="s">
        <v>7755</v>
      </c>
      <c r="AF3" s="1193" t="s">
        <v>7756</v>
      </c>
      <c r="AG3" s="1193"/>
      <c r="AH3" s="1193" t="s">
        <v>7757</v>
      </c>
      <c r="AI3" s="1193" t="s">
        <v>7758</v>
      </c>
      <c r="AJ3" s="1194"/>
      <c r="AK3" s="1193"/>
      <c r="AL3" s="736"/>
      <c r="AM3" s="1193" t="s">
        <v>7759</v>
      </c>
      <c r="AN3" s="1192" t="s">
        <v>7760</v>
      </c>
      <c r="AO3" s="1192" t="s">
        <v>7761</v>
      </c>
      <c r="AP3" s="1192" t="s">
        <v>7762</v>
      </c>
      <c r="AQ3" s="1192" t="s">
        <v>7763</v>
      </c>
      <c r="AR3" s="1192" t="s">
        <v>7764</v>
      </c>
      <c r="AS3" s="1192" t="s">
        <v>7765</v>
      </c>
      <c r="AT3" s="772" t="s">
        <v>7766</v>
      </c>
      <c r="AU3" s="1192" t="s">
        <v>7767</v>
      </c>
      <c r="AV3" s="1192" t="s">
        <v>7768</v>
      </c>
      <c r="AW3" s="708" t="s">
        <v>7769</v>
      </c>
      <c r="AX3" s="1192" t="s">
        <v>7770</v>
      </c>
      <c r="AY3" s="1193" t="s">
        <v>7771</v>
      </c>
      <c r="AZ3" s="1193" t="s">
        <v>5020</v>
      </c>
      <c r="BA3" s="1192" t="s">
        <v>7772</v>
      </c>
      <c r="BB3" s="1193" t="s">
        <v>7773</v>
      </c>
      <c r="BC3" s="1193" t="s">
        <v>7774</v>
      </c>
      <c r="BD3" s="736" t="s">
        <v>7775</v>
      </c>
      <c r="BE3" s="1193"/>
      <c r="BF3" s="1192" t="s">
        <v>7776</v>
      </c>
      <c r="BG3" s="1193"/>
      <c r="BH3" s="1193"/>
      <c r="BI3" s="1193" t="s">
        <v>7777</v>
      </c>
      <c r="BJ3" s="1193"/>
      <c r="BK3" s="1193"/>
      <c r="BL3" s="736"/>
      <c r="BM3" s="1193" t="s">
        <v>7778</v>
      </c>
      <c r="BN3" s="1193"/>
      <c r="BO3" s="1193"/>
      <c r="BP3" s="1193"/>
      <c r="BQ3" s="736" t="s">
        <v>7779</v>
      </c>
      <c r="BR3" s="1194"/>
      <c r="BS3" s="736" t="s">
        <v>7780</v>
      </c>
      <c r="BT3" s="1194"/>
      <c r="BU3" s="736" t="s">
        <v>7781</v>
      </c>
      <c r="BV3" s="1152"/>
      <c r="BW3" s="1194"/>
      <c r="BX3" s="1193" t="s">
        <v>3914</v>
      </c>
      <c r="BY3" s="1194"/>
      <c r="BZ3" s="1152"/>
      <c r="CA3" s="1193" t="s">
        <v>6028</v>
      </c>
      <c r="CB3" s="1193" t="s">
        <v>368</v>
      </c>
      <c r="CC3" s="1193" t="s">
        <v>2301</v>
      </c>
      <c r="CD3" s="1193"/>
      <c r="CE3" s="736" t="s">
        <v>7782</v>
      </c>
      <c r="CF3" s="736" t="s">
        <v>7783</v>
      </c>
      <c r="CG3" s="1193"/>
      <c r="CH3" s="1193"/>
      <c r="CI3" s="1193"/>
      <c r="CJ3" s="1193"/>
      <c r="CK3" s="1193"/>
      <c r="CL3" s="1193"/>
      <c r="CM3" s="1193"/>
      <c r="CN3" s="736"/>
      <c r="CO3" s="1193"/>
      <c r="CP3" s="736" t="s">
        <v>7784</v>
      </c>
      <c r="CQ3" s="736"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6" t="s">
        <v>7790</v>
      </c>
      <c r="L4" s="1194"/>
      <c r="M4" s="1192" t="s">
        <v>7791</v>
      </c>
      <c r="N4" s="1152"/>
      <c r="O4" s="708" t="s">
        <v>7792</v>
      </c>
      <c r="P4" s="1191" t="s">
        <v>7793</v>
      </c>
      <c r="Q4" s="1194"/>
      <c r="R4" s="708" t="s">
        <v>7794</v>
      </c>
      <c r="S4" s="1152"/>
      <c r="T4" s="736" t="s">
        <v>7795</v>
      </c>
      <c r="U4" s="708" t="s">
        <v>7295</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6" t="s">
        <v>7801</v>
      </c>
      <c r="AO4" s="736" t="s">
        <v>7802</v>
      </c>
      <c r="AP4" s="1189" t="s">
        <v>7759</v>
      </c>
      <c r="AQ4" s="1152"/>
      <c r="AR4" s="736"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6" t="s">
        <v>7810</v>
      </c>
      <c r="I5" s="736" t="s">
        <v>7500</v>
      </c>
      <c r="J5" s="736"/>
      <c r="K5" s="1191" t="s">
        <v>7811</v>
      </c>
      <c r="L5" s="1192" t="s">
        <v>7812</v>
      </c>
      <c r="M5" s="736"/>
      <c r="N5" s="736"/>
      <c r="O5" s="1189" t="s">
        <v>7813</v>
      </c>
      <c r="P5" s="736" t="s">
        <v>7814</v>
      </c>
      <c r="Q5" s="736" t="s">
        <v>7815</v>
      </c>
      <c r="R5" s="1192" t="s">
        <v>7816</v>
      </c>
      <c r="S5" s="736"/>
      <c r="T5" s="1191" t="s">
        <v>7817</v>
      </c>
      <c r="U5" s="1191" t="s">
        <v>7818</v>
      </c>
      <c r="V5" s="736"/>
      <c r="W5" s="736" t="s">
        <v>6327</v>
      </c>
      <c r="X5" s="736"/>
      <c r="Y5" s="736" t="s">
        <v>1795</v>
      </c>
      <c r="Z5" s="1191" t="s">
        <v>1067</v>
      </c>
      <c r="AA5" s="842"/>
      <c r="AB5" s="842"/>
      <c r="AC5" s="736" t="s">
        <v>7819</v>
      </c>
      <c r="AD5" s="1152"/>
      <c r="AE5" s="736"/>
      <c r="AF5" s="736" t="s">
        <v>7820</v>
      </c>
      <c r="AG5" s="736"/>
      <c r="AH5" s="736" t="s">
        <v>7821</v>
      </c>
      <c r="AI5" s="736" t="s">
        <v>2009</v>
      </c>
      <c r="AJ5" s="1152"/>
      <c r="AK5" s="736"/>
      <c r="AL5" s="736"/>
      <c r="AM5" s="736" t="s">
        <v>7822</v>
      </c>
      <c r="AN5" s="1152"/>
      <c r="AO5" s="1152"/>
      <c r="AP5" s="736" t="s">
        <v>7823</v>
      </c>
      <c r="AQ5" s="1191" t="s">
        <v>7824</v>
      </c>
      <c r="AR5" s="736" t="s">
        <v>7825</v>
      </c>
      <c r="AS5" s="736"/>
      <c r="AT5" s="736" t="s">
        <v>7826</v>
      </c>
      <c r="AU5" s="708" t="s">
        <v>7827</v>
      </c>
      <c r="AV5" s="736"/>
      <c r="AW5" s="1200" t="s">
        <v>7828</v>
      </c>
      <c r="AX5" s="114"/>
      <c r="AY5" s="114" t="s">
        <v>7829</v>
      </c>
      <c r="AZ5" s="736" t="s">
        <v>2924</v>
      </c>
      <c r="BA5" s="736"/>
      <c r="BB5" s="736" t="s">
        <v>7809</v>
      </c>
      <c r="BC5" s="1192" t="s">
        <v>7830</v>
      </c>
      <c r="BD5" s="736" t="s">
        <v>7831</v>
      </c>
      <c r="BE5" s="736"/>
      <c r="BF5" s="736"/>
      <c r="BG5" s="736" t="s">
        <v>7832</v>
      </c>
      <c r="BH5" s="736"/>
      <c r="BI5" s="736"/>
      <c r="BJ5" s="736"/>
      <c r="BK5" s="736" t="s">
        <v>7833</v>
      </c>
      <c r="BL5" s="736"/>
      <c r="BM5" s="736"/>
      <c r="BN5" s="736"/>
      <c r="BO5" s="736"/>
      <c r="BP5" s="736" t="s">
        <v>7834</v>
      </c>
      <c r="BQ5" s="1152"/>
      <c r="BR5" s="1152"/>
      <c r="BS5" s="1152"/>
      <c r="BT5" s="1152"/>
      <c r="BU5" s="1152"/>
      <c r="BV5" s="736"/>
      <c r="BW5" s="736" t="s">
        <v>6546</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6284</v>
      </c>
      <c r="B6" s="983" t="s">
        <v>7835</v>
      </c>
      <c r="C6" s="984" t="s">
        <v>984</v>
      </c>
      <c r="D6" s="985" t="s">
        <v>1195</v>
      </c>
      <c r="E6" s="986" t="s">
        <v>1058</v>
      </c>
      <c r="F6" s="987" t="s">
        <v>4576</v>
      </c>
      <c r="G6" s="983" t="s">
        <v>6102</v>
      </c>
      <c r="H6" s="1191" t="s">
        <v>7836</v>
      </c>
      <c r="I6" s="708" t="s">
        <v>7837</v>
      </c>
      <c r="J6" s="736"/>
      <c r="K6" s="1189" t="s">
        <v>7838</v>
      </c>
      <c r="L6" s="708" t="s">
        <v>7839</v>
      </c>
      <c r="M6" s="1152"/>
      <c r="N6" s="1152"/>
      <c r="O6" s="708" t="s">
        <v>7840</v>
      </c>
      <c r="P6" s="1152"/>
      <c r="Q6" s="736" t="s">
        <v>7841</v>
      </c>
      <c r="R6" s="1191" t="s">
        <v>7842</v>
      </c>
      <c r="S6" s="1152"/>
      <c r="T6" s="1189" t="s">
        <v>7843</v>
      </c>
      <c r="U6" s="1189" t="s">
        <v>667</v>
      </c>
      <c r="V6" s="736" t="s">
        <v>7844</v>
      </c>
      <c r="W6" s="1152"/>
      <c r="X6" s="1189" t="s">
        <v>5919</v>
      </c>
      <c r="Y6" s="1191" t="s">
        <v>2489</v>
      </c>
      <c r="Z6" s="1152"/>
      <c r="AA6" s="1152"/>
      <c r="AB6" s="1152"/>
      <c r="AC6" s="1152"/>
      <c r="AD6" s="736" t="s">
        <v>7845</v>
      </c>
      <c r="AE6" s="842"/>
      <c r="AF6" s="708" t="s">
        <v>459</v>
      </c>
      <c r="AG6" s="842"/>
      <c r="AH6" s="1152"/>
      <c r="AI6" s="1152"/>
      <c r="AJ6" s="1192" t="s">
        <v>2200</v>
      </c>
      <c r="AK6" s="1191" t="s">
        <v>5908</v>
      </c>
      <c r="AL6" s="742" t="s">
        <v>7846</v>
      </c>
      <c r="AM6" s="1191" t="s">
        <v>7847</v>
      </c>
      <c r="AN6" s="1152"/>
      <c r="AO6" s="1152"/>
      <c r="AP6" s="736" t="s">
        <v>7759</v>
      </c>
      <c r="AQ6" s="736"/>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6"/>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6"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6" t="s">
        <v>7888</v>
      </c>
    </row>
    <row r="8">
      <c r="A8" s="1214" t="s">
        <v>7889</v>
      </c>
      <c r="B8" s="983" t="s">
        <v>7890</v>
      </c>
      <c r="C8" s="984" t="s">
        <v>736</v>
      </c>
      <c r="D8" s="985" t="s">
        <v>1058</v>
      </c>
      <c r="E8" s="986" t="s">
        <v>329</v>
      </c>
      <c r="F8" s="987" t="s">
        <v>219</v>
      </c>
      <c r="G8" s="983" t="s">
        <v>7181</v>
      </c>
      <c r="H8" s="708" t="s">
        <v>7891</v>
      </c>
      <c r="I8" s="708" t="s">
        <v>7892</v>
      </c>
      <c r="J8" s="842"/>
      <c r="K8" s="1152"/>
      <c r="L8" s="1194"/>
      <c r="M8" s="1152"/>
      <c r="N8" s="1152"/>
      <c r="O8" s="1152"/>
      <c r="P8" s="736" t="s">
        <v>7893</v>
      </c>
      <c r="Q8" s="1194"/>
      <c r="R8" s="1189" t="s">
        <v>7894</v>
      </c>
      <c r="S8" s="1152"/>
      <c r="T8" s="1152"/>
      <c r="U8" s="1210" t="s">
        <v>7895</v>
      </c>
      <c r="V8" s="1209"/>
      <c r="W8" s="772" t="s">
        <v>780</v>
      </c>
      <c r="X8" s="1209" t="s">
        <v>3493</v>
      </c>
      <c r="Y8" s="1215" t="s">
        <v>4897</v>
      </c>
      <c r="Z8" s="842"/>
      <c r="AA8" s="842" t="s">
        <v>7896</v>
      </c>
      <c r="AB8" s="1209"/>
      <c r="AC8" s="1189" t="s">
        <v>7897</v>
      </c>
      <c r="AD8" s="708" t="s">
        <v>814</v>
      </c>
      <c r="AE8" s="842"/>
      <c r="AF8" s="842"/>
      <c r="AG8" s="1209"/>
      <c r="AH8" s="1194"/>
      <c r="AI8" s="1194"/>
      <c r="AJ8" s="1194"/>
      <c r="AK8" s="1193" t="s">
        <v>322</v>
      </c>
      <c r="AL8" s="736"/>
      <c r="AM8" s="1192" t="s">
        <v>7898</v>
      </c>
      <c r="AN8" s="1193" t="s">
        <v>7899</v>
      </c>
      <c r="AO8" s="1152"/>
      <c r="AP8" s="708" t="s">
        <v>7875</v>
      </c>
      <c r="AQ8" s="842"/>
      <c r="AR8" s="1152"/>
      <c r="AS8" s="1152"/>
      <c r="AT8" s="708" t="s">
        <v>7900</v>
      </c>
      <c r="AU8" s="736"/>
      <c r="AV8" s="736"/>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6" t="s">
        <v>7907</v>
      </c>
      <c r="L9" s="708" t="s">
        <v>7908</v>
      </c>
      <c r="M9" s="736" t="s">
        <v>7909</v>
      </c>
      <c r="N9" s="1152"/>
      <c r="O9" s="736" t="s">
        <v>7910</v>
      </c>
      <c r="P9" s="736" t="s">
        <v>7911</v>
      </c>
      <c r="Q9" s="736" t="s">
        <v>7912</v>
      </c>
      <c r="R9" s="736" t="s">
        <v>7913</v>
      </c>
      <c r="S9" s="1191" t="s">
        <v>2854</v>
      </c>
      <c r="T9" s="1152"/>
      <c r="U9" s="736" t="s">
        <v>3673</v>
      </c>
      <c r="V9" s="1194"/>
      <c r="W9" s="736" t="s">
        <v>4851</v>
      </c>
      <c r="X9" s="708" t="s">
        <v>3120</v>
      </c>
      <c r="Y9" s="708" t="s">
        <v>7914</v>
      </c>
      <c r="Z9" s="1152"/>
      <c r="AA9" s="1192" t="s">
        <v>5554</v>
      </c>
      <c r="AB9" s="1194"/>
      <c r="AC9" s="736" t="s">
        <v>5728</v>
      </c>
      <c r="AD9" s="736" t="s">
        <v>158</v>
      </c>
      <c r="AE9" s="736"/>
      <c r="AF9" s="736" t="s">
        <v>5538</v>
      </c>
      <c r="AG9" s="1194"/>
      <c r="AH9" s="1194"/>
      <c r="AI9" s="1194"/>
      <c r="AJ9" s="1194"/>
      <c r="AK9" s="1152"/>
      <c r="AL9" s="1152"/>
      <c r="AM9" s="1193" t="s">
        <v>7880</v>
      </c>
      <c r="AN9" s="1152"/>
      <c r="AO9" s="1152"/>
      <c r="AP9" s="736" t="s">
        <v>7915</v>
      </c>
      <c r="AQ9" s="736" t="s">
        <v>7915</v>
      </c>
      <c r="AR9" s="736" t="s">
        <v>7916</v>
      </c>
      <c r="AS9" s="736" t="s">
        <v>7917</v>
      </c>
      <c r="AT9" s="736" t="s">
        <v>7917</v>
      </c>
      <c r="AU9" s="1191" t="s">
        <v>7918</v>
      </c>
      <c r="AV9" s="736" t="s">
        <v>7900</v>
      </c>
      <c r="AW9" s="736" t="s">
        <v>7874</v>
      </c>
      <c r="AX9" s="1152"/>
      <c r="AY9" s="1192" t="s">
        <v>7919</v>
      </c>
      <c r="AZ9" s="736" t="s">
        <v>5020</v>
      </c>
      <c r="BA9" s="736"/>
      <c r="BB9" s="736" t="s">
        <v>7884</v>
      </c>
      <c r="BC9" s="1193" t="s">
        <v>7920</v>
      </c>
      <c r="BD9" s="1193" t="s">
        <v>7921</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6" t="s">
        <v>7925</v>
      </c>
      <c r="K10" s="736" t="s">
        <v>7926</v>
      </c>
      <c r="L10" s="736" t="s">
        <v>7927</v>
      </c>
      <c r="M10" s="736" t="s">
        <v>7928</v>
      </c>
      <c r="N10" s="736" t="s">
        <v>7929</v>
      </c>
      <c r="O10" s="736" t="s">
        <v>7930</v>
      </c>
      <c r="P10" s="736" t="s">
        <v>7931</v>
      </c>
      <c r="Q10" s="736" t="s">
        <v>7932</v>
      </c>
      <c r="R10" s="736" t="s">
        <v>7933</v>
      </c>
      <c r="S10" s="1189" t="s">
        <v>7934</v>
      </c>
      <c r="T10" s="736" t="s">
        <v>7935</v>
      </c>
      <c r="U10" s="736" t="s">
        <v>7936</v>
      </c>
      <c r="V10" s="1189" t="s">
        <v>7937</v>
      </c>
      <c r="W10" s="736" t="s">
        <v>3672</v>
      </c>
      <c r="X10" s="736" t="s">
        <v>4230</v>
      </c>
      <c r="Y10" s="1193" t="s">
        <v>158</v>
      </c>
      <c r="Z10" s="1152"/>
      <c r="AA10" s="1152"/>
      <c r="AB10" s="1194"/>
      <c r="AC10" s="1193" t="s">
        <v>7938</v>
      </c>
      <c r="AD10" s="1193" t="s">
        <v>5328</v>
      </c>
      <c r="AE10" s="1191" t="s">
        <v>2477</v>
      </c>
      <c r="AF10" s="1193" t="s">
        <v>7939</v>
      </c>
      <c r="AG10" s="736" t="s">
        <v>7940</v>
      </c>
      <c r="AH10" s="1194"/>
      <c r="AI10" s="1194"/>
      <c r="AJ10" s="1194"/>
      <c r="AK10" s="736" t="s">
        <v>7941</v>
      </c>
      <c r="AL10" s="736" t="s">
        <v>2745</v>
      </c>
      <c r="AM10" s="1152"/>
      <c r="AN10" s="1152"/>
      <c r="AO10" s="1152"/>
      <c r="AP10" s="1152"/>
      <c r="AQ10" s="1152"/>
      <c r="AR10" s="1152"/>
      <c r="AS10" s="1152"/>
      <c r="AT10" s="736" t="s">
        <v>7942</v>
      </c>
      <c r="AU10" s="736" t="s">
        <v>7884</v>
      </c>
      <c r="AV10" s="1152"/>
      <c r="AW10" s="736" t="s">
        <v>7882</v>
      </c>
      <c r="AX10" s="736" t="s">
        <v>7943</v>
      </c>
      <c r="AY10" s="1152"/>
      <c r="AZ10" s="736"/>
      <c r="BA10" s="736"/>
      <c r="BB10" s="842"/>
      <c r="BC10" s="736" t="s">
        <v>7920</v>
      </c>
      <c r="BD10" s="736" t="s">
        <v>7944</v>
      </c>
      <c r="BE10" s="736"/>
      <c r="BF10" s="736" t="s">
        <v>7945</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5756</v>
      </c>
      <c r="BZ10" s="736"/>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6" t="s">
        <v>7951</v>
      </c>
      <c r="L11" s="1194"/>
      <c r="M11" s="1152"/>
      <c r="N11" s="1152"/>
      <c r="O11" s="1152"/>
      <c r="P11" s="736" t="s">
        <v>7952</v>
      </c>
      <c r="Q11" s="1194"/>
      <c r="R11" s="1152"/>
      <c r="S11" s="1152"/>
      <c r="T11" s="736" t="s">
        <v>7953</v>
      </c>
      <c r="U11" s="736"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6"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1"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6"/>
      <c r="K12" s="736" t="s">
        <v>7963</v>
      </c>
      <c r="L12" s="1194"/>
      <c r="M12" s="1233" t="str">
        <f>HYPERLINK("https://youtu.be/muKa7MrNAp8","2:59.41")</f>
        <v>2:59.41</v>
      </c>
      <c r="N12" s="772"/>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7965</v>
      </c>
      <c r="X12" s="736"/>
      <c r="Y12" s="736" t="s">
        <v>7966</v>
      </c>
      <c r="Z12" s="1152"/>
      <c r="AA12" s="1152"/>
      <c r="AB12" s="1194"/>
      <c r="AC12" s="1152"/>
      <c r="AD12" s="736" t="s">
        <v>193</v>
      </c>
      <c r="AE12" s="1152"/>
      <c r="AF12" s="1152"/>
      <c r="AG12" s="1194"/>
      <c r="AH12" s="736" t="s">
        <v>5853</v>
      </c>
      <c r="AI12" s="1193"/>
      <c r="AJ12" s="1193"/>
      <c r="AK12" s="1189" t="s">
        <v>7967</v>
      </c>
      <c r="AL12" s="842"/>
      <c r="AM12" s="1193" t="s">
        <v>7915</v>
      </c>
      <c r="AN12" s="1152"/>
      <c r="AO12" s="1152"/>
      <c r="AP12" s="1152"/>
      <c r="AQ12" s="1152"/>
      <c r="AR12" s="1152"/>
      <c r="AS12" s="1152"/>
      <c r="AT12" s="736" t="s">
        <v>7968</v>
      </c>
      <c r="AU12" s="736" t="s">
        <v>7969</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6" t="s">
        <v>7972</v>
      </c>
      <c r="K13" s="736" t="s">
        <v>7973</v>
      </c>
      <c r="L13" s="1194"/>
      <c r="M13" s="736" t="s">
        <v>7974</v>
      </c>
      <c r="N13" s="736" t="s">
        <v>7975</v>
      </c>
      <c r="O13" s="1152"/>
      <c r="P13" s="736" t="s">
        <v>7976</v>
      </c>
      <c r="Q13" s="1194"/>
      <c r="R13" s="1193" t="s">
        <v>7977</v>
      </c>
      <c r="S13" s="736" t="s">
        <v>7978</v>
      </c>
      <c r="T13" s="736" t="s">
        <v>7856</v>
      </c>
      <c r="U13" s="736" t="s">
        <v>7979</v>
      </c>
      <c r="V13" s="736" t="s">
        <v>7980</v>
      </c>
      <c r="W13" s="736" t="s">
        <v>7981</v>
      </c>
      <c r="X13" s="736" t="s">
        <v>4711</v>
      </c>
      <c r="Y13" s="736" t="s">
        <v>373</v>
      </c>
      <c r="Z13" s="1193" t="s">
        <v>4738</v>
      </c>
      <c r="AA13" s="736" t="s">
        <v>7982</v>
      </c>
      <c r="AB13" s="1193"/>
      <c r="AC13" s="1193" t="s">
        <v>2197</v>
      </c>
      <c r="AD13" s="1193" t="s">
        <v>7983</v>
      </c>
      <c r="AE13" s="736" t="s">
        <v>5048</v>
      </c>
      <c r="AF13" s="736" t="s">
        <v>7984</v>
      </c>
      <c r="AG13" s="1194"/>
      <c r="AH13" s="1194"/>
      <c r="AI13" s="1194"/>
      <c r="AJ13" s="1194"/>
      <c r="AK13" s="1194"/>
      <c r="AL13" s="736" t="s">
        <v>5462</v>
      </c>
      <c r="AM13" s="1193" t="s">
        <v>7902</v>
      </c>
      <c r="AN13" s="1193" t="s">
        <v>7985</v>
      </c>
      <c r="AO13" s="1152"/>
      <c r="AP13" s="736" t="s">
        <v>7986</v>
      </c>
      <c r="AQ13" s="736" t="s">
        <v>7784</v>
      </c>
      <c r="AR13" s="1193" t="s">
        <v>7987</v>
      </c>
      <c r="AS13" s="736" t="s">
        <v>7988</v>
      </c>
      <c r="AT13" s="736" t="s">
        <v>7989</v>
      </c>
      <c r="AU13" s="736" t="s">
        <v>7990</v>
      </c>
      <c r="AV13" s="114" t="s">
        <v>7991</v>
      </c>
      <c r="AW13" s="736" t="s">
        <v>7992</v>
      </c>
      <c r="AX13" s="736" t="s">
        <v>7968</v>
      </c>
      <c r="AY13" s="1152"/>
      <c r="AZ13" s="1193" t="s">
        <v>1637</v>
      </c>
      <c r="BA13" s="736"/>
      <c r="BB13" s="1193" t="s">
        <v>7993</v>
      </c>
      <c r="BC13" s="1193" t="s">
        <v>7994</v>
      </c>
      <c r="BD13" s="736" t="s">
        <v>7995</v>
      </c>
      <c r="BE13" s="736"/>
      <c r="BF13" s="1152"/>
      <c r="BG13" s="1229"/>
      <c r="BH13" s="1229"/>
      <c r="BI13" s="1229"/>
      <c r="BJ13" s="1229"/>
      <c r="BK13" s="1229"/>
      <c r="BL13" s="1230"/>
      <c r="BM13" s="1229"/>
      <c r="BN13" s="1229"/>
      <c r="BO13" s="1229"/>
      <c r="BP13" s="1229"/>
      <c r="BQ13" s="1194"/>
      <c r="BR13" s="1194"/>
      <c r="BS13" s="1194"/>
      <c r="BT13" s="1194"/>
      <c r="BU13" s="1194"/>
      <c r="BV13" s="736" t="s">
        <v>7996</v>
      </c>
      <c r="BW13" s="1194"/>
      <c r="BX13" s="736" t="s">
        <v>4496</v>
      </c>
      <c r="BY13" s="736" t="s">
        <v>2937</v>
      </c>
      <c r="BZ13" s="1152"/>
      <c r="CA13" s="1194"/>
      <c r="CB13" s="736"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6" t="s">
        <v>4953</v>
      </c>
      <c r="X14" s="708" t="s">
        <v>8007</v>
      </c>
      <c r="Y14" s="1193" t="s">
        <v>2671</v>
      </c>
      <c r="Z14" s="1152"/>
      <c r="AA14" s="1152"/>
      <c r="AB14" s="1194"/>
      <c r="AC14" s="736" t="s">
        <v>8008</v>
      </c>
      <c r="AD14" s="1190" t="s">
        <v>193</v>
      </c>
      <c r="AE14" s="1152"/>
      <c r="AF14" s="1152"/>
      <c r="AG14" s="1194"/>
      <c r="AH14" s="1193" t="s">
        <v>5265</v>
      </c>
      <c r="AI14" s="1194"/>
      <c r="AJ14" s="1194"/>
      <c r="AK14" s="1193" t="s">
        <v>4665</v>
      </c>
      <c r="AL14" s="736"/>
      <c r="AM14" s="708" t="s">
        <v>7899</v>
      </c>
      <c r="AN14" s="1152"/>
      <c r="AO14" s="1152"/>
      <c r="AP14" s="708" t="s">
        <v>8009</v>
      </c>
      <c r="AQ14" s="1152"/>
      <c r="AR14" s="1152"/>
      <c r="AS14" s="1152"/>
      <c r="AT14" s="736"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7181</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6"/>
      <c r="AR15" s="1193" t="s">
        <v>8019</v>
      </c>
      <c r="AS15" s="736"/>
      <c r="AT15" s="1152"/>
      <c r="AU15" s="1193" t="s">
        <v>7956</v>
      </c>
      <c r="AV15" s="736"/>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6" t="s">
        <v>8027</v>
      </c>
      <c r="M16" s="1152"/>
      <c r="N16" s="1192" t="s">
        <v>3276</v>
      </c>
      <c r="O16" s="1192" t="s">
        <v>8028</v>
      </c>
      <c r="P16" s="1152"/>
      <c r="Q16" s="736" t="s">
        <v>8029</v>
      </c>
      <c r="R16" s="736" t="s">
        <v>8030</v>
      </c>
      <c r="S16" s="1192" t="s">
        <v>8031</v>
      </c>
      <c r="T16" s="1192" t="s">
        <v>8032</v>
      </c>
      <c r="U16" s="736" t="s">
        <v>8033</v>
      </c>
      <c r="V16" s="736"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6"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6"/>
      <c r="K18" s="1193" t="s">
        <v>8043</v>
      </c>
      <c r="L18" s="1193"/>
      <c r="M18" s="1193" t="s">
        <v>8044</v>
      </c>
      <c r="N18" s="1152"/>
      <c r="O18" s="1193" t="s">
        <v>8045</v>
      </c>
      <c r="P18" s="1152"/>
      <c r="Q18" s="1194"/>
      <c r="R18" s="736" t="s">
        <v>8046</v>
      </c>
      <c r="S18" s="772" t="s">
        <v>3822</v>
      </c>
      <c r="T18" s="1193" t="s">
        <v>8047</v>
      </c>
      <c r="U18" s="736" t="s">
        <v>8048</v>
      </c>
      <c r="V18" s="1193"/>
      <c r="W18" s="1193" t="s">
        <v>4359</v>
      </c>
      <c r="X18" s="736" t="s">
        <v>3407</v>
      </c>
      <c r="Y18" s="1193" t="s">
        <v>3026</v>
      </c>
      <c r="Z18" s="1152"/>
      <c r="AA18" s="1152"/>
      <c r="AB18" s="1194"/>
      <c r="AC18" s="1193" t="s">
        <v>8049</v>
      </c>
      <c r="AD18" s="736" t="s">
        <v>2025</v>
      </c>
      <c r="AE18" s="736"/>
      <c r="AF18" s="1193" t="s">
        <v>8050</v>
      </c>
      <c r="AG18" s="1192" t="s">
        <v>8051</v>
      </c>
      <c r="AH18" s="1189" t="s">
        <v>1262</v>
      </c>
      <c r="AI18" s="1194"/>
      <c r="AJ18" s="1194"/>
      <c r="AK18" s="1193" t="s">
        <v>703</v>
      </c>
      <c r="AL18" s="1152"/>
      <c r="AM18" s="1193" t="s">
        <v>7959</v>
      </c>
      <c r="AN18" s="1152"/>
      <c r="AO18" s="1152"/>
      <c r="AP18" s="736" t="s">
        <v>7801</v>
      </c>
      <c r="AQ18" s="736"/>
      <c r="AR18" s="736" t="s">
        <v>7826</v>
      </c>
      <c r="AS18" s="736" t="s">
        <v>8052</v>
      </c>
      <c r="AT18" s="736" t="s">
        <v>8053</v>
      </c>
      <c r="AU18" s="736" t="s">
        <v>8054</v>
      </c>
      <c r="AV18" s="736"/>
      <c r="AW18" s="1152"/>
      <c r="AX18" s="1152"/>
      <c r="AY18" s="1152"/>
      <c r="AZ18" s="1193" t="s">
        <v>2493</v>
      </c>
      <c r="BA18" s="736"/>
      <c r="BB18" s="1193" t="s">
        <v>7956</v>
      </c>
      <c r="BC18" s="1193" t="s">
        <v>8055</v>
      </c>
      <c r="BD18" s="1193" t="s">
        <v>7856</v>
      </c>
      <c r="BE18" s="1193"/>
      <c r="BF18" s="736"/>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6" t="s">
        <v>2173</v>
      </c>
      <c r="BZ18" s="1152"/>
      <c r="CA18" s="1194"/>
      <c r="CB18" s="736"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6" t="s">
        <v>8061</v>
      </c>
      <c r="CR18" s="1193" t="s">
        <v>1938</v>
      </c>
      <c r="CS18" s="736" t="s">
        <v>8062</v>
      </c>
      <c r="CT18" s="92"/>
    </row>
    <row r="19">
      <c r="A19" s="1250" t="s">
        <v>4632</v>
      </c>
      <c r="B19" s="983" t="s">
        <v>8063</v>
      </c>
      <c r="C19" s="984" t="s">
        <v>1413</v>
      </c>
      <c r="D19" s="985" t="s">
        <v>1413</v>
      </c>
      <c r="E19" s="986" t="s">
        <v>1413</v>
      </c>
      <c r="F19" s="987" t="s">
        <v>736</v>
      </c>
      <c r="G19" s="983" t="s">
        <v>4084</v>
      </c>
      <c r="H19" s="1223"/>
      <c r="I19" s="1223" t="s">
        <v>8064</v>
      </c>
      <c r="J19" s="736"/>
      <c r="K19" s="736" t="s">
        <v>7012</v>
      </c>
      <c r="L19" s="1193"/>
      <c r="M19" s="1152"/>
      <c r="N19" s="1152"/>
      <c r="O19" s="1152"/>
      <c r="P19" s="1152"/>
      <c r="Q19" s="1194"/>
      <c r="R19" s="1193" t="s">
        <v>8065</v>
      </c>
      <c r="S19" s="1152"/>
      <c r="T19" s="1193" t="s">
        <v>8066</v>
      </c>
      <c r="U19" s="1193" t="s">
        <v>8067</v>
      </c>
      <c r="V19" s="1193" t="s">
        <v>8068</v>
      </c>
      <c r="W19" s="1193" t="s">
        <v>3234</v>
      </c>
      <c r="X19" s="736" t="s">
        <v>2569</v>
      </c>
      <c r="Y19" s="1193" t="s">
        <v>8069</v>
      </c>
      <c r="Z19" s="1152"/>
      <c r="AA19" s="1152"/>
      <c r="AB19" s="1194"/>
      <c r="AC19" s="708" t="s">
        <v>341</v>
      </c>
      <c r="AD19" s="1193" t="s">
        <v>1848</v>
      </c>
      <c r="AE19" s="736"/>
      <c r="AF19" s="1193" t="s">
        <v>8070</v>
      </c>
      <c r="AG19" s="1193"/>
      <c r="AH19" s="1193" t="s">
        <v>8071</v>
      </c>
      <c r="AI19" s="1194"/>
      <c r="AJ19" s="1194"/>
      <c r="AK19" s="1194"/>
      <c r="AL19" s="1152"/>
      <c r="AM19" s="1152"/>
      <c r="AN19" s="1152"/>
      <c r="AO19" s="1152"/>
      <c r="AP19" s="736" t="s">
        <v>7801</v>
      </c>
      <c r="AQ19" s="1152"/>
      <c r="AR19" s="736" t="s">
        <v>8072</v>
      </c>
      <c r="AS19" s="1152"/>
      <c r="AT19" s="1152"/>
      <c r="AU19" s="736" t="s">
        <v>8073</v>
      </c>
      <c r="AV19" s="736"/>
      <c r="AW19" s="736" t="s">
        <v>7831</v>
      </c>
      <c r="AX19" s="1152"/>
      <c r="AY19" s="1152"/>
      <c r="AZ19" s="1193" t="s">
        <v>2494</v>
      </c>
      <c r="BA19" s="736"/>
      <c r="BB19" s="1152"/>
      <c r="BC19" s="1193" t="s">
        <v>8074</v>
      </c>
      <c r="BD19" s="736"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6" t="s">
        <v>8078</v>
      </c>
      <c r="K20" s="1223" t="s">
        <v>8079</v>
      </c>
      <c r="L20" s="736" t="s">
        <v>8080</v>
      </c>
      <c r="M20" s="736" t="s">
        <v>7863</v>
      </c>
      <c r="N20" s="736" t="s">
        <v>8081</v>
      </c>
      <c r="O20" s="736" t="s">
        <v>8082</v>
      </c>
      <c r="P20" s="736" t="s">
        <v>8083</v>
      </c>
      <c r="Q20" s="1194"/>
      <c r="R20" s="736" t="s">
        <v>7964</v>
      </c>
      <c r="S20" s="114" t="s">
        <v>8084</v>
      </c>
      <c r="T20" s="1152"/>
      <c r="U20" s="1251" t="s">
        <v>8085</v>
      </c>
      <c r="V20" s="736" t="s">
        <v>8086</v>
      </c>
      <c r="W20" s="1193" t="s">
        <v>8087</v>
      </c>
      <c r="X20" s="736" t="s">
        <v>8088</v>
      </c>
      <c r="Y20" s="736" t="s">
        <v>245</v>
      </c>
      <c r="Z20" s="1152"/>
      <c r="AA20" s="1152"/>
      <c r="AB20" s="1194"/>
      <c r="AC20" s="1193" t="s">
        <v>8089</v>
      </c>
      <c r="AD20" s="736" t="s">
        <v>4009</v>
      </c>
      <c r="AE20" s="1152"/>
      <c r="AF20" s="1152"/>
      <c r="AG20" s="1194"/>
      <c r="AH20" s="1194"/>
      <c r="AI20" s="1194"/>
      <c r="AJ20" s="1194"/>
      <c r="AK20" s="1194"/>
      <c r="AL20" s="1152"/>
      <c r="AM20" s="736"/>
      <c r="AN20" s="1152"/>
      <c r="AO20" s="1152"/>
      <c r="AP20" s="736" t="s">
        <v>7877</v>
      </c>
      <c r="AQ20" s="736"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6"/>
      <c r="K21" s="1193" t="s">
        <v>8093</v>
      </c>
      <c r="L21" s="1193"/>
      <c r="M21" s="736"/>
      <c r="N21" s="736"/>
      <c r="O21" s="1193" t="s">
        <v>8094</v>
      </c>
      <c r="P21" s="736"/>
      <c r="Q21" s="1194"/>
      <c r="R21" s="1152"/>
      <c r="S21" s="1152"/>
      <c r="T21" s="736"/>
      <c r="U21" s="1193" t="s">
        <v>8095</v>
      </c>
      <c r="V21" s="1193"/>
      <c r="W21" s="1193" t="s">
        <v>2253</v>
      </c>
      <c r="X21" s="736"/>
      <c r="Y21" s="1193" t="s">
        <v>3164</v>
      </c>
      <c r="Z21" s="736"/>
      <c r="AA21" s="736"/>
      <c r="AB21" s="1193"/>
      <c r="AC21" s="1193" t="s">
        <v>8096</v>
      </c>
      <c r="AD21" s="1193" t="s">
        <v>4752</v>
      </c>
      <c r="AE21" s="736"/>
      <c r="AF21" s="736"/>
      <c r="AG21" s="1193"/>
      <c r="AH21" s="1194"/>
      <c r="AI21" s="1194"/>
      <c r="AJ21" s="1194"/>
      <c r="AK21" s="1194"/>
      <c r="AL21" s="1152"/>
      <c r="AM21" s="1193" t="s">
        <v>8009</v>
      </c>
      <c r="AN21" s="1152"/>
      <c r="AO21" s="1152"/>
      <c r="AP21" s="1193" t="s">
        <v>8097</v>
      </c>
      <c r="AQ21" s="736"/>
      <c r="AR21" s="1193" t="s">
        <v>8098</v>
      </c>
      <c r="AS21" s="736"/>
      <c r="AT21" s="1193" t="s">
        <v>8099</v>
      </c>
      <c r="AU21" s="1193" t="s">
        <v>8100</v>
      </c>
      <c r="AV21" s="736"/>
      <c r="AW21" s="736"/>
      <c r="AX21" s="1152"/>
      <c r="AY21" s="1152"/>
      <c r="AZ21" s="1193" t="s">
        <v>5020</v>
      </c>
      <c r="BA21" s="736"/>
      <c r="BB21" s="1193" t="s">
        <v>7832</v>
      </c>
      <c r="BC21" s="1193" t="s">
        <v>7954</v>
      </c>
      <c r="BD21" s="1193" t="s">
        <v>7995</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6"/>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6"/>
      <c r="K23" s="736" t="s">
        <v>8111</v>
      </c>
      <c r="L23" s="1193"/>
      <c r="M23" s="1152"/>
      <c r="N23" s="1194" t="s">
        <v>8112</v>
      </c>
      <c r="O23" s="1152"/>
      <c r="P23" s="1152"/>
      <c r="Q23" s="1194"/>
      <c r="R23" s="1193" t="s">
        <v>8113</v>
      </c>
      <c r="S23" s="1152"/>
      <c r="T23" s="1193" t="s">
        <v>8114</v>
      </c>
      <c r="U23" s="1193" t="s">
        <v>8115</v>
      </c>
      <c r="V23" s="1193"/>
      <c r="W23" s="1193" t="s">
        <v>5159</v>
      </c>
      <c r="X23" s="736"/>
      <c r="Y23" s="1193" t="s">
        <v>1013</v>
      </c>
      <c r="Z23" s="1194" t="s">
        <v>8116</v>
      </c>
      <c r="AA23" s="1152"/>
      <c r="AB23" s="1194"/>
      <c r="AC23" s="736"/>
      <c r="AD23" s="1193" t="s">
        <v>1828</v>
      </c>
      <c r="AE23" s="736"/>
      <c r="AF23" s="736"/>
      <c r="AG23" s="1193"/>
      <c r="AH23" s="1193"/>
      <c r="AI23" s="1194" t="s">
        <v>8117</v>
      </c>
      <c r="AJ23" s="1194"/>
      <c r="AK23" s="1194"/>
      <c r="AL23" s="1152"/>
      <c r="AM23" s="1194" t="s">
        <v>8118</v>
      </c>
      <c r="AN23" s="1152"/>
      <c r="AO23" s="1152"/>
      <c r="AP23" s="736" t="s">
        <v>8119</v>
      </c>
      <c r="AQ23" s="1152"/>
      <c r="AR23" s="1194" t="s">
        <v>8120</v>
      </c>
      <c r="AS23" s="1152"/>
      <c r="AT23" s="1194" t="s">
        <v>8121</v>
      </c>
      <c r="AU23" s="736" t="s">
        <v>8122</v>
      </c>
      <c r="AV23" s="736"/>
      <c r="AW23" s="736" t="s">
        <v>8009</v>
      </c>
      <c r="AX23" s="1152"/>
      <c r="AY23" s="1194" t="s">
        <v>8013</v>
      </c>
      <c r="AZ23" s="736"/>
      <c r="BA23" s="736"/>
      <c r="BB23" s="1194" t="s">
        <v>8123</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6"/>
      <c r="N24" s="1193" t="s">
        <v>8126</v>
      </c>
      <c r="O24" s="1193" t="s">
        <v>8127</v>
      </c>
      <c r="P24" s="1193" t="s">
        <v>8128</v>
      </c>
      <c r="Q24" s="1193" t="s">
        <v>8129</v>
      </c>
      <c r="R24" s="1193" t="s">
        <v>8130</v>
      </c>
      <c r="S24" s="1193" t="s">
        <v>5158</v>
      </c>
      <c r="T24" s="1193" t="s">
        <v>8131</v>
      </c>
      <c r="U24" s="1193" t="s">
        <v>8132</v>
      </c>
      <c r="V24" s="1193"/>
      <c r="W24" s="1193" t="s">
        <v>5830</v>
      </c>
      <c r="X24" s="736"/>
      <c r="Y24" s="1152"/>
      <c r="Z24" s="1152"/>
      <c r="AA24" s="1152"/>
      <c r="AB24" s="1194"/>
      <c r="AC24" s="1193" t="s">
        <v>8133</v>
      </c>
      <c r="AD24" s="1193" t="s">
        <v>8134</v>
      </c>
      <c r="AE24" s="736"/>
      <c r="AF24" s="1193" t="s">
        <v>7247</v>
      </c>
      <c r="AG24" s="1193"/>
      <c r="AH24" s="1193" t="s">
        <v>8135</v>
      </c>
      <c r="AI24" s="1193"/>
      <c r="AJ24" s="1193"/>
      <c r="AK24" s="1194"/>
      <c r="AL24" s="1152"/>
      <c r="AM24" s="1193" t="s">
        <v>8136</v>
      </c>
      <c r="AN24" s="1193" t="s">
        <v>7969</v>
      </c>
      <c r="AO24" s="1193" t="s">
        <v>7900</v>
      </c>
      <c r="AP24" s="1193" t="s">
        <v>8137</v>
      </c>
      <c r="AQ24" s="736"/>
      <c r="AR24" s="1193" t="s">
        <v>8052</v>
      </c>
      <c r="AS24" s="736"/>
      <c r="AT24" s="1193" t="s">
        <v>8138</v>
      </c>
      <c r="AU24" s="1193" t="s">
        <v>8139</v>
      </c>
      <c r="AV24" s="736"/>
      <c r="AW24" s="1193" t="s">
        <v>7959</v>
      </c>
      <c r="AX24" s="736"/>
      <c r="AY24" s="1193" t="s">
        <v>8040</v>
      </c>
      <c r="AZ24" s="1152"/>
      <c r="BA24" s="1152"/>
      <c r="BB24" s="1193" t="s">
        <v>7985</v>
      </c>
      <c r="BC24" s="736" t="s">
        <v>8040</v>
      </c>
      <c r="BD24" s="1193" t="s">
        <v>8054</v>
      </c>
      <c r="BE24" s="1193"/>
      <c r="BF24" s="736"/>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39" t="s">
        <v>4749</v>
      </c>
    </row>
    <row r="25">
      <c r="A25" s="1214" t="s">
        <v>6275</v>
      </c>
      <c r="B25" s="983" t="s">
        <v>8147</v>
      </c>
      <c r="C25" s="984" t="s">
        <v>1413</v>
      </c>
      <c r="D25" s="985" t="s">
        <v>736</v>
      </c>
      <c r="E25" s="986" t="s">
        <v>1413</v>
      </c>
      <c r="F25" s="987" t="s">
        <v>1058</v>
      </c>
      <c r="G25" s="983" t="s">
        <v>4084</v>
      </c>
      <c r="H25" s="1223"/>
      <c r="I25" s="1223" t="s">
        <v>8148</v>
      </c>
      <c r="J25" s="736"/>
      <c r="K25" s="736" t="s">
        <v>8149</v>
      </c>
      <c r="L25" s="1191" t="s">
        <v>3482</v>
      </c>
      <c r="M25" s="1152"/>
      <c r="N25" s="1152"/>
      <c r="O25" s="1152"/>
      <c r="P25" s="736" t="s">
        <v>8150</v>
      </c>
      <c r="Q25" s="1194"/>
      <c r="R25" s="708" t="s">
        <v>8151</v>
      </c>
      <c r="S25" s="1152"/>
      <c r="T25" s="1152"/>
      <c r="U25" s="736" t="s">
        <v>748</v>
      </c>
      <c r="V25" s="1193"/>
      <c r="W25" s="1193" t="s">
        <v>4337</v>
      </c>
      <c r="X25" s="736" t="s">
        <v>3239</v>
      </c>
      <c r="Y25" s="708" t="s">
        <v>8152</v>
      </c>
      <c r="Z25" s="1152"/>
      <c r="AA25" s="1152"/>
      <c r="AB25" s="1194"/>
      <c r="AC25" s="1193" t="s">
        <v>8153</v>
      </c>
      <c r="AD25" s="1193" t="s">
        <v>8154</v>
      </c>
      <c r="AE25" s="736"/>
      <c r="AF25" s="1193" t="s">
        <v>8155</v>
      </c>
      <c r="AG25" s="1193"/>
      <c r="AH25" s="1193" t="s">
        <v>8156</v>
      </c>
      <c r="AI25" s="1194"/>
      <c r="AJ25" s="1194"/>
      <c r="AK25" s="739" t="s">
        <v>3530</v>
      </c>
      <c r="AL25" s="1208"/>
      <c r="AM25" s="1152"/>
      <c r="AN25" s="1152"/>
      <c r="AO25" s="1152"/>
      <c r="AP25" s="1152"/>
      <c r="AQ25" s="1152"/>
      <c r="AR25" s="1193" t="s">
        <v>8157</v>
      </c>
      <c r="AS25" s="736"/>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6" t="s">
        <v>8160</v>
      </c>
      <c r="L27" s="1194"/>
      <c r="M27" s="1152"/>
      <c r="N27" s="1152"/>
      <c r="O27" s="1152"/>
      <c r="P27" s="736" t="s">
        <v>8161</v>
      </c>
      <c r="Q27" s="1194"/>
      <c r="R27" s="1152"/>
      <c r="S27" s="1152"/>
      <c r="T27" s="1152"/>
      <c r="U27" s="1190" t="s">
        <v>8162</v>
      </c>
      <c r="V27" s="1194"/>
      <c r="W27" s="1152"/>
      <c r="X27" s="736" t="s">
        <v>6463</v>
      </c>
      <c r="Y27" s="708" t="s">
        <v>3757</v>
      </c>
      <c r="Z27" s="1152"/>
      <c r="AA27" s="736" t="s">
        <v>8163</v>
      </c>
      <c r="AB27" s="1194"/>
      <c r="AC27" s="736" t="s">
        <v>8164</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6" t="s">
        <v>8166</v>
      </c>
      <c r="L29" s="1194"/>
      <c r="M29" s="736" t="s">
        <v>8167</v>
      </c>
      <c r="N29" s="1152"/>
      <c r="O29" s="1152"/>
      <c r="P29" s="1193" t="s">
        <v>8168</v>
      </c>
      <c r="Q29" s="1194"/>
      <c r="R29" s="1152"/>
      <c r="S29" s="736" t="s">
        <v>3567</v>
      </c>
      <c r="T29" s="736"/>
      <c r="U29" s="1193" t="s">
        <v>3470</v>
      </c>
      <c r="V29" s="1194"/>
      <c r="W29" s="1152"/>
      <c r="X29" s="736" t="s">
        <v>8169</v>
      </c>
      <c r="Y29" s="736" t="s">
        <v>4986</v>
      </c>
      <c r="Z29" s="1152"/>
      <c r="AA29" s="736" t="s">
        <v>8170</v>
      </c>
      <c r="AB29" s="1194"/>
      <c r="AC29" s="736" t="s">
        <v>8171</v>
      </c>
      <c r="AD29" s="736" t="s">
        <v>5911</v>
      </c>
      <c r="AE29" s="736" t="s">
        <v>8172</v>
      </c>
      <c r="AF29" s="736" t="s">
        <v>7515</v>
      </c>
      <c r="AG29" s="1194"/>
      <c r="AH29" s="1194"/>
      <c r="AI29" s="1194"/>
      <c r="AJ29" s="1194"/>
      <c r="AK29" s="1194"/>
      <c r="AL29" s="1152"/>
      <c r="AM29" s="1152"/>
      <c r="AN29" s="736" t="s">
        <v>8173</v>
      </c>
      <c r="AO29" s="1193" t="s">
        <v>8174</v>
      </c>
      <c r="AP29" s="1152"/>
      <c r="AQ29" s="736" t="s">
        <v>7899</v>
      </c>
      <c r="AR29" s="1152"/>
      <c r="AS29" s="1152"/>
      <c r="AT29" s="1152"/>
      <c r="AU29" s="736"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6362</v>
      </c>
      <c r="J31" s="1152"/>
      <c r="K31" s="736" t="s">
        <v>8178</v>
      </c>
      <c r="L31" s="1194"/>
      <c r="M31" s="1152"/>
      <c r="N31" s="1152"/>
      <c r="O31" s="1152"/>
      <c r="P31" s="736" t="s">
        <v>8179</v>
      </c>
      <c r="Q31" s="1194"/>
      <c r="R31" s="1152"/>
      <c r="S31" s="1152"/>
      <c r="T31" s="736" t="s">
        <v>8180</v>
      </c>
      <c r="U31" s="736" t="s">
        <v>8181</v>
      </c>
      <c r="V31" s="1194"/>
      <c r="W31" s="736" t="s">
        <v>246</v>
      </c>
      <c r="X31" s="736" t="s">
        <v>8182</v>
      </c>
      <c r="Y31" s="736"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6" t="s">
        <v>8053</v>
      </c>
      <c r="AT31" s="1152"/>
      <c r="AU31" s="736" t="s">
        <v>8157</v>
      </c>
      <c r="AV31" s="1152"/>
      <c r="AW31" s="1152"/>
      <c r="AX31" s="1152"/>
      <c r="AY31" s="1152"/>
      <c r="AZ31" s="736" t="s">
        <v>2290</v>
      </c>
      <c r="BA31" s="1152"/>
      <c r="BB31" s="1190" t="s">
        <v>8183</v>
      </c>
      <c r="BC31" s="736" t="s">
        <v>7800</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5812</v>
      </c>
      <c r="Z32" s="1152"/>
      <c r="AA32" s="1152"/>
      <c r="AB32" s="1194"/>
      <c r="AC32" s="1193" t="s">
        <v>8184</v>
      </c>
      <c r="AD32" s="736" t="s">
        <v>2106</v>
      </c>
      <c r="AE32" s="736"/>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6" t="s">
        <v>8187</v>
      </c>
      <c r="V33" s="736" t="s">
        <v>8188</v>
      </c>
      <c r="W33" s="1152"/>
      <c r="X33" s="736" t="s">
        <v>8189</v>
      </c>
      <c r="Y33" s="736" t="s">
        <v>8190</v>
      </c>
      <c r="Z33" s="1152"/>
      <c r="AA33" s="1152"/>
      <c r="AB33" s="1194"/>
      <c r="AC33" s="708" t="s">
        <v>1565</v>
      </c>
      <c r="AD33" s="736" t="s">
        <v>5392</v>
      </c>
      <c r="AE33" s="1152"/>
      <c r="AF33" s="1152"/>
      <c r="AG33" s="1194"/>
      <c r="AH33" s="1194"/>
      <c r="AI33" s="1194"/>
      <c r="AJ33" s="1194"/>
      <c r="AK33" s="1194"/>
      <c r="AL33" s="1152"/>
      <c r="AM33" s="736" t="s">
        <v>8191</v>
      </c>
      <c r="AN33" s="1152"/>
      <c r="AO33" s="1152"/>
      <c r="AP33" s="736" t="s">
        <v>7855</v>
      </c>
      <c r="AQ33" s="1152"/>
      <c r="AR33" s="1152"/>
      <c r="AS33" s="1152"/>
      <c r="AT33" s="1152"/>
      <c r="AU33" s="736"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8196</v>
      </c>
      <c r="S40" s="1152"/>
      <c r="T40" s="1152"/>
      <c r="U40" s="736"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6" t="s">
        <v>8199</v>
      </c>
      <c r="L42" s="1194"/>
      <c r="M42" s="1152"/>
      <c r="N42" s="1152"/>
      <c r="O42" s="1152"/>
      <c r="P42" s="1152"/>
      <c r="Q42" s="1194"/>
      <c r="R42" s="1152"/>
      <c r="S42" s="1152"/>
      <c r="T42" s="1152"/>
      <c r="U42" s="1152"/>
      <c r="V42" s="1194"/>
      <c r="W42" s="1193" t="s">
        <v>6173</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7826</v>
      </c>
      <c r="AV42" s="736"/>
      <c r="AW42" s="1152"/>
      <c r="AX42" s="1152"/>
      <c r="AY42" s="1152"/>
      <c r="AZ42" s="1152"/>
      <c r="BA42" s="1152"/>
      <c r="BB42" s="1152"/>
      <c r="BC42" s="736"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6" t="s">
        <v>8207</v>
      </c>
      <c r="X50" s="736" t="s">
        <v>8207</v>
      </c>
      <c r="Y50" s="1152"/>
      <c r="Z50" s="1152"/>
      <c r="AA50" s="1152"/>
      <c r="AB50" s="1194"/>
      <c r="AC50" s="1152"/>
      <c r="AD50" s="1152"/>
      <c r="AE50" s="1152"/>
      <c r="AF50" s="1152"/>
      <c r="AG50" s="1194"/>
      <c r="AH50" s="1194"/>
      <c r="AI50" s="1194"/>
      <c r="AJ50" s="1194"/>
      <c r="AK50" s="1194"/>
      <c r="AL50" s="1152"/>
      <c r="AM50" s="1152"/>
      <c r="AN50" s="1152"/>
      <c r="AO50" s="1152"/>
      <c r="AP50" s="736"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283"/>
      <c r="L2" s="1283"/>
      <c r="M2" s="1283"/>
      <c r="N2" s="1284" t="s">
        <v>54</v>
      </c>
      <c r="O2" s="1285"/>
      <c r="P2" s="1285"/>
      <c r="Q2" s="42" t="s">
        <v>48</v>
      </c>
      <c r="R2" s="42" t="s">
        <v>8219</v>
      </c>
      <c r="S2" s="1286"/>
      <c r="T2" s="44" t="s">
        <v>50</v>
      </c>
      <c r="U2" s="44" t="s">
        <v>54</v>
      </c>
      <c r="V2" s="44" t="s">
        <v>62</v>
      </c>
      <c r="W2" s="45" t="s">
        <v>52</v>
      </c>
      <c r="X2" s="1287"/>
      <c r="Y2" s="1287"/>
      <c r="Z2" s="47" t="s">
        <v>51</v>
      </c>
      <c r="AA2" s="1288" t="s">
        <v>8220</v>
      </c>
      <c r="AB2" s="1289"/>
      <c r="AC2" s="1290" t="s">
        <v>8221</v>
      </c>
      <c r="AD2" s="1291"/>
      <c r="AE2" s="1291"/>
      <c r="AF2" s="1292"/>
      <c r="AG2" s="1292"/>
    </row>
    <row r="3">
      <c r="A3" s="1293" t="s">
        <v>4082</v>
      </c>
      <c r="B3" s="1294" t="s">
        <v>219</v>
      </c>
      <c r="C3" s="1295" t="s">
        <v>736</v>
      </c>
      <c r="D3" s="1296" t="s">
        <v>736</v>
      </c>
      <c r="E3" s="1297" t="s">
        <v>433</v>
      </c>
      <c r="F3" s="1298" t="s">
        <v>1058</v>
      </c>
      <c r="G3" s="1294" t="s">
        <v>1058</v>
      </c>
      <c r="H3" s="1209"/>
      <c r="I3" s="1299"/>
      <c r="J3" s="1299"/>
      <c r="K3" s="1300"/>
      <c r="L3" s="1194"/>
      <c r="M3" s="1194"/>
      <c r="N3" s="1194"/>
      <c r="O3" s="1194"/>
      <c r="P3" s="1194"/>
      <c r="Q3" s="1192" t="s">
        <v>5948</v>
      </c>
      <c r="R3" s="842"/>
      <c r="S3" s="1209"/>
      <c r="T3" s="1256" t="s">
        <v>6647</v>
      </c>
      <c r="U3" s="1194"/>
      <c r="V3" s="1194"/>
      <c r="W3" s="1256" t="s">
        <v>8222</v>
      </c>
      <c r="X3" s="1194"/>
      <c r="Y3" s="1194"/>
      <c r="Z3" s="1301" t="s">
        <v>8223</v>
      </c>
      <c r="AA3" s="1194"/>
      <c r="AB3" s="1194"/>
      <c r="AC3" s="1194"/>
      <c r="AD3" s="1194"/>
      <c r="AE3" s="1194"/>
      <c r="AF3" s="1302"/>
      <c r="AG3" s="1302"/>
    </row>
    <row r="4">
      <c r="A4" s="1303" t="s">
        <v>5307</v>
      </c>
      <c r="B4" s="1294" t="s">
        <v>985</v>
      </c>
      <c r="C4" s="1295" t="s">
        <v>736</v>
      </c>
      <c r="D4" s="1296" t="s">
        <v>736</v>
      </c>
      <c r="E4" s="1297" t="s">
        <v>736</v>
      </c>
      <c r="F4" s="1298" t="s">
        <v>1058</v>
      </c>
      <c r="G4" s="1294" t="s">
        <v>1058</v>
      </c>
      <c r="H4" s="1194"/>
      <c r="I4" s="92"/>
      <c r="J4" s="92"/>
      <c r="K4" s="1194"/>
      <c r="L4" s="1194"/>
      <c r="M4" s="1194"/>
      <c r="N4" s="1194"/>
      <c r="O4" s="1194"/>
      <c r="P4" s="1194"/>
      <c r="Q4" s="1189" t="s">
        <v>5825</v>
      </c>
      <c r="R4" s="1152"/>
      <c r="S4" s="1194"/>
      <c r="T4" s="1191" t="s">
        <v>2096</v>
      </c>
      <c r="U4" s="1194"/>
      <c r="V4" s="1194"/>
      <c r="W4" s="1192" t="s">
        <v>8224</v>
      </c>
      <c r="X4" s="1194"/>
      <c r="Y4" s="1194"/>
      <c r="Z4" s="708" t="s">
        <v>1240</v>
      </c>
      <c r="AA4" s="1194"/>
      <c r="AB4" s="1194"/>
      <c r="AC4" s="1194"/>
      <c r="AD4" s="1194"/>
      <c r="AE4" s="1194"/>
      <c r="AF4" s="1302"/>
      <c r="AG4" s="1302"/>
    </row>
    <row r="5">
      <c r="A5" s="1293" t="s">
        <v>3788</v>
      </c>
      <c r="B5" s="1294" t="s">
        <v>1195</v>
      </c>
      <c r="C5" s="1295" t="s">
        <v>1413</v>
      </c>
      <c r="D5" s="1296" t="s">
        <v>736</v>
      </c>
      <c r="E5" s="1297" t="s">
        <v>1413</v>
      </c>
      <c r="F5" s="1298" t="s">
        <v>539</v>
      </c>
      <c r="G5" s="1294" t="s">
        <v>329</v>
      </c>
      <c r="H5" s="1194"/>
      <c r="I5" s="92"/>
      <c r="J5" s="92"/>
      <c r="K5" s="1194"/>
      <c r="L5" s="1194"/>
      <c r="M5" s="1194"/>
      <c r="N5" s="1194"/>
      <c r="O5" s="1194"/>
      <c r="P5" s="1194"/>
      <c r="Q5" s="1191" t="s">
        <v>4472</v>
      </c>
      <c r="R5" s="1211" t="s">
        <v>1575</v>
      </c>
      <c r="S5" s="1194"/>
      <c r="T5" s="708" t="s">
        <v>1039</v>
      </c>
      <c r="U5" s="1194"/>
      <c r="V5" s="1194"/>
      <c r="W5" s="708" t="s">
        <v>8225</v>
      </c>
      <c r="X5" s="1194"/>
      <c r="Y5" s="1194"/>
      <c r="Z5" s="1193" t="s">
        <v>8226</v>
      </c>
      <c r="AA5" s="1194"/>
      <c r="AB5" s="1194"/>
      <c r="AC5" s="1194"/>
      <c r="AD5" s="1194"/>
      <c r="AE5" s="1194"/>
      <c r="AF5" s="1302"/>
      <c r="AG5" s="1302"/>
    </row>
    <row r="6">
      <c r="A6" s="1293" t="s">
        <v>2409</v>
      </c>
      <c r="B6" s="1294" t="s">
        <v>1195</v>
      </c>
      <c r="C6" s="1295" t="s">
        <v>736</v>
      </c>
      <c r="D6" s="1296" t="s">
        <v>736</v>
      </c>
      <c r="E6" s="1297" t="s">
        <v>1413</v>
      </c>
      <c r="F6" s="1298" t="s">
        <v>539</v>
      </c>
      <c r="G6" s="1294" t="s">
        <v>539</v>
      </c>
      <c r="H6" s="1194"/>
      <c r="I6" s="92"/>
      <c r="J6" s="1299"/>
      <c r="K6" s="1194"/>
      <c r="L6" s="1194"/>
      <c r="M6" s="1194"/>
      <c r="N6" s="1194"/>
      <c r="O6" s="1194"/>
      <c r="P6" s="1194"/>
      <c r="Q6" s="1194"/>
      <c r="R6" s="1152"/>
      <c r="S6" s="1194"/>
      <c r="T6" s="1200" t="s">
        <v>1648</v>
      </c>
      <c r="U6" s="92"/>
      <c r="V6" s="706" t="s">
        <v>7504</v>
      </c>
      <c r="W6" s="1152"/>
      <c r="X6" s="1194"/>
      <c r="Y6" s="1194"/>
      <c r="Z6" s="1194"/>
      <c r="AA6" s="1194"/>
      <c r="AB6" s="1194"/>
      <c r="AC6" s="708" t="s">
        <v>214</v>
      </c>
      <c r="AD6" s="1194"/>
      <c r="AE6" s="1194"/>
      <c r="AF6" s="1302"/>
      <c r="AG6" s="1302"/>
    </row>
    <row r="7">
      <c r="A7" s="1157" t="s">
        <v>7627</v>
      </c>
      <c r="B7" s="1294" t="s">
        <v>910</v>
      </c>
      <c r="C7" s="1295" t="s">
        <v>1413</v>
      </c>
      <c r="D7" s="1296" t="s">
        <v>1413</v>
      </c>
      <c r="E7" s="1297" t="s">
        <v>736</v>
      </c>
      <c r="F7" s="1298" t="s">
        <v>1058</v>
      </c>
      <c r="G7" s="1294" t="s">
        <v>1058</v>
      </c>
      <c r="H7" s="1209"/>
      <c r="I7" s="1299"/>
      <c r="J7" s="1299"/>
      <c r="K7" s="1300"/>
      <c r="L7" s="1300"/>
      <c r="M7" s="1304"/>
      <c r="N7" s="1304"/>
      <c r="O7" s="1304"/>
      <c r="P7" s="1304"/>
      <c r="Q7" s="708" t="s">
        <v>355</v>
      </c>
      <c r="R7" s="842"/>
      <c r="S7" s="1209"/>
      <c r="T7" s="739" t="s">
        <v>1604</v>
      </c>
      <c r="U7" s="1194"/>
      <c r="V7" s="1194"/>
      <c r="W7" s="739" t="s">
        <v>637</v>
      </c>
      <c r="X7" s="1304"/>
      <c r="Y7" s="1304"/>
      <c r="Z7" s="1256" t="s">
        <v>6595</v>
      </c>
      <c r="AA7" s="1304"/>
      <c r="AB7" s="1304"/>
      <c r="AC7" s="1194"/>
      <c r="AD7" s="1304"/>
      <c r="AE7" s="1304"/>
      <c r="AF7" s="1305"/>
      <c r="AG7" s="1305"/>
    </row>
    <row r="8">
      <c r="A8" s="1293" t="s">
        <v>982</v>
      </c>
      <c r="B8" s="1294" t="s">
        <v>910</v>
      </c>
      <c r="C8" s="1295" t="s">
        <v>433</v>
      </c>
      <c r="D8" s="1296" t="s">
        <v>736</v>
      </c>
      <c r="E8" s="1297" t="s">
        <v>1413</v>
      </c>
      <c r="F8" s="1298" t="s">
        <v>539</v>
      </c>
      <c r="G8" s="1294" t="s">
        <v>539</v>
      </c>
      <c r="H8" s="1194"/>
      <c r="I8" s="92"/>
      <c r="J8" s="92"/>
      <c r="K8" s="842"/>
      <c r="L8" s="1306"/>
      <c r="M8" s="736"/>
      <c r="N8" s="941"/>
      <c r="O8" s="1194"/>
      <c r="P8" s="1194"/>
      <c r="Q8" s="1194"/>
      <c r="R8" s="1191" t="s">
        <v>4140</v>
      </c>
      <c r="S8" s="1194"/>
      <c r="T8" s="1194"/>
      <c r="U8" s="1194"/>
      <c r="V8" s="1194"/>
      <c r="W8" s="1152"/>
      <c r="X8" s="1194"/>
      <c r="Y8" s="1194"/>
      <c r="Z8" s="1192" t="s">
        <v>8227</v>
      </c>
      <c r="AA8" s="1192" t="s">
        <v>6116</v>
      </c>
      <c r="AB8" s="1194"/>
      <c r="AC8" s="1194"/>
      <c r="AD8" s="1194"/>
      <c r="AE8" s="1194"/>
      <c r="AF8" s="1302"/>
      <c r="AG8" s="1302"/>
    </row>
    <row r="9">
      <c r="A9" s="1027" t="s">
        <v>822</v>
      </c>
      <c r="B9" s="1294" t="s">
        <v>434</v>
      </c>
      <c r="C9" s="1295" t="s">
        <v>1413</v>
      </c>
      <c r="D9" s="1296" t="s">
        <v>736</v>
      </c>
      <c r="E9" s="1297" t="s">
        <v>1413</v>
      </c>
      <c r="F9" s="1298" t="s">
        <v>433</v>
      </c>
      <c r="G9" s="1294" t="s">
        <v>433</v>
      </c>
      <c r="H9" s="1307"/>
      <c r="I9" s="92"/>
      <c r="J9" s="92"/>
      <c r="K9" s="1194"/>
      <c r="L9" s="1194"/>
      <c r="M9" s="1194"/>
      <c r="N9" s="1194"/>
      <c r="O9" s="1194"/>
      <c r="P9" s="1194"/>
      <c r="Q9" s="1307"/>
      <c r="R9" s="1308"/>
      <c r="S9" s="1307"/>
      <c r="T9" s="1209"/>
      <c r="U9" s="92"/>
      <c r="V9" s="1191" t="s">
        <v>8228</v>
      </c>
      <c r="W9" s="1152"/>
      <c r="X9" s="1194"/>
      <c r="Y9" s="1194"/>
      <c r="Z9" s="1194"/>
      <c r="AA9" s="1194"/>
      <c r="AB9" s="1194"/>
      <c r="AC9" s="1191" t="s">
        <v>8229</v>
      </c>
      <c r="AD9" s="1194"/>
      <c r="AE9" s="1194"/>
      <c r="AF9" s="1302"/>
      <c r="AG9" s="1302"/>
    </row>
    <row r="10">
      <c r="A10" s="1027" t="s">
        <v>431</v>
      </c>
      <c r="B10" s="1294" t="s">
        <v>640</v>
      </c>
      <c r="C10" s="1295" t="s">
        <v>736</v>
      </c>
      <c r="D10" s="1296" t="s">
        <v>1413</v>
      </c>
      <c r="E10" s="1297" t="s">
        <v>1413</v>
      </c>
      <c r="F10" s="1298" t="s">
        <v>736</v>
      </c>
      <c r="G10" s="1294" t="s">
        <v>736</v>
      </c>
      <c r="H10" s="1194"/>
      <c r="I10" s="92"/>
      <c r="J10" s="92"/>
      <c r="K10" s="1194"/>
      <c r="L10" s="1194"/>
      <c r="M10" s="1194"/>
      <c r="N10" s="1194"/>
      <c r="O10" s="1194"/>
      <c r="P10" s="1194"/>
      <c r="Q10" s="1194"/>
      <c r="R10" s="1152"/>
      <c r="S10" s="1194"/>
      <c r="T10" s="1194"/>
      <c r="U10" s="92"/>
      <c r="V10" s="1194"/>
      <c r="W10" s="1152"/>
      <c r="X10" s="1194"/>
      <c r="Y10" s="1194"/>
      <c r="Z10" s="1194"/>
      <c r="AA10" s="1194"/>
      <c r="AB10" s="1194"/>
      <c r="AC10" s="1309" t="s">
        <v>6620</v>
      </c>
      <c r="AD10" s="1194"/>
      <c r="AE10" s="1194"/>
      <c r="AF10" s="1302"/>
      <c r="AG10" s="1302"/>
    </row>
    <row r="11">
      <c r="A11" s="1157" t="s">
        <v>4412</v>
      </c>
      <c r="B11" s="1294" t="s">
        <v>640</v>
      </c>
      <c r="C11" s="1295" t="s">
        <v>736</v>
      </c>
      <c r="D11" s="1296" t="s">
        <v>1413</v>
      </c>
      <c r="E11" s="1297" t="s">
        <v>1413</v>
      </c>
      <c r="F11" s="1298" t="s">
        <v>736</v>
      </c>
      <c r="G11" s="1294" t="s">
        <v>736</v>
      </c>
      <c r="H11" s="1194"/>
      <c r="I11" s="92"/>
      <c r="J11" s="92"/>
      <c r="K11" s="1194"/>
      <c r="L11" s="1194"/>
      <c r="M11" s="1194"/>
      <c r="N11" s="1194"/>
      <c r="O11" s="1194"/>
      <c r="P11" s="1194"/>
      <c r="Q11" s="1194"/>
      <c r="R11" s="1152"/>
      <c r="S11" s="1194"/>
      <c r="T11" s="1209"/>
      <c r="U11" s="1194"/>
      <c r="V11" s="708" t="s">
        <v>8230</v>
      </c>
      <c r="W11" s="1152"/>
      <c r="X11" s="1194"/>
      <c r="Y11" s="1194"/>
      <c r="Z11" s="1194"/>
      <c r="AA11" s="1194"/>
      <c r="AB11" s="1194"/>
      <c r="AC11" s="1194"/>
      <c r="AD11" s="1194"/>
      <c r="AE11" s="1194"/>
      <c r="AF11" s="1302"/>
      <c r="AG11" s="1302"/>
    </row>
    <row r="12">
      <c r="A12" s="1293" t="s">
        <v>1128</v>
      </c>
      <c r="B12" s="1294" t="s">
        <v>329</v>
      </c>
      <c r="C12" s="1295" t="s">
        <v>736</v>
      </c>
      <c r="D12" s="1296" t="s">
        <v>1413</v>
      </c>
      <c r="E12" s="1297" t="s">
        <v>1413</v>
      </c>
      <c r="F12" s="1298" t="s">
        <v>736</v>
      </c>
      <c r="G12" s="1294" t="s">
        <v>736</v>
      </c>
      <c r="H12" s="1194"/>
      <c r="I12" s="92"/>
      <c r="J12" s="92"/>
      <c r="K12" s="1194"/>
      <c r="L12" s="1194"/>
      <c r="M12" s="1194"/>
      <c r="N12" s="1194"/>
      <c r="O12" s="1194"/>
      <c r="P12" s="1194"/>
      <c r="Q12" s="1194"/>
      <c r="R12" s="1152"/>
      <c r="S12" s="1194"/>
      <c r="T12" s="1194"/>
      <c r="U12" s="1194"/>
      <c r="V12" s="1194"/>
      <c r="W12" s="1192" t="s">
        <v>8224</v>
      </c>
      <c r="X12" s="1194"/>
      <c r="Y12" s="1194"/>
      <c r="Z12" s="1194"/>
      <c r="AA12" s="1194"/>
      <c r="AB12" s="1194"/>
      <c r="AC12" s="1194"/>
      <c r="AD12" s="1194"/>
      <c r="AE12" s="1194"/>
      <c r="AF12" s="1302"/>
      <c r="AG12" s="1302"/>
    </row>
    <row r="13">
      <c r="A13" s="1293" t="s">
        <v>1056</v>
      </c>
      <c r="B13" s="1294" t="s">
        <v>1058</v>
      </c>
      <c r="C13" s="1295" t="s">
        <v>1413</v>
      </c>
      <c r="D13" s="1296" t="s">
        <v>1413</v>
      </c>
      <c r="E13" s="1297" t="s">
        <v>736</v>
      </c>
      <c r="F13" s="1298" t="s">
        <v>736</v>
      </c>
      <c r="G13" s="1294" t="s">
        <v>736</v>
      </c>
      <c r="H13" s="1194"/>
      <c r="I13" s="92"/>
      <c r="J13" s="92"/>
      <c r="K13" s="708"/>
      <c r="L13" s="736"/>
      <c r="M13" s="706"/>
      <c r="N13" s="1194"/>
      <c r="O13" s="1194"/>
      <c r="P13" s="1194"/>
      <c r="Q13" s="1194"/>
      <c r="R13" s="1152"/>
      <c r="S13" s="1194"/>
      <c r="T13" s="1194"/>
      <c r="U13" s="92"/>
      <c r="V13" s="1194"/>
      <c r="W13" s="1152"/>
      <c r="X13" s="1194"/>
      <c r="Y13" s="1194"/>
      <c r="Z13" s="1194"/>
      <c r="AA13" s="1194"/>
      <c r="AB13" s="1194"/>
      <c r="AC13" s="1189" t="s">
        <v>8231</v>
      </c>
      <c r="AD13" s="1194"/>
      <c r="AE13" s="1194"/>
      <c r="AF13" s="1302"/>
      <c r="AG13" s="1302"/>
    </row>
    <row r="14">
      <c r="A14" s="1027" t="s">
        <v>638</v>
      </c>
      <c r="B14" s="1294" t="s">
        <v>1058</v>
      </c>
      <c r="C14" s="1295" t="s">
        <v>1413</v>
      </c>
      <c r="D14" s="1296" t="s">
        <v>1413</v>
      </c>
      <c r="E14" s="1297" t="s">
        <v>736</v>
      </c>
      <c r="F14" s="1298" t="s">
        <v>736</v>
      </c>
      <c r="G14" s="1294" t="s">
        <v>736</v>
      </c>
      <c r="H14" s="1194"/>
      <c r="I14" s="92"/>
      <c r="J14" s="92"/>
      <c r="K14" s="1194"/>
      <c r="L14" s="1194"/>
      <c r="M14" s="1194"/>
      <c r="N14" s="1194"/>
      <c r="O14" s="1194"/>
      <c r="P14" s="1194"/>
      <c r="Q14" s="1194"/>
      <c r="R14" s="1152"/>
      <c r="S14" s="1194"/>
      <c r="T14" s="1209"/>
      <c r="U14" s="92"/>
      <c r="V14" s="708" t="s">
        <v>5538</v>
      </c>
      <c r="W14" s="1152"/>
      <c r="X14" s="1194"/>
      <c r="Y14" s="1194"/>
      <c r="Z14" s="1194"/>
      <c r="AA14" s="1194"/>
      <c r="AB14" s="1194"/>
      <c r="AC14" s="1194"/>
      <c r="AD14" s="1194"/>
      <c r="AE14" s="1194"/>
      <c r="AF14" s="1302"/>
      <c r="AG14" s="1302"/>
    </row>
    <row r="15">
      <c r="A15" s="1293" t="s">
        <v>8035</v>
      </c>
      <c r="B15" s="1294" t="s">
        <v>1058</v>
      </c>
      <c r="C15" s="1295" t="s">
        <v>736</v>
      </c>
      <c r="D15" s="1296" t="s">
        <v>1413</v>
      </c>
      <c r="E15" s="1297" t="s">
        <v>1413</v>
      </c>
      <c r="F15" s="1298" t="s">
        <v>736</v>
      </c>
      <c r="G15" s="1294" t="s">
        <v>736</v>
      </c>
      <c r="H15" s="1194"/>
      <c r="I15" s="92"/>
      <c r="J15" s="92"/>
      <c r="K15" s="1194"/>
      <c r="L15" s="1194"/>
      <c r="M15" s="1194"/>
      <c r="N15" s="1194"/>
      <c r="O15" s="1194"/>
      <c r="P15" s="1194"/>
      <c r="Q15" s="1194"/>
      <c r="R15" s="1192" t="s">
        <v>5264</v>
      </c>
      <c r="S15" s="1194"/>
      <c r="T15" s="1194"/>
      <c r="U15" s="1194"/>
      <c r="V15" s="1194"/>
      <c r="W15" s="1152"/>
      <c r="X15" s="1194"/>
      <c r="Y15" s="1194"/>
      <c r="Z15" s="1194"/>
      <c r="AA15" s="1194"/>
      <c r="AB15" s="1194"/>
      <c r="AC15" s="1194"/>
      <c r="AD15" s="1194"/>
      <c r="AE15" s="1194"/>
      <c r="AF15" s="1302"/>
      <c r="AG15" s="1302"/>
    </row>
    <row r="16">
      <c r="A16" s="1157" t="s">
        <v>5336</v>
      </c>
      <c r="B16" s="1294" t="s">
        <v>539</v>
      </c>
      <c r="C16" s="1295" t="s">
        <v>1413</v>
      </c>
      <c r="D16" s="1296" t="s">
        <v>1413</v>
      </c>
      <c r="E16" s="1297" t="s">
        <v>1413</v>
      </c>
      <c r="F16" s="1298" t="s">
        <v>539</v>
      </c>
      <c r="G16" s="1294" t="s">
        <v>539</v>
      </c>
      <c r="H16" s="842"/>
      <c r="I16" s="1310"/>
      <c r="J16" s="1310"/>
      <c r="K16" s="1311"/>
      <c r="L16" s="1311"/>
      <c r="M16" s="1311"/>
      <c r="N16" s="1311"/>
      <c r="O16" s="1311"/>
      <c r="P16" s="1311"/>
      <c r="Q16" s="708" t="s">
        <v>3319</v>
      </c>
      <c r="R16" s="842"/>
      <c r="S16" s="842"/>
      <c r="T16" s="739" t="s">
        <v>6416</v>
      </c>
      <c r="U16" s="1152"/>
      <c r="V16" s="1152"/>
      <c r="W16" s="739" t="s">
        <v>1339</v>
      </c>
      <c r="X16" s="1311"/>
      <c r="Y16" s="1311"/>
      <c r="Z16" s="1312"/>
      <c r="AA16" s="1311"/>
      <c r="AB16" s="1311"/>
      <c r="AC16" s="736"/>
      <c r="AD16" s="1300"/>
      <c r="AE16" s="1300"/>
      <c r="AF16" s="1313"/>
      <c r="AG16" s="1314"/>
    </row>
    <row r="17">
      <c r="A17" s="1027" t="s">
        <v>1411</v>
      </c>
      <c r="B17" s="1294" t="s">
        <v>539</v>
      </c>
      <c r="C17" s="1295" t="s">
        <v>1413</v>
      </c>
      <c r="D17" s="1296" t="s">
        <v>1413</v>
      </c>
      <c r="E17" s="1297" t="s">
        <v>1413</v>
      </c>
      <c r="F17" s="1298" t="s">
        <v>736</v>
      </c>
      <c r="G17" s="1294" t="s">
        <v>736</v>
      </c>
      <c r="H17" s="1194"/>
      <c r="I17" s="92"/>
      <c r="J17" s="92"/>
      <c r="K17" s="1194"/>
      <c r="L17" s="842"/>
      <c r="M17" s="708"/>
      <c r="N17" s="842"/>
      <c r="O17" s="1194"/>
      <c r="P17" s="1194"/>
      <c r="Q17" s="1194"/>
      <c r="R17" s="1152"/>
      <c r="S17" s="1194"/>
      <c r="T17" s="1194"/>
      <c r="U17" s="92"/>
      <c r="V17" s="1194"/>
      <c r="W17" s="1152"/>
      <c r="X17" s="1194"/>
      <c r="Y17" s="1194"/>
      <c r="Z17" s="1194"/>
      <c r="AA17" s="1193"/>
      <c r="AB17" s="1194"/>
      <c r="AC17" s="706" t="s">
        <v>8232</v>
      </c>
      <c r="AD17" s="1194"/>
      <c r="AE17" s="1194"/>
      <c r="AF17" s="1302"/>
      <c r="AG17" s="1302"/>
    </row>
    <row r="18">
      <c r="A18" s="1027" t="s">
        <v>6221</v>
      </c>
      <c r="B18" s="1294" t="s">
        <v>539</v>
      </c>
      <c r="C18" s="1295" t="s">
        <v>1413</v>
      </c>
      <c r="D18" s="1296" t="s">
        <v>1413</v>
      </c>
      <c r="E18" s="1297" t="s">
        <v>1413</v>
      </c>
      <c r="F18" s="1298" t="s">
        <v>736</v>
      </c>
      <c r="G18" s="1294" t="s">
        <v>736</v>
      </c>
      <c r="H18" s="1194"/>
      <c r="I18" s="92"/>
      <c r="J18" s="1299"/>
      <c r="K18" s="708"/>
      <c r="L18" s="736"/>
      <c r="M18" s="706"/>
      <c r="N18" s="1194"/>
      <c r="O18" s="1194"/>
      <c r="P18" s="1194"/>
      <c r="Q18" s="1194"/>
      <c r="R18" s="1152"/>
      <c r="S18" s="1194"/>
      <c r="T18" s="1209"/>
      <c r="U18" s="92"/>
      <c r="V18" s="1189" t="s">
        <v>8233</v>
      </c>
      <c r="W18" s="1152"/>
      <c r="X18" s="1194"/>
      <c r="Y18" s="1194"/>
      <c r="Z18" s="1194"/>
      <c r="AA18" s="1194"/>
      <c r="AB18" s="1194"/>
      <c r="AC18" s="1194"/>
      <c r="AD18" s="1194"/>
      <c r="AE18" s="1194"/>
      <c r="AF18" s="1302"/>
      <c r="AG18" s="1302"/>
    </row>
    <row r="19">
      <c r="A19" s="1293" t="s">
        <v>1874</v>
      </c>
      <c r="B19" s="1294" t="s">
        <v>433</v>
      </c>
      <c r="C19" s="1295" t="s">
        <v>1413</v>
      </c>
      <c r="D19" s="1296" t="s">
        <v>1413</v>
      </c>
      <c r="E19" s="1297" t="s">
        <v>1413</v>
      </c>
      <c r="F19" s="1298" t="s">
        <v>736</v>
      </c>
      <c r="G19" s="1294" t="s">
        <v>736</v>
      </c>
      <c r="H19" s="1194"/>
      <c r="I19" s="92"/>
      <c r="J19" s="92"/>
      <c r="K19" s="1194"/>
      <c r="L19" s="1194"/>
      <c r="M19" s="1194"/>
      <c r="N19" s="1194"/>
      <c r="O19" s="1194"/>
      <c r="P19" s="1194"/>
      <c r="Q19" s="1194"/>
      <c r="R19" s="1152"/>
      <c r="S19" s="1194"/>
      <c r="T19" s="1194"/>
      <c r="U19" s="92"/>
      <c r="V19" s="1194"/>
      <c r="W19" s="1152"/>
      <c r="X19" s="1194"/>
      <c r="Y19" s="1194"/>
      <c r="Z19" s="1194"/>
      <c r="AA19" s="1194"/>
      <c r="AB19" s="1194"/>
      <c r="AC19" s="706" t="s">
        <v>8234</v>
      </c>
      <c r="AD19" s="1194"/>
      <c r="AE19" s="1194"/>
      <c r="AF19" s="1302"/>
      <c r="AG19" s="1302"/>
    </row>
    <row r="20">
      <c r="A20" s="1293" t="s">
        <v>6260</v>
      </c>
      <c r="B20" s="1294" t="s">
        <v>433</v>
      </c>
      <c r="C20" s="1295" t="s">
        <v>1413</v>
      </c>
      <c r="D20" s="1296" t="s">
        <v>1413</v>
      </c>
      <c r="E20" s="1297" t="s">
        <v>736</v>
      </c>
      <c r="F20" s="1298" t="s">
        <v>736</v>
      </c>
      <c r="G20" s="1294" t="s">
        <v>736</v>
      </c>
      <c r="H20" s="1194"/>
      <c r="I20" s="92"/>
      <c r="J20" s="92"/>
      <c r="K20" s="1194"/>
      <c r="L20" s="1194"/>
      <c r="M20" s="1194"/>
      <c r="N20" s="1194"/>
      <c r="O20" s="1194"/>
      <c r="P20" s="1194"/>
      <c r="Q20" s="1194"/>
      <c r="R20" s="1189" t="s">
        <v>765</v>
      </c>
      <c r="S20" s="1194"/>
      <c r="T20" s="1194"/>
      <c r="U20" s="1194"/>
      <c r="V20" s="1194"/>
      <c r="W20" s="1152"/>
      <c r="X20" s="1194"/>
      <c r="Y20" s="1194"/>
      <c r="Z20" s="1194"/>
      <c r="AA20" s="1194"/>
      <c r="AB20" s="1194"/>
      <c r="AC20" s="1194"/>
      <c r="AD20" s="1194"/>
      <c r="AE20" s="1194"/>
      <c r="AF20" s="1302"/>
      <c r="AG20" s="1302"/>
    </row>
    <row r="21">
      <c r="A21" s="1293" t="s">
        <v>215</v>
      </c>
      <c r="B21" s="1294" t="s">
        <v>736</v>
      </c>
      <c r="C21" s="1295" t="s">
        <v>1413</v>
      </c>
      <c r="D21" s="1296" t="s">
        <v>1413</v>
      </c>
      <c r="E21" s="1297" t="s">
        <v>1413</v>
      </c>
      <c r="F21" s="1298" t="s">
        <v>736</v>
      </c>
      <c r="G21" s="1294" t="s">
        <v>736</v>
      </c>
      <c r="H21" s="1307"/>
      <c r="I21" s="92"/>
      <c r="J21" s="92"/>
      <c r="K21" s="1194"/>
      <c r="L21" s="1194"/>
      <c r="M21" s="1194"/>
      <c r="N21" s="1194"/>
      <c r="O21" s="1194"/>
      <c r="P21" s="1194"/>
      <c r="Q21" s="1307"/>
      <c r="R21" s="1308"/>
      <c r="S21" s="1307"/>
      <c r="T21" s="1315"/>
      <c r="U21" s="92"/>
      <c r="V21" s="1200" t="s">
        <v>8235</v>
      </c>
      <c r="W21" s="1152"/>
      <c r="X21" s="1194"/>
      <c r="Y21" s="1194"/>
      <c r="Z21" s="1194"/>
      <c r="AA21" s="1194"/>
      <c r="AB21" s="1194"/>
      <c r="AC21" s="1194"/>
      <c r="AD21" s="1194"/>
      <c r="AE21" s="1194"/>
      <c r="AF21" s="1302"/>
      <c r="AG21" s="1302"/>
    </row>
    <row r="22">
      <c r="A22" s="1293" t="s">
        <v>2525</v>
      </c>
      <c r="B22" s="1294" t="s">
        <v>736</v>
      </c>
      <c r="C22" s="1295" t="s">
        <v>736</v>
      </c>
      <c r="D22" s="1296" t="s">
        <v>1413</v>
      </c>
      <c r="E22" s="1297" t="s">
        <v>1413</v>
      </c>
      <c r="F22" s="1298" t="s">
        <v>736</v>
      </c>
      <c r="G22" s="1294" t="s">
        <v>736</v>
      </c>
      <c r="H22" s="1194"/>
      <c r="I22" s="92"/>
      <c r="J22" s="92"/>
      <c r="K22" s="1194"/>
      <c r="L22" s="1194"/>
      <c r="M22" s="1194"/>
      <c r="N22" s="1194"/>
      <c r="O22" s="1194"/>
      <c r="P22" s="1194"/>
      <c r="Q22" s="1194"/>
      <c r="R22" s="1152"/>
      <c r="S22" s="1194"/>
      <c r="T22" s="1194"/>
      <c r="U22" s="1192" t="s">
        <v>8236</v>
      </c>
      <c r="V22" s="1194"/>
      <c r="W22" s="1152"/>
      <c r="X22" s="1194"/>
      <c r="Y22" s="1194"/>
      <c r="Z22" s="1194"/>
      <c r="AA22" s="1194"/>
      <c r="AB22" s="1194"/>
      <c r="AC22" s="1194"/>
      <c r="AD22" s="1194"/>
      <c r="AE22" s="1194"/>
      <c r="AF22" s="1302"/>
      <c r="AG22" s="1302"/>
    </row>
    <row r="23">
      <c r="A23" s="1157" t="s">
        <v>6030</v>
      </c>
      <c r="B23" s="1294" t="s">
        <v>736</v>
      </c>
      <c r="C23" s="1295" t="s">
        <v>736</v>
      </c>
      <c r="D23" s="1296" t="s">
        <v>1413</v>
      </c>
      <c r="E23" s="1297" t="s">
        <v>1413</v>
      </c>
      <c r="F23" s="1298" t="s">
        <v>736</v>
      </c>
      <c r="G23" s="1294" t="s">
        <v>736</v>
      </c>
      <c r="H23" s="1194"/>
      <c r="I23" s="92"/>
      <c r="J23" s="92"/>
      <c r="K23" s="1194"/>
      <c r="L23" s="1194"/>
      <c r="M23" s="1194"/>
      <c r="N23" s="1192" t="s">
        <v>2792</v>
      </c>
      <c r="O23" s="1194"/>
      <c r="P23" s="1194"/>
      <c r="Q23" s="1194"/>
      <c r="R23" s="1152"/>
      <c r="S23" s="1194"/>
      <c r="T23" s="1194"/>
      <c r="U23" s="1194"/>
      <c r="V23" s="1194"/>
      <c r="W23" s="1152"/>
      <c r="X23" s="1194"/>
      <c r="Y23" s="1194"/>
      <c r="Z23" s="1194"/>
      <c r="AA23" s="1194"/>
      <c r="AB23" s="1194"/>
      <c r="AC23" s="1194"/>
      <c r="AD23" s="1194"/>
      <c r="AE23" s="1194"/>
      <c r="AF23" s="1302"/>
      <c r="AG23" s="1302"/>
    </row>
    <row r="24">
      <c r="A24" s="1293"/>
      <c r="B24" s="1294" t="s">
        <v>1413</v>
      </c>
      <c r="C24" s="1295" t="s">
        <v>1413</v>
      </c>
      <c r="D24" s="1296" t="s">
        <v>1413</v>
      </c>
      <c r="E24" s="1297" t="s">
        <v>1413</v>
      </c>
      <c r="F24" s="1298" t="s">
        <v>1413</v>
      </c>
      <c r="G24" s="1294" t="s">
        <v>1413</v>
      </c>
      <c r="H24" s="1194"/>
      <c r="I24" s="92"/>
      <c r="J24" s="92"/>
      <c r="K24" s="1194"/>
      <c r="L24" s="1194"/>
      <c r="M24" s="1194"/>
      <c r="N24" s="1194"/>
      <c r="O24" s="1194"/>
      <c r="P24" s="1194"/>
      <c r="Q24" s="1194"/>
      <c r="R24" s="1152"/>
      <c r="S24" s="1194"/>
      <c r="T24" s="1194"/>
      <c r="U24" s="1194"/>
      <c r="V24" s="1194"/>
      <c r="W24" s="1152"/>
      <c r="X24" s="1194"/>
      <c r="Y24" s="1194"/>
      <c r="Z24" s="1194"/>
      <c r="AA24" s="1194"/>
      <c r="AB24" s="1194"/>
      <c r="AC24" s="1194"/>
      <c r="AD24" s="1194"/>
      <c r="AE24" s="1194"/>
      <c r="AF24" s="1302"/>
      <c r="AG24" s="1302"/>
    </row>
    <row r="25">
      <c r="A25" s="1293"/>
      <c r="B25" s="1294" t="s">
        <v>1413</v>
      </c>
      <c r="C25" s="1295" t="s">
        <v>1413</v>
      </c>
      <c r="D25" s="1296" t="s">
        <v>1413</v>
      </c>
      <c r="E25" s="1297" t="s">
        <v>1413</v>
      </c>
      <c r="F25" s="1298" t="s">
        <v>1413</v>
      </c>
      <c r="G25" s="1294" t="s">
        <v>1413</v>
      </c>
      <c r="H25" s="1194"/>
      <c r="I25" s="92"/>
      <c r="J25" s="92"/>
      <c r="K25" s="1194"/>
      <c r="L25" s="1194"/>
      <c r="M25" s="1194"/>
      <c r="N25" s="1194"/>
      <c r="O25" s="1194"/>
      <c r="P25" s="1194"/>
      <c r="Q25" s="1194"/>
      <c r="R25" s="1152"/>
      <c r="S25" s="1194"/>
      <c r="T25" s="1194"/>
      <c r="U25" s="1194"/>
      <c r="V25" s="1194"/>
      <c r="W25" s="1152"/>
      <c r="X25" s="1194"/>
      <c r="Y25" s="1194"/>
      <c r="Z25" s="1194"/>
      <c r="AA25" s="1194"/>
      <c r="AB25" s="1194"/>
      <c r="AC25" s="1194"/>
      <c r="AD25" s="1194"/>
      <c r="AE25" s="1194"/>
      <c r="AF25" s="1302"/>
      <c r="AG25" s="1302"/>
    </row>
    <row r="26">
      <c r="A26" s="1293"/>
      <c r="B26" s="1294" t="s">
        <v>1413</v>
      </c>
      <c r="C26" s="1295" t="s">
        <v>1413</v>
      </c>
      <c r="D26" s="1296" t="s">
        <v>1413</v>
      </c>
      <c r="E26" s="1297" t="s">
        <v>1413</v>
      </c>
      <c r="F26" s="1298" t="s">
        <v>1413</v>
      </c>
      <c r="G26" s="1294" t="s">
        <v>1413</v>
      </c>
      <c r="H26" s="1194"/>
      <c r="I26" s="92"/>
      <c r="J26" s="92"/>
      <c r="K26" s="1194"/>
      <c r="L26" s="1194"/>
      <c r="M26" s="1194"/>
      <c r="N26" s="1194"/>
      <c r="O26" s="1194"/>
      <c r="P26" s="1194"/>
      <c r="Q26" s="1194"/>
      <c r="R26" s="1152"/>
      <c r="S26" s="1194"/>
      <c r="T26" s="1194"/>
      <c r="U26" s="1194"/>
      <c r="V26" s="1194"/>
      <c r="W26" s="1152"/>
      <c r="X26" s="1194"/>
      <c r="Y26" s="1194"/>
      <c r="Z26" s="1194"/>
      <c r="AA26" s="1194"/>
      <c r="AB26" s="1194"/>
      <c r="AC26" s="1194"/>
      <c r="AD26" s="1194"/>
      <c r="AE26" s="1194"/>
      <c r="AF26" s="1302"/>
      <c r="AG26" s="1302"/>
    </row>
    <row r="27">
      <c r="A27" s="1293"/>
      <c r="B27" s="1294" t="s">
        <v>1413</v>
      </c>
      <c r="C27" s="1295" t="s">
        <v>1413</v>
      </c>
      <c r="D27" s="1296" t="s">
        <v>1413</v>
      </c>
      <c r="E27" s="1297" t="s">
        <v>1413</v>
      </c>
      <c r="F27" s="1298" t="s">
        <v>1413</v>
      </c>
      <c r="G27" s="1294" t="s">
        <v>1413</v>
      </c>
      <c r="H27" s="1194"/>
      <c r="I27" s="92"/>
      <c r="J27" s="92"/>
      <c r="K27" s="1194"/>
      <c r="L27" s="1194"/>
      <c r="M27" s="1194"/>
      <c r="N27" s="1194"/>
      <c r="O27" s="1194"/>
      <c r="P27" s="1194"/>
      <c r="Q27" s="1194"/>
      <c r="R27" s="1152"/>
      <c r="S27" s="1194"/>
      <c r="T27" s="1194"/>
      <c r="U27" s="1194"/>
      <c r="V27" s="1194"/>
      <c r="W27" s="1152"/>
      <c r="X27" s="1194"/>
      <c r="Y27" s="1194"/>
      <c r="Z27" s="1194"/>
      <c r="AA27" s="1194"/>
      <c r="AB27" s="1194"/>
      <c r="AC27" s="1194"/>
      <c r="AD27" s="1194"/>
      <c r="AE27" s="1194"/>
      <c r="AF27" s="1302"/>
      <c r="AG27" s="1302"/>
    </row>
    <row r="28">
      <c r="A28" s="1293"/>
      <c r="B28" s="1294" t="s">
        <v>1413</v>
      </c>
      <c r="C28" s="1295" t="s">
        <v>1413</v>
      </c>
      <c r="D28" s="1296" t="s">
        <v>1413</v>
      </c>
      <c r="E28" s="1297" t="s">
        <v>1413</v>
      </c>
      <c r="F28" s="1298" t="s">
        <v>1413</v>
      </c>
      <c r="G28" s="1294" t="s">
        <v>1413</v>
      </c>
      <c r="H28" s="1194"/>
      <c r="I28" s="92"/>
      <c r="J28" s="92"/>
      <c r="K28" s="1194"/>
      <c r="L28" s="1194"/>
      <c r="M28" s="1194"/>
      <c r="N28" s="1194"/>
      <c r="O28" s="1194"/>
      <c r="P28" s="1194"/>
      <c r="Q28" s="1194"/>
      <c r="R28" s="1152"/>
      <c r="S28" s="1194"/>
      <c r="T28" s="1194"/>
      <c r="U28" s="1194"/>
      <c r="V28" s="1194"/>
      <c r="W28" s="1152"/>
      <c r="X28" s="1194"/>
      <c r="Y28" s="1194"/>
      <c r="Z28" s="1194"/>
      <c r="AA28" s="1194"/>
      <c r="AB28" s="1194"/>
      <c r="AC28" s="1194"/>
      <c r="AD28" s="1194"/>
      <c r="AE28" s="1194"/>
      <c r="AF28" s="1302"/>
      <c r="AG28" s="1302"/>
    </row>
    <row r="29">
      <c r="A29" s="1293"/>
      <c r="B29" s="1294" t="s">
        <v>1413</v>
      </c>
      <c r="C29" s="1295" t="s">
        <v>1413</v>
      </c>
      <c r="D29" s="1296" t="s">
        <v>1413</v>
      </c>
      <c r="E29" s="1297" t="s">
        <v>1413</v>
      </c>
      <c r="F29" s="1298" t="s">
        <v>1413</v>
      </c>
      <c r="G29" s="1294" t="s">
        <v>1413</v>
      </c>
      <c r="H29" s="1194"/>
      <c r="I29" s="92"/>
      <c r="J29" s="92"/>
      <c r="K29" s="1194"/>
      <c r="L29" s="1194"/>
      <c r="M29" s="1194"/>
      <c r="N29" s="1194"/>
      <c r="O29" s="1194"/>
      <c r="P29" s="1194"/>
      <c r="Q29" s="1194"/>
      <c r="R29" s="1152"/>
      <c r="S29" s="1194"/>
      <c r="T29" s="1194"/>
      <c r="U29" s="1194"/>
      <c r="V29" s="1194"/>
      <c r="W29" s="1152"/>
      <c r="X29" s="1194"/>
      <c r="Y29" s="1194"/>
      <c r="Z29" s="1194"/>
      <c r="AA29" s="1194"/>
      <c r="AB29" s="1194"/>
      <c r="AC29" s="1194"/>
      <c r="AD29" s="1194"/>
      <c r="AE29" s="1194"/>
      <c r="AF29" s="1302"/>
      <c r="AG29" s="1302"/>
    </row>
    <row r="30">
      <c r="A30" s="1293"/>
      <c r="B30" s="1294" t="s">
        <v>1413</v>
      </c>
      <c r="C30" s="1295" t="s">
        <v>1413</v>
      </c>
      <c r="D30" s="1296" t="s">
        <v>1413</v>
      </c>
      <c r="E30" s="1297" t="s">
        <v>1413</v>
      </c>
      <c r="F30" s="1298" t="s">
        <v>1413</v>
      </c>
      <c r="G30" s="1294" t="s">
        <v>1413</v>
      </c>
      <c r="H30" s="1194"/>
      <c r="I30" s="92"/>
      <c r="J30" s="92"/>
      <c r="K30" s="1194"/>
      <c r="L30" s="1194"/>
      <c r="M30" s="1194"/>
      <c r="N30" s="1194"/>
      <c r="O30" s="1194"/>
      <c r="P30" s="1194"/>
      <c r="Q30" s="1194"/>
      <c r="R30" s="1152"/>
      <c r="S30" s="1194"/>
      <c r="T30" s="1194"/>
      <c r="U30" s="1194"/>
      <c r="V30" s="1194"/>
      <c r="W30" s="1152"/>
      <c r="X30" s="1194"/>
      <c r="Y30" s="1194"/>
      <c r="Z30" s="1194"/>
      <c r="AA30" s="1194"/>
      <c r="AB30" s="1194"/>
      <c r="AC30" s="1194"/>
      <c r="AD30" s="1194"/>
      <c r="AE30" s="1194"/>
      <c r="AF30" s="1302"/>
      <c r="AG30" s="1302"/>
    </row>
    <row r="31">
      <c r="A31" s="1293"/>
      <c r="B31" s="1294" t="s">
        <v>1413</v>
      </c>
      <c r="C31" s="1295" t="s">
        <v>1413</v>
      </c>
      <c r="D31" s="1296" t="s">
        <v>1413</v>
      </c>
      <c r="E31" s="1297" t="s">
        <v>1413</v>
      </c>
      <c r="F31" s="1298" t="s">
        <v>1413</v>
      </c>
      <c r="G31" s="1294" t="s">
        <v>1413</v>
      </c>
      <c r="H31" s="1194"/>
      <c r="I31" s="92"/>
      <c r="J31" s="92"/>
      <c r="K31" s="1194"/>
      <c r="L31" s="1194"/>
      <c r="M31" s="1194"/>
      <c r="N31" s="1194"/>
      <c r="O31" s="1194"/>
      <c r="P31" s="1194"/>
      <c r="Q31" s="1194"/>
      <c r="R31" s="1152"/>
      <c r="S31" s="1194"/>
      <c r="T31" s="1194"/>
      <c r="U31" s="1194"/>
      <c r="V31" s="1194"/>
      <c r="W31" s="1152"/>
      <c r="X31" s="1194"/>
      <c r="Y31" s="1194"/>
      <c r="Z31" s="1194"/>
      <c r="AA31" s="1194"/>
      <c r="AB31" s="1194"/>
      <c r="AC31" s="1194"/>
      <c r="AD31" s="1194"/>
      <c r="AE31" s="1194"/>
      <c r="AF31" s="1302"/>
      <c r="AG31" s="1302"/>
    </row>
    <row r="32">
      <c r="A32" s="1293"/>
      <c r="B32" s="1294" t="s">
        <v>1413</v>
      </c>
      <c r="C32" s="1295" t="s">
        <v>1413</v>
      </c>
      <c r="D32" s="1296" t="s">
        <v>1413</v>
      </c>
      <c r="E32" s="1297" t="s">
        <v>1413</v>
      </c>
      <c r="F32" s="1298" t="s">
        <v>1413</v>
      </c>
      <c r="G32" s="1294" t="s">
        <v>1413</v>
      </c>
      <c r="H32" s="1194"/>
      <c r="I32" s="92"/>
      <c r="J32" s="92"/>
      <c r="K32" s="1194"/>
      <c r="L32" s="1194"/>
      <c r="M32" s="1194"/>
      <c r="N32" s="1194"/>
      <c r="O32" s="1194"/>
      <c r="P32" s="1194"/>
      <c r="Q32" s="1194"/>
      <c r="R32" s="1152"/>
      <c r="S32" s="1194"/>
      <c r="T32" s="1194"/>
      <c r="U32" s="1194"/>
      <c r="V32" s="1194"/>
      <c r="W32" s="1152"/>
      <c r="X32" s="1194"/>
      <c r="Y32" s="1194"/>
      <c r="Z32" s="1194"/>
      <c r="AA32" s="1194"/>
      <c r="AB32" s="1194"/>
      <c r="AC32" s="1194"/>
      <c r="AD32" s="1194"/>
      <c r="AE32" s="1194"/>
      <c r="AF32" s="1302"/>
      <c r="AG32" s="1302"/>
    </row>
    <row r="33">
      <c r="A33" s="1293"/>
      <c r="B33" s="1294" t="s">
        <v>1413</v>
      </c>
      <c r="C33" s="1295" t="s">
        <v>1413</v>
      </c>
      <c r="D33" s="1296" t="s">
        <v>1413</v>
      </c>
      <c r="E33" s="1297" t="s">
        <v>1413</v>
      </c>
      <c r="F33" s="1298" t="s">
        <v>1413</v>
      </c>
      <c r="G33" s="1294" t="s">
        <v>1413</v>
      </c>
      <c r="H33" s="1194"/>
      <c r="I33" s="92"/>
      <c r="J33" s="92"/>
      <c r="K33" s="1194"/>
      <c r="L33" s="1194"/>
      <c r="M33" s="1194"/>
      <c r="N33" s="1194"/>
      <c r="O33" s="1194"/>
      <c r="P33" s="1194"/>
      <c r="Q33" s="1194"/>
      <c r="R33" s="1152"/>
      <c r="S33" s="1194"/>
      <c r="T33" s="1194"/>
      <c r="U33" s="1194"/>
      <c r="V33" s="1194"/>
      <c r="W33" s="1152"/>
      <c r="X33" s="1194"/>
      <c r="Y33" s="1194"/>
      <c r="Z33" s="1194"/>
      <c r="AA33" s="1194"/>
      <c r="AB33" s="1194"/>
      <c r="AC33" s="1194"/>
      <c r="AD33" s="1194"/>
      <c r="AE33" s="1194"/>
      <c r="AF33" s="1302"/>
      <c r="AG33" s="1302"/>
    </row>
    <row r="34">
      <c r="A34" s="1293"/>
      <c r="B34" s="1294" t="s">
        <v>1413</v>
      </c>
      <c r="C34" s="1295" t="s">
        <v>1413</v>
      </c>
      <c r="D34" s="1296" t="s">
        <v>1413</v>
      </c>
      <c r="E34" s="1297" t="s">
        <v>1413</v>
      </c>
      <c r="F34" s="1298" t="s">
        <v>1413</v>
      </c>
      <c r="G34" s="1294" t="s">
        <v>1413</v>
      </c>
      <c r="H34" s="1194"/>
      <c r="I34" s="92"/>
      <c r="J34" s="92"/>
      <c r="K34" s="1194"/>
      <c r="L34" s="1194"/>
      <c r="M34" s="1194"/>
      <c r="N34" s="1194"/>
      <c r="O34" s="1194"/>
      <c r="P34" s="1194"/>
      <c r="Q34" s="1194"/>
      <c r="R34" s="1152"/>
      <c r="S34" s="1194"/>
      <c r="T34" s="1194"/>
      <c r="U34" s="1194"/>
      <c r="V34" s="1194"/>
      <c r="W34" s="1152"/>
      <c r="X34" s="1194"/>
      <c r="Y34" s="1194"/>
      <c r="Z34" s="1194"/>
      <c r="AA34" s="1194"/>
      <c r="AB34" s="1194"/>
      <c r="AC34" s="1194"/>
      <c r="AD34" s="1194"/>
      <c r="AE34" s="1194"/>
      <c r="AF34" s="1302"/>
      <c r="AG34" s="1302"/>
    </row>
    <row r="35">
      <c r="A35" s="1293"/>
      <c r="B35" s="1294" t="s">
        <v>1413</v>
      </c>
      <c r="C35" s="1295" t="s">
        <v>1413</v>
      </c>
      <c r="D35" s="1296" t="s">
        <v>1413</v>
      </c>
      <c r="E35" s="1297" t="s">
        <v>1413</v>
      </c>
      <c r="F35" s="1298" t="s">
        <v>1413</v>
      </c>
      <c r="G35" s="1294" t="s">
        <v>1413</v>
      </c>
      <c r="H35" s="1194"/>
      <c r="I35" s="92"/>
      <c r="J35" s="92"/>
      <c r="K35" s="1194"/>
      <c r="L35" s="1194"/>
      <c r="M35" s="1194"/>
      <c r="N35" s="1194"/>
      <c r="O35" s="1194"/>
      <c r="P35" s="1194"/>
      <c r="Q35" s="1194"/>
      <c r="R35" s="1152"/>
      <c r="S35" s="1194"/>
      <c r="T35" s="1194"/>
      <c r="U35" s="1194"/>
      <c r="V35" s="1194"/>
      <c r="W35" s="1152"/>
      <c r="X35" s="1194"/>
      <c r="Y35" s="1194"/>
      <c r="Z35" s="1194"/>
      <c r="AA35" s="1194"/>
      <c r="AB35" s="1194"/>
      <c r="AC35" s="1194"/>
      <c r="AD35" s="1194"/>
      <c r="AE35" s="1194"/>
      <c r="AF35" s="1302"/>
      <c r="AG35" s="1302"/>
    </row>
    <row r="36">
      <c r="A36" s="1293"/>
      <c r="B36" s="1294" t="s">
        <v>1413</v>
      </c>
      <c r="C36" s="1295" t="s">
        <v>1413</v>
      </c>
      <c r="D36" s="1296" t="s">
        <v>1413</v>
      </c>
      <c r="E36" s="1297" t="s">
        <v>1413</v>
      </c>
      <c r="F36" s="1298" t="s">
        <v>1413</v>
      </c>
      <c r="G36" s="1294" t="s">
        <v>1413</v>
      </c>
      <c r="H36" s="1194"/>
      <c r="I36" s="92"/>
      <c r="J36" s="92"/>
      <c r="K36" s="1194"/>
      <c r="L36" s="1194"/>
      <c r="M36" s="1194"/>
      <c r="N36" s="1194"/>
      <c r="O36" s="1194"/>
      <c r="P36" s="1194"/>
      <c r="Q36" s="1194"/>
      <c r="R36" s="1152"/>
      <c r="S36" s="1194"/>
      <c r="T36" s="1194"/>
      <c r="U36" s="1194"/>
      <c r="V36" s="1194"/>
      <c r="W36" s="1152"/>
      <c r="X36" s="1194"/>
      <c r="Y36" s="1194"/>
      <c r="Z36" s="1194"/>
      <c r="AA36" s="1194"/>
      <c r="AB36" s="1194"/>
      <c r="AC36" s="1194"/>
      <c r="AD36" s="1194"/>
      <c r="AE36" s="1194"/>
      <c r="AF36" s="1302"/>
      <c r="AG36" s="1302"/>
    </row>
    <row r="37">
      <c r="A37" s="1293"/>
      <c r="B37" s="1294" t="s">
        <v>1413</v>
      </c>
      <c r="C37" s="1295" t="s">
        <v>1413</v>
      </c>
      <c r="D37" s="1296" t="s">
        <v>1413</v>
      </c>
      <c r="E37" s="1297" t="s">
        <v>1413</v>
      </c>
      <c r="F37" s="1298" t="s">
        <v>1413</v>
      </c>
      <c r="G37" s="1294" t="s">
        <v>1413</v>
      </c>
      <c r="H37" s="1194"/>
      <c r="I37" s="92"/>
      <c r="J37" s="92"/>
      <c r="K37" s="1194"/>
      <c r="L37" s="1194"/>
      <c r="M37" s="1194"/>
      <c r="N37" s="1194"/>
      <c r="O37" s="1194"/>
      <c r="P37" s="1194"/>
      <c r="Q37" s="1194"/>
      <c r="R37" s="1152"/>
      <c r="S37" s="1194"/>
      <c r="T37" s="1194"/>
      <c r="U37" s="1194"/>
      <c r="V37" s="1194"/>
      <c r="W37" s="1152"/>
      <c r="X37" s="1194"/>
      <c r="Y37" s="1194"/>
      <c r="Z37" s="1194"/>
      <c r="AA37" s="1194"/>
      <c r="AB37" s="1194"/>
      <c r="AC37" s="1194"/>
      <c r="AD37" s="1194"/>
      <c r="AE37" s="1194"/>
      <c r="AF37" s="1302"/>
      <c r="AG37" s="1302"/>
    </row>
    <row r="38">
      <c r="A38" s="1293"/>
      <c r="B38" s="1294" t="s">
        <v>1413</v>
      </c>
      <c r="C38" s="1295" t="s">
        <v>1413</v>
      </c>
      <c r="D38" s="1296" t="s">
        <v>1413</v>
      </c>
      <c r="E38" s="1297" t="s">
        <v>1413</v>
      </c>
      <c r="F38" s="1298" t="s">
        <v>1413</v>
      </c>
      <c r="G38" s="1294" t="s">
        <v>1413</v>
      </c>
      <c r="H38" s="1194"/>
      <c r="I38" s="92"/>
      <c r="J38" s="92"/>
      <c r="K38" s="1194"/>
      <c r="L38" s="1194"/>
      <c r="M38" s="1194"/>
      <c r="N38" s="1194"/>
      <c r="O38" s="1194"/>
      <c r="P38" s="1194"/>
      <c r="Q38" s="1194"/>
      <c r="R38" s="1152"/>
      <c r="S38" s="1194"/>
      <c r="T38" s="1194"/>
      <c r="U38" s="1194"/>
      <c r="V38" s="1194"/>
      <c r="W38" s="1152"/>
      <c r="X38" s="1194"/>
      <c r="Y38" s="1194"/>
      <c r="Z38" s="1194"/>
      <c r="AA38" s="1194"/>
      <c r="AB38" s="1194"/>
      <c r="AC38" s="1194"/>
      <c r="AD38" s="1194"/>
      <c r="AE38" s="1194"/>
      <c r="AF38" s="1302"/>
      <c r="AG38" s="1302"/>
    </row>
    <row r="39">
      <c r="A39" s="1293"/>
      <c r="B39" s="1294" t="s">
        <v>1413</v>
      </c>
      <c r="C39" s="1295" t="s">
        <v>1413</v>
      </c>
      <c r="D39" s="1296" t="s">
        <v>1413</v>
      </c>
      <c r="E39" s="1297" t="s">
        <v>1413</v>
      </c>
      <c r="F39" s="1298" t="s">
        <v>1413</v>
      </c>
      <c r="G39" s="1294" t="s">
        <v>1413</v>
      </c>
      <c r="H39" s="1194"/>
      <c r="I39" s="92"/>
      <c r="J39" s="92"/>
      <c r="K39" s="1194"/>
      <c r="L39" s="1194"/>
      <c r="M39" s="1194"/>
      <c r="N39" s="1194"/>
      <c r="O39" s="1194"/>
      <c r="P39" s="1194"/>
      <c r="Q39" s="1194"/>
      <c r="R39" s="1152"/>
      <c r="S39" s="1194"/>
      <c r="T39" s="1194"/>
      <c r="U39" s="1194"/>
      <c r="V39" s="1194"/>
      <c r="W39" s="1152"/>
      <c r="X39" s="1194"/>
      <c r="Y39" s="1194"/>
      <c r="Z39" s="1194"/>
      <c r="AA39" s="1194"/>
      <c r="AB39" s="1194"/>
      <c r="AC39" s="1194"/>
      <c r="AD39" s="1194"/>
      <c r="AE39" s="1194"/>
      <c r="AF39" s="1302"/>
      <c r="AG39" s="1302"/>
    </row>
    <row r="40">
      <c r="A40" s="1293"/>
      <c r="B40" s="1294" t="s">
        <v>1413</v>
      </c>
      <c r="C40" s="1295" t="s">
        <v>1413</v>
      </c>
      <c r="D40" s="1296" t="s">
        <v>1413</v>
      </c>
      <c r="E40" s="1297" t="s">
        <v>1413</v>
      </c>
      <c r="F40" s="1298" t="s">
        <v>1413</v>
      </c>
      <c r="G40" s="1294" t="s">
        <v>1413</v>
      </c>
      <c r="H40" s="1194"/>
      <c r="I40" s="92"/>
      <c r="J40" s="92"/>
      <c r="K40" s="1194"/>
      <c r="L40" s="1194"/>
      <c r="M40" s="1194"/>
      <c r="N40" s="1194"/>
      <c r="O40" s="1194"/>
      <c r="P40" s="1194"/>
      <c r="Q40" s="1194"/>
      <c r="R40" s="1152"/>
      <c r="S40" s="1194"/>
      <c r="T40" s="1194"/>
      <c r="U40" s="1194"/>
      <c r="V40" s="1194"/>
      <c r="W40" s="1152"/>
      <c r="X40" s="1194"/>
      <c r="Y40" s="1194"/>
      <c r="Z40" s="1194"/>
      <c r="AA40" s="1194"/>
      <c r="AB40" s="1194"/>
      <c r="AC40" s="1194"/>
      <c r="AD40" s="1194"/>
      <c r="AE40" s="1194"/>
      <c r="AF40" s="1302"/>
      <c r="AG40" s="1302"/>
    </row>
    <row r="41">
      <c r="A41" s="1293"/>
      <c r="B41" s="1294" t="s">
        <v>1413</v>
      </c>
      <c r="C41" s="1295" t="s">
        <v>1413</v>
      </c>
      <c r="D41" s="1296" t="s">
        <v>1413</v>
      </c>
      <c r="E41" s="1297" t="s">
        <v>1413</v>
      </c>
      <c r="F41" s="1298" t="s">
        <v>1413</v>
      </c>
      <c r="G41" s="1294" t="s">
        <v>1413</v>
      </c>
      <c r="H41" s="1194"/>
      <c r="I41" s="92"/>
      <c r="J41" s="92"/>
      <c r="K41" s="1194"/>
      <c r="L41" s="1194"/>
      <c r="M41" s="1194"/>
      <c r="N41" s="1194"/>
      <c r="O41" s="1194"/>
      <c r="P41" s="1194"/>
      <c r="Q41" s="1194"/>
      <c r="R41" s="1152"/>
      <c r="S41" s="1194"/>
      <c r="T41" s="1194"/>
      <c r="U41" s="1194"/>
      <c r="V41" s="1194"/>
      <c r="W41" s="1152"/>
      <c r="X41" s="1194"/>
      <c r="Y41" s="1194"/>
      <c r="Z41" s="1194"/>
      <c r="AA41" s="1194"/>
      <c r="AB41" s="1194"/>
      <c r="AC41" s="1194"/>
      <c r="AD41" s="1194"/>
      <c r="AE41" s="1194"/>
      <c r="AF41" s="1302"/>
      <c r="AG41" s="1302"/>
    </row>
    <row r="42">
      <c r="A42" s="1293"/>
      <c r="B42" s="1294" t="s">
        <v>1413</v>
      </c>
      <c r="C42" s="1295" t="s">
        <v>1413</v>
      </c>
      <c r="D42" s="1296" t="s">
        <v>1413</v>
      </c>
      <c r="E42" s="1297" t="s">
        <v>1413</v>
      </c>
      <c r="F42" s="1298" t="s">
        <v>1413</v>
      </c>
      <c r="G42" s="1294" t="s">
        <v>1413</v>
      </c>
      <c r="H42" s="1194"/>
      <c r="I42" s="92"/>
      <c r="J42" s="92"/>
      <c r="K42" s="1194"/>
      <c r="L42" s="1194"/>
      <c r="M42" s="1194"/>
      <c r="N42" s="1194"/>
      <c r="O42" s="1194"/>
      <c r="P42" s="1194"/>
      <c r="Q42" s="1194"/>
      <c r="R42" s="1152"/>
      <c r="S42" s="1194"/>
      <c r="T42" s="1194"/>
      <c r="U42" s="1194"/>
      <c r="V42" s="1194"/>
      <c r="W42" s="1152"/>
      <c r="X42" s="1194"/>
      <c r="Y42" s="1194"/>
      <c r="Z42" s="1194"/>
      <c r="AA42" s="1194"/>
      <c r="AB42" s="1194"/>
      <c r="AC42" s="1194"/>
      <c r="AD42" s="1194"/>
      <c r="AE42" s="1194"/>
      <c r="AF42" s="1302"/>
      <c r="AG42" s="1302"/>
    </row>
    <row r="43">
      <c r="A43" s="1293"/>
      <c r="B43" s="1294" t="s">
        <v>1413</v>
      </c>
      <c r="C43" s="1295" t="s">
        <v>1413</v>
      </c>
      <c r="D43" s="1296" t="s">
        <v>1413</v>
      </c>
      <c r="E43" s="1297" t="s">
        <v>1413</v>
      </c>
      <c r="F43" s="1298" t="s">
        <v>1413</v>
      </c>
      <c r="G43" s="1294" t="s">
        <v>1413</v>
      </c>
      <c r="H43" s="1194"/>
      <c r="I43" s="92"/>
      <c r="J43" s="92"/>
      <c r="K43" s="1194"/>
      <c r="L43" s="1194"/>
      <c r="M43" s="1194"/>
      <c r="N43" s="1194"/>
      <c r="O43" s="1194"/>
      <c r="P43" s="1194"/>
      <c r="Q43" s="1194"/>
      <c r="R43" s="1152"/>
      <c r="S43" s="1194"/>
      <c r="T43" s="1194"/>
      <c r="U43" s="1194"/>
      <c r="V43" s="1194"/>
      <c r="W43" s="1152"/>
      <c r="X43" s="1194"/>
      <c r="Y43" s="1194"/>
      <c r="Z43" s="1194"/>
      <c r="AA43" s="1194"/>
      <c r="AB43" s="1194"/>
      <c r="AC43" s="1194"/>
      <c r="AD43" s="1194"/>
      <c r="AE43" s="1194"/>
      <c r="AF43" s="1302"/>
      <c r="AG43" s="1302"/>
    </row>
    <row r="44">
      <c r="A44" s="1293"/>
      <c r="B44" s="1294" t="s">
        <v>1413</v>
      </c>
      <c r="C44" s="1295" t="s">
        <v>1413</v>
      </c>
      <c r="D44" s="1296" t="s">
        <v>1413</v>
      </c>
      <c r="E44" s="1297" t="s">
        <v>1413</v>
      </c>
      <c r="F44" s="1298" t="s">
        <v>1413</v>
      </c>
      <c r="G44" s="1294" t="s">
        <v>1413</v>
      </c>
      <c r="H44" s="1194"/>
      <c r="I44" s="92"/>
      <c r="J44" s="92"/>
      <c r="K44" s="1194"/>
      <c r="L44" s="1194"/>
      <c r="M44" s="1194"/>
      <c r="N44" s="1194"/>
      <c r="O44" s="1194"/>
      <c r="P44" s="1194"/>
      <c r="Q44" s="1194"/>
      <c r="R44" s="1152"/>
      <c r="S44" s="1194"/>
      <c r="T44" s="1194"/>
      <c r="U44" s="1194"/>
      <c r="V44" s="1194"/>
      <c r="W44" s="1152"/>
      <c r="X44" s="1194"/>
      <c r="Y44" s="1194"/>
      <c r="Z44" s="1194"/>
      <c r="AA44" s="1194"/>
      <c r="AB44" s="1194"/>
      <c r="AC44" s="1194"/>
      <c r="AD44" s="1194"/>
      <c r="AE44" s="1194"/>
      <c r="AF44" s="1302"/>
      <c r="AG44" s="1302"/>
    </row>
    <row r="45">
      <c r="A45" s="1293"/>
      <c r="B45" s="1294" t="s">
        <v>1413</v>
      </c>
      <c r="C45" s="1295" t="s">
        <v>1413</v>
      </c>
      <c r="D45" s="1296" t="s">
        <v>1413</v>
      </c>
      <c r="E45" s="1297" t="s">
        <v>1413</v>
      </c>
      <c r="F45" s="1298" t="s">
        <v>1413</v>
      </c>
      <c r="G45" s="1294" t="s">
        <v>1413</v>
      </c>
      <c r="H45" s="1194"/>
      <c r="I45" s="92"/>
      <c r="J45" s="92"/>
      <c r="K45" s="1194"/>
      <c r="L45" s="1194"/>
      <c r="M45" s="1194"/>
      <c r="N45" s="1194"/>
      <c r="O45" s="1194"/>
      <c r="P45" s="1194"/>
      <c r="Q45" s="1194"/>
      <c r="R45" s="1152"/>
      <c r="S45" s="1194"/>
      <c r="T45" s="1194"/>
      <c r="U45" s="1194"/>
      <c r="V45" s="1194"/>
      <c r="W45" s="1152"/>
      <c r="X45" s="1194"/>
      <c r="Y45" s="1194"/>
      <c r="Z45" s="1194"/>
      <c r="AA45" s="1194"/>
      <c r="AB45" s="1194"/>
      <c r="AC45" s="1194"/>
      <c r="AD45" s="1194"/>
      <c r="AE45" s="1194"/>
      <c r="AF45" s="1302"/>
      <c r="AG45" s="1302"/>
    </row>
    <row r="46">
      <c r="A46" s="1293"/>
      <c r="B46" s="1294" t="s">
        <v>1413</v>
      </c>
      <c r="C46" s="1295" t="s">
        <v>1413</v>
      </c>
      <c r="D46" s="1296" t="s">
        <v>1413</v>
      </c>
      <c r="E46" s="1297" t="s">
        <v>1413</v>
      </c>
      <c r="F46" s="1298" t="s">
        <v>1413</v>
      </c>
      <c r="G46" s="1294" t="s">
        <v>1413</v>
      </c>
      <c r="H46" s="1194"/>
      <c r="I46" s="92"/>
      <c r="J46" s="92"/>
      <c r="K46" s="1194"/>
      <c r="L46" s="1194"/>
      <c r="M46" s="1194"/>
      <c r="N46" s="1194"/>
      <c r="O46" s="1194"/>
      <c r="P46" s="1194"/>
      <c r="Q46" s="1194"/>
      <c r="R46" s="1152"/>
      <c r="S46" s="1194"/>
      <c r="T46" s="1194"/>
      <c r="U46" s="1194"/>
      <c r="V46" s="1194"/>
      <c r="W46" s="1152"/>
      <c r="X46" s="1194"/>
      <c r="Y46" s="1194"/>
      <c r="Z46" s="1194"/>
      <c r="AA46" s="1194"/>
      <c r="AB46" s="1194"/>
      <c r="AC46" s="1194"/>
      <c r="AD46" s="1194"/>
      <c r="AE46" s="1194"/>
      <c r="AF46" s="1302"/>
      <c r="AG46" s="1302"/>
    </row>
    <row r="47">
      <c r="A47" s="1293"/>
      <c r="B47" s="1294" t="s">
        <v>1413</v>
      </c>
      <c r="C47" s="1295" t="s">
        <v>1413</v>
      </c>
      <c r="D47" s="1296" t="s">
        <v>1413</v>
      </c>
      <c r="E47" s="1297" t="s">
        <v>1413</v>
      </c>
      <c r="F47" s="1298" t="s">
        <v>1413</v>
      </c>
      <c r="G47" s="1294" t="s">
        <v>1413</v>
      </c>
      <c r="H47" s="1194"/>
      <c r="I47" s="92"/>
      <c r="J47" s="92"/>
      <c r="K47" s="1194"/>
      <c r="L47" s="1194"/>
      <c r="M47" s="1194"/>
      <c r="N47" s="1194"/>
      <c r="O47" s="1194"/>
      <c r="P47" s="1194"/>
      <c r="Q47" s="1194"/>
      <c r="R47" s="1152"/>
      <c r="S47" s="1194"/>
      <c r="T47" s="1194"/>
      <c r="U47" s="1194"/>
      <c r="V47" s="1194"/>
      <c r="W47" s="1152"/>
      <c r="X47" s="1194"/>
      <c r="Y47" s="1194"/>
      <c r="Z47" s="1194"/>
      <c r="AA47" s="1194"/>
      <c r="AB47" s="1194"/>
      <c r="AC47" s="1194"/>
      <c r="AD47" s="1194"/>
      <c r="AE47" s="1194"/>
      <c r="AF47" s="1302"/>
      <c r="AG47" s="1302"/>
    </row>
    <row r="48">
      <c r="A48" s="1293"/>
      <c r="B48" s="1294" t="s">
        <v>1413</v>
      </c>
      <c r="C48" s="1295" t="s">
        <v>1413</v>
      </c>
      <c r="D48" s="1296" t="s">
        <v>1413</v>
      </c>
      <c r="E48" s="1297" t="s">
        <v>1413</v>
      </c>
      <c r="F48" s="1298" t="s">
        <v>1413</v>
      </c>
      <c r="G48" s="1294" t="s">
        <v>1413</v>
      </c>
      <c r="H48" s="1194"/>
      <c r="I48" s="92"/>
      <c r="J48" s="92"/>
      <c r="K48" s="1194"/>
      <c r="L48" s="1194"/>
      <c r="M48" s="1194"/>
      <c r="N48" s="1194"/>
      <c r="O48" s="1194"/>
      <c r="P48" s="1194"/>
      <c r="Q48" s="1194"/>
      <c r="R48" s="1152"/>
      <c r="S48" s="1194"/>
      <c r="T48" s="1194"/>
      <c r="U48" s="1194"/>
      <c r="V48" s="1194"/>
      <c r="W48" s="1152"/>
      <c r="X48" s="1194"/>
      <c r="Y48" s="1194"/>
      <c r="Z48" s="1194"/>
      <c r="AA48" s="1194"/>
      <c r="AB48" s="1194"/>
      <c r="AC48" s="1194"/>
      <c r="AD48" s="1194"/>
      <c r="AE48" s="1194"/>
      <c r="AF48" s="1302"/>
      <c r="AG48" s="1302"/>
    </row>
    <row r="49">
      <c r="A49" s="1293"/>
      <c r="B49" s="1294" t="s">
        <v>1413</v>
      </c>
      <c r="C49" s="1295" t="s">
        <v>1413</v>
      </c>
      <c r="D49" s="1296" t="s">
        <v>1413</v>
      </c>
      <c r="E49" s="1297" t="s">
        <v>1413</v>
      </c>
      <c r="F49" s="1298" t="s">
        <v>1413</v>
      </c>
      <c r="G49" s="1294" t="s">
        <v>1413</v>
      </c>
      <c r="H49" s="1194"/>
      <c r="I49" s="92"/>
      <c r="J49" s="92"/>
      <c r="K49" s="1194"/>
      <c r="L49" s="1194"/>
      <c r="M49" s="1194"/>
      <c r="N49" s="1194"/>
      <c r="O49" s="1194"/>
      <c r="P49" s="1194"/>
      <c r="Q49" s="1194"/>
      <c r="R49" s="1152"/>
      <c r="S49" s="1194"/>
      <c r="T49" s="1194"/>
      <c r="U49" s="1194"/>
      <c r="V49" s="1194"/>
      <c r="W49" s="1152"/>
      <c r="X49" s="1194"/>
      <c r="Y49" s="1194"/>
      <c r="Z49" s="1194"/>
      <c r="AA49" s="1194"/>
      <c r="AB49" s="1194"/>
      <c r="AC49" s="1194"/>
      <c r="AD49" s="1194"/>
      <c r="AE49" s="1194"/>
      <c r="AF49" s="1302"/>
      <c r="AG49" s="1302"/>
    </row>
    <row r="50">
      <c r="A50" s="1293"/>
      <c r="B50" s="1294" t="s">
        <v>1413</v>
      </c>
      <c r="C50" s="1295" t="s">
        <v>1413</v>
      </c>
      <c r="D50" s="1296" t="s">
        <v>1413</v>
      </c>
      <c r="E50" s="1297" t="s">
        <v>1413</v>
      </c>
      <c r="F50" s="1298" t="s">
        <v>1413</v>
      </c>
      <c r="G50" s="1294" t="s">
        <v>1413</v>
      </c>
      <c r="H50" s="1194"/>
      <c r="I50" s="92"/>
      <c r="J50" s="92"/>
      <c r="K50" s="1194"/>
      <c r="L50" s="1194"/>
      <c r="M50" s="1194"/>
      <c r="N50" s="1194"/>
      <c r="O50" s="1194"/>
      <c r="P50" s="1194"/>
      <c r="Q50" s="1194"/>
      <c r="R50" s="1152"/>
      <c r="S50" s="1194"/>
      <c r="T50" s="1194"/>
      <c r="U50" s="1194"/>
      <c r="V50" s="1194"/>
      <c r="W50" s="1152"/>
      <c r="X50" s="1194"/>
      <c r="Y50" s="1194"/>
      <c r="Z50" s="1194"/>
      <c r="AA50" s="1194"/>
      <c r="AB50" s="1194"/>
      <c r="AC50" s="1194"/>
      <c r="AD50" s="1194"/>
      <c r="AE50" s="1194"/>
      <c r="AF50" s="1302"/>
      <c r="AG50" s="1302"/>
    </row>
    <row r="51">
      <c r="A51" s="1293"/>
      <c r="B51" s="1294" t="s">
        <v>1413</v>
      </c>
      <c r="C51" s="1295" t="s">
        <v>1413</v>
      </c>
      <c r="D51" s="1296" t="s">
        <v>1413</v>
      </c>
      <c r="E51" s="1297" t="s">
        <v>1413</v>
      </c>
      <c r="F51" s="1298" t="s">
        <v>1413</v>
      </c>
      <c r="G51" s="1294" t="s">
        <v>1413</v>
      </c>
      <c r="H51" s="1194"/>
      <c r="I51" s="92"/>
      <c r="J51" s="92"/>
      <c r="K51" s="1194"/>
      <c r="L51" s="1194"/>
      <c r="M51" s="1194"/>
      <c r="N51" s="1194"/>
      <c r="O51" s="1194"/>
      <c r="P51" s="1194"/>
      <c r="Q51" s="1194"/>
      <c r="R51" s="1152"/>
      <c r="S51" s="1194"/>
      <c r="T51" s="1194"/>
      <c r="U51" s="1194"/>
      <c r="V51" s="1194"/>
      <c r="W51" s="1152"/>
      <c r="X51" s="1194"/>
      <c r="Y51" s="1194"/>
      <c r="Z51" s="1194"/>
      <c r="AA51" s="1194"/>
      <c r="AB51" s="1194"/>
      <c r="AC51" s="1194"/>
      <c r="AD51" s="1194"/>
      <c r="AE51" s="1194"/>
      <c r="AF51" s="1302"/>
      <c r="AG51" s="1302"/>
    </row>
    <row r="52">
      <c r="A52" s="1293"/>
      <c r="B52" s="1294"/>
      <c r="C52" s="1295"/>
      <c r="D52" s="1296"/>
      <c r="E52" s="1297"/>
      <c r="F52" s="1298"/>
      <c r="G52" s="1294"/>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302"/>
      <c r="AG52" s="1302"/>
    </row>
    <row r="53">
      <c r="A53" s="1293"/>
      <c r="B53" s="1294"/>
      <c r="C53" s="1295"/>
      <c r="D53" s="1296"/>
      <c r="E53" s="1297"/>
      <c r="F53" s="1298"/>
      <c r="G53" s="1294"/>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302"/>
      <c r="AG53" s="1302"/>
    </row>
    <row r="54">
      <c r="A54" s="1293"/>
      <c r="B54" s="1294"/>
      <c r="C54" s="1295"/>
      <c r="D54" s="1296"/>
      <c r="E54" s="1297"/>
      <c r="F54" s="1298"/>
      <c r="G54" s="1294"/>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302"/>
      <c r="AG54" s="1302"/>
    </row>
    <row r="55">
      <c r="A55" s="1293"/>
      <c r="B55" s="1294"/>
      <c r="C55" s="1295"/>
      <c r="D55" s="1296"/>
      <c r="E55" s="1297"/>
      <c r="F55" s="1298"/>
      <c r="G55" s="1294"/>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302"/>
      <c r="AG55" s="1302"/>
    </row>
    <row r="56">
      <c r="A56" s="1293"/>
      <c r="B56" s="1294"/>
      <c r="C56" s="1295"/>
      <c r="D56" s="1296"/>
      <c r="E56" s="1297"/>
      <c r="F56" s="1298"/>
      <c r="G56" s="1294"/>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302"/>
      <c r="AG56" s="1302"/>
    </row>
    <row r="57">
      <c r="A57" s="1293"/>
      <c r="B57" s="1294"/>
      <c r="C57" s="1295"/>
      <c r="D57" s="1296"/>
      <c r="E57" s="1297"/>
      <c r="F57" s="1298"/>
      <c r="G57" s="1294"/>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302"/>
      <c r="AG57" s="1302"/>
    </row>
    <row r="58">
      <c r="A58" s="1293"/>
      <c r="B58" s="1294"/>
      <c r="C58" s="1295"/>
      <c r="D58" s="1296"/>
      <c r="E58" s="1297"/>
      <c r="F58" s="1298"/>
      <c r="G58" s="1294"/>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302"/>
      <c r="AG58" s="1302"/>
    </row>
    <row r="59">
      <c r="A59" s="1293"/>
      <c r="B59" s="1294"/>
      <c r="C59" s="1295"/>
      <c r="D59" s="1296"/>
      <c r="E59" s="1297"/>
      <c r="F59" s="1298"/>
      <c r="G59" s="1294"/>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302"/>
      <c r="AG59" s="1302"/>
    </row>
    <row r="60">
      <c r="A60" s="1293"/>
      <c r="B60" s="1294"/>
      <c r="C60" s="1295"/>
      <c r="D60" s="1296"/>
      <c r="E60" s="1297"/>
      <c r="F60" s="1298"/>
      <c r="G60" s="1294"/>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302"/>
      <c r="AG60" s="1302"/>
    </row>
    <row r="61">
      <c r="A61" s="1293"/>
      <c r="B61" s="1294"/>
      <c r="C61" s="1295"/>
      <c r="D61" s="1296"/>
      <c r="E61" s="1297"/>
      <c r="F61" s="1298"/>
      <c r="G61" s="1294"/>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302"/>
      <c r="AG61" s="1302"/>
    </row>
    <row r="62">
      <c r="A62" s="1293"/>
      <c r="B62" s="1294"/>
      <c r="C62" s="1295"/>
      <c r="D62" s="1296"/>
      <c r="E62" s="1297"/>
      <c r="F62" s="1298"/>
      <c r="G62" s="1294"/>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302"/>
      <c r="AG62" s="1302"/>
    </row>
    <row r="63">
      <c r="A63" s="1293"/>
      <c r="B63" s="1294"/>
      <c r="C63" s="1295"/>
      <c r="D63" s="1296"/>
      <c r="E63" s="1297"/>
      <c r="F63" s="1298"/>
      <c r="G63" s="1294"/>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302"/>
      <c r="AG63" s="1302"/>
    </row>
    <row r="64">
      <c r="A64" s="1293"/>
      <c r="B64" s="1294"/>
      <c r="C64" s="1295"/>
      <c r="D64" s="1296"/>
      <c r="E64" s="1297"/>
      <c r="F64" s="1298"/>
      <c r="G64" s="1294"/>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302"/>
      <c r="AG64" s="1302"/>
    </row>
    <row r="65">
      <c r="A65" s="1293"/>
      <c r="B65" s="1294"/>
      <c r="C65" s="1295"/>
      <c r="D65" s="1296"/>
      <c r="E65" s="1297"/>
      <c r="F65" s="1298"/>
      <c r="G65" s="1294"/>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302"/>
      <c r="AG65" s="1302"/>
    </row>
    <row r="66">
      <c r="A66" s="1293"/>
      <c r="B66" s="1294"/>
      <c r="C66" s="1295"/>
      <c r="D66" s="1296"/>
      <c r="E66" s="1297"/>
      <c r="F66" s="1298"/>
      <c r="G66" s="1294"/>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302"/>
      <c r="AG66" s="1302"/>
    </row>
    <row r="67">
      <c r="A67" s="1293"/>
      <c r="B67" s="1294"/>
      <c r="C67" s="1295"/>
      <c r="D67" s="1296"/>
      <c r="E67" s="1297"/>
      <c r="F67" s="1298"/>
      <c r="G67" s="1294"/>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302"/>
      <c r="AG67" s="1302"/>
    </row>
    <row r="68">
      <c r="A68" s="1293"/>
      <c r="B68" s="1294"/>
      <c r="C68" s="1295"/>
      <c r="D68" s="1296"/>
      <c r="E68" s="1297"/>
      <c r="F68" s="1298"/>
      <c r="G68" s="1294"/>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302"/>
      <c r="AG68" s="1302"/>
    </row>
    <row r="69">
      <c r="A69" s="1293"/>
      <c r="B69" s="1294"/>
      <c r="C69" s="1295"/>
      <c r="D69" s="1296"/>
      <c r="E69" s="1297"/>
      <c r="F69" s="1298"/>
      <c r="G69" s="1294"/>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302"/>
      <c r="AG69" s="1302"/>
    </row>
    <row r="70">
      <c r="A70" s="1293"/>
      <c r="B70" s="1294"/>
      <c r="C70" s="1295"/>
      <c r="D70" s="1296"/>
      <c r="E70" s="1297"/>
      <c r="F70" s="1298"/>
      <c r="G70" s="1294"/>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302"/>
      <c r="AG70" s="1302"/>
    </row>
    <row r="71">
      <c r="A71" s="1293"/>
      <c r="B71" s="1294"/>
      <c r="C71" s="1295"/>
      <c r="D71" s="1296"/>
      <c r="E71" s="1297"/>
      <c r="F71" s="1298"/>
      <c r="G71" s="1294"/>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302"/>
      <c r="AG71" s="1302"/>
    </row>
    <row r="72">
      <c r="A72" s="1293"/>
      <c r="B72" s="1294"/>
      <c r="C72" s="1295"/>
      <c r="D72" s="1296"/>
      <c r="E72" s="1297"/>
      <c r="F72" s="1298"/>
      <c r="G72" s="1294"/>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302"/>
      <c r="AG72" s="1302"/>
    </row>
    <row r="73">
      <c r="A73" s="1293"/>
      <c r="B73" s="1294"/>
      <c r="C73" s="1295"/>
      <c r="D73" s="1296"/>
      <c r="E73" s="1297"/>
      <c r="F73" s="1298"/>
      <c r="G73" s="1294"/>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302"/>
      <c r="AG73" s="1302"/>
    </row>
    <row r="74">
      <c r="A74" s="1293"/>
      <c r="B74" s="1294"/>
      <c r="C74" s="1295"/>
      <c r="D74" s="1296"/>
      <c r="E74" s="1297"/>
      <c r="F74" s="1298"/>
      <c r="G74" s="1294"/>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302"/>
      <c r="AG74" s="1302"/>
    </row>
    <row r="75">
      <c r="A75" s="1293"/>
      <c r="B75" s="1294"/>
      <c r="C75" s="1295"/>
      <c r="D75" s="1296"/>
      <c r="E75" s="1297"/>
      <c r="F75" s="1298"/>
      <c r="G75" s="1294"/>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302"/>
      <c r="AG75" s="1302"/>
    </row>
    <row r="76">
      <c r="A76" s="1293"/>
      <c r="B76" s="1294"/>
      <c r="C76" s="1295"/>
      <c r="D76" s="1296"/>
      <c r="E76" s="1297"/>
      <c r="F76" s="1298"/>
      <c r="G76" s="1294"/>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302"/>
      <c r="AG76" s="1302"/>
    </row>
    <row r="77">
      <c r="A77" s="1293"/>
      <c r="B77" s="1294"/>
      <c r="C77" s="1295"/>
      <c r="D77" s="1296"/>
      <c r="E77" s="1297"/>
      <c r="F77" s="1298"/>
      <c r="G77" s="1294"/>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302"/>
      <c r="AG77" s="1302"/>
    </row>
    <row r="78">
      <c r="A78" s="1293"/>
      <c r="B78" s="1294"/>
      <c r="C78" s="1295"/>
      <c r="D78" s="1296"/>
      <c r="E78" s="1297"/>
      <c r="F78" s="1298"/>
      <c r="G78" s="1294"/>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302"/>
      <c r="AG78" s="1302"/>
    </row>
    <row r="79">
      <c r="A79" s="1293"/>
      <c r="B79" s="1294"/>
      <c r="C79" s="1295"/>
      <c r="D79" s="1296"/>
      <c r="E79" s="1297"/>
      <c r="F79" s="1298"/>
      <c r="G79" s="1294"/>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302"/>
      <c r="AG79" s="1302"/>
    </row>
    <row r="80">
      <c r="A80" s="1293"/>
      <c r="B80" s="1294"/>
      <c r="C80" s="1295"/>
      <c r="D80" s="1296"/>
      <c r="E80" s="1297"/>
      <c r="F80" s="1298"/>
      <c r="G80" s="1294"/>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302"/>
      <c r="AG80" s="1302"/>
    </row>
    <row r="81">
      <c r="A81" s="1293"/>
      <c r="B81" s="1294"/>
      <c r="C81" s="1295"/>
      <c r="D81" s="1296"/>
      <c r="E81" s="1297"/>
      <c r="F81" s="1298"/>
      <c r="G81" s="1294"/>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302"/>
      <c r="AG81" s="1302"/>
    </row>
    <row r="82">
      <c r="A82" s="1293"/>
      <c r="B82" s="1294"/>
      <c r="C82" s="1295"/>
      <c r="D82" s="1296"/>
      <c r="E82" s="1297"/>
      <c r="F82" s="1298"/>
      <c r="G82" s="1294"/>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302"/>
      <c r="AG82" s="1302"/>
    </row>
    <row r="83">
      <c r="A83" s="1293"/>
      <c r="B83" s="1294"/>
      <c r="C83" s="1295"/>
      <c r="D83" s="1296"/>
      <c r="E83" s="1297"/>
      <c r="F83" s="1298"/>
      <c r="G83" s="1294"/>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302"/>
      <c r="AG83" s="1302"/>
    </row>
    <row r="84">
      <c r="A84" s="1293"/>
      <c r="B84" s="1294"/>
      <c r="C84" s="1295"/>
      <c r="D84" s="1296"/>
      <c r="E84" s="1297"/>
      <c r="F84" s="1298"/>
      <c r="G84" s="1294"/>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302"/>
      <c r="AG84" s="1302"/>
    </row>
    <row r="85">
      <c r="A85" s="1293"/>
      <c r="B85" s="1294"/>
      <c r="C85" s="1295"/>
      <c r="D85" s="1296"/>
      <c r="E85" s="1297"/>
      <c r="F85" s="1298"/>
      <c r="G85" s="1294"/>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302"/>
      <c r="AG85" s="1302"/>
    </row>
    <row r="86">
      <c r="A86" s="1293"/>
      <c r="B86" s="1294"/>
      <c r="C86" s="1295"/>
      <c r="D86" s="1296"/>
      <c r="E86" s="1297"/>
      <c r="F86" s="1298"/>
      <c r="G86" s="1294"/>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302"/>
      <c r="AG86" s="1302"/>
    </row>
    <row r="87">
      <c r="A87" s="1293"/>
      <c r="B87" s="1294"/>
      <c r="C87" s="1295"/>
      <c r="D87" s="1296"/>
      <c r="E87" s="1297"/>
      <c r="F87" s="1298"/>
      <c r="G87" s="1294"/>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302"/>
      <c r="AG87" s="1302"/>
    </row>
    <row r="88">
      <c r="A88" s="1293"/>
      <c r="B88" s="1294"/>
      <c r="C88" s="1295"/>
      <c r="D88" s="1296"/>
      <c r="E88" s="1297"/>
      <c r="F88" s="1298"/>
      <c r="G88" s="1294"/>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302"/>
      <c r="AG88" s="1302"/>
    </row>
    <row r="89">
      <c r="A89" s="1293"/>
      <c r="B89" s="1294"/>
      <c r="C89" s="1295"/>
      <c r="D89" s="1296"/>
      <c r="E89" s="1297"/>
      <c r="F89" s="1298"/>
      <c r="G89" s="1294"/>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302"/>
      <c r="AG89" s="1302"/>
    </row>
    <row r="90">
      <c r="A90" s="1293"/>
      <c r="B90" s="1294"/>
      <c r="C90" s="1295"/>
      <c r="D90" s="1296"/>
      <c r="E90" s="1297"/>
      <c r="F90" s="1298"/>
      <c r="G90" s="1294"/>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302"/>
      <c r="AG90" s="1302"/>
    </row>
    <row r="91">
      <c r="A91" s="1293"/>
      <c r="B91" s="1294"/>
      <c r="C91" s="1295"/>
      <c r="D91" s="1296"/>
      <c r="E91" s="1297"/>
      <c r="F91" s="1298"/>
      <c r="G91" s="1294"/>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302"/>
      <c r="AG91" s="1302"/>
    </row>
    <row r="92">
      <c r="A92" s="1293"/>
      <c r="B92" s="1294"/>
      <c r="C92" s="1295"/>
      <c r="D92" s="1296"/>
      <c r="E92" s="1297"/>
      <c r="F92" s="1298"/>
      <c r="G92" s="1294"/>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302"/>
      <c r="AG92" s="1302"/>
    </row>
    <row r="93">
      <c r="A93" s="1293"/>
      <c r="B93" s="1294"/>
      <c r="C93" s="1295"/>
      <c r="D93" s="1296"/>
      <c r="E93" s="1297"/>
      <c r="F93" s="1298"/>
      <c r="G93" s="1294"/>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302"/>
      <c r="AG93" s="1302"/>
    </row>
    <row r="94">
      <c r="A94" s="1293"/>
      <c r="B94" s="1294"/>
      <c r="C94" s="1295"/>
      <c r="D94" s="1296"/>
      <c r="E94" s="1297"/>
      <c r="F94" s="1298"/>
      <c r="G94" s="1294"/>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302"/>
      <c r="AG94" s="1302"/>
    </row>
    <row r="95">
      <c r="A95" s="1293"/>
      <c r="B95" s="1294"/>
      <c r="C95" s="1295"/>
      <c r="D95" s="1296"/>
      <c r="E95" s="1297"/>
      <c r="F95" s="1298"/>
      <c r="G95" s="1294"/>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302"/>
      <c r="AG95" s="1302"/>
    </row>
    <row r="96">
      <c r="A96" s="1293"/>
      <c r="B96" s="1294"/>
      <c r="C96" s="1295"/>
      <c r="D96" s="1296"/>
      <c r="E96" s="1297"/>
      <c r="F96" s="1298"/>
      <c r="G96" s="1294"/>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302"/>
      <c r="AG96" s="1302"/>
    </row>
    <row r="97">
      <c r="A97" s="1293"/>
      <c r="B97" s="1294"/>
      <c r="C97" s="1295"/>
      <c r="D97" s="1296"/>
      <c r="E97" s="1297"/>
      <c r="F97" s="1298"/>
      <c r="G97" s="1294"/>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302"/>
      <c r="AG97" s="1302"/>
    </row>
    <row r="98">
      <c r="A98" s="1293"/>
      <c r="B98" s="1294"/>
      <c r="C98" s="1295"/>
      <c r="D98" s="1296"/>
      <c r="E98" s="1297"/>
      <c r="F98" s="1298"/>
      <c r="G98" s="1294"/>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302"/>
      <c r="AG98" s="1302"/>
    </row>
    <row r="99">
      <c r="A99" s="1293"/>
      <c r="B99" s="1294"/>
      <c r="C99" s="1295"/>
      <c r="D99" s="1296"/>
      <c r="E99" s="1297"/>
      <c r="F99" s="1298"/>
      <c r="G99" s="1294"/>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302"/>
      <c r="AG99" s="1302"/>
    </row>
    <row r="100">
      <c r="A100" s="1293"/>
      <c r="B100" s="1294"/>
      <c r="C100" s="1295"/>
      <c r="D100" s="1296"/>
      <c r="E100" s="1297"/>
      <c r="F100" s="1298"/>
      <c r="G100" s="1294"/>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302"/>
      <c r="AG100" s="1302"/>
    </row>
    <row r="101">
      <c r="A101" s="1293"/>
      <c r="B101" s="1294"/>
      <c r="C101" s="1295"/>
      <c r="D101" s="1296"/>
      <c r="E101" s="1297"/>
      <c r="F101" s="1298"/>
      <c r="G101" s="1294"/>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302"/>
      <c r="AG101" s="1302"/>
    </row>
    <row r="102">
      <c r="A102" s="1293"/>
      <c r="B102" s="1294"/>
      <c r="C102" s="1295"/>
      <c r="D102" s="1296"/>
      <c r="E102" s="1297"/>
      <c r="F102" s="1298"/>
      <c r="G102" s="1294"/>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302"/>
      <c r="AG102" s="1302"/>
    </row>
    <row r="103">
      <c r="A103" s="1293"/>
      <c r="B103" s="1294"/>
      <c r="C103" s="1295"/>
      <c r="D103" s="1296"/>
      <c r="E103" s="1297"/>
      <c r="F103" s="1298"/>
      <c r="G103" s="1294"/>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302"/>
      <c r="AG103" s="1302"/>
    </row>
    <row r="104">
      <c r="A104" s="1293"/>
      <c r="B104" s="1294"/>
      <c r="C104" s="1295"/>
      <c r="D104" s="1296"/>
      <c r="E104" s="1297"/>
      <c r="F104" s="1298"/>
      <c r="G104" s="1294"/>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302"/>
      <c r="AG104" s="1302"/>
    </row>
    <row r="105">
      <c r="A105" s="1293"/>
      <c r="B105" s="1294"/>
      <c r="C105" s="1295"/>
      <c r="D105" s="1296"/>
      <c r="E105" s="1297"/>
      <c r="F105" s="1298"/>
      <c r="G105" s="1294"/>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302"/>
      <c r="AG105" s="1302"/>
    </row>
    <row r="106">
      <c r="A106" s="1293"/>
      <c r="B106" s="1294"/>
      <c r="C106" s="1295"/>
      <c r="D106" s="1296"/>
      <c r="E106" s="1297"/>
      <c r="F106" s="1298"/>
      <c r="G106" s="1294"/>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302"/>
      <c r="AG106" s="1302"/>
    </row>
    <row r="107">
      <c r="A107" s="1293"/>
      <c r="B107" s="1294"/>
      <c r="C107" s="1295"/>
      <c r="D107" s="1296"/>
      <c r="E107" s="1297"/>
      <c r="F107" s="1298"/>
      <c r="G107" s="1294"/>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302"/>
      <c r="AG107" s="1302"/>
    </row>
    <row r="108">
      <c r="A108" s="1293"/>
      <c r="B108" s="1294"/>
      <c r="C108" s="1295"/>
      <c r="D108" s="1296"/>
      <c r="E108" s="1297"/>
      <c r="F108" s="1298"/>
      <c r="G108" s="1294"/>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302"/>
      <c r="AG108" s="1302"/>
    </row>
    <row r="109">
      <c r="A109" s="1293"/>
      <c r="B109" s="1294"/>
      <c r="C109" s="1295"/>
      <c r="D109" s="1296"/>
      <c r="E109" s="1297"/>
      <c r="F109" s="1298"/>
      <c r="G109" s="1294"/>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302"/>
      <c r="AG109" s="1302"/>
    </row>
    <row r="110">
      <c r="A110" s="1293"/>
      <c r="B110" s="1294"/>
      <c r="C110" s="1295"/>
      <c r="D110" s="1296"/>
      <c r="E110" s="1297"/>
      <c r="F110" s="1298"/>
      <c r="G110" s="1294"/>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302"/>
      <c r="AG110" s="1302"/>
    </row>
    <row r="111">
      <c r="A111" s="1293"/>
      <c r="B111" s="1294"/>
      <c r="C111" s="1295"/>
      <c r="D111" s="1296"/>
      <c r="E111" s="1297"/>
      <c r="F111" s="1298"/>
      <c r="G111" s="1294"/>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302"/>
      <c r="AG111" s="1302"/>
    </row>
    <row r="112">
      <c r="A112" s="1293"/>
      <c r="B112" s="1294"/>
      <c r="C112" s="1295"/>
      <c r="D112" s="1296"/>
      <c r="E112" s="1297"/>
      <c r="F112" s="1298"/>
      <c r="G112" s="1294"/>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302"/>
      <c r="AG112" s="1302"/>
    </row>
    <row r="113">
      <c r="A113" s="1293"/>
      <c r="B113" s="1294"/>
      <c r="C113" s="1295"/>
      <c r="D113" s="1296"/>
      <c r="E113" s="1297"/>
      <c r="F113" s="1298"/>
      <c r="G113" s="1294"/>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302"/>
      <c r="AG113" s="1302"/>
    </row>
    <row r="114">
      <c r="A114" s="1293"/>
      <c r="B114" s="1294"/>
      <c r="C114" s="1295"/>
      <c r="D114" s="1296"/>
      <c r="E114" s="1297"/>
      <c r="F114" s="1298"/>
      <c r="G114" s="1294"/>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302"/>
      <c r="AG114" s="1302"/>
    </row>
    <row r="115">
      <c r="A115" s="1293"/>
      <c r="B115" s="1294"/>
      <c r="C115" s="1295"/>
      <c r="D115" s="1296"/>
      <c r="E115" s="1297"/>
      <c r="F115" s="1298"/>
      <c r="G115" s="1294"/>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302"/>
      <c r="AG115" s="1302"/>
    </row>
    <row r="116">
      <c r="A116" s="1293"/>
      <c r="B116" s="1294"/>
      <c r="C116" s="1295"/>
      <c r="D116" s="1296"/>
      <c r="E116" s="1297"/>
      <c r="F116" s="1298"/>
      <c r="G116" s="1294"/>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302"/>
      <c r="AG116" s="1302"/>
    </row>
    <row r="117">
      <c r="A117" s="1293"/>
      <c r="B117" s="1294"/>
      <c r="C117" s="1295"/>
      <c r="D117" s="1296"/>
      <c r="E117" s="1297"/>
      <c r="F117" s="1298"/>
      <c r="G117" s="1294"/>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302"/>
      <c r="AG117" s="1302"/>
    </row>
    <row r="118">
      <c r="A118" s="1293"/>
      <c r="B118" s="1294"/>
      <c r="C118" s="1295"/>
      <c r="D118" s="1296"/>
      <c r="E118" s="1297"/>
      <c r="F118" s="1298"/>
      <c r="G118" s="1294"/>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302"/>
      <c r="AG118" s="1302"/>
    </row>
    <row r="119">
      <c r="A119" s="1293"/>
      <c r="B119" s="1294"/>
      <c r="C119" s="1295"/>
      <c r="D119" s="1296"/>
      <c r="E119" s="1297"/>
      <c r="F119" s="1298"/>
      <c r="G119" s="1294"/>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302"/>
      <c r="AG119" s="1302"/>
    </row>
    <row r="120">
      <c r="A120" s="1293"/>
      <c r="B120" s="1294"/>
      <c r="C120" s="1295"/>
      <c r="D120" s="1296"/>
      <c r="E120" s="1297"/>
      <c r="F120" s="1298"/>
      <c r="G120" s="1294"/>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302"/>
      <c r="AG120" s="1302"/>
    </row>
    <row r="121">
      <c r="A121" s="1293"/>
      <c r="B121" s="1294"/>
      <c r="C121" s="1295"/>
      <c r="D121" s="1296"/>
      <c r="E121" s="1297"/>
      <c r="F121" s="1298"/>
      <c r="G121" s="1294"/>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302"/>
      <c r="AG121" s="1302"/>
    </row>
    <row r="122">
      <c r="A122" s="1293"/>
      <c r="B122" s="1294"/>
      <c r="C122" s="1295"/>
      <c r="D122" s="1296"/>
      <c r="E122" s="1297"/>
      <c r="F122" s="1298"/>
      <c r="G122" s="1294"/>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302"/>
      <c r="AG122" s="1302"/>
    </row>
    <row r="123">
      <c r="A123" s="1293"/>
      <c r="B123" s="1294"/>
      <c r="C123" s="1295"/>
      <c r="D123" s="1296"/>
      <c r="E123" s="1297"/>
      <c r="F123" s="1298"/>
      <c r="G123" s="1294"/>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302"/>
      <c r="AG123" s="1302"/>
    </row>
    <row r="124">
      <c r="A124" s="1293"/>
      <c r="B124" s="1294"/>
      <c r="C124" s="1295"/>
      <c r="D124" s="1296"/>
      <c r="E124" s="1297"/>
      <c r="F124" s="1298"/>
      <c r="G124" s="1294"/>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302"/>
      <c r="AG124" s="1302"/>
    </row>
    <row r="125">
      <c r="A125" s="1293"/>
      <c r="B125" s="1294"/>
      <c r="C125" s="1295"/>
      <c r="D125" s="1296"/>
      <c r="E125" s="1297"/>
      <c r="F125" s="1298"/>
      <c r="G125" s="1294"/>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302"/>
      <c r="AG125" s="1302"/>
    </row>
    <row r="126">
      <c r="A126" s="1293"/>
      <c r="B126" s="1294"/>
      <c r="C126" s="1295"/>
      <c r="D126" s="1296"/>
      <c r="E126" s="1297"/>
      <c r="F126" s="1298"/>
      <c r="G126" s="1294"/>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302"/>
      <c r="AG126" s="1302"/>
    </row>
    <row r="127">
      <c r="A127" s="1293"/>
      <c r="B127" s="1294"/>
      <c r="C127" s="1295"/>
      <c r="D127" s="1296"/>
      <c r="E127" s="1297"/>
      <c r="F127" s="1298"/>
      <c r="G127" s="1294"/>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302"/>
      <c r="AG127" s="1302"/>
    </row>
    <row r="128">
      <c r="A128" s="1293"/>
      <c r="B128" s="1294"/>
      <c r="C128" s="1295"/>
      <c r="D128" s="1296"/>
      <c r="E128" s="1297"/>
      <c r="F128" s="1298"/>
      <c r="G128" s="1294"/>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302"/>
      <c r="AG128" s="1302"/>
    </row>
    <row r="129">
      <c r="A129" s="1293"/>
      <c r="B129" s="1294"/>
      <c r="C129" s="1295"/>
      <c r="D129" s="1296"/>
      <c r="E129" s="1297"/>
      <c r="F129" s="1298"/>
      <c r="G129" s="1294"/>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302"/>
      <c r="AG129" s="1302"/>
    </row>
    <row r="130">
      <c r="A130" s="1293"/>
      <c r="B130" s="1294"/>
      <c r="C130" s="1295"/>
      <c r="D130" s="1296"/>
      <c r="E130" s="1297"/>
      <c r="F130" s="1298"/>
      <c r="G130" s="1294"/>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302"/>
      <c r="AG130" s="1302"/>
    </row>
    <row r="131">
      <c r="A131" s="1293"/>
      <c r="B131" s="1294"/>
      <c r="C131" s="1295"/>
      <c r="D131" s="1296"/>
      <c r="E131" s="1297"/>
      <c r="F131" s="1298"/>
      <c r="G131" s="1294"/>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302"/>
      <c r="AG131" s="1302"/>
    </row>
    <row r="132">
      <c r="A132" s="1293"/>
      <c r="B132" s="1294"/>
      <c r="C132" s="1295"/>
      <c r="D132" s="1296"/>
      <c r="E132" s="1297"/>
      <c r="F132" s="1298"/>
      <c r="G132" s="1294"/>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302"/>
      <c r="AG132" s="1302"/>
    </row>
    <row r="133">
      <c r="A133" s="1293"/>
      <c r="B133" s="1294"/>
      <c r="C133" s="1295"/>
      <c r="D133" s="1296"/>
      <c r="E133" s="1297"/>
      <c r="F133" s="1298"/>
      <c r="G133" s="1294"/>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302"/>
      <c r="AG133" s="1302"/>
    </row>
    <row r="134">
      <c r="A134" s="1293"/>
      <c r="B134" s="1294"/>
      <c r="C134" s="1295"/>
      <c r="D134" s="1296"/>
      <c r="E134" s="1297"/>
      <c r="F134" s="1298"/>
      <c r="G134" s="1294"/>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302"/>
      <c r="AG134" s="1302"/>
    </row>
    <row r="135">
      <c r="A135" s="1293"/>
      <c r="B135" s="1294"/>
      <c r="C135" s="1295"/>
      <c r="D135" s="1296"/>
      <c r="E135" s="1297"/>
      <c r="F135" s="1298"/>
      <c r="G135" s="1294"/>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302"/>
      <c r="AG135" s="1302"/>
    </row>
    <row r="136">
      <c r="A136" s="1293"/>
      <c r="B136" s="1294"/>
      <c r="C136" s="1295"/>
      <c r="D136" s="1296"/>
      <c r="E136" s="1297"/>
      <c r="F136" s="1298"/>
      <c r="G136" s="1294"/>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302"/>
      <c r="AG136" s="1302"/>
    </row>
    <row r="137">
      <c r="A137" s="1293"/>
      <c r="B137" s="1294"/>
      <c r="C137" s="1295"/>
      <c r="D137" s="1296"/>
      <c r="E137" s="1297"/>
      <c r="F137" s="1298"/>
      <c r="G137" s="1294"/>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302"/>
      <c r="AG137" s="1302"/>
    </row>
    <row r="138">
      <c r="A138" s="1293"/>
      <c r="B138" s="1294"/>
      <c r="C138" s="1295"/>
      <c r="D138" s="1296"/>
      <c r="E138" s="1297"/>
      <c r="F138" s="1298"/>
      <c r="G138" s="1294"/>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302"/>
      <c r="AG138" s="1302"/>
    </row>
    <row r="139">
      <c r="A139" s="1293"/>
      <c r="B139" s="1294"/>
      <c r="C139" s="1295"/>
      <c r="D139" s="1296"/>
      <c r="E139" s="1297"/>
      <c r="F139" s="1298"/>
      <c r="G139" s="1294"/>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302"/>
      <c r="AG139" s="1302"/>
    </row>
    <row r="140">
      <c r="A140" s="1293"/>
      <c r="B140" s="1294"/>
      <c r="C140" s="1295"/>
      <c r="D140" s="1296"/>
      <c r="E140" s="1297"/>
      <c r="F140" s="1298"/>
      <c r="G140" s="1294"/>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W12"/>
    <hyperlink r:id="rId30" ref="AC13"/>
    <hyperlink r:id="rId31" ref="V14"/>
    <hyperlink r:id="rId32" ref="R15"/>
    <hyperlink r:id="rId33" ref="Q16"/>
    <hyperlink r:id="rId34" ref="T16"/>
    <hyperlink r:id="rId35" ref="W16"/>
    <hyperlink r:id="rId36" ref="AC17"/>
    <hyperlink r:id="rId37" ref="V18"/>
    <hyperlink r:id="rId38" ref="AC19"/>
    <hyperlink r:id="rId39" ref="R20"/>
    <hyperlink r:id="rId40" ref="V21"/>
    <hyperlink r:id="rId41" ref="U22"/>
    <hyperlink r:id="rId42" ref="N23"/>
  </hyperlinks>
  <drawing r:id="rId43"/>
  <legacyDrawing r:id="rId44"/>
  <tableParts count="9">
    <tablePart r:id="rId54"/>
    <tablePart r:id="rId55"/>
    <tablePart r:id="rId56"/>
    <tablePart r:id="rId57"/>
    <tablePart r:id="rId58"/>
    <tablePart r:id="rId59"/>
    <tablePart r:id="rId60"/>
    <tablePart r:id="rId61"/>
    <tablePart r:id="rId6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8237</v>
      </c>
      <c r="C1" s="1318" t="s">
        <v>8238</v>
      </c>
      <c r="D1" s="1319" t="s">
        <v>8239</v>
      </c>
      <c r="E1" s="1319" t="s">
        <v>7655</v>
      </c>
      <c r="F1" s="1319" t="s">
        <v>7656</v>
      </c>
      <c r="G1" s="1319" t="s">
        <v>8240</v>
      </c>
      <c r="H1" s="1320" t="s">
        <v>8241</v>
      </c>
      <c r="I1" s="1320" t="s">
        <v>8242</v>
      </c>
      <c r="J1" s="1321" t="s">
        <v>7667</v>
      </c>
      <c r="K1" s="1321" t="s">
        <v>8243</v>
      </c>
      <c r="L1" s="1321" t="s">
        <v>8244</v>
      </c>
      <c r="M1" s="1321" t="s">
        <v>8245</v>
      </c>
      <c r="N1" s="1321" t="s">
        <v>7730</v>
      </c>
      <c r="O1" s="1321" t="s">
        <v>8246</v>
      </c>
      <c r="P1" s="1321" t="s">
        <v>8247</v>
      </c>
      <c r="Q1" s="1322" t="s">
        <v>8248</v>
      </c>
      <c r="R1" s="1322" t="s">
        <v>7663</v>
      </c>
      <c r="S1" s="1322" t="s">
        <v>8249</v>
      </c>
      <c r="T1" s="1322" t="s">
        <v>8250</v>
      </c>
      <c r="U1" s="1322" t="s">
        <v>8251</v>
      </c>
      <c r="V1" s="1322" t="s">
        <v>8252</v>
      </c>
      <c r="W1" s="1323" t="s">
        <v>7657</v>
      </c>
      <c r="X1" s="1323" t="s">
        <v>7658</v>
      </c>
      <c r="Y1" s="1323" t="s">
        <v>8253</v>
      </c>
      <c r="Z1" s="1323" t="s">
        <v>8254</v>
      </c>
      <c r="AA1" s="1323" t="s">
        <v>7660</v>
      </c>
      <c r="AB1" s="1323" t="s">
        <v>8255</v>
      </c>
      <c r="AC1" s="1323" t="s">
        <v>8256</v>
      </c>
      <c r="AD1" s="1319" t="s">
        <v>8257</v>
      </c>
      <c r="AE1" s="1319" t="s">
        <v>8258</v>
      </c>
      <c r="AF1" s="1324" t="s">
        <v>7664</v>
      </c>
      <c r="AG1" s="1324" t="s">
        <v>8259</v>
      </c>
      <c r="AH1" s="1324" t="s">
        <v>8260</v>
      </c>
      <c r="AI1" s="1324" t="s">
        <v>7665</v>
      </c>
      <c r="AJ1" s="1324" t="s">
        <v>8261</v>
      </c>
      <c r="AK1" s="1324" t="s">
        <v>8262</v>
      </c>
      <c r="AL1" s="1324" t="s">
        <v>8263</v>
      </c>
      <c r="AM1" s="1325" t="s">
        <v>7666</v>
      </c>
      <c r="AN1" s="1325" t="s">
        <v>8264</v>
      </c>
      <c r="AO1" s="1325" t="s">
        <v>8265</v>
      </c>
      <c r="AP1" s="1325" t="s">
        <v>8266</v>
      </c>
      <c r="AQ1" s="1325" t="s">
        <v>8267</v>
      </c>
      <c r="AR1" s="1325" t="s">
        <v>8268</v>
      </c>
      <c r="AS1" s="1325" t="s">
        <v>8269</v>
      </c>
      <c r="AT1" s="1326" t="s">
        <v>8270</v>
      </c>
      <c r="AU1" s="1316" t="s">
        <v>8271</v>
      </c>
      <c r="AV1" s="1327" t="s">
        <v>8272</v>
      </c>
      <c r="AW1" s="1328" t="s">
        <v>8273</v>
      </c>
    </row>
    <row r="2" ht="15.75" customHeight="1">
      <c r="A2" s="1329" t="s">
        <v>8274</v>
      </c>
      <c r="B2" s="1330" t="s">
        <v>8275</v>
      </c>
      <c r="C2" s="1331" t="s">
        <v>8276</v>
      </c>
      <c r="D2" s="1332" t="s">
        <v>8277</v>
      </c>
      <c r="E2" s="1333" t="s">
        <v>8278</v>
      </c>
      <c r="F2" s="1332" t="s">
        <v>8279</v>
      </c>
      <c r="G2" s="1333" t="s">
        <v>8280</v>
      </c>
      <c r="H2" s="1334" t="s">
        <v>8281</v>
      </c>
      <c r="I2" s="1335">
        <v>47.34</v>
      </c>
      <c r="J2" s="1336" t="s">
        <v>8282</v>
      </c>
      <c r="K2" s="1337" t="s">
        <v>4043</v>
      </c>
      <c r="L2" s="1337" t="s">
        <v>231</v>
      </c>
      <c r="M2" s="1338" t="s">
        <v>8283</v>
      </c>
      <c r="N2" s="1338" t="s">
        <v>8284</v>
      </c>
      <c r="O2" s="1336" t="s">
        <v>8285</v>
      </c>
      <c r="P2" s="1337" t="s">
        <v>1279</v>
      </c>
      <c r="Q2" s="1339" t="s">
        <v>8286</v>
      </c>
      <c r="R2" s="1340" t="s">
        <v>4368</v>
      </c>
      <c r="S2" s="1339" t="s">
        <v>812</v>
      </c>
      <c r="T2" s="1340" t="s">
        <v>8287</v>
      </c>
      <c r="U2" s="1339" t="s">
        <v>8288</v>
      </c>
      <c r="V2" s="1341">
        <v>58.55</v>
      </c>
      <c r="W2" s="1342" t="s">
        <v>8289</v>
      </c>
      <c r="X2" s="1343" t="s">
        <v>8290</v>
      </c>
      <c r="Y2" s="1343">
        <v>46.63</v>
      </c>
      <c r="Z2" s="1344" t="s">
        <v>8291</v>
      </c>
      <c r="AA2" s="1343" t="s">
        <v>3291</v>
      </c>
      <c r="AB2" s="1343" t="s">
        <v>8292</v>
      </c>
      <c r="AC2" s="1344" t="s">
        <v>3829</v>
      </c>
      <c r="AD2" s="1333" t="s">
        <v>760</v>
      </c>
      <c r="AE2" s="1332" t="s">
        <v>3824</v>
      </c>
      <c r="AF2" s="1345" t="s">
        <v>8293</v>
      </c>
      <c r="AG2" s="1345" t="s">
        <v>8294</v>
      </c>
      <c r="AH2" s="1345" t="s">
        <v>3598</v>
      </c>
      <c r="AI2" s="1346" t="s">
        <v>8295</v>
      </c>
      <c r="AJ2" s="1346" t="s">
        <v>8296</v>
      </c>
      <c r="AK2" s="1346" t="s">
        <v>8297</v>
      </c>
      <c r="AL2" s="1347" t="s">
        <v>5968</v>
      </c>
      <c r="AM2" s="1348" t="s">
        <v>3461</v>
      </c>
      <c r="AN2" s="1348" t="s">
        <v>5247</v>
      </c>
      <c r="AO2" s="1349" t="s">
        <v>5707</v>
      </c>
      <c r="AP2" s="1350" t="s">
        <v>8298</v>
      </c>
      <c r="AQ2" s="1348" t="s">
        <v>8299</v>
      </c>
      <c r="AR2" s="1349" t="s">
        <v>411</v>
      </c>
      <c r="AS2" s="1348">
        <v>42.83</v>
      </c>
      <c r="AT2" s="1351" t="s">
        <v>8300</v>
      </c>
      <c r="AU2" s="1352" t="s">
        <v>8301</v>
      </c>
      <c r="AV2" s="1352" t="str">
        <f t="shared" ref="AV2:AV76" si="1">TEXT(AU2-C2,"m:ss")</f>
        <v>2:34</v>
      </c>
      <c r="AW2" s="1353"/>
    </row>
    <row r="3" ht="15.75" customHeight="1">
      <c r="A3" s="1354" t="s">
        <v>8302</v>
      </c>
      <c r="B3" s="1355" t="s">
        <v>8303</v>
      </c>
      <c r="C3" s="1356">
        <v>0.04946331018518518</v>
      </c>
      <c r="D3" s="1357" t="s">
        <v>8304</v>
      </c>
      <c r="E3" s="1357" t="s">
        <v>8305</v>
      </c>
      <c r="F3" s="1357" t="s">
        <v>8306</v>
      </c>
      <c r="G3" s="1357" t="s">
        <v>8307</v>
      </c>
      <c r="H3" s="1358" t="s">
        <v>8308</v>
      </c>
      <c r="I3" s="1358" t="s">
        <v>8309</v>
      </c>
      <c r="J3" s="1359" t="s">
        <v>8310</v>
      </c>
      <c r="K3" s="1359" t="s">
        <v>1160</v>
      </c>
      <c r="L3" s="1359" t="s">
        <v>8311</v>
      </c>
      <c r="M3" s="1359" t="s">
        <v>8312</v>
      </c>
      <c r="N3" s="1359" t="s">
        <v>3592</v>
      </c>
      <c r="O3" s="1359" t="s">
        <v>8313</v>
      </c>
      <c r="P3" s="1359" t="s">
        <v>5415</v>
      </c>
      <c r="Q3" s="1360" t="s">
        <v>8314</v>
      </c>
      <c r="R3" s="1360" t="s">
        <v>7042</v>
      </c>
      <c r="S3" s="1360" t="s">
        <v>8284</v>
      </c>
      <c r="T3" s="1360" t="s">
        <v>8315</v>
      </c>
      <c r="U3" s="1361" t="s">
        <v>7604</v>
      </c>
      <c r="V3" s="1360" t="s">
        <v>8316</v>
      </c>
      <c r="W3" s="1362" t="s">
        <v>8317</v>
      </c>
      <c r="X3" s="1363" t="s">
        <v>2557</v>
      </c>
      <c r="Y3" s="1363" t="s">
        <v>3892</v>
      </c>
      <c r="Z3" s="1363" t="s">
        <v>8318</v>
      </c>
      <c r="AA3" s="1363" t="s">
        <v>8319</v>
      </c>
      <c r="AB3" s="1362" t="s">
        <v>2806</v>
      </c>
      <c r="AC3" s="1363" t="s">
        <v>4966</v>
      </c>
      <c r="AD3" s="1357" t="s">
        <v>8320</v>
      </c>
      <c r="AE3" s="1357" t="s">
        <v>8321</v>
      </c>
      <c r="AF3" s="1364" t="s">
        <v>8322</v>
      </c>
      <c r="AG3" s="1365" t="s">
        <v>8323</v>
      </c>
      <c r="AH3" s="1365" t="s">
        <v>2782</v>
      </c>
      <c r="AI3" s="1365" t="s">
        <v>3999</v>
      </c>
      <c r="AJ3" s="1364" t="s">
        <v>8324</v>
      </c>
      <c r="AK3" s="1365" t="s">
        <v>8325</v>
      </c>
      <c r="AL3" s="1365" t="s">
        <v>5912</v>
      </c>
      <c r="AM3" s="1366" t="s">
        <v>2316</v>
      </c>
      <c r="AN3" s="1366" t="s">
        <v>3559</v>
      </c>
      <c r="AO3" s="1367" t="s">
        <v>8326</v>
      </c>
      <c r="AP3" s="1367" t="s">
        <v>8327</v>
      </c>
      <c r="AQ3" s="1367" t="s">
        <v>8328</v>
      </c>
      <c r="AR3" s="1367" t="s">
        <v>7269</v>
      </c>
      <c r="AS3" s="1366" t="s">
        <v>5100</v>
      </c>
      <c r="AT3" s="1368" t="s">
        <v>8329</v>
      </c>
      <c r="AU3" s="1369" t="s">
        <v>8330</v>
      </c>
      <c r="AV3" s="1369" t="str">
        <f t="shared" si="1"/>
        <v>3:53</v>
      </c>
    </row>
    <row r="4" ht="15.75" customHeight="1">
      <c r="A4" s="1370" t="s">
        <v>8331</v>
      </c>
      <c r="B4" s="1371" t="s">
        <v>8332</v>
      </c>
      <c r="C4" s="1372">
        <v>0.05005081018518519</v>
      </c>
      <c r="D4" s="1373" t="s">
        <v>8333</v>
      </c>
      <c r="E4" s="1373" t="s">
        <v>8334</v>
      </c>
      <c r="F4" s="1373" t="s">
        <v>8335</v>
      </c>
      <c r="G4" s="1373" t="s">
        <v>8336</v>
      </c>
      <c r="H4" s="1374" t="s">
        <v>8337</v>
      </c>
      <c r="I4" s="1374" t="s">
        <v>347</v>
      </c>
      <c r="J4" s="1375" t="s">
        <v>8338</v>
      </c>
      <c r="K4" s="1375" t="s">
        <v>6004</v>
      </c>
      <c r="L4" s="1375" t="s">
        <v>3529</v>
      </c>
      <c r="M4" s="1375" t="s">
        <v>8339</v>
      </c>
      <c r="N4" s="1375" t="s">
        <v>8340</v>
      </c>
      <c r="O4" s="1375" t="s">
        <v>8341</v>
      </c>
      <c r="P4" s="1375" t="s">
        <v>8342</v>
      </c>
      <c r="Q4" s="1376" t="s">
        <v>8343</v>
      </c>
      <c r="R4" s="1376" t="s">
        <v>8344</v>
      </c>
      <c r="S4" s="1376" t="s">
        <v>2215</v>
      </c>
      <c r="T4" s="1376" t="s">
        <v>8345</v>
      </c>
      <c r="U4" s="1376" t="s">
        <v>8346</v>
      </c>
      <c r="V4" s="1376" t="s">
        <v>8347</v>
      </c>
      <c r="W4" s="1377" t="s">
        <v>8348</v>
      </c>
      <c r="X4" s="1377" t="s">
        <v>8349</v>
      </c>
      <c r="Y4" s="1377">
        <v>47.93</v>
      </c>
      <c r="Z4" s="1377" t="s">
        <v>8350</v>
      </c>
      <c r="AA4" s="1377" t="s">
        <v>8351</v>
      </c>
      <c r="AB4" s="1377" t="s">
        <v>8352</v>
      </c>
      <c r="AC4" s="1377">
        <v>49.24</v>
      </c>
      <c r="AD4" s="1378" t="s">
        <v>8353</v>
      </c>
      <c r="AE4" s="1373" t="s">
        <v>8354</v>
      </c>
      <c r="AF4" s="1379" t="s">
        <v>3309</v>
      </c>
      <c r="AG4" s="1379" t="s">
        <v>4521</v>
      </c>
      <c r="AH4" s="1379" t="s">
        <v>5103</v>
      </c>
      <c r="AI4" s="1379" t="s">
        <v>8355</v>
      </c>
      <c r="AJ4" s="1379" t="s">
        <v>8356</v>
      </c>
      <c r="AK4" s="1379" t="s">
        <v>8357</v>
      </c>
      <c r="AL4" s="1379" t="s">
        <v>8358</v>
      </c>
      <c r="AM4" s="1380" t="s">
        <v>8359</v>
      </c>
      <c r="AN4" s="1381" t="s">
        <v>8360</v>
      </c>
      <c r="AO4" s="1380" t="s">
        <v>8361</v>
      </c>
      <c r="AP4" s="1381" t="s">
        <v>8362</v>
      </c>
      <c r="AQ4" s="1380" t="s">
        <v>8363</v>
      </c>
      <c r="AR4" s="1380" t="s">
        <v>6315</v>
      </c>
      <c r="AS4" s="1380" t="s">
        <v>751</v>
      </c>
      <c r="AT4" s="1382" t="s">
        <v>8364</v>
      </c>
      <c r="AU4" s="1383" t="s">
        <v>8365</v>
      </c>
      <c r="AV4" s="1384" t="str">
        <f t="shared" si="1"/>
        <v>3:29</v>
      </c>
    </row>
    <row r="5" ht="15.75" customHeight="1">
      <c r="A5" s="1385" t="s">
        <v>1128</v>
      </c>
      <c r="B5" s="1386" t="s">
        <v>8275</v>
      </c>
      <c r="C5" s="1387">
        <v>0.04922453703703704</v>
      </c>
      <c r="D5" s="1388" t="s">
        <v>8366</v>
      </c>
      <c r="E5" s="1389" t="s">
        <v>8278</v>
      </c>
      <c r="F5" s="1388" t="s">
        <v>8367</v>
      </c>
      <c r="G5" s="1388" t="s">
        <v>8368</v>
      </c>
      <c r="H5" s="1388" t="s">
        <v>6032</v>
      </c>
      <c r="I5" s="1388" t="s">
        <v>4422</v>
      </c>
      <c r="J5" s="1388" t="s">
        <v>5468</v>
      </c>
      <c r="K5" s="1390" t="s">
        <v>2071</v>
      </c>
      <c r="L5" s="1391" t="s">
        <v>8369</v>
      </c>
      <c r="M5" s="1392" t="s">
        <v>8283</v>
      </c>
      <c r="N5" s="1392" t="s">
        <v>8284</v>
      </c>
      <c r="O5" s="1393" t="s">
        <v>8370</v>
      </c>
      <c r="P5" s="1390" t="s">
        <v>4025</v>
      </c>
      <c r="Q5" s="1392" t="s">
        <v>8286</v>
      </c>
      <c r="R5" s="1394" t="s">
        <v>7321</v>
      </c>
      <c r="S5" s="1392" t="s">
        <v>812</v>
      </c>
      <c r="T5" s="1388" t="s">
        <v>8371</v>
      </c>
      <c r="U5" s="1392" t="s">
        <v>8288</v>
      </c>
      <c r="V5" s="1390" t="s">
        <v>8372</v>
      </c>
      <c r="W5" s="1388" t="s">
        <v>3857</v>
      </c>
      <c r="X5" s="1388" t="s">
        <v>8373</v>
      </c>
      <c r="Y5" s="1388" t="s">
        <v>7272</v>
      </c>
      <c r="Z5" s="1395" t="s">
        <v>3805</v>
      </c>
      <c r="AA5" s="1388" t="s">
        <v>5263</v>
      </c>
      <c r="AB5" s="1391" t="s">
        <v>516</v>
      </c>
      <c r="AC5" s="1392" t="s">
        <v>3829</v>
      </c>
      <c r="AD5" s="1391" t="s">
        <v>8374</v>
      </c>
      <c r="AE5" s="1396" t="s">
        <v>8375</v>
      </c>
      <c r="AF5" s="1396" t="s">
        <v>8376</v>
      </c>
      <c r="AG5" s="1397" t="s">
        <v>3759</v>
      </c>
      <c r="AH5" s="1388" t="s">
        <v>8377</v>
      </c>
      <c r="AI5" s="1392" t="s">
        <v>8295</v>
      </c>
      <c r="AJ5" s="1391" t="s">
        <v>8378</v>
      </c>
      <c r="AK5" s="1392" t="s">
        <v>8297</v>
      </c>
      <c r="AL5" s="1388" t="s">
        <v>4443</v>
      </c>
      <c r="AM5" s="1388" t="s">
        <v>8038</v>
      </c>
      <c r="AN5" s="1388" t="s">
        <v>5181</v>
      </c>
      <c r="AO5" s="1394" t="s">
        <v>8379</v>
      </c>
      <c r="AP5" s="1388" t="s">
        <v>8380</v>
      </c>
      <c r="AQ5" s="1388" t="s">
        <v>8381</v>
      </c>
      <c r="AR5" s="1397" t="s">
        <v>1092</v>
      </c>
      <c r="AS5" s="1388" t="s">
        <v>878</v>
      </c>
      <c r="AT5" s="1398" t="s">
        <v>2059</v>
      </c>
      <c r="AU5" s="1399" t="s">
        <v>8382</v>
      </c>
      <c r="AV5" s="1396" t="str">
        <f t="shared" si="1"/>
        <v>2:24</v>
      </c>
      <c r="AW5" s="1400" t="s">
        <v>8383</v>
      </c>
    </row>
    <row r="6" ht="15.75" customHeight="1">
      <c r="A6" s="1401" t="s">
        <v>431</v>
      </c>
      <c r="B6" s="1386" t="s">
        <v>8275</v>
      </c>
      <c r="C6" s="1387">
        <v>0.0493287037037037</v>
      </c>
      <c r="D6" s="1402" t="s">
        <v>8277</v>
      </c>
      <c r="E6" s="1403" t="s">
        <v>2555</v>
      </c>
      <c r="F6" s="1403" t="s">
        <v>8384</v>
      </c>
      <c r="G6" s="1403" t="s">
        <v>8385</v>
      </c>
      <c r="H6" s="1403" t="s">
        <v>8386</v>
      </c>
      <c r="I6" s="1394" t="s">
        <v>8387</v>
      </c>
      <c r="J6" s="1404" t="s">
        <v>8282</v>
      </c>
      <c r="K6" s="1403" t="s">
        <v>778</v>
      </c>
      <c r="L6" s="1403" t="s">
        <v>8388</v>
      </c>
      <c r="M6" s="1403" t="s">
        <v>8389</v>
      </c>
      <c r="N6" s="1403" t="s">
        <v>8390</v>
      </c>
      <c r="O6" s="1403" t="s">
        <v>8391</v>
      </c>
      <c r="P6" s="1404" t="s">
        <v>1279</v>
      </c>
      <c r="Q6" s="1390" t="s">
        <v>8392</v>
      </c>
      <c r="R6" s="1404" t="s">
        <v>4368</v>
      </c>
      <c r="S6" s="1403" t="s">
        <v>8282</v>
      </c>
      <c r="T6" s="1404" t="s">
        <v>8287</v>
      </c>
      <c r="U6" s="1390" t="s">
        <v>8298</v>
      </c>
      <c r="V6" s="1398" t="s">
        <v>8107</v>
      </c>
      <c r="W6" s="1404" t="s">
        <v>8289</v>
      </c>
      <c r="X6" s="1404" t="s">
        <v>8290</v>
      </c>
      <c r="Y6" s="1405">
        <v>46.72</v>
      </c>
      <c r="Z6" s="1405" t="s">
        <v>3278</v>
      </c>
      <c r="AA6" s="1404" t="s">
        <v>3291</v>
      </c>
      <c r="AB6" s="1404" t="s">
        <v>8292</v>
      </c>
      <c r="AC6" s="1403" t="s">
        <v>5396</v>
      </c>
      <c r="AD6" s="1403" t="s">
        <v>7193</v>
      </c>
      <c r="AE6" s="1406" t="s">
        <v>3824</v>
      </c>
      <c r="AF6" s="1405" t="s">
        <v>8393</v>
      </c>
      <c r="AG6" s="1398" t="s">
        <v>8394</v>
      </c>
      <c r="AH6" s="1404" t="s">
        <v>3598</v>
      </c>
      <c r="AI6" s="1403" t="s">
        <v>5800</v>
      </c>
      <c r="AJ6" s="1405" t="s">
        <v>8395</v>
      </c>
      <c r="AK6" s="1405" t="s">
        <v>5689</v>
      </c>
      <c r="AL6" s="1406" t="s">
        <v>5968</v>
      </c>
      <c r="AM6" s="1404" t="s">
        <v>3461</v>
      </c>
      <c r="AN6" s="1398" t="s">
        <v>4076</v>
      </c>
      <c r="AO6" s="1398" t="s">
        <v>7151</v>
      </c>
      <c r="AP6" s="1398" t="s">
        <v>8396</v>
      </c>
      <c r="AQ6" s="1396" t="s">
        <v>8397</v>
      </c>
      <c r="AR6" s="1398" t="s">
        <v>8398</v>
      </c>
      <c r="AS6" s="1398" t="s">
        <v>8399</v>
      </c>
      <c r="AT6" s="1398" t="s">
        <v>8400</v>
      </c>
      <c r="AU6" s="1399" t="s">
        <v>8382</v>
      </c>
      <c r="AV6" s="1396" t="str">
        <f t="shared" si="1"/>
        <v>2:15</v>
      </c>
      <c r="AW6" s="1400"/>
    </row>
    <row r="7" ht="15.75" customHeight="1">
      <c r="A7" s="1385" t="s">
        <v>6266</v>
      </c>
      <c r="B7" s="1386" t="s">
        <v>8275</v>
      </c>
      <c r="C7" s="1387">
        <v>0.049444444444444444</v>
      </c>
      <c r="D7" s="1388" t="s">
        <v>8401</v>
      </c>
      <c r="E7" s="1388" t="s">
        <v>8402</v>
      </c>
      <c r="F7" s="1394" t="s">
        <v>8403</v>
      </c>
      <c r="G7" s="1392" t="s">
        <v>8280</v>
      </c>
      <c r="H7" s="1394" t="s">
        <v>8404</v>
      </c>
      <c r="I7" s="1394" t="s">
        <v>2774</v>
      </c>
      <c r="J7" s="1388" t="s">
        <v>8405</v>
      </c>
      <c r="K7" s="1394" t="s">
        <v>3218</v>
      </c>
      <c r="L7" s="1394" t="s">
        <v>4027</v>
      </c>
      <c r="M7" s="1394" t="s">
        <v>6216</v>
      </c>
      <c r="N7" s="1393" t="s">
        <v>8406</v>
      </c>
      <c r="O7" s="1394" t="s">
        <v>8407</v>
      </c>
      <c r="P7" s="1396" t="s">
        <v>6780</v>
      </c>
      <c r="Q7" s="1388" t="s">
        <v>8408</v>
      </c>
      <c r="R7" s="1394" t="s">
        <v>7078</v>
      </c>
      <c r="S7" s="1394" t="s">
        <v>3169</v>
      </c>
      <c r="T7" s="1396" t="s">
        <v>3557</v>
      </c>
      <c r="U7" s="1394" t="s">
        <v>8409</v>
      </c>
      <c r="V7" s="1394" t="s">
        <v>5093</v>
      </c>
      <c r="W7" s="1407" t="s">
        <v>8410</v>
      </c>
      <c r="X7" s="1396" t="s">
        <v>8411</v>
      </c>
      <c r="Y7" s="1408" t="s">
        <v>8412</v>
      </c>
      <c r="Z7" s="1394" t="s">
        <v>7429</v>
      </c>
      <c r="AA7" s="1409" t="str">
        <f>HYPERLINK("https://www.twitch.tv/videos/571775470","1:28.03")</f>
        <v>1:28.03</v>
      </c>
      <c r="AB7" s="1396" t="s">
        <v>411</v>
      </c>
      <c r="AC7" s="1410" t="str">
        <f>HYPERLINK("https://clips.twitch.tv/HelpfulSaltyCoyoteHoneyBadger","47.31")</f>
        <v>47.31</v>
      </c>
      <c r="AD7" s="1392" t="str">
        <f>HYPERLINK("https://www.twitch.tv/videos/625954575","1:47.79")</f>
        <v>1:47.79</v>
      </c>
      <c r="AE7" s="1396" t="s">
        <v>3898</v>
      </c>
      <c r="AF7" s="1396" t="s">
        <v>8413</v>
      </c>
      <c r="AG7" s="1409" t="str">
        <f>HYPERLINK("https://www.twitch.tv/videos/566334947","1:28.73")</f>
        <v>1:28.73</v>
      </c>
      <c r="AH7" s="1394" t="s">
        <v>8414</v>
      </c>
      <c r="AI7" s="1411" t="str">
        <f>HYPERLINK("https://www.twitch.tv/videos/584107631","1:27.68")</f>
        <v>1:27.68</v>
      </c>
      <c r="AJ7" s="1396" t="s">
        <v>8415</v>
      </c>
      <c r="AK7" s="1394" t="s">
        <v>7007</v>
      </c>
      <c r="AL7" s="1394" t="s">
        <v>8416</v>
      </c>
      <c r="AM7" s="1388" t="s">
        <v>4414</v>
      </c>
      <c r="AN7" s="1388" t="s">
        <v>2643</v>
      </c>
      <c r="AO7" s="1412" t="s">
        <v>5707</v>
      </c>
      <c r="AP7" s="1394" t="s">
        <v>8417</v>
      </c>
      <c r="AQ7" s="1396" t="s">
        <v>8418</v>
      </c>
      <c r="AR7" s="1391" t="s">
        <v>8419</v>
      </c>
      <c r="AS7" s="1410" t="str">
        <f>HYPERLINK("https://www.twitch.tv/videos/571767101","42.91")</f>
        <v>42.91</v>
      </c>
      <c r="AT7" s="1413" t="s">
        <v>8420</v>
      </c>
      <c r="AU7" s="1399" t="s">
        <v>8421</v>
      </c>
      <c r="AV7" s="1396" t="str">
        <f t="shared" si="1"/>
        <v>2:32</v>
      </c>
      <c r="AW7" s="1414" t="s">
        <v>8422</v>
      </c>
    </row>
    <row r="8" ht="15.75" customHeight="1">
      <c r="A8" s="1385" t="s">
        <v>1936</v>
      </c>
      <c r="B8" s="1386" t="s">
        <v>8275</v>
      </c>
      <c r="C8" s="1387">
        <v>0.04949074074074074</v>
      </c>
      <c r="D8" s="1408" t="s">
        <v>8423</v>
      </c>
      <c r="E8" s="1408" t="s">
        <v>8424</v>
      </c>
      <c r="F8" s="1408" t="s">
        <v>2114</v>
      </c>
      <c r="G8" s="1408" t="s">
        <v>8425</v>
      </c>
      <c r="H8" s="1392" t="s">
        <v>8281</v>
      </c>
      <c r="I8" s="1404">
        <v>47.34</v>
      </c>
      <c r="J8" s="1408" t="s">
        <v>642</v>
      </c>
      <c r="K8" s="1408" t="s">
        <v>8426</v>
      </c>
      <c r="L8" s="1408">
        <v>55.97</v>
      </c>
      <c r="M8" s="1408" t="s">
        <v>1898</v>
      </c>
      <c r="N8" s="1408" t="s">
        <v>8427</v>
      </c>
      <c r="O8" s="1404" t="s">
        <v>8285</v>
      </c>
      <c r="P8" s="1408">
        <v>47.49</v>
      </c>
      <c r="Q8" s="1408" t="s">
        <v>8428</v>
      </c>
      <c r="R8" s="1408" t="s">
        <v>1222</v>
      </c>
      <c r="S8" s="1415" t="s">
        <v>1957</v>
      </c>
      <c r="T8" s="1408" t="s">
        <v>8429</v>
      </c>
      <c r="U8" s="1388" t="s">
        <v>8430</v>
      </c>
      <c r="V8" s="1408">
        <v>59.32</v>
      </c>
      <c r="W8" s="1408" t="s">
        <v>8431</v>
      </c>
      <c r="X8" s="1408" t="s">
        <v>6716</v>
      </c>
      <c r="Y8" s="1408">
        <v>46.65</v>
      </c>
      <c r="Z8" s="1408" t="s">
        <v>8432</v>
      </c>
      <c r="AA8" s="1408" t="s">
        <v>2444</v>
      </c>
      <c r="AB8" s="1408" t="s">
        <v>8433</v>
      </c>
      <c r="AC8" s="1408">
        <v>47.89</v>
      </c>
      <c r="AD8" s="1408" t="s">
        <v>1956</v>
      </c>
      <c r="AE8" s="1408">
        <v>47.98</v>
      </c>
      <c r="AF8" s="1408" t="s">
        <v>8434</v>
      </c>
      <c r="AG8" s="1408" t="s">
        <v>8435</v>
      </c>
      <c r="AH8" s="1408">
        <v>57.45</v>
      </c>
      <c r="AI8" s="1405" t="s">
        <v>6943</v>
      </c>
      <c r="AJ8" s="1416" t="s">
        <v>8436</v>
      </c>
      <c r="AK8" s="1408" t="s">
        <v>5365</v>
      </c>
      <c r="AL8" s="1408">
        <v>56.23</v>
      </c>
      <c r="AM8" s="1408" t="s">
        <v>8315</v>
      </c>
      <c r="AN8" s="1408">
        <v>55.73</v>
      </c>
      <c r="AO8" s="1408" t="s">
        <v>8437</v>
      </c>
      <c r="AP8" s="1408" t="s">
        <v>8438</v>
      </c>
      <c r="AQ8" s="1408" t="s">
        <v>8439</v>
      </c>
      <c r="AR8" s="1408" t="s">
        <v>4268</v>
      </c>
      <c r="AS8" s="1408">
        <v>46.19</v>
      </c>
      <c r="AT8" s="1408" t="s">
        <v>8440</v>
      </c>
      <c r="AU8" s="1408" t="s">
        <v>8441</v>
      </c>
      <c r="AV8" s="1396" t="str">
        <f t="shared" si="1"/>
        <v>1:52</v>
      </c>
      <c r="AW8" s="1414" t="s">
        <v>8442</v>
      </c>
    </row>
    <row r="9" ht="15.75" customHeight="1">
      <c r="A9" s="1401" t="s">
        <v>327</v>
      </c>
      <c r="B9" s="1386" t="s">
        <v>8275</v>
      </c>
      <c r="C9" s="1387">
        <v>0.04957175925925926</v>
      </c>
      <c r="D9" s="1417" t="s">
        <v>8443</v>
      </c>
      <c r="E9" s="1403" t="s">
        <v>8444</v>
      </c>
      <c r="F9" s="1418" t="s">
        <v>8279</v>
      </c>
      <c r="G9" s="1398" t="s">
        <v>8445</v>
      </c>
      <c r="H9" s="1419" t="s">
        <v>5277</v>
      </c>
      <c r="I9" s="1398" t="s">
        <v>1381</v>
      </c>
      <c r="J9" s="1420" t="s">
        <v>8446</v>
      </c>
      <c r="K9" s="1398" t="s">
        <v>6567</v>
      </c>
      <c r="L9" s="1404" t="s">
        <v>231</v>
      </c>
      <c r="M9" s="1420" t="s">
        <v>8447</v>
      </c>
      <c r="N9" s="1403" t="s">
        <v>8448</v>
      </c>
      <c r="O9" s="1420" t="s">
        <v>8449</v>
      </c>
      <c r="P9" s="1398" t="s">
        <v>6205</v>
      </c>
      <c r="Q9" s="1398" t="s">
        <v>8428</v>
      </c>
      <c r="R9" s="1398" t="s">
        <v>5533</v>
      </c>
      <c r="S9" s="1398" t="s">
        <v>2076</v>
      </c>
      <c r="T9" s="1398" t="s">
        <v>3814</v>
      </c>
      <c r="U9" s="1398" t="s">
        <v>8450</v>
      </c>
      <c r="V9" s="1312" t="s">
        <v>8451</v>
      </c>
      <c r="W9" s="1421" t="s">
        <v>8452</v>
      </c>
      <c r="X9" s="1398" t="s">
        <v>8453</v>
      </c>
      <c r="Y9" s="1404">
        <v>46.63</v>
      </c>
      <c r="Z9" s="1422" t="s">
        <v>304</v>
      </c>
      <c r="AA9" s="1403" t="s">
        <v>8454</v>
      </c>
      <c r="AB9" s="1404" t="s">
        <v>8292</v>
      </c>
      <c r="AC9" s="1398" t="s">
        <v>5394</v>
      </c>
      <c r="AD9" s="1398" t="s">
        <v>8455</v>
      </c>
      <c r="AE9" s="1405" t="s">
        <v>8456</v>
      </c>
      <c r="AF9" s="1403" t="s">
        <v>8457</v>
      </c>
      <c r="AG9" s="1408" t="s">
        <v>8458</v>
      </c>
      <c r="AH9" s="1398" t="s">
        <v>8459</v>
      </c>
      <c r="AI9" s="1312" t="s">
        <v>8460</v>
      </c>
      <c r="AJ9" s="1405" t="s">
        <v>8461</v>
      </c>
      <c r="AK9" s="1398" t="s">
        <v>1292</v>
      </c>
      <c r="AL9" s="1398" t="s">
        <v>5048</v>
      </c>
      <c r="AM9" s="1398" t="s">
        <v>3814</v>
      </c>
      <c r="AN9" s="1423" t="s">
        <v>5247</v>
      </c>
      <c r="AO9" s="1398" t="s">
        <v>8398</v>
      </c>
      <c r="AP9" s="1398" t="s">
        <v>8462</v>
      </c>
      <c r="AQ9" s="1398" t="s">
        <v>8463</v>
      </c>
      <c r="AR9" s="1398" t="s">
        <v>4500</v>
      </c>
      <c r="AS9" s="1398" t="s">
        <v>8464</v>
      </c>
      <c r="AT9" s="1424" t="s">
        <v>8300</v>
      </c>
      <c r="AU9" s="1425" t="s">
        <v>8465</v>
      </c>
      <c r="AV9" s="1396" t="str">
        <f t="shared" si="1"/>
        <v>2:59</v>
      </c>
      <c r="AW9" s="1426"/>
    </row>
    <row r="10">
      <c r="A10" s="1427" t="s">
        <v>6155</v>
      </c>
      <c r="B10" s="1428" t="s">
        <v>8275</v>
      </c>
      <c r="C10" s="1387">
        <v>0.04958333333333333</v>
      </c>
      <c r="D10" s="1312" t="s">
        <v>8466</v>
      </c>
      <c r="E10" s="1408" t="s">
        <v>6165</v>
      </c>
      <c r="F10" s="1408" t="s">
        <v>8467</v>
      </c>
      <c r="G10" s="1408" t="s">
        <v>8468</v>
      </c>
      <c r="H10" s="1429" t="s">
        <v>8469</v>
      </c>
      <c r="I10" s="1429" t="s">
        <v>5642</v>
      </c>
      <c r="J10" s="1429" t="s">
        <v>2616</v>
      </c>
      <c r="K10" s="1429" t="s">
        <v>7182</v>
      </c>
      <c r="L10" s="1408">
        <v>56.42</v>
      </c>
      <c r="M10" s="1408" t="s">
        <v>5116</v>
      </c>
      <c r="N10" s="1408" t="s">
        <v>8470</v>
      </c>
      <c r="O10" s="1429" t="s">
        <v>8471</v>
      </c>
      <c r="P10" s="1429" t="s">
        <v>131</v>
      </c>
      <c r="Q10" s="1429" t="s">
        <v>8472</v>
      </c>
      <c r="R10" s="1408" t="s">
        <v>8473</v>
      </c>
      <c r="S10" s="1429" t="s">
        <v>8474</v>
      </c>
      <c r="T10" s="1429" t="s">
        <v>4879</v>
      </c>
      <c r="U10" s="1429" t="s">
        <v>8475</v>
      </c>
      <c r="V10" s="1408">
        <v>59.45</v>
      </c>
      <c r="W10" s="1429" t="s">
        <v>8476</v>
      </c>
      <c r="X10" s="1429" t="s">
        <v>8477</v>
      </c>
      <c r="Y10" s="1429" t="s">
        <v>4958</v>
      </c>
      <c r="Z10" s="1408" t="s">
        <v>4021</v>
      </c>
      <c r="AA10" s="1408" t="s">
        <v>8478</v>
      </c>
      <c r="AB10" s="1408" t="s">
        <v>4514</v>
      </c>
      <c r="AC10" s="1429" t="s">
        <v>3778</v>
      </c>
      <c r="AD10" s="1429" t="s">
        <v>8479</v>
      </c>
      <c r="AE10" s="1408">
        <v>47.89</v>
      </c>
      <c r="AF10" s="1408" t="s">
        <v>8480</v>
      </c>
      <c r="AG10" s="1406" t="s">
        <v>8294</v>
      </c>
      <c r="AH10" s="1408">
        <v>57.71</v>
      </c>
      <c r="AI10" s="1429" t="s">
        <v>8481</v>
      </c>
      <c r="AJ10" s="1408" t="s">
        <v>8436</v>
      </c>
      <c r="AK10" s="1429" t="s">
        <v>7014</v>
      </c>
      <c r="AL10" s="1408">
        <v>56.69</v>
      </c>
      <c r="AM10" s="1429" t="s">
        <v>8482</v>
      </c>
      <c r="AN10" s="1429" t="s">
        <v>3978</v>
      </c>
      <c r="AO10" s="1429" t="s">
        <v>2758</v>
      </c>
      <c r="AP10" s="1408" t="s">
        <v>8483</v>
      </c>
      <c r="AQ10" s="1430" t="s">
        <v>8299</v>
      </c>
      <c r="AR10" s="1429" t="s">
        <v>8484</v>
      </c>
      <c r="AS10" s="1408">
        <v>43.65</v>
      </c>
      <c r="AT10" s="1429" t="s">
        <v>8485</v>
      </c>
      <c r="AU10" s="1399" t="s">
        <v>8486</v>
      </c>
      <c r="AV10" s="1396" t="str">
        <f t="shared" si="1"/>
        <v>1:34</v>
      </c>
      <c r="AW10" s="1431" t="s">
        <v>8487</v>
      </c>
    </row>
    <row r="11" ht="15.75" customHeight="1">
      <c r="A11" s="1427" t="s">
        <v>6265</v>
      </c>
      <c r="B11" s="1386" t="s">
        <v>8275</v>
      </c>
      <c r="C11" s="1387">
        <v>0.04967592592592593</v>
      </c>
      <c r="D11" s="1312" t="s">
        <v>8488</v>
      </c>
      <c r="E11" s="1394" t="s">
        <v>882</v>
      </c>
      <c r="F11" s="1394" t="s">
        <v>4156</v>
      </c>
      <c r="G11" s="1394" t="s">
        <v>8489</v>
      </c>
      <c r="H11" s="1312" t="s">
        <v>8490</v>
      </c>
      <c r="I11" s="1394" t="s">
        <v>8491</v>
      </c>
      <c r="J11" s="1394" t="s">
        <v>8492</v>
      </c>
      <c r="K11" s="1394" t="s">
        <v>8493</v>
      </c>
      <c r="L11" s="1394" t="s">
        <v>4262</v>
      </c>
      <c r="M11" s="1394" t="s">
        <v>8070</v>
      </c>
      <c r="N11" s="1394" t="s">
        <v>2167</v>
      </c>
      <c r="O11" s="1394" t="s">
        <v>8494</v>
      </c>
      <c r="P11" s="1394" t="s">
        <v>8491</v>
      </c>
      <c r="Q11" s="1394" t="s">
        <v>8495</v>
      </c>
      <c r="R11" s="1394" t="s">
        <v>1222</v>
      </c>
      <c r="S11" s="1432" t="s">
        <v>8496</v>
      </c>
      <c r="T11" s="1394" t="s">
        <v>4834</v>
      </c>
      <c r="U11" s="1394" t="s">
        <v>8497</v>
      </c>
      <c r="V11" s="1394" t="s">
        <v>8372</v>
      </c>
      <c r="W11" s="1394" t="s">
        <v>8498</v>
      </c>
      <c r="X11" s="1394" t="s">
        <v>957</v>
      </c>
      <c r="Y11" s="1394" t="s">
        <v>6792</v>
      </c>
      <c r="Z11" s="1394" t="s">
        <v>8499</v>
      </c>
      <c r="AA11" s="1394" t="s">
        <v>8500</v>
      </c>
      <c r="AB11" s="1394" t="s">
        <v>1965</v>
      </c>
      <c r="AC11" s="1394" t="s">
        <v>756</v>
      </c>
      <c r="AD11" s="1394" t="s">
        <v>8501</v>
      </c>
      <c r="AE11" s="1394" t="s">
        <v>6220</v>
      </c>
      <c r="AF11" s="1388" t="s">
        <v>8502</v>
      </c>
      <c r="AG11" s="1394" t="s">
        <v>8503</v>
      </c>
      <c r="AH11" s="1394" t="s">
        <v>4653</v>
      </c>
      <c r="AI11" s="1394" t="s">
        <v>2843</v>
      </c>
      <c r="AJ11" s="1394" t="s">
        <v>8504</v>
      </c>
      <c r="AK11" s="1394" t="s">
        <v>4028</v>
      </c>
      <c r="AL11" s="1394" t="s">
        <v>8505</v>
      </c>
      <c r="AM11" s="1394" t="s">
        <v>4832</v>
      </c>
      <c r="AN11" s="1312" t="s">
        <v>8388</v>
      </c>
      <c r="AO11" s="1394" t="s">
        <v>8506</v>
      </c>
      <c r="AP11" s="1394" t="s">
        <v>8507</v>
      </c>
      <c r="AQ11" s="1388" t="s">
        <v>8508</v>
      </c>
      <c r="AR11" s="1394" t="s">
        <v>8509</v>
      </c>
      <c r="AS11" s="1394" t="s">
        <v>6777</v>
      </c>
      <c r="AT11" s="1394" t="s">
        <v>8510</v>
      </c>
      <c r="AU11" s="1394" t="s">
        <v>8511</v>
      </c>
      <c r="AV11" s="1396" t="str">
        <f t="shared" si="1"/>
        <v>2:47</v>
      </c>
      <c r="AW11" s="1400" t="s">
        <v>8512</v>
      </c>
    </row>
    <row r="12" ht="15.75" customHeight="1">
      <c r="A12" s="1433" t="s">
        <v>2633</v>
      </c>
      <c r="B12" s="1386" t="s">
        <v>8275</v>
      </c>
      <c r="C12" s="1434">
        <v>0.04971064814814815</v>
      </c>
      <c r="D12" s="1397" t="s">
        <v>8513</v>
      </c>
      <c r="E12" s="1435" t="s">
        <v>505</v>
      </c>
      <c r="F12" s="1435" t="s">
        <v>8514</v>
      </c>
      <c r="G12" s="1435" t="s">
        <v>8515</v>
      </c>
      <c r="H12" s="1388" t="s">
        <v>8516</v>
      </c>
      <c r="I12" s="1436" t="s">
        <v>5576</v>
      </c>
      <c r="J12" s="1437" t="s">
        <v>8517</v>
      </c>
      <c r="K12" s="1437" t="s">
        <v>4105</v>
      </c>
      <c r="L12" s="1437" t="s">
        <v>4585</v>
      </c>
      <c r="M12" s="1437" t="s">
        <v>8518</v>
      </c>
      <c r="N12" s="1437" t="s">
        <v>2617</v>
      </c>
      <c r="O12" s="1437" t="s">
        <v>8519</v>
      </c>
      <c r="P12" s="1437" t="s">
        <v>8520</v>
      </c>
      <c r="Q12" s="1388" t="s">
        <v>8521</v>
      </c>
      <c r="R12" s="1438" t="s">
        <v>8522</v>
      </c>
      <c r="S12" s="1388" t="s">
        <v>1957</v>
      </c>
      <c r="T12" s="1438" t="s">
        <v>8523</v>
      </c>
      <c r="U12" s="1388" t="s">
        <v>7066</v>
      </c>
      <c r="V12" s="1438" t="s">
        <v>7754</v>
      </c>
      <c r="W12" s="1439" t="s">
        <v>8524</v>
      </c>
      <c r="X12" s="1439" t="s">
        <v>3842</v>
      </c>
      <c r="Y12" s="1439" t="s">
        <v>6790</v>
      </c>
      <c r="Z12" s="1439" t="s">
        <v>8525</v>
      </c>
      <c r="AA12" s="1439" t="s">
        <v>8394</v>
      </c>
      <c r="AB12" s="1439" t="s">
        <v>4216</v>
      </c>
      <c r="AC12" s="1439" t="s">
        <v>1077</v>
      </c>
      <c r="AD12" s="1435" t="s">
        <v>8526</v>
      </c>
      <c r="AE12" s="1435" t="s">
        <v>5214</v>
      </c>
      <c r="AF12" s="1440" t="s">
        <v>8527</v>
      </c>
      <c r="AG12" s="1440" t="s">
        <v>7566</v>
      </c>
      <c r="AH12" s="1440" t="s">
        <v>5224</v>
      </c>
      <c r="AI12" s="1440" t="s">
        <v>8528</v>
      </c>
      <c r="AJ12" s="1440" t="s">
        <v>8529</v>
      </c>
      <c r="AK12" s="1440" t="s">
        <v>8530</v>
      </c>
      <c r="AL12" s="1440" t="s">
        <v>5961</v>
      </c>
      <c r="AM12" s="1441" t="s">
        <v>8531</v>
      </c>
      <c r="AN12" s="1442" t="s">
        <v>4585</v>
      </c>
      <c r="AO12" s="1442" t="s">
        <v>8532</v>
      </c>
      <c r="AP12" s="1441" t="s">
        <v>8533</v>
      </c>
      <c r="AQ12" s="1441" t="s">
        <v>8534</v>
      </c>
      <c r="AR12" s="1442" t="s">
        <v>8535</v>
      </c>
      <c r="AS12" s="1441" t="s">
        <v>270</v>
      </c>
      <c r="AT12" s="1399" t="s">
        <v>8536</v>
      </c>
      <c r="AU12" s="1425" t="s">
        <v>8537</v>
      </c>
      <c r="AV12" s="1396" t="str">
        <f t="shared" si="1"/>
        <v>2:35</v>
      </c>
      <c r="AW12" s="1443" t="s">
        <v>8538</v>
      </c>
    </row>
    <row r="13">
      <c r="A13" s="1444" t="s">
        <v>908</v>
      </c>
      <c r="B13" s="1445" t="s">
        <v>8275</v>
      </c>
      <c r="C13" s="1387">
        <v>0.04976851851851852</v>
      </c>
      <c r="D13" s="1398" t="s">
        <v>8539</v>
      </c>
      <c r="E13" s="1398" t="s">
        <v>8540</v>
      </c>
      <c r="F13" s="1398" t="s">
        <v>8541</v>
      </c>
      <c r="G13" s="1405" t="s">
        <v>8542</v>
      </c>
      <c r="H13" s="1398" t="s">
        <v>7467</v>
      </c>
      <c r="I13" s="1398" t="s">
        <v>8213</v>
      </c>
      <c r="J13" s="1403" t="s">
        <v>8543</v>
      </c>
      <c r="K13" s="1398" t="s">
        <v>8544</v>
      </c>
      <c r="L13" s="1398" t="s">
        <v>3388</v>
      </c>
      <c r="M13" s="1398" t="s">
        <v>7235</v>
      </c>
      <c r="N13" s="1398" t="s">
        <v>8545</v>
      </c>
      <c r="O13" s="1398" t="s">
        <v>4866</v>
      </c>
      <c r="P13" s="1398" t="s">
        <v>5341</v>
      </c>
      <c r="Q13" s="1398" t="s">
        <v>4874</v>
      </c>
      <c r="R13" s="1398" t="s">
        <v>8546</v>
      </c>
      <c r="S13" s="1388" t="s">
        <v>2720</v>
      </c>
      <c r="T13" s="1398" t="s">
        <v>2448</v>
      </c>
      <c r="U13" s="1398" t="s">
        <v>8417</v>
      </c>
      <c r="V13" s="1398" t="s">
        <v>5274</v>
      </c>
      <c r="W13" s="1398" t="s">
        <v>1983</v>
      </c>
      <c r="X13" s="1398" t="s">
        <v>8547</v>
      </c>
      <c r="Y13" s="1398" t="s">
        <v>8548</v>
      </c>
      <c r="Z13" s="1446" t="s">
        <v>8291</v>
      </c>
      <c r="AA13" s="1398" t="s">
        <v>8477</v>
      </c>
      <c r="AB13" s="1398" t="s">
        <v>7403</v>
      </c>
      <c r="AC13" s="1398" t="s">
        <v>4872</v>
      </c>
      <c r="AD13" s="1398" t="s">
        <v>5645</v>
      </c>
      <c r="AE13" s="1405">
        <v>47.81</v>
      </c>
      <c r="AF13" s="1398" t="s">
        <v>8549</v>
      </c>
      <c r="AG13" s="1398" t="s">
        <v>8550</v>
      </c>
      <c r="AH13" s="1398" t="s">
        <v>745</v>
      </c>
      <c r="AI13" s="1398" t="s">
        <v>2338</v>
      </c>
      <c r="AJ13" s="1398" t="s">
        <v>8551</v>
      </c>
      <c r="AK13" s="1398" t="s">
        <v>969</v>
      </c>
      <c r="AL13" s="1398" t="s">
        <v>8552</v>
      </c>
      <c r="AM13" s="1398" t="s">
        <v>4414</v>
      </c>
      <c r="AN13" s="1398" t="s">
        <v>8553</v>
      </c>
      <c r="AO13" s="1398" t="s">
        <v>8419</v>
      </c>
      <c r="AP13" s="1398" t="s">
        <v>8554</v>
      </c>
      <c r="AQ13" s="1398" t="s">
        <v>8555</v>
      </c>
      <c r="AR13" s="1446" t="s">
        <v>411</v>
      </c>
      <c r="AS13" s="1398" t="s">
        <v>3000</v>
      </c>
      <c r="AT13" s="1398" t="s">
        <v>8556</v>
      </c>
      <c r="AU13" s="1425" t="s">
        <v>8557</v>
      </c>
      <c r="AV13" s="1396" t="str">
        <f t="shared" si="1"/>
        <v>2:17</v>
      </c>
      <c r="AW13" s="1447" t="s">
        <v>8383</v>
      </c>
    </row>
    <row r="14" ht="15.75" customHeight="1">
      <c r="A14" s="1385" t="s">
        <v>6030</v>
      </c>
      <c r="B14" s="1448" t="s">
        <v>8275</v>
      </c>
      <c r="C14" s="1387">
        <v>0.04982638888888889</v>
      </c>
      <c r="D14" s="1397" t="s">
        <v>8558</v>
      </c>
      <c r="E14" s="1397" t="s">
        <v>4677</v>
      </c>
      <c r="F14" s="1397" t="s">
        <v>8559</v>
      </c>
      <c r="G14" s="1397" t="s">
        <v>8560</v>
      </c>
      <c r="H14" s="1397" t="s">
        <v>8561</v>
      </c>
      <c r="I14" s="1397" t="s">
        <v>5590</v>
      </c>
      <c r="J14" s="1397" t="s">
        <v>8562</v>
      </c>
      <c r="K14" s="1312" t="s">
        <v>8563</v>
      </c>
      <c r="L14" s="1397" t="s">
        <v>8564</v>
      </c>
      <c r="M14" s="1397" t="s">
        <v>8565</v>
      </c>
      <c r="N14" s="1397" t="s">
        <v>2013</v>
      </c>
      <c r="O14" s="1397" t="s">
        <v>8566</v>
      </c>
      <c r="P14" s="1312" t="s">
        <v>4395</v>
      </c>
      <c r="Q14" s="1397" t="s">
        <v>8567</v>
      </c>
      <c r="R14" s="1397" t="s">
        <v>1994</v>
      </c>
      <c r="S14" s="1397" t="s">
        <v>3169</v>
      </c>
      <c r="T14" s="1397" t="s">
        <v>8568</v>
      </c>
      <c r="U14" s="1397" t="s">
        <v>8569</v>
      </c>
      <c r="V14" s="1397" t="s">
        <v>6462</v>
      </c>
      <c r="W14" s="1397" t="s">
        <v>5382</v>
      </c>
      <c r="X14" s="1397" t="s">
        <v>8294</v>
      </c>
      <c r="Y14" s="1397" t="s">
        <v>8387</v>
      </c>
      <c r="Z14" s="1397" t="s">
        <v>6576</v>
      </c>
      <c r="AA14" s="1449" t="s">
        <v>8570</v>
      </c>
      <c r="AB14" s="1397" t="s">
        <v>5656</v>
      </c>
      <c r="AC14" s="1397" t="s">
        <v>1027</v>
      </c>
      <c r="AD14" s="1397" t="s">
        <v>7224</v>
      </c>
      <c r="AE14" s="1397" t="s">
        <v>3678</v>
      </c>
      <c r="AF14" s="1397" t="s">
        <v>8571</v>
      </c>
      <c r="AG14" s="1397" t="s">
        <v>1525</v>
      </c>
      <c r="AH14" s="1312" t="s">
        <v>8572</v>
      </c>
      <c r="AI14" s="1397" t="s">
        <v>7946</v>
      </c>
      <c r="AJ14" s="1397" t="s">
        <v>8573</v>
      </c>
      <c r="AK14" s="1397" t="s">
        <v>8574</v>
      </c>
      <c r="AL14" s="1397" t="s">
        <v>4207</v>
      </c>
      <c r="AM14" s="1397" t="s">
        <v>7076</v>
      </c>
      <c r="AN14" s="1397" t="s">
        <v>8575</v>
      </c>
      <c r="AO14" s="1397" t="s">
        <v>8419</v>
      </c>
      <c r="AP14" s="1450" t="s">
        <v>8298</v>
      </c>
      <c r="AQ14" s="1397" t="s">
        <v>8576</v>
      </c>
      <c r="AR14" s="1397" t="s">
        <v>8577</v>
      </c>
      <c r="AS14" s="1397" t="s">
        <v>8578</v>
      </c>
      <c r="AT14" s="1397" t="s">
        <v>8579</v>
      </c>
      <c r="AU14" s="1451" t="s">
        <v>8580</v>
      </c>
      <c r="AV14" s="1396" t="str">
        <f t="shared" si="1"/>
        <v>2:18</v>
      </c>
      <c r="AW14" s="1452" t="s">
        <v>8581</v>
      </c>
    </row>
    <row r="15" ht="15.75" customHeight="1">
      <c r="A15" s="1385" t="s">
        <v>2000</v>
      </c>
      <c r="B15" s="1386" t="s">
        <v>8275</v>
      </c>
      <c r="C15" s="1387">
        <v>0.049895833333333334</v>
      </c>
      <c r="D15" s="1312" t="s">
        <v>8582</v>
      </c>
      <c r="E15" s="1453" t="s">
        <v>882</v>
      </c>
      <c r="F15" s="1435" t="s">
        <v>8583</v>
      </c>
      <c r="G15" s="1453" t="s">
        <v>8584</v>
      </c>
      <c r="H15" s="1436" t="s">
        <v>8585</v>
      </c>
      <c r="I15" s="1436" t="s">
        <v>5467</v>
      </c>
      <c r="J15" s="1437" t="s">
        <v>8586</v>
      </c>
      <c r="K15" s="1454" t="s">
        <v>8587</v>
      </c>
      <c r="L15" s="1437" t="s">
        <v>8588</v>
      </c>
      <c r="M15" s="1437" t="s">
        <v>4970</v>
      </c>
      <c r="N15" s="1437" t="s">
        <v>8589</v>
      </c>
      <c r="O15" s="1454" t="s">
        <v>8590</v>
      </c>
      <c r="P15" s="1437" t="s">
        <v>8591</v>
      </c>
      <c r="Q15" s="1438" t="s">
        <v>3199</v>
      </c>
      <c r="R15" s="1455" t="s">
        <v>8592</v>
      </c>
      <c r="S15" s="1455" t="s">
        <v>8593</v>
      </c>
      <c r="T15" s="1455" t="s">
        <v>8594</v>
      </c>
      <c r="U15" s="1455" t="s">
        <v>8595</v>
      </c>
      <c r="V15" s="1438" t="s">
        <v>4376</v>
      </c>
      <c r="W15" s="1439" t="s">
        <v>8596</v>
      </c>
      <c r="X15" s="1456" t="s">
        <v>8597</v>
      </c>
      <c r="Y15" s="1439" t="s">
        <v>8598</v>
      </c>
      <c r="Z15" s="1439" t="s">
        <v>8599</v>
      </c>
      <c r="AA15" s="1439" t="s">
        <v>8600</v>
      </c>
      <c r="AB15" s="1456" t="s">
        <v>7535</v>
      </c>
      <c r="AC15" s="1456" t="s">
        <v>1215</v>
      </c>
      <c r="AD15" s="1453" t="s">
        <v>8601</v>
      </c>
      <c r="AE15" s="1453" t="s">
        <v>8602</v>
      </c>
      <c r="AF15" s="1457" t="s">
        <v>8603</v>
      </c>
      <c r="AG15" s="1440" t="s">
        <v>8604</v>
      </c>
      <c r="AH15" s="1440" t="s">
        <v>8605</v>
      </c>
      <c r="AI15" s="1440" t="s">
        <v>8606</v>
      </c>
      <c r="AJ15" s="1457" t="s">
        <v>8607</v>
      </c>
      <c r="AK15" s="1457" t="s">
        <v>889</v>
      </c>
      <c r="AL15" s="1440" t="s">
        <v>8608</v>
      </c>
      <c r="AM15" s="1442" t="s">
        <v>8609</v>
      </c>
      <c r="AN15" s="1441" t="s">
        <v>2984</v>
      </c>
      <c r="AO15" s="1442" t="s">
        <v>8610</v>
      </c>
      <c r="AP15" s="1441" t="s">
        <v>5540</v>
      </c>
      <c r="AQ15" s="1442" t="s">
        <v>8611</v>
      </c>
      <c r="AR15" s="1441" t="s">
        <v>1092</v>
      </c>
      <c r="AS15" s="1441" t="s">
        <v>3899</v>
      </c>
      <c r="AT15" s="1454" t="s">
        <v>6185</v>
      </c>
      <c r="AU15" s="1458" t="s">
        <v>8612</v>
      </c>
      <c r="AV15" s="1396" t="str">
        <f t="shared" si="1"/>
        <v>2:22</v>
      </c>
      <c r="AW15" s="1426" t="s">
        <v>8613</v>
      </c>
    </row>
    <row r="16">
      <c r="A16" s="1427" t="s">
        <v>2084</v>
      </c>
      <c r="B16" s="1445" t="s">
        <v>8275</v>
      </c>
      <c r="C16" s="1459">
        <v>0.049930555555555554</v>
      </c>
      <c r="D16" s="1460" t="s">
        <v>8614</v>
      </c>
      <c r="E16" s="1429" t="s">
        <v>8283</v>
      </c>
      <c r="F16" s="1429" t="s">
        <v>4579</v>
      </c>
      <c r="G16" s="1429" t="s">
        <v>8615</v>
      </c>
      <c r="H16" s="1429" t="s">
        <v>8616</v>
      </c>
      <c r="I16" s="1429" t="s">
        <v>5642</v>
      </c>
      <c r="J16" s="1429" t="s">
        <v>6105</v>
      </c>
      <c r="K16" s="1429" t="s">
        <v>8617</v>
      </c>
      <c r="L16" s="1429" t="s">
        <v>5961</v>
      </c>
      <c r="M16" s="1429" t="s">
        <v>8618</v>
      </c>
      <c r="N16" s="1429" t="s">
        <v>8619</v>
      </c>
      <c r="O16" s="1429" t="s">
        <v>795</v>
      </c>
      <c r="P16" s="1408">
        <v>47.54</v>
      </c>
      <c r="Q16" s="1461" t="s">
        <v>8620</v>
      </c>
      <c r="R16" s="1408" t="s">
        <v>8621</v>
      </c>
      <c r="S16" s="1461" t="s">
        <v>8496</v>
      </c>
      <c r="T16" s="1408" t="s">
        <v>8622</v>
      </c>
      <c r="U16" s="1461" t="s">
        <v>8623</v>
      </c>
      <c r="V16" s="1462">
        <v>58.55</v>
      </c>
      <c r="W16" s="1461" t="s">
        <v>8624</v>
      </c>
      <c r="X16" s="1461" t="s">
        <v>8625</v>
      </c>
      <c r="Y16" s="1463" t="s">
        <v>8412</v>
      </c>
      <c r="Z16" s="1461" t="s">
        <v>8318</v>
      </c>
      <c r="AA16" s="1429" t="s">
        <v>8626</v>
      </c>
      <c r="AB16" s="1461" t="s">
        <v>8627</v>
      </c>
      <c r="AC16" s="1396">
        <v>47.2</v>
      </c>
      <c r="AD16" s="1461" t="s">
        <v>8628</v>
      </c>
      <c r="AE16" s="1408">
        <v>47.88</v>
      </c>
      <c r="AF16" s="1461" t="s">
        <v>8629</v>
      </c>
      <c r="AG16" s="1461" t="s">
        <v>8630</v>
      </c>
      <c r="AH16" s="1461">
        <v>57.68</v>
      </c>
      <c r="AI16" s="1461" t="s">
        <v>2745</v>
      </c>
      <c r="AJ16" s="1408" t="s">
        <v>8631</v>
      </c>
      <c r="AK16" s="1464" t="s">
        <v>8632</v>
      </c>
      <c r="AL16" s="1461">
        <v>55.92</v>
      </c>
      <c r="AM16" s="1461" t="s">
        <v>2786</v>
      </c>
      <c r="AN16" s="1388" t="s">
        <v>5580</v>
      </c>
      <c r="AO16" s="1461" t="s">
        <v>6561</v>
      </c>
      <c r="AP16" s="1461" t="s">
        <v>8633</v>
      </c>
      <c r="AQ16" s="1461" t="s">
        <v>7192</v>
      </c>
      <c r="AR16" s="1461" t="s">
        <v>8634</v>
      </c>
      <c r="AS16" s="1465">
        <v>42.83</v>
      </c>
      <c r="AT16" s="1408" t="s">
        <v>7750</v>
      </c>
      <c r="AU16" s="1425" t="s">
        <v>8635</v>
      </c>
      <c r="AV16" s="1396" t="str">
        <f t="shared" si="1"/>
        <v>4:29</v>
      </c>
      <c r="AW16" s="1447" t="s">
        <v>8636</v>
      </c>
    </row>
    <row r="17" ht="15.75" customHeight="1">
      <c r="A17" s="1427" t="s">
        <v>2212</v>
      </c>
      <c r="B17" s="1386" t="s">
        <v>8275</v>
      </c>
      <c r="C17" s="1387">
        <v>0.0499537037037037</v>
      </c>
      <c r="D17" s="1394" t="s">
        <v>8637</v>
      </c>
      <c r="E17" s="1394" t="s">
        <v>2694</v>
      </c>
      <c r="F17" s="1394" t="s">
        <v>8638</v>
      </c>
      <c r="G17" s="1391" t="s">
        <v>8639</v>
      </c>
      <c r="H17" s="1394" t="s">
        <v>8640</v>
      </c>
      <c r="I17" s="1466" t="s">
        <v>8602</v>
      </c>
      <c r="J17" s="1394" t="s">
        <v>1416</v>
      </c>
      <c r="K17" s="1394" t="s">
        <v>5085</v>
      </c>
      <c r="L17" s="1394" t="s">
        <v>8641</v>
      </c>
      <c r="M17" s="1394" t="s">
        <v>8642</v>
      </c>
      <c r="N17" s="1394" t="s">
        <v>8643</v>
      </c>
      <c r="O17" s="1394" t="s">
        <v>8644</v>
      </c>
      <c r="P17" s="1394" t="s">
        <v>8645</v>
      </c>
      <c r="Q17" s="1394" t="s">
        <v>4540</v>
      </c>
      <c r="R17" s="1438" t="s">
        <v>8646</v>
      </c>
      <c r="S17" s="1394" t="s">
        <v>3805</v>
      </c>
      <c r="T17" s="1394" t="s">
        <v>8647</v>
      </c>
      <c r="U17" s="1394" t="s">
        <v>8648</v>
      </c>
      <c r="V17" s="1394" t="s">
        <v>8649</v>
      </c>
      <c r="W17" s="1394" t="s">
        <v>8650</v>
      </c>
      <c r="X17" s="1394" t="s">
        <v>7536</v>
      </c>
      <c r="Y17" s="1394" t="s">
        <v>4112</v>
      </c>
      <c r="Z17" s="1394" t="s">
        <v>8651</v>
      </c>
      <c r="AA17" s="1394" t="s">
        <v>7536</v>
      </c>
      <c r="AB17" s="1394" t="s">
        <v>8545</v>
      </c>
      <c r="AC17" s="1394" t="s">
        <v>5502</v>
      </c>
      <c r="AD17" s="1394" t="s">
        <v>7586</v>
      </c>
      <c r="AE17" s="1394" t="s">
        <v>8652</v>
      </c>
      <c r="AF17" s="1394" t="s">
        <v>8653</v>
      </c>
      <c r="AG17" s="1394" t="s">
        <v>4975</v>
      </c>
      <c r="AH17" s="1394" t="s">
        <v>5119</v>
      </c>
      <c r="AI17" s="1394" t="s">
        <v>8654</v>
      </c>
      <c r="AJ17" s="1392" t="s">
        <v>8296</v>
      </c>
      <c r="AK17" s="1394" t="s">
        <v>2478</v>
      </c>
      <c r="AL17" s="1394" t="s">
        <v>8655</v>
      </c>
      <c r="AM17" s="1394" t="s">
        <v>8656</v>
      </c>
      <c r="AN17" s="1394" t="s">
        <v>550</v>
      </c>
      <c r="AO17" s="1394" t="s">
        <v>8657</v>
      </c>
      <c r="AP17" s="1394" t="s">
        <v>8658</v>
      </c>
      <c r="AQ17" s="1394" t="s">
        <v>4663</v>
      </c>
      <c r="AR17" s="1394" t="s">
        <v>6315</v>
      </c>
      <c r="AS17" s="1394" t="s">
        <v>8659</v>
      </c>
      <c r="AT17" s="1394" t="s">
        <v>2946</v>
      </c>
      <c r="AU17" s="1394" t="s">
        <v>8660</v>
      </c>
      <c r="AV17" s="1396" t="str">
        <f t="shared" si="1"/>
        <v>3:21</v>
      </c>
      <c r="AW17" s="1452" t="s">
        <v>8661</v>
      </c>
    </row>
    <row r="18" ht="15.75" customHeight="1">
      <c r="A18" s="1385" t="s">
        <v>8662</v>
      </c>
      <c r="B18" s="1386" t="s">
        <v>8275</v>
      </c>
      <c r="C18" s="1387">
        <v>0.049965277777777775</v>
      </c>
      <c r="D18" s="1312" t="s">
        <v>8663</v>
      </c>
      <c r="E18" s="1394" t="s">
        <v>4226</v>
      </c>
      <c r="F18" s="1394" t="s">
        <v>8664</v>
      </c>
      <c r="G18" s="1394" t="s">
        <v>8665</v>
      </c>
      <c r="H18" s="1396" t="s">
        <v>8666</v>
      </c>
      <c r="I18" s="1394" t="s">
        <v>1381</v>
      </c>
      <c r="J18" s="1394" t="s">
        <v>378</v>
      </c>
      <c r="K18" s="1394" t="s">
        <v>8667</v>
      </c>
      <c r="L18" s="1394" t="s">
        <v>5283</v>
      </c>
      <c r="M18" s="1394" t="s">
        <v>6216</v>
      </c>
      <c r="N18" s="1394" t="s">
        <v>8668</v>
      </c>
      <c r="O18" s="1394" t="s">
        <v>2560</v>
      </c>
      <c r="P18" s="1396" t="s">
        <v>5341</v>
      </c>
      <c r="Q18" s="1394" t="s">
        <v>8669</v>
      </c>
      <c r="R18" s="1394" t="s">
        <v>4274</v>
      </c>
      <c r="S18" s="1394" t="s">
        <v>7440</v>
      </c>
      <c r="T18" s="1394" t="s">
        <v>8038</v>
      </c>
      <c r="U18" s="1394" t="s">
        <v>8670</v>
      </c>
      <c r="V18" s="1394" t="s">
        <v>4891</v>
      </c>
      <c r="W18" s="1394" t="s">
        <v>8671</v>
      </c>
      <c r="X18" s="1396" t="s">
        <v>6566</v>
      </c>
      <c r="Y18" s="1396" t="s">
        <v>5426</v>
      </c>
      <c r="Z18" s="1394" t="s">
        <v>8672</v>
      </c>
      <c r="AA18" s="1394" t="s">
        <v>3759</v>
      </c>
      <c r="AB18" s="1394" t="s">
        <v>8673</v>
      </c>
      <c r="AC18" s="1394" t="s">
        <v>782</v>
      </c>
      <c r="AD18" s="1394" t="s">
        <v>5351</v>
      </c>
      <c r="AE18" s="1394" t="s">
        <v>8674</v>
      </c>
      <c r="AF18" s="1394" t="s">
        <v>870</v>
      </c>
      <c r="AG18" s="1394" t="s">
        <v>8675</v>
      </c>
      <c r="AH18" s="1394" t="s">
        <v>8377</v>
      </c>
      <c r="AI18" s="1394" t="s">
        <v>686</v>
      </c>
      <c r="AJ18" s="1396" t="s">
        <v>8676</v>
      </c>
      <c r="AK18" s="1440" t="s">
        <v>7366</v>
      </c>
      <c r="AL18" s="1394" t="s">
        <v>4533</v>
      </c>
      <c r="AM18" s="1394" t="s">
        <v>3291</v>
      </c>
      <c r="AN18" s="1396" t="s">
        <v>5968</v>
      </c>
      <c r="AO18" s="1396" t="s">
        <v>6315</v>
      </c>
      <c r="AP18" s="1396" t="s">
        <v>8677</v>
      </c>
      <c r="AQ18" s="1396" t="s">
        <v>8397</v>
      </c>
      <c r="AR18" s="1396" t="s">
        <v>155</v>
      </c>
      <c r="AS18" s="1396" t="s">
        <v>5567</v>
      </c>
      <c r="AT18" s="1396" t="s">
        <v>8571</v>
      </c>
      <c r="AU18" s="1394" t="s">
        <v>8678</v>
      </c>
      <c r="AV18" s="1396" t="str">
        <f t="shared" si="1"/>
        <v>3:46</v>
      </c>
      <c r="AW18" s="1467" t="s">
        <v>7829</v>
      </c>
    </row>
    <row r="19">
      <c r="A19" s="1427" t="s">
        <v>2021</v>
      </c>
      <c r="B19" s="1428" t="s">
        <v>8275</v>
      </c>
      <c r="C19" s="1468">
        <v>0.049965277777777775</v>
      </c>
      <c r="D19" s="1429" t="s">
        <v>8679</v>
      </c>
      <c r="E19" s="1429" t="s">
        <v>8389</v>
      </c>
      <c r="F19" s="1429" t="s">
        <v>8467</v>
      </c>
      <c r="G19" s="1429" t="s">
        <v>8680</v>
      </c>
      <c r="H19" s="1429" t="s">
        <v>8681</v>
      </c>
      <c r="I19" s="1429" t="s">
        <v>3473</v>
      </c>
      <c r="J19" s="1429" t="s">
        <v>8682</v>
      </c>
      <c r="K19" s="1469" t="s">
        <v>4043</v>
      </c>
      <c r="L19" s="1429" t="s">
        <v>8655</v>
      </c>
      <c r="M19" s="1429" t="s">
        <v>1050</v>
      </c>
      <c r="N19" s="1429" t="s">
        <v>8683</v>
      </c>
      <c r="O19" s="1429" t="s">
        <v>8684</v>
      </c>
      <c r="P19" s="1429" t="s">
        <v>6205</v>
      </c>
      <c r="Q19" s="1429" t="s">
        <v>8685</v>
      </c>
      <c r="R19" s="1429" t="s">
        <v>7078</v>
      </c>
      <c r="S19" s="1429" t="s">
        <v>8686</v>
      </c>
      <c r="T19" s="1429" t="s">
        <v>5719</v>
      </c>
      <c r="U19" s="1429" t="s">
        <v>8687</v>
      </c>
      <c r="V19" s="1429" t="s">
        <v>8688</v>
      </c>
      <c r="W19" s="1429" t="s">
        <v>5368</v>
      </c>
      <c r="X19" s="1429" t="s">
        <v>8689</v>
      </c>
      <c r="Y19" s="1429" t="s">
        <v>4599</v>
      </c>
      <c r="Z19" s="1429" t="s">
        <v>8690</v>
      </c>
      <c r="AA19" s="1429" t="s">
        <v>8691</v>
      </c>
      <c r="AB19" s="1429" t="s">
        <v>8627</v>
      </c>
      <c r="AC19" s="1429" t="s">
        <v>590</v>
      </c>
      <c r="AD19" s="1429" t="s">
        <v>8692</v>
      </c>
      <c r="AE19" s="1429" t="s">
        <v>5465</v>
      </c>
      <c r="AF19" s="1429" t="s">
        <v>8693</v>
      </c>
      <c r="AG19" s="1429" t="s">
        <v>1327</v>
      </c>
      <c r="AH19" s="1429" t="s">
        <v>7981</v>
      </c>
      <c r="AI19" s="1429" t="s">
        <v>8694</v>
      </c>
      <c r="AJ19" s="1429" t="s">
        <v>8695</v>
      </c>
      <c r="AK19" s="1429" t="s">
        <v>8696</v>
      </c>
      <c r="AL19" s="1429" t="s">
        <v>341</v>
      </c>
      <c r="AM19" s="1429" t="s">
        <v>8697</v>
      </c>
      <c r="AN19" s="1429" t="s">
        <v>231</v>
      </c>
      <c r="AO19" s="1429" t="s">
        <v>8698</v>
      </c>
      <c r="AP19" s="1429" t="s">
        <v>8699</v>
      </c>
      <c r="AQ19" s="1395" t="s">
        <v>7437</v>
      </c>
      <c r="AR19" s="1429" t="s">
        <v>2589</v>
      </c>
      <c r="AS19" s="1429" t="s">
        <v>922</v>
      </c>
      <c r="AT19" s="1429" t="s">
        <v>8700</v>
      </c>
      <c r="AU19" s="1394" t="s">
        <v>8701</v>
      </c>
      <c r="AV19" s="1396" t="str">
        <f t="shared" si="1"/>
        <v>2:19</v>
      </c>
      <c r="AW19" s="1467"/>
    </row>
    <row r="20" ht="15.75" customHeight="1">
      <c r="A20" s="1470" t="s">
        <v>5971</v>
      </c>
      <c r="B20" s="1386" t="s">
        <v>8275</v>
      </c>
      <c r="C20" s="1387">
        <v>0.05</v>
      </c>
      <c r="D20" s="1312" t="s">
        <v>8702</v>
      </c>
      <c r="E20" s="1394" t="s">
        <v>8070</v>
      </c>
      <c r="F20" s="1394" t="s">
        <v>8638</v>
      </c>
      <c r="G20" s="1396" t="s">
        <v>8703</v>
      </c>
      <c r="H20" s="1394" t="s">
        <v>8704</v>
      </c>
      <c r="I20" s="1396" t="s">
        <v>1974</v>
      </c>
      <c r="J20" s="1394" t="s">
        <v>3062</v>
      </c>
      <c r="K20" s="1394" t="s">
        <v>8705</v>
      </c>
      <c r="L20" s="1394" t="s">
        <v>4249</v>
      </c>
      <c r="M20" s="1394" t="s">
        <v>8706</v>
      </c>
      <c r="N20" s="1394" t="s">
        <v>8707</v>
      </c>
      <c r="O20" s="1394" t="s">
        <v>8624</v>
      </c>
      <c r="P20" s="1396" t="s">
        <v>1181</v>
      </c>
      <c r="Q20" s="1394" t="s">
        <v>8708</v>
      </c>
      <c r="R20" s="1394" t="s">
        <v>1741</v>
      </c>
      <c r="S20" s="1394" t="s">
        <v>8709</v>
      </c>
      <c r="T20" s="1394" t="s">
        <v>7107</v>
      </c>
      <c r="U20" s="1394" t="s">
        <v>8710</v>
      </c>
      <c r="V20" s="1394" t="s">
        <v>8711</v>
      </c>
      <c r="W20" s="1394" t="s">
        <v>8712</v>
      </c>
      <c r="X20" s="1394" t="s">
        <v>3784</v>
      </c>
      <c r="Y20" s="1394" t="s">
        <v>8713</v>
      </c>
      <c r="Z20" s="1394" t="s">
        <v>8714</v>
      </c>
      <c r="AA20" s="1394" t="s">
        <v>8715</v>
      </c>
      <c r="AB20" s="1394" t="s">
        <v>8716</v>
      </c>
      <c r="AC20" s="1396" t="s">
        <v>4822</v>
      </c>
      <c r="AD20" s="1394" t="s">
        <v>8717</v>
      </c>
      <c r="AE20" s="1396" t="s">
        <v>5415</v>
      </c>
      <c r="AF20" s="1471" t="s">
        <v>8293</v>
      </c>
      <c r="AG20" s="1394" t="s">
        <v>600</v>
      </c>
      <c r="AH20" s="1394" t="s">
        <v>6703</v>
      </c>
      <c r="AI20" s="1394" t="s">
        <v>194</v>
      </c>
      <c r="AJ20" s="1396" t="s">
        <v>8718</v>
      </c>
      <c r="AK20" s="1394" t="s">
        <v>8719</v>
      </c>
      <c r="AL20" s="1396" t="s">
        <v>3443</v>
      </c>
      <c r="AM20" s="1394" t="s">
        <v>1906</v>
      </c>
      <c r="AN20" s="1396" t="s">
        <v>2579</v>
      </c>
      <c r="AO20" s="1394" t="s">
        <v>8720</v>
      </c>
      <c r="AP20" s="1394" t="s">
        <v>8721</v>
      </c>
      <c r="AQ20" s="1396" t="s">
        <v>8722</v>
      </c>
      <c r="AR20" s="1394" t="s">
        <v>1584</v>
      </c>
      <c r="AS20" s="1396" t="s">
        <v>8578</v>
      </c>
      <c r="AT20" s="1394" t="s">
        <v>8723</v>
      </c>
      <c r="AU20" s="1394" t="s">
        <v>8724</v>
      </c>
      <c r="AV20" s="1396" t="str">
        <f t="shared" si="1"/>
        <v>1:53</v>
      </c>
      <c r="AW20" s="1467"/>
    </row>
    <row r="21">
      <c r="A21" s="1427" t="s">
        <v>6272</v>
      </c>
      <c r="B21" s="1428" t="s">
        <v>8303</v>
      </c>
      <c r="C21" s="1387">
        <v>0.05016203703703704</v>
      </c>
      <c r="D21" s="1408" t="s">
        <v>8725</v>
      </c>
      <c r="E21" s="1472" t="s">
        <v>8305</v>
      </c>
      <c r="F21" s="1408" t="s">
        <v>8726</v>
      </c>
      <c r="G21" s="1408" t="s">
        <v>8727</v>
      </c>
      <c r="H21" s="1408" t="s">
        <v>8728</v>
      </c>
      <c r="I21" s="1408" t="s">
        <v>4858</v>
      </c>
      <c r="J21" s="1408" t="s">
        <v>4154</v>
      </c>
      <c r="K21" s="1408" t="s">
        <v>8729</v>
      </c>
      <c r="L21" s="1312" t="s">
        <v>4953</v>
      </c>
      <c r="M21" s="1473" t="s">
        <v>8312</v>
      </c>
      <c r="N21" s="1408" t="s">
        <v>8730</v>
      </c>
      <c r="O21" s="1408" t="s">
        <v>8731</v>
      </c>
      <c r="P21" s="1408" t="s">
        <v>5670</v>
      </c>
      <c r="Q21" s="1408" t="s">
        <v>2666</v>
      </c>
      <c r="R21" s="1408" t="s">
        <v>202</v>
      </c>
      <c r="S21" s="1408" t="s">
        <v>8732</v>
      </c>
      <c r="T21" s="1408" t="s">
        <v>1387</v>
      </c>
      <c r="U21" s="1408" t="s">
        <v>8733</v>
      </c>
      <c r="V21" s="1408" t="s">
        <v>8734</v>
      </c>
      <c r="W21" s="1474" t="s">
        <v>8317</v>
      </c>
      <c r="X21" s="1408" t="s">
        <v>1295</v>
      </c>
      <c r="Y21" s="1408" t="s">
        <v>1161</v>
      </c>
      <c r="Z21" s="1474" t="s">
        <v>8318</v>
      </c>
      <c r="AA21" s="1474" t="s">
        <v>8319</v>
      </c>
      <c r="AB21" s="1408" t="s">
        <v>8735</v>
      </c>
      <c r="AC21" s="1408" t="s">
        <v>3824</v>
      </c>
      <c r="AD21" s="1408" t="s">
        <v>8736</v>
      </c>
      <c r="AE21" s="1408" t="s">
        <v>4710</v>
      </c>
      <c r="AF21" s="1408" t="s">
        <v>5591</v>
      </c>
      <c r="AG21" s="1408" t="s">
        <v>8737</v>
      </c>
      <c r="AH21" s="1408" t="s">
        <v>4307</v>
      </c>
      <c r="AI21" s="1472" t="s">
        <v>3999</v>
      </c>
      <c r="AJ21" s="1408" t="s">
        <v>8738</v>
      </c>
      <c r="AK21" s="1408" t="s">
        <v>8739</v>
      </c>
      <c r="AL21" s="1408" t="s">
        <v>2460</v>
      </c>
      <c r="AM21" s="1408" t="s">
        <v>3810</v>
      </c>
      <c r="AN21" s="1408" t="s">
        <v>5805</v>
      </c>
      <c r="AO21" s="1408" t="s">
        <v>8740</v>
      </c>
      <c r="AP21" s="1408" t="s">
        <v>8741</v>
      </c>
      <c r="AQ21" s="1408" t="s">
        <v>3796</v>
      </c>
      <c r="AR21" s="1474" t="s">
        <v>7269</v>
      </c>
      <c r="AS21" s="1408" t="s">
        <v>751</v>
      </c>
      <c r="AT21" s="1474" t="s">
        <v>8329</v>
      </c>
      <c r="AU21" s="1394" t="s">
        <v>8742</v>
      </c>
      <c r="AV21" s="1396" t="str">
        <f t="shared" si="1"/>
        <v>3:20</v>
      </c>
      <c r="AW21" s="1475"/>
    </row>
    <row r="22" ht="15.75" customHeight="1">
      <c r="A22" s="1401" t="s">
        <v>1411</v>
      </c>
      <c r="B22" s="1386" t="s">
        <v>8275</v>
      </c>
      <c r="C22" s="1387">
        <v>0.05025462962962963</v>
      </c>
      <c r="D22" s="1312" t="s">
        <v>8743</v>
      </c>
      <c r="E22" s="1435" t="s">
        <v>8744</v>
      </c>
      <c r="F22" s="1453" t="s">
        <v>8745</v>
      </c>
      <c r="G22" s="1388" t="s">
        <v>8746</v>
      </c>
      <c r="H22" s="1436" t="s">
        <v>8747</v>
      </c>
      <c r="I22" s="1436" t="s">
        <v>1044</v>
      </c>
      <c r="J22" s="1437" t="s">
        <v>8426</v>
      </c>
      <c r="K22" s="1454" t="s">
        <v>8748</v>
      </c>
      <c r="L22" s="1454" t="s">
        <v>5044</v>
      </c>
      <c r="M22" s="1476" t="str">
        <f>HYPERLINK("https://youtu.be/teAIifUZjFw","1:14.18")</f>
        <v>1:14.18</v>
      </c>
      <c r="N22" s="1454" t="s">
        <v>3495</v>
      </c>
      <c r="O22" s="1454" t="s">
        <v>3570</v>
      </c>
      <c r="P22" s="1454" t="s">
        <v>2011</v>
      </c>
      <c r="Q22" s="1455" t="s">
        <v>8749</v>
      </c>
      <c r="R22" s="1438" t="s">
        <v>8750</v>
      </c>
      <c r="S22" s="1438" t="s">
        <v>5373</v>
      </c>
      <c r="T22" s="1477" t="str">
        <f>HYPERLINK("https://youtu.be/AiXricVH5ss","1:24.99")</f>
        <v>1:24.99</v>
      </c>
      <c r="U22" s="1478" t="str">
        <f>HYPERLINK("https://www.twitch.tv/videos/450151935","2:00.31")</f>
        <v>2:00.31</v>
      </c>
      <c r="V22" s="1438" t="s">
        <v>8751</v>
      </c>
      <c r="W22" s="1479" t="str">
        <f>HYPERLINK("https://youtu.be/eafNhBoXVWA","1:46.09")</f>
        <v>1:46.09</v>
      </c>
      <c r="X22" s="1456" t="s">
        <v>4393</v>
      </c>
      <c r="Y22" s="1456" t="s">
        <v>8491</v>
      </c>
      <c r="Z22" s="1456" t="s">
        <v>8752</v>
      </c>
      <c r="AA22" s="1439" t="s">
        <v>8458</v>
      </c>
      <c r="AB22" s="1456" t="s">
        <v>6813</v>
      </c>
      <c r="AC22" s="1456" t="s">
        <v>7404</v>
      </c>
      <c r="AD22" s="1480" t="str">
        <f>HYPERLINK("https://youtu.be/8FEcTKESSh0","1:49.80")</f>
        <v>1:49.80</v>
      </c>
      <c r="AE22" s="1435" t="s">
        <v>6220</v>
      </c>
      <c r="AF22" s="1457" t="s">
        <v>8753</v>
      </c>
      <c r="AG22" s="1457" t="s">
        <v>8754</v>
      </c>
      <c r="AH22" s="1457" t="s">
        <v>8755</v>
      </c>
      <c r="AI22" s="1457" t="s">
        <v>3811</v>
      </c>
      <c r="AJ22" s="1457" t="s">
        <v>8756</v>
      </c>
      <c r="AK22" s="1440" t="s">
        <v>8622</v>
      </c>
      <c r="AL22" s="1457" t="s">
        <v>8757</v>
      </c>
      <c r="AM22" s="1442" t="s">
        <v>8609</v>
      </c>
      <c r="AN22" s="1442" t="s">
        <v>8039</v>
      </c>
      <c r="AO22" s="1442" t="s">
        <v>8758</v>
      </c>
      <c r="AP22" s="1441" t="s">
        <v>8759</v>
      </c>
      <c r="AQ22" s="1441" t="s">
        <v>8760</v>
      </c>
      <c r="AR22" s="1442" t="s">
        <v>8761</v>
      </c>
      <c r="AS22" s="1441" t="s">
        <v>5443</v>
      </c>
      <c r="AT22" s="1476" t="str">
        <f>HYPERLINK("https://youtu.be/xDirVtS1AZ4?t=4416","2:27.45")</f>
        <v>2:27.45</v>
      </c>
      <c r="AU22" s="1458" t="s">
        <v>8762</v>
      </c>
      <c r="AV22" s="1396" t="str">
        <f t="shared" si="1"/>
        <v>2:34</v>
      </c>
      <c r="AW22" s="1426" t="s">
        <v>8763</v>
      </c>
    </row>
    <row r="23">
      <c r="A23" s="1427" t="s">
        <v>6260</v>
      </c>
      <c r="B23" s="1428" t="s">
        <v>8275</v>
      </c>
      <c r="C23" s="1387">
        <v>0.0502662037037037</v>
      </c>
      <c r="D23" s="1312" t="s">
        <v>8764</v>
      </c>
      <c r="E23" s="1394" t="s">
        <v>8447</v>
      </c>
      <c r="F23" s="1394" t="s">
        <v>8765</v>
      </c>
      <c r="G23" s="1394" t="s">
        <v>8766</v>
      </c>
      <c r="H23" s="1394" t="s">
        <v>8767</v>
      </c>
      <c r="I23" s="1312" t="s">
        <v>260</v>
      </c>
      <c r="J23" s="1312" t="s">
        <v>8768</v>
      </c>
      <c r="K23" s="1394" t="s">
        <v>8705</v>
      </c>
      <c r="L23" s="1394" t="s">
        <v>5961</v>
      </c>
      <c r="M23" s="1312" t="s">
        <v>2647</v>
      </c>
      <c r="N23" s="1394" t="s">
        <v>8769</v>
      </c>
      <c r="O23" s="1394" t="s">
        <v>8770</v>
      </c>
      <c r="P23" s="1312" t="s">
        <v>8771</v>
      </c>
      <c r="Q23" s="1394" t="s">
        <v>8772</v>
      </c>
      <c r="R23" s="1312" t="s">
        <v>8773</v>
      </c>
      <c r="S23" s="1394" t="s">
        <v>8774</v>
      </c>
      <c r="T23" s="1312" t="s">
        <v>8775</v>
      </c>
      <c r="U23" s="1394" t="s">
        <v>162</v>
      </c>
      <c r="V23" s="1312" t="s">
        <v>4891</v>
      </c>
      <c r="W23" s="1312" t="s">
        <v>6950</v>
      </c>
      <c r="X23" s="1312" t="s">
        <v>6566</v>
      </c>
      <c r="Y23" s="1312" t="s">
        <v>966</v>
      </c>
      <c r="Z23" s="1312" t="s">
        <v>8776</v>
      </c>
      <c r="AA23" s="1394" t="s">
        <v>8777</v>
      </c>
      <c r="AB23" s="1312" t="s">
        <v>7403</v>
      </c>
      <c r="AC23" s="1394" t="s">
        <v>8778</v>
      </c>
      <c r="AD23" s="1312" t="s">
        <v>6010</v>
      </c>
      <c r="AE23" s="1394" t="s">
        <v>8779</v>
      </c>
      <c r="AF23" s="1394" t="s">
        <v>8780</v>
      </c>
      <c r="AG23" s="1312" t="s">
        <v>2050</v>
      </c>
      <c r="AH23" s="1312" t="s">
        <v>2586</v>
      </c>
      <c r="AI23" s="1394" t="s">
        <v>8781</v>
      </c>
      <c r="AJ23" s="1312" t="s">
        <v>8782</v>
      </c>
      <c r="AK23" s="1312" t="s">
        <v>8290</v>
      </c>
      <c r="AL23" s="1312" t="s">
        <v>4533</v>
      </c>
      <c r="AM23" s="1312" t="s">
        <v>8783</v>
      </c>
      <c r="AN23" s="1312" t="s">
        <v>4533</v>
      </c>
      <c r="AO23" s="1312" t="s">
        <v>1970</v>
      </c>
      <c r="AP23" s="1394" t="s">
        <v>8784</v>
      </c>
      <c r="AQ23" s="1312" t="s">
        <v>2171</v>
      </c>
      <c r="AR23" s="1394" t="s">
        <v>8158</v>
      </c>
      <c r="AS23" s="1312" t="s">
        <v>1821</v>
      </c>
      <c r="AT23" s="1394" t="s">
        <v>8785</v>
      </c>
      <c r="AU23" s="1394" t="s">
        <v>8786</v>
      </c>
      <c r="AV23" s="1396" t="str">
        <f t="shared" si="1"/>
        <v>2:28</v>
      </c>
      <c r="AW23" s="1431" t="s">
        <v>8787</v>
      </c>
    </row>
    <row r="24">
      <c r="A24" s="1427" t="s">
        <v>8788</v>
      </c>
      <c r="B24" s="1481" t="s">
        <v>8275</v>
      </c>
      <c r="C24" s="1387">
        <v>0.0503125</v>
      </c>
      <c r="D24" s="1312" t="s">
        <v>8789</v>
      </c>
      <c r="E24" s="1435" t="s">
        <v>8790</v>
      </c>
      <c r="F24" s="1435" t="s">
        <v>8791</v>
      </c>
      <c r="G24" s="1435" t="s">
        <v>7864</v>
      </c>
      <c r="H24" s="1482" t="s">
        <v>8792</v>
      </c>
      <c r="I24" s="1482" t="s">
        <v>6789</v>
      </c>
      <c r="J24" s="1437" t="s">
        <v>1966</v>
      </c>
      <c r="K24" s="1437" t="s">
        <v>5824</v>
      </c>
      <c r="L24" s="1437" t="s">
        <v>3203</v>
      </c>
      <c r="M24" s="1437" t="s">
        <v>8793</v>
      </c>
      <c r="N24" s="1437" t="s">
        <v>8794</v>
      </c>
      <c r="O24" s="1437" t="s">
        <v>3983</v>
      </c>
      <c r="P24" s="1437" t="s">
        <v>5067</v>
      </c>
      <c r="Q24" s="1438" t="s">
        <v>8795</v>
      </c>
      <c r="R24" s="1438" t="s">
        <v>8796</v>
      </c>
      <c r="S24" s="1438" t="s">
        <v>542</v>
      </c>
      <c r="T24" s="1438" t="s">
        <v>8797</v>
      </c>
      <c r="U24" s="1438" t="s">
        <v>8798</v>
      </c>
      <c r="V24" s="1438" t="s">
        <v>8799</v>
      </c>
      <c r="W24" s="1439" t="s">
        <v>8800</v>
      </c>
      <c r="X24" s="1439" t="s">
        <v>4393</v>
      </c>
      <c r="Y24" s="1439" t="s">
        <v>1541</v>
      </c>
      <c r="Z24" s="1439" t="s">
        <v>2318</v>
      </c>
      <c r="AA24" s="1439" t="s">
        <v>8801</v>
      </c>
      <c r="AB24" s="1439" t="s">
        <v>3526</v>
      </c>
      <c r="AC24" s="1439" t="s">
        <v>8802</v>
      </c>
      <c r="AD24" s="1435" t="s">
        <v>8803</v>
      </c>
      <c r="AE24" s="1435" t="s">
        <v>8652</v>
      </c>
      <c r="AF24" s="1440" t="s">
        <v>8804</v>
      </c>
      <c r="AG24" s="1440" t="s">
        <v>7613</v>
      </c>
      <c r="AH24" s="1440" t="s">
        <v>8805</v>
      </c>
      <c r="AI24" s="1440" t="s">
        <v>5027</v>
      </c>
      <c r="AJ24" s="1440" t="s">
        <v>8806</v>
      </c>
      <c r="AK24" s="1440" t="s">
        <v>8323</v>
      </c>
      <c r="AL24" s="1440" t="s">
        <v>8552</v>
      </c>
      <c r="AM24" s="1442" t="s">
        <v>8528</v>
      </c>
      <c r="AN24" s="1442" t="s">
        <v>8807</v>
      </c>
      <c r="AO24" s="1442" t="s">
        <v>3556</v>
      </c>
      <c r="AP24" s="1442" t="s">
        <v>8808</v>
      </c>
      <c r="AQ24" s="1442" t="s">
        <v>8809</v>
      </c>
      <c r="AR24" s="1442" t="s">
        <v>2841</v>
      </c>
      <c r="AS24" s="1442" t="s">
        <v>299</v>
      </c>
      <c r="AT24" s="1437" t="s">
        <v>8810</v>
      </c>
      <c r="AU24" s="1425" t="s">
        <v>8811</v>
      </c>
      <c r="AV24" s="1396" t="str">
        <f t="shared" si="1"/>
        <v>2:59</v>
      </c>
      <c r="AW24" s="1447" t="s">
        <v>8812</v>
      </c>
    </row>
    <row r="25" ht="15.75" customHeight="1">
      <c r="A25" s="1427" t="s">
        <v>2595</v>
      </c>
      <c r="B25" s="1445" t="s">
        <v>8303</v>
      </c>
      <c r="C25" s="1387">
        <v>0.050347222222222224</v>
      </c>
      <c r="D25" s="1312" t="s">
        <v>8813</v>
      </c>
      <c r="E25" s="1312" t="s">
        <v>8814</v>
      </c>
      <c r="F25" s="1312" t="s">
        <v>8815</v>
      </c>
      <c r="G25" s="1312" t="s">
        <v>8816</v>
      </c>
      <c r="H25" s="1312" t="s">
        <v>5806</v>
      </c>
      <c r="I25" s="1312" t="s">
        <v>692</v>
      </c>
      <c r="J25" s="1473" t="s">
        <v>8310</v>
      </c>
      <c r="K25" s="1473" t="s">
        <v>1160</v>
      </c>
      <c r="L25" s="1312" t="s">
        <v>8817</v>
      </c>
      <c r="M25" s="1437" t="s">
        <v>8818</v>
      </c>
      <c r="N25" s="1473" t="s">
        <v>3592</v>
      </c>
      <c r="O25" s="1312" t="s">
        <v>8819</v>
      </c>
      <c r="P25" s="1473" t="s">
        <v>5415</v>
      </c>
      <c r="Q25" s="1473" t="s">
        <v>8314</v>
      </c>
      <c r="R25" s="1473" t="s">
        <v>7042</v>
      </c>
      <c r="S25" s="1473" t="s">
        <v>8284</v>
      </c>
      <c r="T25" s="1312" t="s">
        <v>4495</v>
      </c>
      <c r="U25" s="1312" t="s">
        <v>8820</v>
      </c>
      <c r="V25" s="1473" t="s">
        <v>8316</v>
      </c>
      <c r="W25" s="1312" t="s">
        <v>6948</v>
      </c>
      <c r="X25" s="1312" t="s">
        <v>1516</v>
      </c>
      <c r="Y25" s="1473" t="s">
        <v>3892</v>
      </c>
      <c r="Z25" s="1312" t="s">
        <v>1061</v>
      </c>
      <c r="AA25" s="1312" t="s">
        <v>8821</v>
      </c>
      <c r="AB25" s="1312" t="s">
        <v>5736</v>
      </c>
      <c r="AC25" s="1312" t="s">
        <v>1958</v>
      </c>
      <c r="AD25" s="1312" t="s">
        <v>8822</v>
      </c>
      <c r="AE25" s="1312" t="s">
        <v>4286</v>
      </c>
      <c r="AF25" s="1312" t="s">
        <v>8823</v>
      </c>
      <c r="AG25" s="1312" t="s">
        <v>5499</v>
      </c>
      <c r="AH25" s="1312" t="s">
        <v>4520</v>
      </c>
      <c r="AI25" s="1312" t="s">
        <v>3153</v>
      </c>
      <c r="AJ25" s="1312" t="s">
        <v>8824</v>
      </c>
      <c r="AK25" s="1312" t="s">
        <v>2887</v>
      </c>
      <c r="AL25" s="1312" t="s">
        <v>8825</v>
      </c>
      <c r="AM25" s="1312" t="s">
        <v>4351</v>
      </c>
      <c r="AN25" s="1312" t="s">
        <v>4198</v>
      </c>
      <c r="AO25" s="1312" t="s">
        <v>7132</v>
      </c>
      <c r="AP25" s="1312" t="s">
        <v>8826</v>
      </c>
      <c r="AQ25" s="1312" t="s">
        <v>8827</v>
      </c>
      <c r="AR25" s="1312" t="s">
        <v>2841</v>
      </c>
      <c r="AS25" s="1312" t="s">
        <v>6449</v>
      </c>
      <c r="AT25" s="1312" t="s">
        <v>8828</v>
      </c>
      <c r="AU25" s="1440" t="s">
        <v>8330</v>
      </c>
      <c r="AV25" s="1396" t="str">
        <f t="shared" si="1"/>
        <v>2:37</v>
      </c>
      <c r="AW25" s="1483"/>
    </row>
    <row r="26" ht="15.75" customHeight="1">
      <c r="A26" s="1385" t="s">
        <v>8829</v>
      </c>
      <c r="B26" s="1448" t="s">
        <v>8303</v>
      </c>
      <c r="C26" s="1387">
        <v>0.05042824074074074</v>
      </c>
      <c r="D26" s="1312" t="s">
        <v>8558</v>
      </c>
      <c r="E26" s="1435" t="s">
        <v>6059</v>
      </c>
      <c r="F26" s="1435" t="s">
        <v>8830</v>
      </c>
      <c r="G26" s="1453" t="s">
        <v>8831</v>
      </c>
      <c r="H26" s="1436" t="s">
        <v>8832</v>
      </c>
      <c r="I26" s="1482" t="s">
        <v>3089</v>
      </c>
      <c r="J26" s="1437" t="s">
        <v>4699</v>
      </c>
      <c r="K26" s="1437" t="s">
        <v>8729</v>
      </c>
      <c r="L26" s="1437" t="s">
        <v>2424</v>
      </c>
      <c r="M26" s="1437" t="s">
        <v>2041</v>
      </c>
      <c r="N26" s="1437" t="s">
        <v>4029</v>
      </c>
      <c r="O26" s="1437" t="s">
        <v>8833</v>
      </c>
      <c r="P26" s="1454" t="s">
        <v>756</v>
      </c>
      <c r="Q26" s="1438" t="s">
        <v>8834</v>
      </c>
      <c r="R26" s="1438" t="s">
        <v>3169</v>
      </c>
      <c r="S26" s="1438" t="s">
        <v>7377</v>
      </c>
      <c r="T26" s="1455" t="s">
        <v>8478</v>
      </c>
      <c r="U26" s="1438" t="s">
        <v>8430</v>
      </c>
      <c r="V26" s="1455" t="s">
        <v>8835</v>
      </c>
      <c r="W26" s="1456" t="s">
        <v>7168</v>
      </c>
      <c r="X26" s="1484" t="s">
        <v>2557</v>
      </c>
      <c r="Y26" s="1456" t="s">
        <v>8836</v>
      </c>
      <c r="Z26" s="1439" t="s">
        <v>8837</v>
      </c>
      <c r="AA26" s="1456" t="s">
        <v>8838</v>
      </c>
      <c r="AB26" s="1312" t="s">
        <v>7238</v>
      </c>
      <c r="AC26" s="1456" t="s">
        <v>2570</v>
      </c>
      <c r="AD26" s="1485" t="s">
        <v>8320</v>
      </c>
      <c r="AE26" s="1435" t="s">
        <v>4286</v>
      </c>
      <c r="AF26" s="1440" t="s">
        <v>8839</v>
      </c>
      <c r="AG26" s="1457" t="s">
        <v>3667</v>
      </c>
      <c r="AH26" s="1457" t="s">
        <v>8840</v>
      </c>
      <c r="AI26" s="1396" t="s">
        <v>8777</v>
      </c>
      <c r="AJ26" s="1457" t="s">
        <v>8841</v>
      </c>
      <c r="AK26" s="1486" t="s">
        <v>8325</v>
      </c>
      <c r="AL26" s="1457" t="s">
        <v>3271</v>
      </c>
      <c r="AM26" s="1442" t="s">
        <v>8842</v>
      </c>
      <c r="AN26" s="1442" t="s">
        <v>4921</v>
      </c>
      <c r="AO26" s="1442" t="s">
        <v>2075</v>
      </c>
      <c r="AP26" s="1442" t="s">
        <v>8843</v>
      </c>
      <c r="AQ26" s="1441" t="s">
        <v>8844</v>
      </c>
      <c r="AR26" s="1441" t="s">
        <v>3317</v>
      </c>
      <c r="AS26" s="1441" t="s">
        <v>5115</v>
      </c>
      <c r="AT26" s="1437" t="s">
        <v>8845</v>
      </c>
      <c r="AU26" s="1425" t="s">
        <v>8846</v>
      </c>
      <c r="AV26" s="1396" t="str">
        <f t="shared" si="1"/>
        <v>2:55</v>
      </c>
      <c r="AW26" s="1487"/>
    </row>
    <row r="27" ht="15.75" customHeight="1">
      <c r="A27" s="1385" t="s">
        <v>4103</v>
      </c>
      <c r="B27" s="1386" t="s">
        <v>8275</v>
      </c>
      <c r="C27" s="1488">
        <v>0.05043981481481481</v>
      </c>
      <c r="D27" s="1312" t="s">
        <v>8847</v>
      </c>
      <c r="E27" s="1396" t="s">
        <v>7137</v>
      </c>
      <c r="F27" s="1396" t="s">
        <v>7306</v>
      </c>
      <c r="G27" s="1396" t="s">
        <v>8848</v>
      </c>
      <c r="H27" s="1396" t="s">
        <v>8469</v>
      </c>
      <c r="I27" s="1396" t="s">
        <v>4606</v>
      </c>
      <c r="J27" s="1396" t="s">
        <v>4403</v>
      </c>
      <c r="K27" s="1396" t="s">
        <v>8667</v>
      </c>
      <c r="L27" s="1396" t="s">
        <v>8849</v>
      </c>
      <c r="M27" s="1396" t="s">
        <v>8850</v>
      </c>
      <c r="N27" s="1396" t="s">
        <v>8851</v>
      </c>
      <c r="O27" s="1396" t="s">
        <v>8852</v>
      </c>
      <c r="P27" s="1396" t="s">
        <v>5214</v>
      </c>
      <c r="Q27" s="1396" t="s">
        <v>8853</v>
      </c>
      <c r="R27" s="1396" t="s">
        <v>8854</v>
      </c>
      <c r="S27" s="1396" t="s">
        <v>8686</v>
      </c>
      <c r="T27" s="1396" t="s">
        <v>8855</v>
      </c>
      <c r="U27" s="1396" t="s">
        <v>8856</v>
      </c>
      <c r="V27" s="1396" t="s">
        <v>2232</v>
      </c>
      <c r="W27" s="1396" t="s">
        <v>8857</v>
      </c>
      <c r="X27" s="1396" t="s">
        <v>8858</v>
      </c>
      <c r="Y27" s="1396" t="s">
        <v>8713</v>
      </c>
      <c r="Z27" s="1396" t="s">
        <v>1061</v>
      </c>
      <c r="AA27" s="1396" t="s">
        <v>3153</v>
      </c>
      <c r="AB27" s="1396" t="s">
        <v>4699</v>
      </c>
      <c r="AC27" s="1396" t="s">
        <v>7404</v>
      </c>
      <c r="AD27" s="1396" t="s">
        <v>5983</v>
      </c>
      <c r="AE27" s="1396" t="s">
        <v>5465</v>
      </c>
      <c r="AF27" s="1396" t="s">
        <v>8859</v>
      </c>
      <c r="AG27" s="1396" t="s">
        <v>8860</v>
      </c>
      <c r="AH27" s="1396" t="s">
        <v>3837</v>
      </c>
      <c r="AI27" s="1396" t="s">
        <v>5027</v>
      </c>
      <c r="AJ27" s="1396" t="s">
        <v>8861</v>
      </c>
      <c r="AK27" s="1396" t="s">
        <v>8862</v>
      </c>
      <c r="AL27" s="1396" t="s">
        <v>5761</v>
      </c>
      <c r="AM27" s="1396" t="s">
        <v>1227</v>
      </c>
      <c r="AN27" s="1396" t="s">
        <v>4032</v>
      </c>
      <c r="AO27" s="1396" t="s">
        <v>5238</v>
      </c>
      <c r="AP27" s="1411" t="str">
        <f>HYPERLINK("https://www.twitch.tv/videos/511415405","2:00.79")</f>
        <v>2:00.79</v>
      </c>
      <c r="AQ27" s="1396" t="s">
        <v>8863</v>
      </c>
      <c r="AR27" s="1396" t="s">
        <v>7132</v>
      </c>
      <c r="AS27" s="1396" t="s">
        <v>8864</v>
      </c>
      <c r="AT27" s="1396" t="s">
        <v>8865</v>
      </c>
      <c r="AU27" s="1396" t="s">
        <v>8866</v>
      </c>
      <c r="AV27" s="1396" t="str">
        <f t="shared" si="1"/>
        <v>2:36</v>
      </c>
      <c r="AW27" s="1414" t="s">
        <v>6362</v>
      </c>
    </row>
    <row r="28">
      <c r="A28" s="1427" t="s">
        <v>1193</v>
      </c>
      <c r="B28" s="1445" t="s">
        <v>8275</v>
      </c>
      <c r="C28" s="1387">
        <v>0.050486111111111114</v>
      </c>
      <c r="D28" s="1435" t="s">
        <v>8867</v>
      </c>
      <c r="E28" s="1435" t="s">
        <v>8868</v>
      </c>
      <c r="F28" s="1435" t="s">
        <v>8869</v>
      </c>
      <c r="G28" s="1435" t="s">
        <v>8870</v>
      </c>
      <c r="H28" s="1312" t="s">
        <v>8871</v>
      </c>
      <c r="I28" s="1482" t="s">
        <v>851</v>
      </c>
      <c r="J28" s="1437" t="s">
        <v>5561</v>
      </c>
      <c r="K28" s="1437" t="s">
        <v>7625</v>
      </c>
      <c r="L28" s="1437" t="s">
        <v>6170</v>
      </c>
      <c r="M28" s="1437" t="s">
        <v>4882</v>
      </c>
      <c r="N28" s="1437" t="s">
        <v>8872</v>
      </c>
      <c r="O28" s="1437" t="s">
        <v>8873</v>
      </c>
      <c r="P28" s="1437" t="s">
        <v>8602</v>
      </c>
      <c r="Q28" s="1438" t="s">
        <v>876</v>
      </c>
      <c r="R28" s="1438" t="s">
        <v>4643</v>
      </c>
      <c r="S28" s="1438" t="s">
        <v>8739</v>
      </c>
      <c r="T28" s="1438" t="s">
        <v>8874</v>
      </c>
      <c r="U28" s="1438" t="s">
        <v>8875</v>
      </c>
      <c r="V28" s="1438" t="s">
        <v>8876</v>
      </c>
      <c r="W28" s="1439" t="s">
        <v>8877</v>
      </c>
      <c r="X28" s="1439" t="s">
        <v>8878</v>
      </c>
      <c r="Y28" s="1439" t="s">
        <v>8879</v>
      </c>
      <c r="Z28" s="1439" t="s">
        <v>8880</v>
      </c>
      <c r="AA28" s="1394" t="s">
        <v>8881</v>
      </c>
      <c r="AB28" s="1439" t="s">
        <v>3134</v>
      </c>
      <c r="AC28" s="1439" t="s">
        <v>1044</v>
      </c>
      <c r="AD28" s="1435" t="s">
        <v>8882</v>
      </c>
      <c r="AE28" s="1435" t="s">
        <v>2166</v>
      </c>
      <c r="AF28" s="1440" t="s">
        <v>8883</v>
      </c>
      <c r="AG28" s="1440" t="s">
        <v>521</v>
      </c>
      <c r="AH28" s="1440" t="s">
        <v>8884</v>
      </c>
      <c r="AI28" s="1440" t="s">
        <v>2627</v>
      </c>
      <c r="AJ28" s="1440" t="s">
        <v>8885</v>
      </c>
      <c r="AK28" s="1440" t="s">
        <v>7212</v>
      </c>
      <c r="AL28" s="1440" t="s">
        <v>2703</v>
      </c>
      <c r="AM28" s="1442" t="s">
        <v>8886</v>
      </c>
      <c r="AN28" s="1442" t="s">
        <v>4232</v>
      </c>
      <c r="AO28" s="1442" t="s">
        <v>8887</v>
      </c>
      <c r="AP28" s="1442" t="s">
        <v>8888</v>
      </c>
      <c r="AQ28" s="1442" t="s">
        <v>8889</v>
      </c>
      <c r="AR28" s="1442" t="s">
        <v>1089</v>
      </c>
      <c r="AS28" s="1442" t="s">
        <v>1541</v>
      </c>
      <c r="AT28" s="1437" t="s">
        <v>8890</v>
      </c>
      <c r="AU28" s="1425" t="s">
        <v>8891</v>
      </c>
      <c r="AV28" s="1396" t="str">
        <f t="shared" si="1"/>
        <v>3:47</v>
      </c>
      <c r="AW28" s="1447"/>
    </row>
    <row r="29" ht="15.75" customHeight="1">
      <c r="A29" s="1427" t="s">
        <v>1545</v>
      </c>
      <c r="B29" s="1386" t="s">
        <v>8275</v>
      </c>
      <c r="C29" s="1387">
        <v>0.05049768518518519</v>
      </c>
      <c r="D29" s="1312" t="s">
        <v>8892</v>
      </c>
      <c r="E29" s="1453" t="s">
        <v>8893</v>
      </c>
      <c r="F29" s="1480" t="str">
        <f>HYPERLINK("https://www.youtube.com/watch?v=rtR6KkKhM6I","1:59.91")</f>
        <v>1:59.91</v>
      </c>
      <c r="G29" s="1453" t="s">
        <v>8894</v>
      </c>
      <c r="H29" s="1489" t="str">
        <f>HYPERLINK("https://www.youtube.com/watch?v=cg-eipYsN1s","1:54.47")</f>
        <v>1:54.47</v>
      </c>
      <c r="I29" s="1436" t="s">
        <v>8836</v>
      </c>
      <c r="J29" s="1454" t="s">
        <v>8634</v>
      </c>
      <c r="K29" s="1437" t="s">
        <v>6320</v>
      </c>
      <c r="L29" s="1476" t="str">
        <f>HYPERLINK("https://www.youtube.com/watch?v=tJdjPKdAbw4","57.01")</f>
        <v>57.01</v>
      </c>
      <c r="M29" s="1454" t="s">
        <v>7078</v>
      </c>
      <c r="N29" s="1437" t="s">
        <v>2250</v>
      </c>
      <c r="O29" s="1454" t="s">
        <v>8895</v>
      </c>
      <c r="P29" s="1454" t="s">
        <v>131</v>
      </c>
      <c r="Q29" s="1455" t="s">
        <v>236</v>
      </c>
      <c r="R29" s="1455" t="s">
        <v>8896</v>
      </c>
      <c r="S29" s="1478" t="str">
        <f>HYPERLINK("https://www.youtube.com/watch?v=_3ms_ZhYFzo","1:18.01")</f>
        <v>1:18.01</v>
      </c>
      <c r="T29" s="1455" t="s">
        <v>8897</v>
      </c>
      <c r="U29" s="1478" t="str">
        <f>HYPERLINK("https://www.youtube.com/watch?v=ZOy_TI3Zw14","2:02.38")</f>
        <v>2:02.38</v>
      </c>
      <c r="V29" s="1455" t="s">
        <v>8876</v>
      </c>
      <c r="W29" s="1456" t="s">
        <v>4284</v>
      </c>
      <c r="X29" s="1456" t="s">
        <v>7212</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7404</v>
      </c>
      <c r="AD29" s="1480" t="str">
        <f>HYPERLINK("https://www.youtube.com/watch?v=ikF77QyREZg","1:50.30")</f>
        <v>1:50.30</v>
      </c>
      <c r="AE29" s="1453" t="s">
        <v>8602</v>
      </c>
      <c r="AF29" s="1457" t="s">
        <v>8898</v>
      </c>
      <c r="AG29" s="1491" t="str">
        <f>HYPERLINK("https://www.youtube.com/watch?v=KXwTRrVVluY","1:30.62")</f>
        <v>1:30.62</v>
      </c>
      <c r="AH29" s="1457" t="s">
        <v>2879</v>
      </c>
      <c r="AI29" s="1457" t="s">
        <v>8754</v>
      </c>
      <c r="AJ29" s="1457" t="s">
        <v>8899</v>
      </c>
      <c r="AK29" s="1440" t="s">
        <v>8900</v>
      </c>
      <c r="AL29" s="1457" t="s">
        <v>8901</v>
      </c>
      <c r="AM29" s="1492" t="str">
        <f>HYPERLINK("https://www.youtube.com/watch?v=BAoEwuQ0LoI","1:25.68")</f>
        <v>1:25.68</v>
      </c>
      <c r="AN29" s="1492" t="str">
        <f>HYPERLINK("https://www.youtube.com/watch?v=F-LtZeEZXek","56.36")</f>
        <v>56.36</v>
      </c>
      <c r="AO29" s="1441" t="s">
        <v>8902</v>
      </c>
      <c r="AP29" s="1441" t="s">
        <v>8903</v>
      </c>
      <c r="AQ29" s="1441" t="s">
        <v>8904</v>
      </c>
      <c r="AR29" s="1492" t="str">
        <f>HYPERLINK("https://www.youtube.com/watch?v=WSIIkWWbKgE","1:21.74")</f>
        <v>1:21.74</v>
      </c>
      <c r="AS29" s="1441" t="s">
        <v>5434</v>
      </c>
      <c r="AT29" s="1476" t="str">
        <f>HYPERLINK("https://www.youtube.com/watch?v=H67SXBLcISI","2:29.09")</f>
        <v>2:29.09</v>
      </c>
      <c r="AU29" s="1458" t="s">
        <v>8905</v>
      </c>
      <c r="AV29" s="1396" t="str">
        <f t="shared" si="1"/>
        <v>2:03</v>
      </c>
      <c r="AW29" s="1493" t="s">
        <v>8906</v>
      </c>
    </row>
    <row r="30">
      <c r="A30" s="1427" t="s">
        <v>2922</v>
      </c>
      <c r="B30" s="1445" t="s">
        <v>8303</v>
      </c>
      <c r="C30" s="1387">
        <v>0.050520833333333334</v>
      </c>
      <c r="D30" s="1435" t="s">
        <v>8907</v>
      </c>
      <c r="E30" s="1460" t="s">
        <v>4518</v>
      </c>
      <c r="F30" s="1460" t="s">
        <v>8908</v>
      </c>
      <c r="G30" s="1435" t="s">
        <v>8909</v>
      </c>
      <c r="H30" s="1460" t="s">
        <v>8910</v>
      </c>
      <c r="I30" s="1460" t="s">
        <v>2945</v>
      </c>
      <c r="J30" s="1437" t="s">
        <v>8911</v>
      </c>
      <c r="K30" s="1494" t="s">
        <v>8912</v>
      </c>
      <c r="L30" s="1495" t="s">
        <v>8311</v>
      </c>
      <c r="M30" s="1496" t="s">
        <v>5609</v>
      </c>
      <c r="N30" s="1437" t="s">
        <v>969</v>
      </c>
      <c r="O30" s="1437" t="s">
        <v>3570</v>
      </c>
      <c r="P30" s="1437" t="s">
        <v>407</v>
      </c>
      <c r="Q30" s="1410" t="str">
        <f>HYPERLINK("https://www.twitch.tv/planktonsecretformula/v/1588460220?sr=a", "2:12.43")</f>
        <v>2:12.43</v>
      </c>
      <c r="R30" s="1438" t="s">
        <v>8854</v>
      </c>
      <c r="S30" s="1438" t="s">
        <v>8913</v>
      </c>
      <c r="T30" s="1497" t="s">
        <v>8315</v>
      </c>
      <c r="U30" s="1460" t="s">
        <v>8914</v>
      </c>
      <c r="V30" s="1460" t="s">
        <v>8915</v>
      </c>
      <c r="W30" s="1449" t="s">
        <v>8916</v>
      </c>
      <c r="X30" s="1439" t="s">
        <v>941</v>
      </c>
      <c r="Y30" s="1439" t="s">
        <v>8645</v>
      </c>
      <c r="Z30" s="1439" t="s">
        <v>8427</v>
      </c>
      <c r="AA30" s="1394" t="s">
        <v>8917</v>
      </c>
      <c r="AB30" s="1439" t="s">
        <v>3979</v>
      </c>
      <c r="AC30" s="1439" t="s">
        <v>867</v>
      </c>
      <c r="AD30" s="1435" t="s">
        <v>3906</v>
      </c>
      <c r="AE30" s="1435" t="s">
        <v>5670</v>
      </c>
      <c r="AF30" s="1440" t="s">
        <v>8918</v>
      </c>
      <c r="AG30" s="1460" t="s">
        <v>4505</v>
      </c>
      <c r="AH30" s="1440" t="s">
        <v>8919</v>
      </c>
      <c r="AI30" s="1440" t="s">
        <v>6568</v>
      </c>
      <c r="AJ30" s="1440" t="s">
        <v>8920</v>
      </c>
      <c r="AK30" s="1440" t="s">
        <v>8921</v>
      </c>
      <c r="AL30" s="1440" t="s">
        <v>8922</v>
      </c>
      <c r="AM30" s="1442" t="s">
        <v>8478</v>
      </c>
      <c r="AN30" s="1442" t="s">
        <v>8605</v>
      </c>
      <c r="AO30" s="1442" t="s">
        <v>2841</v>
      </c>
      <c r="AP30" s="1473" t="s">
        <v>8327</v>
      </c>
      <c r="AQ30" s="1410" t="str">
        <f>HYPERLINK("https://www.twitch.tv/planktonsecretformula/v/1678454360?sr=a&amp;t=0s", "1:37.46")</f>
        <v>1:37.46</v>
      </c>
      <c r="AR30" s="1442" t="s">
        <v>8923</v>
      </c>
      <c r="AS30" s="1442" t="s">
        <v>713</v>
      </c>
      <c r="AT30" s="1437" t="s">
        <v>8924</v>
      </c>
      <c r="AU30" s="1425" t="s">
        <v>8925</v>
      </c>
      <c r="AV30" s="1396" t="str">
        <f t="shared" si="1"/>
        <v>4:40</v>
      </c>
      <c r="AW30" s="1447" t="s">
        <v>8926</v>
      </c>
    </row>
    <row r="31" ht="15.75" customHeight="1">
      <c r="A31" s="1470" t="s">
        <v>8927</v>
      </c>
      <c r="B31" s="1386" t="s">
        <v>8275</v>
      </c>
      <c r="C31" s="1387">
        <v>0.050555555555555555</v>
      </c>
      <c r="D31" s="1312" t="s">
        <v>8928</v>
      </c>
      <c r="E31" s="1435" t="s">
        <v>8929</v>
      </c>
      <c r="F31" s="1435" t="s">
        <v>8930</v>
      </c>
      <c r="G31" s="1435" t="s">
        <v>8931</v>
      </c>
      <c r="H31" s="1482" t="s">
        <v>8932</v>
      </c>
      <c r="I31" s="1482" t="s">
        <v>8933</v>
      </c>
      <c r="J31" s="1437" t="s">
        <v>8934</v>
      </c>
      <c r="K31" s="1437" t="s">
        <v>8935</v>
      </c>
      <c r="L31" s="1437" t="s">
        <v>8936</v>
      </c>
      <c r="M31" s="1437" t="s">
        <v>3548</v>
      </c>
      <c r="N31" s="1437" t="s">
        <v>8937</v>
      </c>
      <c r="O31" s="1437" t="s">
        <v>8833</v>
      </c>
      <c r="P31" s="1437" t="s">
        <v>3778</v>
      </c>
      <c r="Q31" s="1438" t="s">
        <v>8938</v>
      </c>
      <c r="R31" s="1438" t="s">
        <v>2632</v>
      </c>
      <c r="S31" s="1438" t="s">
        <v>8939</v>
      </c>
      <c r="T31" s="1438" t="s">
        <v>8940</v>
      </c>
      <c r="U31" s="1438" t="s">
        <v>8941</v>
      </c>
      <c r="V31" s="1438" t="s">
        <v>8751</v>
      </c>
      <c r="W31" s="1439" t="s">
        <v>8942</v>
      </c>
      <c r="X31" s="1439" t="s">
        <v>8943</v>
      </c>
      <c r="Y31" s="1439" t="s">
        <v>8944</v>
      </c>
      <c r="Z31" s="1439" t="s">
        <v>1377</v>
      </c>
      <c r="AA31" s="1439" t="s">
        <v>8945</v>
      </c>
      <c r="AB31" s="1439" t="s">
        <v>6313</v>
      </c>
      <c r="AC31" s="1456" t="s">
        <v>6410</v>
      </c>
      <c r="AD31" s="1435" t="s">
        <v>8946</v>
      </c>
      <c r="AE31" s="1435" t="s">
        <v>8602</v>
      </c>
      <c r="AF31" s="1440" t="s">
        <v>8947</v>
      </c>
      <c r="AG31" s="1440" t="s">
        <v>8948</v>
      </c>
      <c r="AH31" s="1440" t="s">
        <v>5503</v>
      </c>
      <c r="AI31" s="1440" t="s">
        <v>8949</v>
      </c>
      <c r="AJ31" s="1440" t="s">
        <v>8950</v>
      </c>
      <c r="AK31" s="1440" t="s">
        <v>4393</v>
      </c>
      <c r="AL31" s="1440" t="s">
        <v>5553</v>
      </c>
      <c r="AM31" s="1442" t="s">
        <v>2062</v>
      </c>
      <c r="AN31" s="1442" t="s">
        <v>4539</v>
      </c>
      <c r="AO31" s="1442" t="s">
        <v>8951</v>
      </c>
      <c r="AP31" s="1442" t="s">
        <v>8952</v>
      </c>
      <c r="AQ31" s="1442" t="s">
        <v>8953</v>
      </c>
      <c r="AR31" s="1442" t="s">
        <v>8954</v>
      </c>
      <c r="AS31" s="1442" t="s">
        <v>966</v>
      </c>
      <c r="AT31" s="1437" t="s">
        <v>8955</v>
      </c>
      <c r="AU31" s="1425" t="s">
        <v>8956</v>
      </c>
      <c r="AV31" s="1396" t="str">
        <f t="shared" si="1"/>
        <v>2:07</v>
      </c>
      <c r="AW31" s="1487"/>
    </row>
    <row r="32">
      <c r="A32" s="1401" t="s">
        <v>638</v>
      </c>
      <c r="B32" s="1445" t="s">
        <v>8275</v>
      </c>
      <c r="C32" s="1387">
        <v>0.050555555555555555</v>
      </c>
      <c r="D32" s="1312" t="s">
        <v>8957</v>
      </c>
      <c r="E32" s="1312" t="s">
        <v>8958</v>
      </c>
      <c r="F32" s="1312" t="s">
        <v>8959</v>
      </c>
      <c r="G32" s="1312" t="s">
        <v>8960</v>
      </c>
      <c r="H32" s="1312" t="s">
        <v>8961</v>
      </c>
      <c r="I32" s="1312" t="s">
        <v>8962</v>
      </c>
      <c r="J32" s="1312" t="s">
        <v>1296</v>
      </c>
      <c r="K32" s="1312" t="s">
        <v>8963</v>
      </c>
      <c r="L32" s="1312" t="s">
        <v>4086</v>
      </c>
      <c r="M32" s="1312" t="s">
        <v>4010</v>
      </c>
      <c r="N32" s="1312" t="s">
        <v>8964</v>
      </c>
      <c r="O32" s="1312" t="s">
        <v>8965</v>
      </c>
      <c r="P32" s="1312" t="s">
        <v>8966</v>
      </c>
      <c r="Q32" s="1312" t="s">
        <v>8967</v>
      </c>
      <c r="R32" s="1312" t="s">
        <v>8968</v>
      </c>
      <c r="S32" s="1312" t="s">
        <v>6717</v>
      </c>
      <c r="T32" s="1312" t="s">
        <v>8323</v>
      </c>
      <c r="U32" s="1312" t="s">
        <v>8969</v>
      </c>
      <c r="V32" s="1312" t="s">
        <v>8970</v>
      </c>
      <c r="W32" s="1312" t="s">
        <v>4616</v>
      </c>
      <c r="X32" s="1312" t="s">
        <v>8971</v>
      </c>
      <c r="Y32" s="1312" t="s">
        <v>4958</v>
      </c>
      <c r="Z32" s="1312" t="s">
        <v>8972</v>
      </c>
      <c r="AA32" s="1312" t="s">
        <v>8973</v>
      </c>
      <c r="AB32" s="1312" t="s">
        <v>8974</v>
      </c>
      <c r="AC32" s="1312" t="s">
        <v>7404</v>
      </c>
      <c r="AD32" s="1312" t="s">
        <v>8975</v>
      </c>
      <c r="AE32" s="1312" t="s">
        <v>8456</v>
      </c>
      <c r="AF32" s="1312" t="s">
        <v>8976</v>
      </c>
      <c r="AG32" s="1312" t="s">
        <v>4954</v>
      </c>
      <c r="AH32" s="1312" t="s">
        <v>4363</v>
      </c>
      <c r="AI32" s="1312" t="s">
        <v>8977</v>
      </c>
      <c r="AJ32" s="1312" t="s">
        <v>8978</v>
      </c>
      <c r="AK32" s="1312" t="s">
        <v>1672</v>
      </c>
      <c r="AL32" s="1312" t="s">
        <v>1744</v>
      </c>
      <c r="AM32" s="1312" t="s">
        <v>3634</v>
      </c>
      <c r="AN32" s="1312" t="s">
        <v>3817</v>
      </c>
      <c r="AO32" s="1312" t="s">
        <v>6063</v>
      </c>
      <c r="AP32" s="1312" t="s">
        <v>8979</v>
      </c>
      <c r="AQ32" s="1312" t="s">
        <v>8980</v>
      </c>
      <c r="AR32" s="1312" t="s">
        <v>8532</v>
      </c>
      <c r="AS32" s="1312" t="s">
        <v>922</v>
      </c>
      <c r="AT32" s="1312" t="s">
        <v>3123</v>
      </c>
      <c r="AU32" s="1425" t="s">
        <v>8866</v>
      </c>
      <c r="AV32" s="1396" t="str">
        <f t="shared" si="1"/>
        <v>2:26</v>
      </c>
      <c r="AW32" s="1447" t="s">
        <v>8981</v>
      </c>
    </row>
    <row r="33" ht="15.75" customHeight="1">
      <c r="A33" s="1385" t="s">
        <v>734</v>
      </c>
      <c r="B33" s="1448" t="s">
        <v>8303</v>
      </c>
      <c r="C33" s="1387">
        <v>0.05056712962962963</v>
      </c>
      <c r="D33" s="1473" t="s">
        <v>8304</v>
      </c>
      <c r="E33" s="1453" t="s">
        <v>8744</v>
      </c>
      <c r="F33" s="1472" t="s">
        <v>8306</v>
      </c>
      <c r="G33" s="1394" t="s">
        <v>8982</v>
      </c>
      <c r="H33" s="1394" t="s">
        <v>8983</v>
      </c>
      <c r="I33" s="1472" t="s">
        <v>8309</v>
      </c>
      <c r="J33" s="1394" t="s">
        <v>1172</v>
      </c>
      <c r="K33" s="1394" t="s">
        <v>4834</v>
      </c>
      <c r="L33" s="1394" t="s">
        <v>8817</v>
      </c>
      <c r="M33" s="1394" t="s">
        <v>2187</v>
      </c>
      <c r="N33" s="1394" t="s">
        <v>8719</v>
      </c>
      <c r="O33" s="1394" t="s">
        <v>8984</v>
      </c>
      <c r="P33" s="1394" t="s">
        <v>1181</v>
      </c>
      <c r="Q33" s="1394" t="s">
        <v>8985</v>
      </c>
      <c r="R33" s="1394" t="s">
        <v>2942</v>
      </c>
      <c r="S33" s="1394" t="s">
        <v>8986</v>
      </c>
      <c r="T33" s="1394" t="s">
        <v>2391</v>
      </c>
      <c r="U33" s="1394" t="s">
        <v>4156</v>
      </c>
      <c r="V33" s="1394" t="s">
        <v>2697</v>
      </c>
      <c r="W33" s="1394" t="s">
        <v>8987</v>
      </c>
      <c r="X33" s="1394" t="s">
        <v>8988</v>
      </c>
      <c r="Y33" s="1394" t="s">
        <v>946</v>
      </c>
      <c r="Z33" s="1394" t="s">
        <v>8989</v>
      </c>
      <c r="AA33" s="1394" t="s">
        <v>7212</v>
      </c>
      <c r="AB33" s="1394" t="s">
        <v>8990</v>
      </c>
      <c r="AC33" s="1396" t="s">
        <v>529</v>
      </c>
      <c r="AD33" s="1394" t="s">
        <v>8991</v>
      </c>
      <c r="AE33" s="1394" t="s">
        <v>4710</v>
      </c>
      <c r="AF33" s="1394" t="s">
        <v>8992</v>
      </c>
      <c r="AG33" s="1472" t="s">
        <v>8323</v>
      </c>
      <c r="AH33" s="1472" t="s">
        <v>2782</v>
      </c>
      <c r="AI33" s="1394" t="s">
        <v>8993</v>
      </c>
      <c r="AJ33" s="1394" t="s">
        <v>8994</v>
      </c>
      <c r="AK33" s="1394" t="s">
        <v>5317</v>
      </c>
      <c r="AL33" s="1394" t="s">
        <v>4032</v>
      </c>
      <c r="AM33" s="1394" t="s">
        <v>8600</v>
      </c>
      <c r="AN33" s="1394" t="s">
        <v>341</v>
      </c>
      <c r="AO33" s="1472" t="s">
        <v>8326</v>
      </c>
      <c r="AP33" s="1394" t="s">
        <v>8995</v>
      </c>
      <c r="AQ33" s="1394" t="s">
        <v>7149</v>
      </c>
      <c r="AR33" s="1394" t="s">
        <v>2617</v>
      </c>
      <c r="AS33" s="1394" t="s">
        <v>3829</v>
      </c>
      <c r="AT33" s="1394" t="s">
        <v>8996</v>
      </c>
      <c r="AU33" s="1394" t="s">
        <v>8635</v>
      </c>
      <c r="AV33" s="1396" t="str">
        <f t="shared" si="1"/>
        <v>3:34</v>
      </c>
      <c r="AW33" s="1431" t="s">
        <v>8997</v>
      </c>
    </row>
    <row r="34" ht="15.75" customHeight="1">
      <c r="A34" s="1401" t="s">
        <v>638</v>
      </c>
      <c r="B34" s="1448" t="s">
        <v>8303</v>
      </c>
      <c r="C34" s="1488">
        <v>0.05056712962962963</v>
      </c>
      <c r="D34" s="1312" t="s">
        <v>8998</v>
      </c>
      <c r="E34" s="1396" t="s">
        <v>8999</v>
      </c>
      <c r="F34" s="1396" t="s">
        <v>8670</v>
      </c>
      <c r="G34" s="1396" t="s">
        <v>9000</v>
      </c>
      <c r="H34" s="1396" t="s">
        <v>4367</v>
      </c>
      <c r="I34" s="1396" t="s">
        <v>1113</v>
      </c>
      <c r="J34" s="1394" t="s">
        <v>9001</v>
      </c>
      <c r="K34" s="1394" t="s">
        <v>9001</v>
      </c>
      <c r="L34" s="1396" t="s">
        <v>9002</v>
      </c>
      <c r="M34" s="1396" t="s">
        <v>9003</v>
      </c>
      <c r="N34" s="1396" t="s">
        <v>9004</v>
      </c>
      <c r="O34" s="1472" t="s">
        <v>8313</v>
      </c>
      <c r="P34" s="1396" t="s">
        <v>6786</v>
      </c>
      <c r="Q34" s="1396" t="s">
        <v>783</v>
      </c>
      <c r="R34" s="1394" t="s">
        <v>9001</v>
      </c>
      <c r="S34" s="1396" t="s">
        <v>9005</v>
      </c>
      <c r="T34" s="1396" t="s">
        <v>777</v>
      </c>
      <c r="U34" s="1396" t="s">
        <v>9006</v>
      </c>
      <c r="V34" s="1396" t="s">
        <v>9007</v>
      </c>
      <c r="W34" s="1396" t="s">
        <v>9008</v>
      </c>
      <c r="X34" s="1396" t="s">
        <v>8801</v>
      </c>
      <c r="Y34" s="1396" t="s">
        <v>8802</v>
      </c>
      <c r="Z34" s="1396" t="s">
        <v>2616</v>
      </c>
      <c r="AA34" s="1396" t="s">
        <v>9009</v>
      </c>
      <c r="AB34" s="1396" t="s">
        <v>8506</v>
      </c>
      <c r="AC34" s="1396" t="s">
        <v>4395</v>
      </c>
      <c r="AD34" s="1396" t="s">
        <v>2271</v>
      </c>
      <c r="AE34" s="1396" t="s">
        <v>8944</v>
      </c>
      <c r="AF34" s="1396" t="s">
        <v>9010</v>
      </c>
      <c r="AG34" s="1396" t="s">
        <v>3879</v>
      </c>
      <c r="AH34" s="1396" t="s">
        <v>4384</v>
      </c>
      <c r="AI34" s="1396" t="s">
        <v>3523</v>
      </c>
      <c r="AJ34" s="1396" t="s">
        <v>9011</v>
      </c>
      <c r="AK34" s="1396" t="s">
        <v>1092</v>
      </c>
      <c r="AL34" s="1396" t="s">
        <v>8805</v>
      </c>
      <c r="AM34" s="1396" t="s">
        <v>9012</v>
      </c>
      <c r="AN34" s="1394" t="s">
        <v>9013</v>
      </c>
      <c r="AO34" s="1394" t="s">
        <v>9001</v>
      </c>
      <c r="AP34" s="1396" t="s">
        <v>5234</v>
      </c>
      <c r="AQ34" s="1396" t="s">
        <v>249</v>
      </c>
      <c r="AR34" s="1396" t="s">
        <v>4875</v>
      </c>
      <c r="AS34" s="1396" t="s">
        <v>9014</v>
      </c>
      <c r="AT34" s="1396" t="s">
        <v>9015</v>
      </c>
      <c r="AU34" s="1394" t="s">
        <v>9016</v>
      </c>
      <c r="AV34" s="1396" t="str">
        <f t="shared" si="1"/>
        <v>3:07</v>
      </c>
      <c r="AW34" s="1467" t="s">
        <v>9017</v>
      </c>
    </row>
    <row r="35" ht="15.75" customHeight="1">
      <c r="A35" s="1385" t="s">
        <v>4082</v>
      </c>
      <c r="B35" s="1386" t="s">
        <v>8275</v>
      </c>
      <c r="C35" s="1488">
        <v>0.05060185185185185</v>
      </c>
      <c r="D35" s="1312" t="s">
        <v>9018</v>
      </c>
      <c r="E35" s="1453" t="s">
        <v>4273</v>
      </c>
      <c r="F35" s="1453" t="s">
        <v>5843</v>
      </c>
      <c r="G35" s="1453" t="s">
        <v>9019</v>
      </c>
      <c r="H35" s="1436" t="s">
        <v>9020</v>
      </c>
      <c r="I35" s="1436" t="s">
        <v>4861</v>
      </c>
      <c r="J35" s="1454" t="s">
        <v>8470</v>
      </c>
      <c r="K35" s="1454" t="s">
        <v>7625</v>
      </c>
      <c r="L35" s="1454" t="s">
        <v>5466</v>
      </c>
      <c r="M35" s="1454" t="s">
        <v>9021</v>
      </c>
      <c r="N35" s="1454" t="s">
        <v>5151</v>
      </c>
      <c r="O35" s="1454" t="s">
        <v>9022</v>
      </c>
      <c r="P35" s="1454" t="s">
        <v>8652</v>
      </c>
      <c r="Q35" s="1455" t="s">
        <v>9023</v>
      </c>
      <c r="R35" s="1455" t="s">
        <v>5391</v>
      </c>
      <c r="S35" s="1455" t="s">
        <v>6313</v>
      </c>
      <c r="T35" s="1455" t="s">
        <v>9024</v>
      </c>
      <c r="U35" s="1455" t="s">
        <v>9025</v>
      </c>
      <c r="V35" s="1455" t="s">
        <v>9026</v>
      </c>
      <c r="W35" s="1456" t="s">
        <v>9027</v>
      </c>
      <c r="X35" s="1456" t="s">
        <v>7616</v>
      </c>
      <c r="Y35" s="1456" t="s">
        <v>5004</v>
      </c>
      <c r="Z35" s="1456" t="s">
        <v>1966</v>
      </c>
      <c r="AA35" s="1456" t="s">
        <v>9028</v>
      </c>
      <c r="AB35" s="1456" t="s">
        <v>8506</v>
      </c>
      <c r="AC35" s="1456" t="s">
        <v>5467</v>
      </c>
      <c r="AD35" s="1453" t="s">
        <v>6200</v>
      </c>
      <c r="AE35" s="1453" t="s">
        <v>8645</v>
      </c>
      <c r="AF35" s="1457" t="s">
        <v>9029</v>
      </c>
      <c r="AG35" s="1457" t="s">
        <v>8948</v>
      </c>
      <c r="AH35" s="1457" t="s">
        <v>9030</v>
      </c>
      <c r="AI35" s="1457" t="s">
        <v>5462</v>
      </c>
      <c r="AJ35" s="1457" t="s">
        <v>9031</v>
      </c>
      <c r="AK35" s="1457" t="s">
        <v>9032</v>
      </c>
      <c r="AL35" s="1457" t="s">
        <v>9033</v>
      </c>
      <c r="AM35" s="1441" t="s">
        <v>9034</v>
      </c>
      <c r="AN35" s="1441" t="s">
        <v>9035</v>
      </c>
      <c r="AO35" s="1441" t="s">
        <v>9036</v>
      </c>
      <c r="AP35" s="1441" t="s">
        <v>9037</v>
      </c>
      <c r="AQ35" s="1441" t="s">
        <v>8889</v>
      </c>
      <c r="AR35" s="1441" t="s">
        <v>9038</v>
      </c>
      <c r="AS35" s="1441" t="s">
        <v>6792</v>
      </c>
      <c r="AT35" s="1454" t="s">
        <v>9039</v>
      </c>
      <c r="AU35" s="1458" t="s">
        <v>9040</v>
      </c>
      <c r="AV35" s="1396" t="str">
        <f t="shared" si="1"/>
        <v>1:56</v>
      </c>
      <c r="AW35" s="1487"/>
    </row>
    <row r="36">
      <c r="A36" s="1427" t="s">
        <v>1719</v>
      </c>
      <c r="B36" s="1445" t="s">
        <v>8275</v>
      </c>
      <c r="C36" s="1387">
        <v>0.05060185185185185</v>
      </c>
      <c r="D36" s="1429" t="s">
        <v>9041</v>
      </c>
      <c r="E36" s="1429" t="s">
        <v>9042</v>
      </c>
      <c r="F36" s="1429" t="s">
        <v>9043</v>
      </c>
      <c r="G36" s="1429" t="s">
        <v>9044</v>
      </c>
      <c r="H36" s="1429" t="s">
        <v>4990</v>
      </c>
      <c r="I36" s="1429" t="s">
        <v>9045</v>
      </c>
      <c r="J36" s="1429" t="s">
        <v>6318</v>
      </c>
      <c r="K36" s="1429" t="s">
        <v>9046</v>
      </c>
      <c r="L36" s="1429" t="s">
        <v>2769</v>
      </c>
      <c r="M36" s="1429" t="s">
        <v>9047</v>
      </c>
      <c r="N36" s="1429" t="s">
        <v>9048</v>
      </c>
      <c r="O36" s="1429" t="s">
        <v>9049</v>
      </c>
      <c r="P36" s="1429" t="s">
        <v>131</v>
      </c>
      <c r="Q36" s="1429" t="s">
        <v>9050</v>
      </c>
      <c r="R36" s="1429" t="s">
        <v>4643</v>
      </c>
      <c r="S36" s="1429" t="s">
        <v>2292</v>
      </c>
      <c r="T36" s="1429" t="s">
        <v>7354</v>
      </c>
      <c r="U36" s="1429" t="s">
        <v>9051</v>
      </c>
      <c r="V36" s="1429" t="s">
        <v>4088</v>
      </c>
      <c r="W36" s="1429" t="s">
        <v>3640</v>
      </c>
      <c r="X36" s="1429" t="s">
        <v>9052</v>
      </c>
      <c r="Y36" s="1498" t="s">
        <v>8375</v>
      </c>
      <c r="Z36" s="1429" t="s">
        <v>8989</v>
      </c>
      <c r="AA36" s="1498" t="s">
        <v>9053</v>
      </c>
      <c r="AB36" s="1498" t="s">
        <v>3739</v>
      </c>
      <c r="AC36" s="1429" t="s">
        <v>9054</v>
      </c>
      <c r="AD36" s="1429" t="s">
        <v>9055</v>
      </c>
      <c r="AE36" s="1498" t="s">
        <v>2166</v>
      </c>
      <c r="AF36" s="1498" t="s">
        <v>9056</v>
      </c>
      <c r="AG36" s="1429" t="s">
        <v>9057</v>
      </c>
      <c r="AH36" s="1429" t="s">
        <v>4621</v>
      </c>
      <c r="AI36" s="1429" t="s">
        <v>6710</v>
      </c>
      <c r="AJ36" s="1429" t="s">
        <v>9058</v>
      </c>
      <c r="AK36" s="1429" t="s">
        <v>8500</v>
      </c>
      <c r="AL36" s="1429" t="s">
        <v>8901</v>
      </c>
      <c r="AM36" s="1429" t="s">
        <v>9059</v>
      </c>
      <c r="AN36" s="1429" t="s">
        <v>550</v>
      </c>
      <c r="AO36" s="1429" t="s">
        <v>9060</v>
      </c>
      <c r="AP36" s="1429" t="s">
        <v>9061</v>
      </c>
      <c r="AQ36" s="1429" t="s">
        <v>9062</v>
      </c>
      <c r="AR36" s="1429" t="s">
        <v>8758</v>
      </c>
      <c r="AS36" s="1429" t="s">
        <v>9063</v>
      </c>
      <c r="AT36" s="1498" t="s">
        <v>9064</v>
      </c>
      <c r="AU36" s="1429" t="s">
        <v>9065</v>
      </c>
      <c r="AV36" s="1396" t="str">
        <f t="shared" si="1"/>
        <v>3:01</v>
      </c>
      <c r="AW36" s="1447" t="s">
        <v>9066</v>
      </c>
    </row>
    <row r="37" ht="15.75" customHeight="1">
      <c r="A37" s="1401" t="s">
        <v>822</v>
      </c>
      <c r="B37" s="1386" t="s">
        <v>8275</v>
      </c>
      <c r="C37" s="1387">
        <v>0.05061342592592592</v>
      </c>
      <c r="D37" s="1312" t="s">
        <v>9067</v>
      </c>
      <c r="E37" s="1394" t="s">
        <v>8447</v>
      </c>
      <c r="F37" s="1394" t="s">
        <v>5296</v>
      </c>
      <c r="G37" s="1396" t="s">
        <v>9068</v>
      </c>
      <c r="H37" s="1394" t="s">
        <v>9069</v>
      </c>
      <c r="I37" s="1394" t="s">
        <v>384</v>
      </c>
      <c r="J37" s="1394" t="s">
        <v>6563</v>
      </c>
      <c r="K37" s="1396" t="s">
        <v>8667</v>
      </c>
      <c r="L37" s="1394" t="s">
        <v>9070</v>
      </c>
      <c r="M37" s="1394" t="s">
        <v>9071</v>
      </c>
      <c r="N37" s="1394" t="s">
        <v>4251</v>
      </c>
      <c r="O37" s="1394" t="s">
        <v>9072</v>
      </c>
      <c r="P37" s="1394" t="s">
        <v>1749</v>
      </c>
      <c r="Q37" s="1391" t="s">
        <v>9073</v>
      </c>
      <c r="R37" s="1394" t="s">
        <v>9074</v>
      </c>
      <c r="S37" s="1396" t="s">
        <v>9075</v>
      </c>
      <c r="T37" s="1394" t="s">
        <v>8783</v>
      </c>
      <c r="U37" s="1394" t="s">
        <v>6991</v>
      </c>
      <c r="V37" s="1394" t="s">
        <v>1736</v>
      </c>
      <c r="W37" s="1409" t="str">
        <f>HYPERLINK("https://www.youtube.com/watch?v=nn1ub1z3NYM","1:45.96")</f>
        <v>1:45.96</v>
      </c>
      <c r="X37" s="1394" t="s">
        <v>5551</v>
      </c>
      <c r="Y37" s="1396" t="s">
        <v>5426</v>
      </c>
      <c r="Z37" s="1394" t="s">
        <v>1496</v>
      </c>
      <c r="AA37" s="1394" t="s">
        <v>9076</v>
      </c>
      <c r="AB37" s="1394" t="s">
        <v>9077</v>
      </c>
      <c r="AC37" s="1394" t="s">
        <v>1044</v>
      </c>
      <c r="AD37" s="1394" t="s">
        <v>9078</v>
      </c>
      <c r="AE37" s="1391" t="s">
        <v>4537</v>
      </c>
      <c r="AF37" s="1396" t="s">
        <v>9079</v>
      </c>
      <c r="AG37" s="1394" t="s">
        <v>2074</v>
      </c>
      <c r="AH37" s="1394" t="s">
        <v>2879</v>
      </c>
      <c r="AI37" s="1394" t="s">
        <v>9080</v>
      </c>
      <c r="AJ37" s="1396" t="s">
        <v>7838</v>
      </c>
      <c r="AK37" s="1394" t="s">
        <v>9081</v>
      </c>
      <c r="AL37" s="1396" t="s">
        <v>4113</v>
      </c>
      <c r="AM37" s="1396" t="s">
        <v>9082</v>
      </c>
      <c r="AN37" s="1396" t="s">
        <v>2460</v>
      </c>
      <c r="AO37" s="1394" t="s">
        <v>5098</v>
      </c>
      <c r="AP37" s="1394" t="s">
        <v>9083</v>
      </c>
      <c r="AQ37" s="1394" t="s">
        <v>6194</v>
      </c>
      <c r="AR37" s="1394" t="s">
        <v>1296</v>
      </c>
      <c r="AS37" s="1394" t="s">
        <v>9084</v>
      </c>
      <c r="AT37" s="1394" t="s">
        <v>9085</v>
      </c>
      <c r="AU37" s="1394" t="s">
        <v>9086</v>
      </c>
      <c r="AV37" s="1396" t="str">
        <f t="shared" si="1"/>
        <v>2:25</v>
      </c>
      <c r="AW37" s="1431"/>
    </row>
    <row r="38">
      <c r="A38" s="1401" t="s">
        <v>9087</v>
      </c>
      <c r="B38" s="1428" t="s">
        <v>8275</v>
      </c>
      <c r="C38" s="1387">
        <v>0.050625</v>
      </c>
      <c r="D38" s="1499" t="s">
        <v>9088</v>
      </c>
      <c r="E38" s="1394" t="s">
        <v>4591</v>
      </c>
      <c r="F38" s="1394" t="s">
        <v>9089</v>
      </c>
      <c r="G38" s="1394" t="s">
        <v>8680</v>
      </c>
      <c r="H38" s="1394" t="s">
        <v>1570</v>
      </c>
      <c r="I38" s="1394" t="s">
        <v>1958</v>
      </c>
      <c r="J38" s="1394" t="s">
        <v>9090</v>
      </c>
      <c r="K38" s="1394" t="s">
        <v>3328</v>
      </c>
      <c r="L38" s="1394" t="s">
        <v>9091</v>
      </c>
      <c r="M38" s="1394" t="s">
        <v>9092</v>
      </c>
      <c r="N38" s="1394" t="s">
        <v>9093</v>
      </c>
      <c r="O38" s="1394" t="s">
        <v>9094</v>
      </c>
      <c r="P38" s="1394" t="s">
        <v>8944</v>
      </c>
      <c r="Q38" s="1394" t="s">
        <v>4510</v>
      </c>
      <c r="R38" s="1394" t="s">
        <v>3683</v>
      </c>
      <c r="S38" s="1394" t="s">
        <v>2598</v>
      </c>
      <c r="T38" s="1394" t="s">
        <v>2391</v>
      </c>
      <c r="U38" s="1394" t="s">
        <v>9095</v>
      </c>
      <c r="V38" s="1394" t="s">
        <v>2158</v>
      </c>
      <c r="W38" s="1394" t="s">
        <v>7456</v>
      </c>
      <c r="X38" s="1394" t="s">
        <v>9096</v>
      </c>
      <c r="Y38" s="1394" t="s">
        <v>9097</v>
      </c>
      <c r="Z38" s="1394" t="s">
        <v>9098</v>
      </c>
      <c r="AA38" s="1394" t="s">
        <v>9099</v>
      </c>
      <c r="AB38" s="1394"/>
      <c r="AC38" s="1394" t="s">
        <v>9100</v>
      </c>
      <c r="AD38" s="1394" t="s">
        <v>9101</v>
      </c>
      <c r="AE38" s="1394" t="s">
        <v>3678</v>
      </c>
      <c r="AF38" s="1394" t="s">
        <v>9102</v>
      </c>
      <c r="AG38" s="1394" t="s">
        <v>9103</v>
      </c>
      <c r="AH38" s="1394" t="s">
        <v>9104</v>
      </c>
      <c r="AI38" s="1394" t="s">
        <v>722</v>
      </c>
      <c r="AJ38" s="1394" t="s">
        <v>9105</v>
      </c>
      <c r="AK38" s="1394" t="s">
        <v>9106</v>
      </c>
      <c r="AL38" s="1394" t="s">
        <v>9107</v>
      </c>
      <c r="AM38" s="1394" t="s">
        <v>9108</v>
      </c>
      <c r="AN38" s="1394" t="s">
        <v>8360</v>
      </c>
      <c r="AO38" s="1394" t="s">
        <v>9109</v>
      </c>
      <c r="AP38" s="1394" t="s">
        <v>9110</v>
      </c>
      <c r="AQ38" s="1394" t="s">
        <v>9111</v>
      </c>
      <c r="AR38" s="1394" t="s">
        <v>6318</v>
      </c>
      <c r="AS38" s="1394" t="s">
        <v>9112</v>
      </c>
      <c r="AT38" s="1394" t="s">
        <v>7937</v>
      </c>
      <c r="AU38" s="1394" t="s">
        <v>9113</v>
      </c>
      <c r="AV38" s="1396" t="str">
        <f t="shared" si="1"/>
        <v>2:05</v>
      </c>
      <c r="AW38" s="1467"/>
    </row>
    <row r="39">
      <c r="A39" s="1401" t="s">
        <v>9114</v>
      </c>
      <c r="B39" s="1445" t="s">
        <v>8275</v>
      </c>
      <c r="C39" s="1387">
        <v>0.0506712962962963</v>
      </c>
      <c r="D39" s="1499" t="s">
        <v>9115</v>
      </c>
      <c r="E39" s="1435" t="s">
        <v>4273</v>
      </c>
      <c r="F39" s="1435" t="s">
        <v>8569</v>
      </c>
      <c r="G39" s="1435" t="s">
        <v>9116</v>
      </c>
      <c r="H39" s="1482" t="s">
        <v>9117</v>
      </c>
      <c r="I39" s="1482" t="s">
        <v>9118</v>
      </c>
      <c r="J39" s="1437" t="s">
        <v>9119</v>
      </c>
      <c r="K39" s="1437" t="s">
        <v>6820</v>
      </c>
      <c r="L39" s="1437" t="s">
        <v>9120</v>
      </c>
      <c r="M39" s="1437" t="s">
        <v>6817</v>
      </c>
      <c r="N39" s="1437" t="s">
        <v>9121</v>
      </c>
      <c r="O39" s="1437" t="s">
        <v>2191</v>
      </c>
      <c r="P39" s="1437" t="s">
        <v>6789</v>
      </c>
      <c r="Q39" s="1438" t="s">
        <v>7549</v>
      </c>
      <c r="R39" s="1438" t="s">
        <v>9122</v>
      </c>
      <c r="S39" s="1438" t="s">
        <v>9123</v>
      </c>
      <c r="T39" s="1438" t="s">
        <v>9124</v>
      </c>
      <c r="U39" s="1438" t="s">
        <v>9125</v>
      </c>
      <c r="V39" s="1438" t="s">
        <v>9126</v>
      </c>
      <c r="W39" s="1439" t="s">
        <v>9127</v>
      </c>
      <c r="X39" s="1439" t="s">
        <v>9128</v>
      </c>
      <c r="Y39" s="1439" t="s">
        <v>5949</v>
      </c>
      <c r="Z39" s="1439" t="s">
        <v>9129</v>
      </c>
      <c r="AA39" s="1394" t="s">
        <v>1677</v>
      </c>
      <c r="AB39" s="1439" t="s">
        <v>9130</v>
      </c>
      <c r="AC39" s="1439" t="s">
        <v>7404</v>
      </c>
      <c r="AD39" s="1435" t="s">
        <v>9131</v>
      </c>
      <c r="AE39" s="1435" t="s">
        <v>529</v>
      </c>
      <c r="AF39" s="1440" t="s">
        <v>9132</v>
      </c>
      <c r="AG39" s="1440" t="s">
        <v>3667</v>
      </c>
      <c r="AH39" s="1440" t="s">
        <v>5119</v>
      </c>
      <c r="AI39" s="1440" t="s">
        <v>9133</v>
      </c>
      <c r="AJ39" s="1440" t="s">
        <v>9134</v>
      </c>
      <c r="AK39" s="1440" t="s">
        <v>173</v>
      </c>
      <c r="AL39" s="1440" t="s">
        <v>2569</v>
      </c>
      <c r="AM39" s="1442" t="s">
        <v>8570</v>
      </c>
      <c r="AN39" s="1442" t="s">
        <v>8552</v>
      </c>
      <c r="AO39" s="1442" t="s">
        <v>8740</v>
      </c>
      <c r="AP39" s="1442" t="s">
        <v>9135</v>
      </c>
      <c r="AQ39" s="1442" t="s">
        <v>9136</v>
      </c>
      <c r="AR39" s="1442" t="s">
        <v>9046</v>
      </c>
      <c r="AS39" s="1442" t="s">
        <v>1725</v>
      </c>
      <c r="AT39" s="1437" t="s">
        <v>9137</v>
      </c>
      <c r="AU39" s="1425" t="s">
        <v>8891</v>
      </c>
      <c r="AV39" s="1396" t="str">
        <f t="shared" si="1"/>
        <v>3:31</v>
      </c>
      <c r="AW39" s="1487"/>
    </row>
    <row r="40" ht="15.75" customHeight="1">
      <c r="A40" s="1470" t="s">
        <v>9138</v>
      </c>
      <c r="B40" s="1386" t="s">
        <v>8275</v>
      </c>
      <c r="C40" s="1387">
        <v>0.05070601851851852</v>
      </c>
      <c r="D40" s="1312" t="s">
        <v>9139</v>
      </c>
      <c r="E40" s="1453" t="s">
        <v>8228</v>
      </c>
      <c r="F40" s="1453" t="s">
        <v>9140</v>
      </c>
      <c r="G40" s="1453" t="s">
        <v>9141</v>
      </c>
      <c r="H40" s="1436" t="s">
        <v>9142</v>
      </c>
      <c r="I40" s="1436" t="s">
        <v>384</v>
      </c>
      <c r="J40" s="1454" t="s">
        <v>2071</v>
      </c>
      <c r="K40" s="1454" t="s">
        <v>3240</v>
      </c>
      <c r="L40" s="1454" t="s">
        <v>5305</v>
      </c>
      <c r="M40" s="1454" t="s">
        <v>9143</v>
      </c>
      <c r="N40" s="1454" t="s">
        <v>8940</v>
      </c>
      <c r="O40" s="1454" t="s">
        <v>9144</v>
      </c>
      <c r="P40" s="1454" t="s">
        <v>5407</v>
      </c>
      <c r="Q40" s="1455" t="s">
        <v>9145</v>
      </c>
      <c r="R40" s="1455" t="s">
        <v>726</v>
      </c>
      <c r="S40" s="1455" t="s">
        <v>9109</v>
      </c>
      <c r="T40" s="1455" t="s">
        <v>8943</v>
      </c>
      <c r="U40" s="1455" t="s">
        <v>9146</v>
      </c>
      <c r="V40" s="1455" t="s">
        <v>1736</v>
      </c>
      <c r="W40" s="1456" t="s">
        <v>9147</v>
      </c>
      <c r="X40" s="1456" t="s">
        <v>8394</v>
      </c>
      <c r="Y40" s="1456" t="s">
        <v>9148</v>
      </c>
      <c r="Z40" s="1456" t="s">
        <v>9149</v>
      </c>
      <c r="AA40" s="1456" t="s">
        <v>9150</v>
      </c>
      <c r="AB40" s="1456" t="s">
        <v>2589</v>
      </c>
      <c r="AC40" s="1456" t="s">
        <v>2938</v>
      </c>
      <c r="AD40" s="1453" t="s">
        <v>9151</v>
      </c>
      <c r="AE40" s="1453" t="s">
        <v>4266</v>
      </c>
      <c r="AF40" s="1457" t="s">
        <v>8413</v>
      </c>
      <c r="AG40" s="1457" t="s">
        <v>9152</v>
      </c>
      <c r="AH40" s="1457" t="s">
        <v>2201</v>
      </c>
      <c r="AI40" s="1457" t="s">
        <v>9153</v>
      </c>
      <c r="AJ40" s="1457" t="s">
        <v>9154</v>
      </c>
      <c r="AK40" s="1457" t="s">
        <v>9155</v>
      </c>
      <c r="AL40" s="1457" t="s">
        <v>5272</v>
      </c>
      <c r="AM40" s="1441" t="s">
        <v>8971</v>
      </c>
      <c r="AN40" s="1441" t="s">
        <v>5272</v>
      </c>
      <c r="AO40" s="1441" t="s">
        <v>2250</v>
      </c>
      <c r="AP40" s="1441" t="s">
        <v>9156</v>
      </c>
      <c r="AQ40" s="1441" t="s">
        <v>9157</v>
      </c>
      <c r="AR40" s="1441" t="s">
        <v>9158</v>
      </c>
      <c r="AS40" s="1441" t="s">
        <v>4248</v>
      </c>
      <c r="AT40" s="1454" t="s">
        <v>9159</v>
      </c>
      <c r="AU40" s="1458" t="s">
        <v>9160</v>
      </c>
      <c r="AV40" s="1396" t="str">
        <f t="shared" si="1"/>
        <v>2:54</v>
      </c>
      <c r="AW40" s="1487"/>
    </row>
    <row r="41">
      <c r="A41" s="1427" t="s">
        <v>3016</v>
      </c>
      <c r="B41" s="1428" t="s">
        <v>8275</v>
      </c>
      <c r="C41" s="1387">
        <v>0.050826388888888886</v>
      </c>
      <c r="D41" s="1394" t="s">
        <v>9161</v>
      </c>
      <c r="E41" s="1394" t="s">
        <v>9162</v>
      </c>
      <c r="F41" s="1435" t="s">
        <v>9163</v>
      </c>
      <c r="G41" s="1394" t="s">
        <v>9164</v>
      </c>
      <c r="H41" s="1394" t="s">
        <v>6180</v>
      </c>
      <c r="I41" s="1394" t="s">
        <v>1286</v>
      </c>
      <c r="J41" s="1394" t="s">
        <v>9165</v>
      </c>
      <c r="K41" s="1394" t="s">
        <v>3643</v>
      </c>
      <c r="L41" s="1394" t="s">
        <v>9166</v>
      </c>
      <c r="M41" s="1394" t="s">
        <v>9167</v>
      </c>
      <c r="N41" s="1394" t="s">
        <v>7030</v>
      </c>
      <c r="O41" s="1394" t="s">
        <v>9168</v>
      </c>
      <c r="P41" s="1394" t="s">
        <v>8674</v>
      </c>
      <c r="Q41" s="1394" t="s">
        <v>9169</v>
      </c>
      <c r="R41" s="1394" t="s">
        <v>9170</v>
      </c>
      <c r="S41" s="1394" t="s">
        <v>9171</v>
      </c>
      <c r="T41" s="1394" t="s">
        <v>1704</v>
      </c>
      <c r="U41" s="1394" t="s">
        <v>9172</v>
      </c>
      <c r="V41" s="1394" t="s">
        <v>6867</v>
      </c>
      <c r="W41" s="1394" t="s">
        <v>5390</v>
      </c>
      <c r="X41" s="1394" t="s">
        <v>9173</v>
      </c>
      <c r="Y41" s="1394" t="s">
        <v>6783</v>
      </c>
      <c r="Z41" s="1394" t="s">
        <v>2024</v>
      </c>
      <c r="AA41" s="1439" t="s">
        <v>9174</v>
      </c>
      <c r="AB41" s="1394" t="s">
        <v>1966</v>
      </c>
      <c r="AC41" s="1394" t="s">
        <v>7404</v>
      </c>
      <c r="AD41" s="1394" t="s">
        <v>9175</v>
      </c>
      <c r="AE41" s="1394" t="s">
        <v>3678</v>
      </c>
      <c r="AF41" s="1394" t="s">
        <v>9176</v>
      </c>
      <c r="AG41" s="1394" t="s">
        <v>1107</v>
      </c>
      <c r="AH41" s="1394" t="s">
        <v>3730</v>
      </c>
      <c r="AI41" s="1394" t="s">
        <v>9177</v>
      </c>
      <c r="AJ41" s="1394" t="s">
        <v>9178</v>
      </c>
      <c r="AK41" s="1394" t="s">
        <v>9081</v>
      </c>
      <c r="AL41" s="1394" t="s">
        <v>4120</v>
      </c>
      <c r="AM41" s="1394" t="s">
        <v>9081</v>
      </c>
      <c r="AN41" s="1394" t="s">
        <v>8360</v>
      </c>
      <c r="AO41" s="1394" t="s">
        <v>7132</v>
      </c>
      <c r="AP41" s="1394" t="s">
        <v>9179</v>
      </c>
      <c r="AQ41" s="1394" t="s">
        <v>9180</v>
      </c>
      <c r="AR41" s="1394" t="s">
        <v>5036</v>
      </c>
      <c r="AS41" s="1394" t="s">
        <v>9181</v>
      </c>
      <c r="AT41" s="1394" t="s">
        <v>9182</v>
      </c>
      <c r="AU41" s="1394" t="s">
        <v>9183</v>
      </c>
      <c r="AV41" s="1396" t="str">
        <f t="shared" si="1"/>
        <v>2:25</v>
      </c>
      <c r="AW41" s="1467"/>
    </row>
    <row r="42" ht="15.75" customHeight="1">
      <c r="A42" s="1427" t="s">
        <v>4568</v>
      </c>
      <c r="B42" s="1386" t="s">
        <v>8275</v>
      </c>
      <c r="C42" s="1488">
        <v>0.050868055555555555</v>
      </c>
      <c r="D42" s="1312" t="s">
        <v>9184</v>
      </c>
      <c r="E42" s="1396" t="s">
        <v>7369</v>
      </c>
      <c r="F42" s="1396" t="s">
        <v>9185</v>
      </c>
      <c r="G42" s="1396" t="s">
        <v>9186</v>
      </c>
      <c r="H42" s="1396" t="s">
        <v>8983</v>
      </c>
      <c r="I42" s="1396" t="s">
        <v>1286</v>
      </c>
      <c r="J42" s="1396" t="s">
        <v>9046</v>
      </c>
      <c r="K42" s="1396" t="s">
        <v>8705</v>
      </c>
      <c r="L42" s="1396" t="s">
        <v>8572</v>
      </c>
      <c r="M42" s="1396" t="s">
        <v>5213</v>
      </c>
      <c r="N42" s="1396" t="s">
        <v>7797</v>
      </c>
      <c r="O42" s="1396" t="s">
        <v>9187</v>
      </c>
      <c r="P42" s="1396" t="s">
        <v>9188</v>
      </c>
      <c r="Q42" s="1396" t="s">
        <v>9189</v>
      </c>
      <c r="R42" s="1396" t="s">
        <v>7113</v>
      </c>
      <c r="S42" s="1396" t="s">
        <v>8535</v>
      </c>
      <c r="T42" s="1396" t="s">
        <v>4526</v>
      </c>
      <c r="U42" s="1396" t="s">
        <v>9190</v>
      </c>
      <c r="V42" s="1396" t="s">
        <v>8734</v>
      </c>
      <c r="W42" s="1396" t="s">
        <v>9191</v>
      </c>
      <c r="X42" s="1396" t="s">
        <v>8737</v>
      </c>
      <c r="Y42" s="1396" t="s">
        <v>3334</v>
      </c>
      <c r="Z42" s="1396" t="s">
        <v>9192</v>
      </c>
      <c r="AA42" s="1396" t="s">
        <v>9193</v>
      </c>
      <c r="AB42" s="1396" t="s">
        <v>9194</v>
      </c>
      <c r="AC42" s="1396" t="s">
        <v>2840</v>
      </c>
      <c r="AD42" s="1396" t="s">
        <v>9195</v>
      </c>
      <c r="AE42" s="1396" t="s">
        <v>611</v>
      </c>
      <c r="AF42" s="1396" t="s">
        <v>9196</v>
      </c>
      <c r="AG42" s="1396" t="s">
        <v>5770</v>
      </c>
      <c r="AH42" s="1396" t="s">
        <v>9197</v>
      </c>
      <c r="AI42" s="1396" t="s">
        <v>7233</v>
      </c>
      <c r="AJ42" s="1396" t="s">
        <v>9198</v>
      </c>
      <c r="AK42" s="1396" t="s">
        <v>5260</v>
      </c>
      <c r="AL42" s="1396" t="s">
        <v>9199</v>
      </c>
      <c r="AM42" s="1396" t="s">
        <v>9200</v>
      </c>
      <c r="AN42" s="1396" t="s">
        <v>3448</v>
      </c>
      <c r="AO42" s="1396" t="s">
        <v>8667</v>
      </c>
      <c r="AP42" s="1396" t="s">
        <v>9201</v>
      </c>
      <c r="AQ42" s="1396" t="s">
        <v>9202</v>
      </c>
      <c r="AR42" s="1396" t="s">
        <v>8563</v>
      </c>
      <c r="AS42" s="1396" t="s">
        <v>3569</v>
      </c>
      <c r="AT42" s="1396" t="s">
        <v>9203</v>
      </c>
      <c r="AU42" s="1396" t="s">
        <v>9204</v>
      </c>
      <c r="AV42" s="1396" t="str">
        <f t="shared" si="1"/>
        <v>2:44</v>
      </c>
      <c r="AW42" s="1414"/>
    </row>
    <row r="43" ht="15.75" customHeight="1">
      <c r="A43" s="1427" t="s">
        <v>2491</v>
      </c>
      <c r="B43" s="1500" t="s">
        <v>8303</v>
      </c>
      <c r="C43" s="1387">
        <v>0.050659722222222224</v>
      </c>
      <c r="D43" s="1435" t="s">
        <v>9205</v>
      </c>
      <c r="E43" s="1312" t="s">
        <v>9206</v>
      </c>
      <c r="F43" s="1312" t="s">
        <v>9207</v>
      </c>
      <c r="G43" s="1435" t="s">
        <v>9208</v>
      </c>
      <c r="H43" s="1501" t="s">
        <v>8308</v>
      </c>
      <c r="I43" s="1312" t="s">
        <v>1084</v>
      </c>
      <c r="J43" s="1312" t="s">
        <v>9209</v>
      </c>
      <c r="K43" s="1312" t="s">
        <v>9210</v>
      </c>
      <c r="L43" s="1312" t="s">
        <v>4653</v>
      </c>
      <c r="M43" s="1312" t="s">
        <v>9211</v>
      </c>
      <c r="N43" s="1437" t="s">
        <v>9212</v>
      </c>
      <c r="O43" s="1312" t="s">
        <v>9213</v>
      </c>
      <c r="P43" s="1437" t="s">
        <v>5394</v>
      </c>
      <c r="Q43" s="1312" t="s">
        <v>9214</v>
      </c>
      <c r="R43" s="1312" t="s">
        <v>6181</v>
      </c>
      <c r="S43" s="1438" t="s">
        <v>9215</v>
      </c>
      <c r="T43" s="1312" t="s">
        <v>9216</v>
      </c>
      <c r="U43" s="1438" t="s">
        <v>1079</v>
      </c>
      <c r="V43" s="1312" t="s">
        <v>7871</v>
      </c>
      <c r="W43" s="1312" t="s">
        <v>8852</v>
      </c>
      <c r="X43" s="1312" t="s">
        <v>8503</v>
      </c>
      <c r="Y43" s="1312" t="s">
        <v>4710</v>
      </c>
      <c r="Z43" s="1312" t="s">
        <v>1708</v>
      </c>
      <c r="AA43" s="1439" t="s">
        <v>9217</v>
      </c>
      <c r="AB43" s="1312" t="s">
        <v>9218</v>
      </c>
      <c r="AC43" s="1312" t="s">
        <v>407</v>
      </c>
      <c r="AD43" s="1312" t="s">
        <v>9219</v>
      </c>
      <c r="AE43" s="1485" t="s">
        <v>8321</v>
      </c>
      <c r="AF43" s="1312" t="s">
        <v>9220</v>
      </c>
      <c r="AG43" s="1312" t="s">
        <v>9081</v>
      </c>
      <c r="AH43" s="1312" t="s">
        <v>9221</v>
      </c>
      <c r="AI43" s="1440" t="s">
        <v>9222</v>
      </c>
      <c r="AJ43" s="1312" t="s">
        <v>9223</v>
      </c>
      <c r="AK43" s="1312" t="s">
        <v>1374</v>
      </c>
      <c r="AL43" s="1502" t="s">
        <v>5912</v>
      </c>
      <c r="AM43" s="1312" t="s">
        <v>9224</v>
      </c>
      <c r="AN43" s="1442" t="s">
        <v>9225</v>
      </c>
      <c r="AO43" s="1312" t="s">
        <v>3317</v>
      </c>
      <c r="AP43" s="1312" t="s">
        <v>9226</v>
      </c>
      <c r="AQ43" s="1503" t="s">
        <v>8328</v>
      </c>
      <c r="AR43" s="1312" t="s">
        <v>858</v>
      </c>
      <c r="AS43" s="1504" t="s">
        <v>5100</v>
      </c>
      <c r="AT43" s="1312" t="s">
        <v>9085</v>
      </c>
      <c r="AU43" s="1425" t="s">
        <v>9227</v>
      </c>
      <c r="AV43" s="1396" t="str">
        <f t="shared" si="1"/>
        <v>5:11</v>
      </c>
      <c r="AW43" s="1447" t="s">
        <v>9228</v>
      </c>
    </row>
    <row r="44" ht="15.75" customHeight="1">
      <c r="A44" s="1427" t="s">
        <v>1936</v>
      </c>
      <c r="B44" s="1505" t="s">
        <v>8332</v>
      </c>
      <c r="C44" s="1506">
        <v>0.05092592592592592</v>
      </c>
      <c r="D44" s="1507" t="s">
        <v>8333</v>
      </c>
      <c r="E44" s="1508" t="s">
        <v>8334</v>
      </c>
      <c r="F44" s="1507" t="s">
        <v>8335</v>
      </c>
      <c r="G44" s="1394" t="s">
        <v>9229</v>
      </c>
      <c r="H44" s="1507" t="s">
        <v>8337</v>
      </c>
      <c r="I44" s="1396" t="s">
        <v>1406</v>
      </c>
      <c r="J44" s="1453" t="s">
        <v>9230</v>
      </c>
      <c r="K44" s="1396" t="s">
        <v>8940</v>
      </c>
      <c r="L44" s="1453" t="s">
        <v>2277</v>
      </c>
      <c r="M44" s="1396" t="s">
        <v>2632</v>
      </c>
      <c r="N44" s="1507" t="s">
        <v>8340</v>
      </c>
      <c r="O44" s="1396" t="s">
        <v>9231</v>
      </c>
      <c r="P44" s="1453" t="s">
        <v>630</v>
      </c>
      <c r="Q44" s="1508" t="s">
        <v>8343</v>
      </c>
      <c r="R44" s="1507" t="s">
        <v>8344</v>
      </c>
      <c r="S44" s="1396" t="s">
        <v>1092</v>
      </c>
      <c r="T44" s="1453" t="s">
        <v>7472</v>
      </c>
      <c r="U44" s="1508" t="s">
        <v>8346</v>
      </c>
      <c r="V44" s="1507" t="s">
        <v>8347</v>
      </c>
      <c r="W44" s="1396" t="s">
        <v>9232</v>
      </c>
      <c r="X44" s="1507" t="s">
        <v>8349</v>
      </c>
      <c r="Y44" s="1396" t="s">
        <v>5537</v>
      </c>
      <c r="Z44" s="1435" t="s">
        <v>9233</v>
      </c>
      <c r="AA44" s="1396" t="s">
        <v>2252</v>
      </c>
      <c r="AB44" s="1453" t="s">
        <v>9234</v>
      </c>
      <c r="AC44" s="1394" t="s">
        <v>9235</v>
      </c>
      <c r="AD44" s="1453" t="s">
        <v>9236</v>
      </c>
      <c r="AE44" s="1394" t="s">
        <v>9237</v>
      </c>
      <c r="AF44" s="1453" t="s">
        <v>9238</v>
      </c>
      <c r="AG44" s="1396" t="s">
        <v>1768</v>
      </c>
      <c r="AH44" s="1435" t="s">
        <v>9091</v>
      </c>
      <c r="AI44" s="1508" t="s">
        <v>8355</v>
      </c>
      <c r="AJ44" s="1453" t="s">
        <v>9239</v>
      </c>
      <c r="AK44" s="1396" t="s">
        <v>5656</v>
      </c>
      <c r="AL44" s="1507" t="s">
        <v>8358</v>
      </c>
      <c r="AM44" s="1396" t="s">
        <v>8626</v>
      </c>
      <c r="AN44" s="1453" t="s">
        <v>3864</v>
      </c>
      <c r="AO44" s="1394" t="s">
        <v>4727</v>
      </c>
      <c r="AP44" s="1435" t="s">
        <v>9240</v>
      </c>
      <c r="AQ44" s="1394" t="s">
        <v>9241</v>
      </c>
      <c r="AR44" s="1435" t="s">
        <v>9242</v>
      </c>
      <c r="AS44" s="1396" t="s">
        <v>899</v>
      </c>
      <c r="AT44" s="1507" t="s">
        <v>8364</v>
      </c>
      <c r="AU44" s="1394" t="s">
        <v>9243</v>
      </c>
      <c r="AV44" s="1396" t="str">
        <f t="shared" si="1"/>
        <v>2:24</v>
      </c>
      <c r="AW44" s="1431"/>
    </row>
    <row r="45">
      <c r="A45" s="1427" t="s">
        <v>2525</v>
      </c>
      <c r="B45" s="1500" t="s">
        <v>8303</v>
      </c>
      <c r="C45" s="1387">
        <v>0.05092592592592592</v>
      </c>
      <c r="D45" s="1312" t="s">
        <v>9244</v>
      </c>
      <c r="E45" s="1435" t="s">
        <v>9245</v>
      </c>
      <c r="F45" s="1435" t="s">
        <v>9246</v>
      </c>
      <c r="G45" s="1435" t="s">
        <v>9247</v>
      </c>
      <c r="H45" s="1482" t="s">
        <v>9248</v>
      </c>
      <c r="I45" s="1482" t="s">
        <v>2780</v>
      </c>
      <c r="J45" s="1437" t="s">
        <v>8429</v>
      </c>
      <c r="K45" s="1437" t="s">
        <v>3718</v>
      </c>
      <c r="L45" s="1437" t="s">
        <v>5601</v>
      </c>
      <c r="M45" s="1437" t="s">
        <v>2955</v>
      </c>
      <c r="N45" s="1437" t="s">
        <v>9012</v>
      </c>
      <c r="O45" s="1437" t="s">
        <v>9249</v>
      </c>
      <c r="P45" s="1437" t="s">
        <v>770</v>
      </c>
      <c r="Q45" s="1438" t="s">
        <v>7431</v>
      </c>
      <c r="R45" s="1438" t="s">
        <v>7161</v>
      </c>
      <c r="S45" s="1438" t="s">
        <v>6320</v>
      </c>
      <c r="T45" s="1438" t="s">
        <v>9250</v>
      </c>
      <c r="U45" s="1497" t="s">
        <v>7604</v>
      </c>
      <c r="V45" s="1438" t="s">
        <v>9251</v>
      </c>
      <c r="W45" s="1439" t="s">
        <v>6490</v>
      </c>
      <c r="X45" s="1439" t="s">
        <v>9252</v>
      </c>
      <c r="Y45" s="1439" t="s">
        <v>9253</v>
      </c>
      <c r="Z45" s="1439" t="s">
        <v>7377</v>
      </c>
      <c r="AA45" s="1439" t="s">
        <v>1991</v>
      </c>
      <c r="AB45" s="1439" t="s">
        <v>9254</v>
      </c>
      <c r="AC45" s="1439" t="s">
        <v>2363</v>
      </c>
      <c r="AD45" s="1435" t="s">
        <v>9255</v>
      </c>
      <c r="AE45" s="1435" t="s">
        <v>5125</v>
      </c>
      <c r="AF45" s="1440" t="s">
        <v>9256</v>
      </c>
      <c r="AG45" s="1440" t="s">
        <v>5315</v>
      </c>
      <c r="AH45" s="1440" t="s">
        <v>4384</v>
      </c>
      <c r="AI45" s="1440" t="s">
        <v>9257</v>
      </c>
      <c r="AJ45" s="1509" t="s">
        <v>8324</v>
      </c>
      <c r="AK45" s="1440" t="s">
        <v>9194</v>
      </c>
      <c r="AL45" s="1440" t="s">
        <v>5657</v>
      </c>
      <c r="AM45" s="1442" t="s">
        <v>3811</v>
      </c>
      <c r="AN45" s="1442" t="s">
        <v>3308</v>
      </c>
      <c r="AO45" s="1442" t="s">
        <v>2316</v>
      </c>
      <c r="AP45" s="1442" t="s">
        <v>9258</v>
      </c>
      <c r="AQ45" s="1442" t="s">
        <v>4321</v>
      </c>
      <c r="AR45" s="1442" t="s">
        <v>7421</v>
      </c>
      <c r="AS45" s="1442" t="s">
        <v>6205</v>
      </c>
      <c r="AT45" s="1437" t="s">
        <v>9259</v>
      </c>
      <c r="AU45" s="1510" t="s">
        <v>9260</v>
      </c>
      <c r="AV45" s="1396" t="str">
        <f t="shared" si="1"/>
        <v>4:25</v>
      </c>
      <c r="AW45" s="1426"/>
    </row>
    <row r="46" ht="15.75" customHeight="1">
      <c r="A46" s="1385" t="s">
        <v>4253</v>
      </c>
      <c r="B46" s="1448" t="s">
        <v>8303</v>
      </c>
      <c r="C46" s="1387">
        <v>0.05100810185185185</v>
      </c>
      <c r="D46" s="1312" t="s">
        <v>9261</v>
      </c>
      <c r="E46" s="1435" t="s">
        <v>9262</v>
      </c>
      <c r="F46" s="1435" t="s">
        <v>9263</v>
      </c>
      <c r="G46" s="1453" t="s">
        <v>9264</v>
      </c>
      <c r="H46" s="1482" t="s">
        <v>9265</v>
      </c>
      <c r="I46" s="1482" t="s">
        <v>1406</v>
      </c>
      <c r="J46" s="1437" t="s">
        <v>5036</v>
      </c>
      <c r="K46" s="1437" t="s">
        <v>8937</v>
      </c>
      <c r="L46" s="1437" t="s">
        <v>4193</v>
      </c>
      <c r="M46" s="1437" t="s">
        <v>1449</v>
      </c>
      <c r="N46" s="1437" t="s">
        <v>9266</v>
      </c>
      <c r="O46" s="1437" t="s">
        <v>8452</v>
      </c>
      <c r="P46" s="1437" t="s">
        <v>9267</v>
      </c>
      <c r="Q46" s="1438" t="s">
        <v>9268</v>
      </c>
      <c r="R46" s="1438" t="s">
        <v>3169</v>
      </c>
      <c r="S46" s="1438" t="s">
        <v>6813</v>
      </c>
      <c r="T46" s="1438" t="s">
        <v>9269</v>
      </c>
      <c r="U46" s="1438" t="s">
        <v>9270</v>
      </c>
      <c r="V46" s="1455" t="s">
        <v>1358</v>
      </c>
      <c r="W46" s="1439" t="s">
        <v>9271</v>
      </c>
      <c r="X46" s="1439" t="s">
        <v>8993</v>
      </c>
      <c r="Y46" s="1439" t="s">
        <v>1181</v>
      </c>
      <c r="Z46" s="1439" t="s">
        <v>7397</v>
      </c>
      <c r="AA46" s="1439" t="s">
        <v>1022</v>
      </c>
      <c r="AB46" s="1439" t="s">
        <v>3894</v>
      </c>
      <c r="AC46" s="1456" t="s">
        <v>6444</v>
      </c>
      <c r="AD46" s="1435" t="s">
        <v>9272</v>
      </c>
      <c r="AE46" s="1453" t="s">
        <v>4793</v>
      </c>
      <c r="AF46" s="1440" t="s">
        <v>9273</v>
      </c>
      <c r="AG46" s="1440" t="s">
        <v>9274</v>
      </c>
      <c r="AH46" s="1440" t="s">
        <v>9275</v>
      </c>
      <c r="AI46" s="1440" t="s">
        <v>9276</v>
      </c>
      <c r="AJ46" s="1440" t="s">
        <v>9277</v>
      </c>
      <c r="AK46" s="1440" t="s">
        <v>9278</v>
      </c>
      <c r="AL46" s="1440" t="s">
        <v>4150</v>
      </c>
      <c r="AM46" s="1442" t="s">
        <v>9279</v>
      </c>
      <c r="AN46" s="1442" t="s">
        <v>3143</v>
      </c>
      <c r="AO46" s="1442" t="s">
        <v>9280</v>
      </c>
      <c r="AP46" s="1442" t="s">
        <v>9281</v>
      </c>
      <c r="AQ46" s="1442" t="s">
        <v>4321</v>
      </c>
      <c r="AR46" s="1442" t="s">
        <v>9282</v>
      </c>
      <c r="AS46" s="1442" t="s">
        <v>4422</v>
      </c>
      <c r="AT46" s="1437" t="s">
        <v>9283</v>
      </c>
      <c r="AU46" s="1425" t="s">
        <v>9284</v>
      </c>
      <c r="AV46" s="1396" t="str">
        <f t="shared" si="1"/>
        <v>3:17</v>
      </c>
      <c r="AW46" s="1447" t="s">
        <v>9285</v>
      </c>
    </row>
    <row r="47" ht="15.75" customHeight="1">
      <c r="A47" s="1427" t="s">
        <v>982</v>
      </c>
      <c r="B47" s="1445" t="s">
        <v>8303</v>
      </c>
      <c r="C47" s="1387">
        <v>0.05112268518518519</v>
      </c>
      <c r="D47" s="1435" t="s">
        <v>9286</v>
      </c>
      <c r="E47" s="1435" t="s">
        <v>4549</v>
      </c>
      <c r="F47" s="1435" t="s">
        <v>9287</v>
      </c>
      <c r="G47" s="1435" t="s">
        <v>9288</v>
      </c>
      <c r="H47" s="1312" t="s">
        <v>9289</v>
      </c>
      <c r="I47" s="1482" t="s">
        <v>4858</v>
      </c>
      <c r="J47" s="1437" t="s">
        <v>3814</v>
      </c>
      <c r="K47" s="1437" t="s">
        <v>9290</v>
      </c>
      <c r="L47" s="1511" t="s">
        <v>3350</v>
      </c>
      <c r="M47" s="1437" t="s">
        <v>4368</v>
      </c>
      <c r="N47" s="1437" t="s">
        <v>8971</v>
      </c>
      <c r="O47" s="1437" t="s">
        <v>9291</v>
      </c>
      <c r="P47" s="1437" t="s">
        <v>1519</v>
      </c>
      <c r="Q47" s="1438" t="s">
        <v>9292</v>
      </c>
      <c r="R47" s="1511" t="s">
        <v>9293</v>
      </c>
      <c r="S47" s="1438" t="s">
        <v>411</v>
      </c>
      <c r="T47" s="1438" t="s">
        <v>9294</v>
      </c>
      <c r="U47" s="1438" t="s">
        <v>9295</v>
      </c>
      <c r="V47" s="1438" t="s">
        <v>9296</v>
      </c>
      <c r="W47" s="1439" t="s">
        <v>9297</v>
      </c>
      <c r="X47" s="1439" t="s">
        <v>9298</v>
      </c>
      <c r="Y47" s="1512" t="s">
        <v>899</v>
      </c>
      <c r="Z47" s="1439" t="s">
        <v>9299</v>
      </c>
      <c r="AA47" s="1394" t="s">
        <v>9300</v>
      </c>
      <c r="AB47" s="1439" t="s">
        <v>7151</v>
      </c>
      <c r="AC47" s="1484" t="s">
        <v>4966</v>
      </c>
      <c r="AD47" s="1435" t="s">
        <v>9301</v>
      </c>
      <c r="AE47" s="1435" t="s">
        <v>8354</v>
      </c>
      <c r="AF47" s="1440" t="s">
        <v>8468</v>
      </c>
      <c r="AG47" s="1440" t="s">
        <v>271</v>
      </c>
      <c r="AH47" s="1440" t="s">
        <v>458</v>
      </c>
      <c r="AI47" s="1440" t="s">
        <v>9302</v>
      </c>
      <c r="AJ47" s="1440" t="s">
        <v>9303</v>
      </c>
      <c r="AK47" s="1440" t="s">
        <v>3982</v>
      </c>
      <c r="AL47" s="1440" t="s">
        <v>9304</v>
      </c>
      <c r="AM47" s="1442" t="s">
        <v>9305</v>
      </c>
      <c r="AN47" s="1503" t="s">
        <v>3559</v>
      </c>
      <c r="AO47" s="1442" t="s">
        <v>6820</v>
      </c>
      <c r="AP47" s="1442" t="s">
        <v>9306</v>
      </c>
      <c r="AQ47" s="1442" t="s">
        <v>9307</v>
      </c>
      <c r="AR47" s="1442" t="s">
        <v>9308</v>
      </c>
      <c r="AS47" s="1442" t="s">
        <v>8213</v>
      </c>
      <c r="AT47" s="1437" t="s">
        <v>9309</v>
      </c>
      <c r="AU47" s="1425" t="s">
        <v>9310</v>
      </c>
      <c r="AV47" s="1396" t="str">
        <f t="shared" si="1"/>
        <v>4:57</v>
      </c>
      <c r="AW47" s="1487"/>
    </row>
    <row r="48">
      <c r="A48" s="1427" t="s">
        <v>2288</v>
      </c>
      <c r="B48" s="1428" t="s">
        <v>8303</v>
      </c>
      <c r="C48" s="1387">
        <v>0.05112268518518519</v>
      </c>
      <c r="D48" s="1394" t="s">
        <v>9311</v>
      </c>
      <c r="E48" s="1394" t="s">
        <v>4474</v>
      </c>
      <c r="F48" s="1394" t="s">
        <v>9312</v>
      </c>
      <c r="G48" s="1472" t="s">
        <v>8307</v>
      </c>
      <c r="H48" s="1312" t="s">
        <v>9313</v>
      </c>
      <c r="I48" s="1394" t="s">
        <v>762</v>
      </c>
      <c r="J48" s="1394" t="s">
        <v>6316</v>
      </c>
      <c r="K48" s="1394" t="s">
        <v>2448</v>
      </c>
      <c r="L48" s="1394" t="s">
        <v>1358</v>
      </c>
      <c r="M48" s="1394" t="s">
        <v>9314</v>
      </c>
      <c r="N48" s="1394" t="s">
        <v>4351</v>
      </c>
      <c r="O48" s="1394" t="s">
        <v>9315</v>
      </c>
      <c r="P48" s="1394" t="s">
        <v>3334</v>
      </c>
      <c r="Q48" s="1394" t="s">
        <v>9316</v>
      </c>
      <c r="R48" s="1394" t="s">
        <v>2508</v>
      </c>
      <c r="S48" s="1394" t="s">
        <v>3498</v>
      </c>
      <c r="T48" s="1394" t="s">
        <v>7616</v>
      </c>
      <c r="U48" s="1394" t="s">
        <v>8633</v>
      </c>
      <c r="V48" s="1394" t="s">
        <v>9317</v>
      </c>
      <c r="W48" s="1394" t="s">
        <v>9318</v>
      </c>
      <c r="X48" s="1394" t="s">
        <v>1481</v>
      </c>
      <c r="Y48" s="1394" t="s">
        <v>6786</v>
      </c>
      <c r="Z48" s="1394" t="s">
        <v>8492</v>
      </c>
      <c r="AA48" s="1439" t="s">
        <v>606</v>
      </c>
      <c r="AB48" s="1394" t="s">
        <v>9319</v>
      </c>
      <c r="AC48" s="1394" t="s">
        <v>5125</v>
      </c>
      <c r="AD48" s="1394" t="s">
        <v>8681</v>
      </c>
      <c r="AE48" s="1394" t="s">
        <v>3334</v>
      </c>
      <c r="AF48" s="1394" t="s">
        <v>9320</v>
      </c>
      <c r="AG48" s="1394" t="s">
        <v>9321</v>
      </c>
      <c r="AH48" s="1394" t="s">
        <v>2472</v>
      </c>
      <c r="AI48" s="1394" t="s">
        <v>5854</v>
      </c>
      <c r="AJ48" s="1394" t="s">
        <v>9322</v>
      </c>
      <c r="AK48" s="1394" t="s">
        <v>8740</v>
      </c>
      <c r="AL48" s="1394" t="s">
        <v>9323</v>
      </c>
      <c r="AM48" s="1394" t="s">
        <v>2627</v>
      </c>
      <c r="AN48" s="1394" t="s">
        <v>9324</v>
      </c>
      <c r="AO48" s="1394" t="s">
        <v>8426</v>
      </c>
      <c r="AP48" s="1394" t="s">
        <v>9325</v>
      </c>
      <c r="AQ48" s="1394" t="s">
        <v>9326</v>
      </c>
      <c r="AR48" s="1394" t="s">
        <v>2200</v>
      </c>
      <c r="AS48" s="1394" t="s">
        <v>6783</v>
      </c>
      <c r="AT48" s="1394" t="s">
        <v>9327</v>
      </c>
      <c r="AU48" s="1394" t="s">
        <v>9328</v>
      </c>
      <c r="AV48" s="1396" t="str">
        <f t="shared" si="1"/>
        <v>3:15</v>
      </c>
      <c r="AW48" s="1513"/>
    </row>
    <row r="49" ht="15.75" customHeight="1">
      <c r="A49" s="1385" t="s">
        <v>9329</v>
      </c>
      <c r="B49" s="1514" t="s">
        <v>8275</v>
      </c>
      <c r="C49" s="1387">
        <v>0.051180555555555556</v>
      </c>
      <c r="D49" s="1312" t="s">
        <v>9330</v>
      </c>
      <c r="E49" s="1394" t="s">
        <v>9331</v>
      </c>
      <c r="F49" s="1394" t="s">
        <v>3984</v>
      </c>
      <c r="G49" s="1394" t="s">
        <v>7953</v>
      </c>
      <c r="H49" s="1394" t="s">
        <v>9332</v>
      </c>
      <c r="I49" s="1394" t="s">
        <v>160</v>
      </c>
      <c r="J49" s="1394" t="s">
        <v>969</v>
      </c>
      <c r="K49" s="1394" t="s">
        <v>8794</v>
      </c>
      <c r="L49" s="1394" t="s">
        <v>8459</v>
      </c>
      <c r="M49" s="1394" t="s">
        <v>9333</v>
      </c>
      <c r="N49" s="1394" t="s">
        <v>9334</v>
      </c>
      <c r="O49" s="1394" t="s">
        <v>9335</v>
      </c>
      <c r="P49" s="1394" t="s">
        <v>3460</v>
      </c>
      <c r="Q49" s="1394" t="s">
        <v>7019</v>
      </c>
      <c r="R49" s="1394" t="s">
        <v>9336</v>
      </c>
      <c r="S49" s="1394" t="s">
        <v>8158</v>
      </c>
      <c r="T49" s="1396" t="s">
        <v>4030</v>
      </c>
      <c r="U49" s="1396" t="s">
        <v>9337</v>
      </c>
      <c r="V49" s="1394" t="s">
        <v>1815</v>
      </c>
      <c r="W49" s="1394" t="s">
        <v>9338</v>
      </c>
      <c r="X49" s="1394" t="s">
        <v>9339</v>
      </c>
      <c r="Y49" s="1394" t="s">
        <v>8674</v>
      </c>
      <c r="Z49" s="1394" t="s">
        <v>9340</v>
      </c>
      <c r="AA49" s="1394" t="s">
        <v>9341</v>
      </c>
      <c r="AB49" s="1394" t="s">
        <v>9218</v>
      </c>
      <c r="AC49" s="1394" t="s">
        <v>932</v>
      </c>
      <c r="AD49" s="1394" t="s">
        <v>9272</v>
      </c>
      <c r="AE49" s="1394" t="s">
        <v>3555</v>
      </c>
      <c r="AF49" s="1396" t="s">
        <v>9342</v>
      </c>
      <c r="AG49" s="1394" t="s">
        <v>383</v>
      </c>
      <c r="AH49" s="1394" t="s">
        <v>9343</v>
      </c>
      <c r="AI49" s="1394" t="s">
        <v>9344</v>
      </c>
      <c r="AJ49" s="1394" t="s">
        <v>9345</v>
      </c>
      <c r="AK49" s="1394" t="s">
        <v>9346</v>
      </c>
      <c r="AL49" s="1394" t="s">
        <v>9347</v>
      </c>
      <c r="AM49" s="1394" t="s">
        <v>7129</v>
      </c>
      <c r="AN49" s="1394" t="s">
        <v>8901</v>
      </c>
      <c r="AO49" s="1409" t="str">
        <f>HYPERLINK("https://clips.twitch.tv/AltruisticEmpathicManateeDoritosChip","1:20.90")</f>
        <v>1:20.90</v>
      </c>
      <c r="AP49" s="1394" t="s">
        <v>9348</v>
      </c>
      <c r="AQ49" s="1394" t="s">
        <v>9349</v>
      </c>
      <c r="AR49" s="1394" t="s">
        <v>9350</v>
      </c>
      <c r="AS49" s="1394" t="s">
        <v>8864</v>
      </c>
      <c r="AT49" s="1394" t="s">
        <v>9351</v>
      </c>
      <c r="AU49" s="1394" t="s">
        <v>9352</v>
      </c>
      <c r="AV49" s="1396" t="str">
        <f t="shared" si="1"/>
        <v>2:40</v>
      </c>
      <c r="AW49" s="1467" t="s">
        <v>9353</v>
      </c>
    </row>
    <row r="50" ht="15.75" customHeight="1">
      <c r="A50" s="1427" t="s">
        <v>1545</v>
      </c>
      <c r="B50" s="1515" t="s">
        <v>8332</v>
      </c>
      <c r="C50" s="1516">
        <v>0.051319444444444445</v>
      </c>
      <c r="D50" s="1312" t="s">
        <v>9354</v>
      </c>
      <c r="E50" s="1396" t="s">
        <v>9355</v>
      </c>
      <c r="F50" s="1396" t="s">
        <v>9356</v>
      </c>
      <c r="G50" s="1396" t="s">
        <v>9357</v>
      </c>
      <c r="H50" s="1396" t="s">
        <v>4980</v>
      </c>
      <c r="I50" s="1396" t="s">
        <v>6219</v>
      </c>
      <c r="J50" s="1396" t="s">
        <v>9358</v>
      </c>
      <c r="K50" s="1396" t="s">
        <v>8656</v>
      </c>
      <c r="L50" s="1396" t="s">
        <v>3731</v>
      </c>
      <c r="M50" s="1396" t="s">
        <v>9122</v>
      </c>
      <c r="N50" s="1396" t="s">
        <v>8878</v>
      </c>
      <c r="O50" s="1396" t="s">
        <v>9359</v>
      </c>
      <c r="P50" s="1517" t="s">
        <v>8342</v>
      </c>
      <c r="Q50" s="1396" t="s">
        <v>9360</v>
      </c>
      <c r="R50" s="1396" t="s">
        <v>9361</v>
      </c>
      <c r="S50" s="1396" t="s">
        <v>1089</v>
      </c>
      <c r="T50" s="1396" t="s">
        <v>9224</v>
      </c>
      <c r="U50" s="1396" t="s">
        <v>126</v>
      </c>
      <c r="V50" s="1396" t="s">
        <v>446</v>
      </c>
      <c r="W50" s="1396" t="s">
        <v>9362</v>
      </c>
      <c r="X50" s="1396" t="s">
        <v>194</v>
      </c>
      <c r="Y50" s="1396" t="s">
        <v>4041</v>
      </c>
      <c r="Z50" s="1396" t="s">
        <v>7134</v>
      </c>
      <c r="AA50" s="1396" t="s">
        <v>9153</v>
      </c>
      <c r="AB50" s="1396" t="s">
        <v>4268</v>
      </c>
      <c r="AC50" s="1396" t="s">
        <v>2512</v>
      </c>
      <c r="AD50" s="1396" t="s">
        <v>9363</v>
      </c>
      <c r="AE50" s="1517" t="s">
        <v>8354</v>
      </c>
      <c r="AF50" s="1396" t="s">
        <v>2664</v>
      </c>
      <c r="AG50" s="1396" t="s">
        <v>4464</v>
      </c>
      <c r="AH50" s="1396" t="s">
        <v>9364</v>
      </c>
      <c r="AI50" s="1396" t="s">
        <v>9365</v>
      </c>
      <c r="AJ50" s="1396" t="s">
        <v>9366</v>
      </c>
      <c r="AK50" s="1396" t="s">
        <v>5824</v>
      </c>
      <c r="AL50" s="1396" t="s">
        <v>5994</v>
      </c>
      <c r="AM50" s="1517" t="s">
        <v>8359</v>
      </c>
      <c r="AN50" s="1394" t="s">
        <v>2424</v>
      </c>
      <c r="AO50" s="1396" t="s">
        <v>4790</v>
      </c>
      <c r="AP50" s="1396" t="s">
        <v>9367</v>
      </c>
      <c r="AQ50" s="1396" t="s">
        <v>9368</v>
      </c>
      <c r="AR50" s="1396" t="s">
        <v>8748</v>
      </c>
      <c r="AS50" s="1396" t="s">
        <v>4357</v>
      </c>
      <c r="AT50" s="1396" t="s">
        <v>9369</v>
      </c>
      <c r="AU50" s="1396" t="s">
        <v>9370</v>
      </c>
      <c r="AV50" s="1396" t="str">
        <f t="shared" si="1"/>
        <v>3:15</v>
      </c>
      <c r="AW50" s="1467" t="s">
        <v>9371</v>
      </c>
    </row>
    <row r="51">
      <c r="A51" s="1427" t="s">
        <v>1797</v>
      </c>
      <c r="B51" s="1445" t="s">
        <v>8275</v>
      </c>
      <c r="C51" s="1387">
        <v>0.05133101851851852</v>
      </c>
      <c r="D51" s="1499" t="s">
        <v>9372</v>
      </c>
      <c r="E51" s="1435" t="s">
        <v>9373</v>
      </c>
      <c r="F51" s="1435" t="s">
        <v>9374</v>
      </c>
      <c r="G51" s="1435" t="s">
        <v>9375</v>
      </c>
      <c r="H51" s="1482" t="s">
        <v>9376</v>
      </c>
      <c r="I51" s="1482" t="s">
        <v>2938</v>
      </c>
      <c r="J51" s="1437" t="s">
        <v>1990</v>
      </c>
      <c r="K51" s="1437" t="s">
        <v>9377</v>
      </c>
      <c r="L51" s="1437" t="s">
        <v>4018</v>
      </c>
      <c r="M51" s="1437" t="s">
        <v>9378</v>
      </c>
      <c r="N51" s="1437" t="s">
        <v>8500</v>
      </c>
      <c r="O51" s="1437" t="s">
        <v>9379</v>
      </c>
      <c r="P51" s="1437" t="s">
        <v>8456</v>
      </c>
      <c r="Q51" s="1438" t="s">
        <v>9380</v>
      </c>
      <c r="R51" s="1438" t="s">
        <v>9170</v>
      </c>
      <c r="S51" s="1438" t="s">
        <v>9381</v>
      </c>
      <c r="T51" s="1438" t="s">
        <v>9174</v>
      </c>
      <c r="U51" s="1438" t="s">
        <v>9382</v>
      </c>
      <c r="V51" s="1438" t="s">
        <v>8915</v>
      </c>
      <c r="W51" s="1439" t="s">
        <v>9383</v>
      </c>
      <c r="X51" s="1439" t="s">
        <v>9384</v>
      </c>
      <c r="Y51" s="1439" t="s">
        <v>5394</v>
      </c>
      <c r="Z51" s="1439" t="s">
        <v>1496</v>
      </c>
      <c r="AA51" s="1439" t="s">
        <v>9385</v>
      </c>
      <c r="AB51" s="1439" t="s">
        <v>6047</v>
      </c>
      <c r="AC51" s="1439" t="s">
        <v>260</v>
      </c>
      <c r="AD51" s="1435" t="s">
        <v>8704</v>
      </c>
      <c r="AE51" s="1435" t="s">
        <v>5394</v>
      </c>
      <c r="AF51" s="1440" t="s">
        <v>9386</v>
      </c>
      <c r="AG51" s="1440" t="s">
        <v>5717</v>
      </c>
      <c r="AH51" s="1440" t="s">
        <v>3800</v>
      </c>
      <c r="AI51" s="1440" t="s">
        <v>9387</v>
      </c>
      <c r="AJ51" s="1440" t="s">
        <v>9388</v>
      </c>
      <c r="AK51" s="1440" t="s">
        <v>9339</v>
      </c>
      <c r="AL51" s="1440" t="s">
        <v>3803</v>
      </c>
      <c r="AM51" s="1442" t="s">
        <v>9389</v>
      </c>
      <c r="AN51" s="1442" t="s">
        <v>3809</v>
      </c>
      <c r="AO51" s="1442" t="s">
        <v>9390</v>
      </c>
      <c r="AP51" s="1442" t="s">
        <v>9391</v>
      </c>
      <c r="AQ51" s="1442" t="s">
        <v>8953</v>
      </c>
      <c r="AR51" s="1442" t="s">
        <v>9392</v>
      </c>
      <c r="AS51" s="1442" t="s">
        <v>9393</v>
      </c>
      <c r="AT51" s="1437" t="s">
        <v>9394</v>
      </c>
      <c r="AU51" s="1425" t="s">
        <v>9395</v>
      </c>
      <c r="AV51" s="1396" t="str">
        <f t="shared" si="1"/>
        <v>1:34</v>
      </c>
      <c r="AW51" s="1487"/>
    </row>
    <row r="52">
      <c r="A52" s="1427" t="s">
        <v>2812</v>
      </c>
      <c r="B52" s="1445" t="s">
        <v>8275</v>
      </c>
      <c r="C52" s="1387">
        <v>0.05134259259259259</v>
      </c>
      <c r="D52" s="1435" t="s">
        <v>9396</v>
      </c>
      <c r="E52" s="1435" t="s">
        <v>6216</v>
      </c>
      <c r="F52" s="1435" t="s">
        <v>9397</v>
      </c>
      <c r="G52" s="1435" t="s">
        <v>9398</v>
      </c>
      <c r="H52" s="1435" t="s">
        <v>9399</v>
      </c>
      <c r="I52" s="1435" t="s">
        <v>1286</v>
      </c>
      <c r="J52" s="1437" t="s">
        <v>4879</v>
      </c>
      <c r="K52" s="1437" t="s">
        <v>7014</v>
      </c>
      <c r="L52" s="1437" t="s">
        <v>4732</v>
      </c>
      <c r="M52" s="1437" t="s">
        <v>3343</v>
      </c>
      <c r="N52" s="1437" t="s">
        <v>1923</v>
      </c>
      <c r="O52" s="1437" t="s">
        <v>9400</v>
      </c>
      <c r="P52" s="1437" t="s">
        <v>4420</v>
      </c>
      <c r="Q52" s="1438" t="s">
        <v>9401</v>
      </c>
      <c r="R52" s="1438" t="s">
        <v>2543</v>
      </c>
      <c r="S52" s="1438" t="s">
        <v>9402</v>
      </c>
      <c r="T52" s="1438" t="s">
        <v>9403</v>
      </c>
      <c r="U52" s="1438" t="s">
        <v>9295</v>
      </c>
      <c r="V52" s="1438" t="s">
        <v>9404</v>
      </c>
      <c r="W52" s="1439" t="s">
        <v>9405</v>
      </c>
      <c r="X52" s="1439" t="s">
        <v>8355</v>
      </c>
      <c r="Y52" s="1439" t="s">
        <v>8966</v>
      </c>
      <c r="Z52" s="1439" t="s">
        <v>2862</v>
      </c>
      <c r="AA52" s="1394" t="s">
        <v>584</v>
      </c>
      <c r="AB52" s="1439" t="s">
        <v>8698</v>
      </c>
      <c r="AC52" s="1439" t="s">
        <v>8836</v>
      </c>
      <c r="AD52" s="1435" t="s">
        <v>9406</v>
      </c>
      <c r="AE52" s="1435" t="s">
        <v>9407</v>
      </c>
      <c r="AF52" s="1440" t="s">
        <v>9408</v>
      </c>
      <c r="AG52" s="1440" t="s">
        <v>9409</v>
      </c>
      <c r="AH52" s="1440" t="s">
        <v>1822</v>
      </c>
      <c r="AI52" s="1440" t="s">
        <v>416</v>
      </c>
      <c r="AJ52" s="1440" t="s">
        <v>9410</v>
      </c>
      <c r="AK52" s="1440" t="s">
        <v>9411</v>
      </c>
      <c r="AL52" s="1440" t="s">
        <v>5487</v>
      </c>
      <c r="AM52" s="1442" t="s">
        <v>9412</v>
      </c>
      <c r="AN52" s="1442" t="s">
        <v>6170</v>
      </c>
      <c r="AO52" s="1442" t="s">
        <v>9413</v>
      </c>
      <c r="AP52" s="1442" t="s">
        <v>9414</v>
      </c>
      <c r="AQ52" s="1442" t="s">
        <v>8953</v>
      </c>
      <c r="AR52" s="1442" t="s">
        <v>9415</v>
      </c>
      <c r="AS52" s="1442" t="s">
        <v>1821</v>
      </c>
      <c r="AT52" s="1437" t="s">
        <v>9416</v>
      </c>
      <c r="AU52" s="1425" t="s">
        <v>9328</v>
      </c>
      <c r="AV52" s="1396" t="str">
        <f t="shared" si="1"/>
        <v>2:56</v>
      </c>
      <c r="AW52" s="1447" t="s">
        <v>9417</v>
      </c>
    </row>
    <row r="53" ht="15.75" customHeight="1">
      <c r="A53" s="1401" t="s">
        <v>1411</v>
      </c>
      <c r="B53" s="1515" t="s">
        <v>8332</v>
      </c>
      <c r="C53" s="1516">
        <v>0.05134259259259259</v>
      </c>
      <c r="D53" s="1312" t="s">
        <v>9418</v>
      </c>
      <c r="E53" s="1453" t="s">
        <v>9419</v>
      </c>
      <c r="F53" s="1453" t="s">
        <v>9397</v>
      </c>
      <c r="G53" s="1453" t="s">
        <v>9420</v>
      </c>
      <c r="H53" s="1436" t="s">
        <v>9421</v>
      </c>
      <c r="I53" s="1518" t="s">
        <v>347</v>
      </c>
      <c r="J53" s="1454" t="s">
        <v>9422</v>
      </c>
      <c r="K53" s="1454" t="s">
        <v>3634</v>
      </c>
      <c r="L53" s="1519" t="s">
        <v>3529</v>
      </c>
      <c r="M53" s="1454" t="s">
        <v>5533</v>
      </c>
      <c r="N53" s="1454" t="s">
        <v>9423</v>
      </c>
      <c r="O53" s="1519" t="s">
        <v>8341</v>
      </c>
      <c r="P53" s="1454" t="s">
        <v>384</v>
      </c>
      <c r="Q53" s="1455" t="s">
        <v>9424</v>
      </c>
      <c r="R53" s="1455" t="s">
        <v>9425</v>
      </c>
      <c r="S53" s="1455" t="s">
        <v>9426</v>
      </c>
      <c r="T53" s="1520" t="s">
        <v>8345</v>
      </c>
      <c r="U53" s="1455" t="s">
        <v>9427</v>
      </c>
      <c r="V53" s="1455" t="s">
        <v>3802</v>
      </c>
      <c r="W53" s="1521" t="s">
        <v>8348</v>
      </c>
      <c r="X53" s="1456" t="s">
        <v>4129</v>
      </c>
      <c r="Y53" s="1456" t="s">
        <v>6219</v>
      </c>
      <c r="Z53" s="1456" t="s">
        <v>7388</v>
      </c>
      <c r="AA53" s="1456" t="s">
        <v>8781</v>
      </c>
      <c r="AB53" s="1521" t="s">
        <v>8352</v>
      </c>
      <c r="AC53" s="1456" t="s">
        <v>6328</v>
      </c>
      <c r="AD53" s="1442" t="s">
        <v>9428</v>
      </c>
      <c r="AE53" s="1453" t="s">
        <v>9429</v>
      </c>
      <c r="AF53" s="1457" t="s">
        <v>9430</v>
      </c>
      <c r="AG53" s="1457" t="s">
        <v>9431</v>
      </c>
      <c r="AH53" s="1457" t="s">
        <v>9432</v>
      </c>
      <c r="AI53" s="1457" t="s">
        <v>9433</v>
      </c>
      <c r="AJ53" s="1457" t="s">
        <v>9434</v>
      </c>
      <c r="AK53" s="1522" t="s">
        <v>8357</v>
      </c>
      <c r="AL53" s="1457" t="s">
        <v>9435</v>
      </c>
      <c r="AM53" s="1441" t="s">
        <v>9321</v>
      </c>
      <c r="AN53" s="1442" t="s">
        <v>4176</v>
      </c>
      <c r="AO53" s="1441" t="s">
        <v>9436</v>
      </c>
      <c r="AP53" s="1441" t="s">
        <v>9437</v>
      </c>
      <c r="AQ53" s="1441" t="s">
        <v>9438</v>
      </c>
      <c r="AR53" s="1441" t="s">
        <v>8371</v>
      </c>
      <c r="AS53" s="1441" t="s">
        <v>4537</v>
      </c>
      <c r="AT53" s="1454" t="s">
        <v>9439</v>
      </c>
      <c r="AU53" s="1458" t="s">
        <v>9440</v>
      </c>
      <c r="AV53" s="1396" t="str">
        <f t="shared" si="1"/>
        <v>1:58</v>
      </c>
      <c r="AW53" s="1487"/>
    </row>
    <row r="54" ht="15.75" customHeight="1">
      <c r="A54" s="1385" t="s">
        <v>3382</v>
      </c>
      <c r="B54" s="1386" t="s">
        <v>8275</v>
      </c>
      <c r="C54" s="1488">
        <v>0.05134259259259259</v>
      </c>
      <c r="D54" s="1312" t="s">
        <v>9441</v>
      </c>
      <c r="E54" s="1396" t="s">
        <v>9442</v>
      </c>
      <c r="F54" s="1396" t="s">
        <v>9443</v>
      </c>
      <c r="G54" s="1396" t="s">
        <v>7417</v>
      </c>
      <c r="H54" s="1396" t="s">
        <v>4156</v>
      </c>
      <c r="I54" s="1396" t="s">
        <v>5997</v>
      </c>
      <c r="J54" s="1396" t="s">
        <v>9444</v>
      </c>
      <c r="K54" s="1396" t="s">
        <v>3643</v>
      </c>
      <c r="L54" s="1396" t="s">
        <v>9445</v>
      </c>
      <c r="M54" s="1396" t="s">
        <v>9446</v>
      </c>
      <c r="N54" s="1396" t="s">
        <v>2745</v>
      </c>
      <c r="O54" s="1396" t="s">
        <v>9447</v>
      </c>
      <c r="P54" s="1396" t="s">
        <v>1152</v>
      </c>
      <c r="Q54" s="1396" t="s">
        <v>2414</v>
      </c>
      <c r="R54" s="1396" t="s">
        <v>9170</v>
      </c>
      <c r="S54" s="1396" t="s">
        <v>9005</v>
      </c>
      <c r="T54" s="1396" t="s">
        <v>9448</v>
      </c>
      <c r="U54" s="1396" t="s">
        <v>9449</v>
      </c>
      <c r="V54" s="1396" t="s">
        <v>8316</v>
      </c>
      <c r="W54" s="1396" t="s">
        <v>9450</v>
      </c>
      <c r="X54" s="1396" t="s">
        <v>9059</v>
      </c>
      <c r="Y54" s="1396" t="s">
        <v>384</v>
      </c>
      <c r="Z54" s="1396" t="s">
        <v>6813</v>
      </c>
      <c r="AA54" s="1396" t="s">
        <v>8948</v>
      </c>
      <c r="AB54" s="1396" t="s">
        <v>8398</v>
      </c>
      <c r="AC54" s="1396" t="s">
        <v>932</v>
      </c>
      <c r="AD54" s="1396" t="s">
        <v>9451</v>
      </c>
      <c r="AE54" s="1396" t="s">
        <v>384</v>
      </c>
      <c r="AF54" s="1396" t="s">
        <v>9452</v>
      </c>
      <c r="AG54" s="1396" t="s">
        <v>9453</v>
      </c>
      <c r="AH54" s="1396" t="s">
        <v>5094</v>
      </c>
      <c r="AI54" s="1396" t="s">
        <v>9454</v>
      </c>
      <c r="AJ54" s="1396" t="s">
        <v>9388</v>
      </c>
      <c r="AK54" s="1396" t="s">
        <v>7157</v>
      </c>
      <c r="AL54" s="1396" t="s">
        <v>4288</v>
      </c>
      <c r="AM54" s="1396" t="s">
        <v>3980</v>
      </c>
      <c r="AN54" s="1396" t="s">
        <v>9455</v>
      </c>
      <c r="AO54" s="1396" t="s">
        <v>8493</v>
      </c>
      <c r="AP54" s="1396" t="s">
        <v>9456</v>
      </c>
      <c r="AQ54" s="1396" t="s">
        <v>9457</v>
      </c>
      <c r="AR54" s="1396" t="s">
        <v>9458</v>
      </c>
      <c r="AS54" s="1441" t="s">
        <v>4211</v>
      </c>
      <c r="AT54" s="1396" t="s">
        <v>9459</v>
      </c>
      <c r="AU54" s="1396" t="s">
        <v>8635</v>
      </c>
      <c r="AV54" s="1396" t="str">
        <f t="shared" si="1"/>
        <v>2:27</v>
      </c>
      <c r="AW54" s="1467"/>
    </row>
    <row r="55" ht="15.75" customHeight="1">
      <c r="A55" s="1427" t="s">
        <v>1340</v>
      </c>
      <c r="B55" s="1428" t="s">
        <v>8332</v>
      </c>
      <c r="C55" s="1506">
        <v>0.05140046296296296</v>
      </c>
      <c r="D55" s="1394" t="s">
        <v>9460</v>
      </c>
      <c r="E55" s="1394" t="s">
        <v>1571</v>
      </c>
      <c r="F55" s="1394" t="s">
        <v>9461</v>
      </c>
      <c r="G55" s="1508" t="s">
        <v>8336</v>
      </c>
      <c r="H55" s="1312" t="s">
        <v>9462</v>
      </c>
      <c r="I55" s="1394" t="s">
        <v>1669</v>
      </c>
      <c r="J55" s="1508" t="s">
        <v>8338</v>
      </c>
      <c r="K55" s="1394" t="s">
        <v>9463</v>
      </c>
      <c r="L55" s="1394" t="s">
        <v>9464</v>
      </c>
      <c r="M55" s="1508" t="s">
        <v>8339</v>
      </c>
      <c r="N55" s="1394" t="s">
        <v>9465</v>
      </c>
      <c r="O55" s="1394" t="s">
        <v>3365</v>
      </c>
      <c r="P55" s="1394" t="s">
        <v>1044</v>
      </c>
      <c r="Q55" s="1394" t="s">
        <v>9292</v>
      </c>
      <c r="R55" s="1394" t="s">
        <v>9466</v>
      </c>
      <c r="S55" s="1394" t="s">
        <v>9467</v>
      </c>
      <c r="T55" s="1394" t="s">
        <v>9468</v>
      </c>
      <c r="U55" s="1394" t="s">
        <v>9185</v>
      </c>
      <c r="V55" s="1394" t="s">
        <v>5635</v>
      </c>
      <c r="W55" s="1394" t="s">
        <v>9469</v>
      </c>
      <c r="X55" s="1394" t="s">
        <v>621</v>
      </c>
      <c r="Y55" s="1394" t="s">
        <v>9470</v>
      </c>
      <c r="Z55" s="1394" t="s">
        <v>9471</v>
      </c>
      <c r="AA55" s="1523" t="s">
        <v>8351</v>
      </c>
      <c r="AB55" s="1394" t="s">
        <v>5799</v>
      </c>
      <c r="AC55" s="1394" t="s">
        <v>4957</v>
      </c>
      <c r="AD55" s="1394" t="s">
        <v>8616</v>
      </c>
      <c r="AE55" s="1394" t="s">
        <v>2549</v>
      </c>
      <c r="AF55" s="1508" t="s">
        <v>3309</v>
      </c>
      <c r="AG55" s="1508" t="s">
        <v>4521</v>
      </c>
      <c r="AH55" s="1508" t="s">
        <v>5103</v>
      </c>
      <c r="AI55" s="1394" t="s">
        <v>9472</v>
      </c>
      <c r="AJ55" s="1394" t="s">
        <v>9473</v>
      </c>
      <c r="AK55" s="1394" t="s">
        <v>7366</v>
      </c>
      <c r="AL55" s="1394" t="s">
        <v>3730</v>
      </c>
      <c r="AM55" s="1394" t="s">
        <v>9474</v>
      </c>
      <c r="AN55" s="1394" t="s">
        <v>3407</v>
      </c>
      <c r="AO55" s="1508" t="s">
        <v>8361</v>
      </c>
      <c r="AP55" s="1524" t="s">
        <v>8362</v>
      </c>
      <c r="AQ55" s="1394" t="s">
        <v>3579</v>
      </c>
      <c r="AR55" s="1394" t="s">
        <v>9475</v>
      </c>
      <c r="AS55" s="1394" t="s">
        <v>5067</v>
      </c>
      <c r="AT55" s="1394" t="s">
        <v>9476</v>
      </c>
      <c r="AU55" s="1394" t="s">
        <v>8635</v>
      </c>
      <c r="AV55" s="1396" t="str">
        <f t="shared" si="1"/>
        <v>2:22</v>
      </c>
      <c r="AW55" s="1431" t="s">
        <v>9477</v>
      </c>
    </row>
    <row r="56" ht="15.75" customHeight="1">
      <c r="A56" s="1427" t="s">
        <v>7627</v>
      </c>
      <c r="B56" s="1505" t="s">
        <v>8275</v>
      </c>
      <c r="C56" s="1525">
        <v>0.05143518518518519</v>
      </c>
      <c r="D56" s="1435" t="s">
        <v>9478</v>
      </c>
      <c r="E56" s="1435" t="s">
        <v>4474</v>
      </c>
      <c r="F56" s="1435" t="s">
        <v>9479</v>
      </c>
      <c r="G56" s="1435" t="s">
        <v>8718</v>
      </c>
      <c r="H56" s="1482" t="s">
        <v>9480</v>
      </c>
      <c r="I56" s="1482" t="s">
        <v>6779</v>
      </c>
      <c r="J56" s="1437" t="s">
        <v>8937</v>
      </c>
      <c r="K56" s="1437" t="s">
        <v>9481</v>
      </c>
      <c r="L56" s="1437" t="s">
        <v>4520</v>
      </c>
      <c r="M56" s="1437" t="s">
        <v>7340</v>
      </c>
      <c r="N56" s="1526" t="s">
        <v>1091</v>
      </c>
      <c r="O56" s="1437" t="s">
        <v>3691</v>
      </c>
      <c r="P56" s="1437" t="s">
        <v>407</v>
      </c>
      <c r="Q56" s="1438" t="s">
        <v>9482</v>
      </c>
      <c r="R56" s="1438" t="s">
        <v>8896</v>
      </c>
      <c r="S56" s="1438" t="s">
        <v>9483</v>
      </c>
      <c r="T56" s="1438" t="s">
        <v>9173</v>
      </c>
      <c r="U56" s="1438" t="s">
        <v>8952</v>
      </c>
      <c r="V56" s="1438" t="s">
        <v>2152</v>
      </c>
      <c r="W56" s="1439" t="s">
        <v>5491</v>
      </c>
      <c r="X56" s="1439" t="s">
        <v>9276</v>
      </c>
      <c r="Y56" s="1439" t="s">
        <v>3075</v>
      </c>
      <c r="Z56" s="1439" t="s">
        <v>9484</v>
      </c>
      <c r="AA56" s="1439" t="s">
        <v>9276</v>
      </c>
      <c r="AB56" s="1439" t="s">
        <v>9075</v>
      </c>
      <c r="AC56" s="1439" t="s">
        <v>478</v>
      </c>
      <c r="AD56" s="1435" t="s">
        <v>9485</v>
      </c>
      <c r="AE56" s="1435" t="s">
        <v>5052</v>
      </c>
      <c r="AF56" s="1440" t="s">
        <v>9486</v>
      </c>
      <c r="AG56" s="1440" t="s">
        <v>9487</v>
      </c>
      <c r="AH56" s="1440" t="s">
        <v>3878</v>
      </c>
      <c r="AI56" s="1440" t="s">
        <v>9487</v>
      </c>
      <c r="AJ56" s="1440" t="s">
        <v>9488</v>
      </c>
      <c r="AK56" s="1527" t="s">
        <v>4464</v>
      </c>
      <c r="AL56" s="1440" t="s">
        <v>4232</v>
      </c>
      <c r="AM56" s="1442" t="s">
        <v>9489</v>
      </c>
      <c r="AN56" s="1442" t="s">
        <v>563</v>
      </c>
      <c r="AO56" s="1442" t="s">
        <v>3468</v>
      </c>
      <c r="AP56" s="1442" t="s">
        <v>9490</v>
      </c>
      <c r="AQ56" s="1312" t="s">
        <v>4423</v>
      </c>
      <c r="AR56" s="1528" t="s">
        <v>8544</v>
      </c>
      <c r="AS56" s="1442" t="s">
        <v>9491</v>
      </c>
      <c r="AT56" s="1437" t="s">
        <v>9492</v>
      </c>
      <c r="AU56" s="1425" t="s">
        <v>9493</v>
      </c>
      <c r="AV56" s="1396" t="str">
        <f t="shared" si="1"/>
        <v>4:08</v>
      </c>
      <c r="AW56" s="1447" t="s">
        <v>9494</v>
      </c>
    </row>
    <row r="57" ht="15.75" customHeight="1">
      <c r="A57" s="1427" t="s">
        <v>3788</v>
      </c>
      <c r="B57" s="1445" t="s">
        <v>8275</v>
      </c>
      <c r="C57" s="1387">
        <v>0.05153935185185185</v>
      </c>
      <c r="D57" s="1466" t="s">
        <v>9495</v>
      </c>
      <c r="E57" s="1466" t="s">
        <v>6495</v>
      </c>
      <c r="F57" s="1466" t="s">
        <v>9496</v>
      </c>
      <c r="G57" s="1466" t="s">
        <v>4798</v>
      </c>
      <c r="H57" s="1312" t="s">
        <v>9497</v>
      </c>
      <c r="I57" s="1466" t="s">
        <v>1286</v>
      </c>
      <c r="J57" s="1466" t="s">
        <v>9498</v>
      </c>
      <c r="K57" s="1466" t="s">
        <v>3376</v>
      </c>
      <c r="L57" s="1466" t="s">
        <v>4056</v>
      </c>
      <c r="M57" s="1466" t="s">
        <v>6941</v>
      </c>
      <c r="N57" s="1466" t="s">
        <v>9499</v>
      </c>
      <c r="O57" s="1466" t="s">
        <v>3521</v>
      </c>
      <c r="P57" s="1466" t="s">
        <v>6786</v>
      </c>
      <c r="Q57" s="1466" t="s">
        <v>9500</v>
      </c>
      <c r="R57" s="1466" t="s">
        <v>3169</v>
      </c>
      <c r="S57" s="1529" t="s">
        <v>9119</v>
      </c>
      <c r="T57" s="1466" t="s">
        <v>8900</v>
      </c>
      <c r="U57" s="1466" t="s">
        <v>9501</v>
      </c>
      <c r="V57" s="1466" t="s">
        <v>1701</v>
      </c>
      <c r="W57" s="1466" t="s">
        <v>9502</v>
      </c>
      <c r="X57" s="1466" t="s">
        <v>156</v>
      </c>
      <c r="Y57" s="1466" t="s">
        <v>2570</v>
      </c>
      <c r="Z57" s="1466" t="s">
        <v>7125</v>
      </c>
      <c r="AA57" s="1466" t="s">
        <v>891</v>
      </c>
      <c r="AB57" s="1466" t="s">
        <v>9503</v>
      </c>
      <c r="AC57" s="1466" t="s">
        <v>4957</v>
      </c>
      <c r="AD57" s="1466" t="s">
        <v>9504</v>
      </c>
      <c r="AE57" s="1466" t="s">
        <v>3678</v>
      </c>
      <c r="AF57" s="1530" t="s">
        <v>9505</v>
      </c>
      <c r="AG57" s="1466" t="s">
        <v>9506</v>
      </c>
      <c r="AH57" s="1466" t="s">
        <v>9507</v>
      </c>
      <c r="AI57" s="1466" t="s">
        <v>9508</v>
      </c>
      <c r="AJ57" s="1466" t="s">
        <v>9509</v>
      </c>
      <c r="AK57" s="1466" t="s">
        <v>4954</v>
      </c>
      <c r="AL57" s="1466" t="s">
        <v>9323</v>
      </c>
      <c r="AM57" s="1466" t="s">
        <v>9472</v>
      </c>
      <c r="AN57" s="1466" t="s">
        <v>2538</v>
      </c>
      <c r="AO57" s="1466" t="s">
        <v>5641</v>
      </c>
      <c r="AP57" s="1529" t="s">
        <v>9258</v>
      </c>
      <c r="AQ57" s="1466" t="s">
        <v>9510</v>
      </c>
      <c r="AR57" s="1466" t="s">
        <v>4879</v>
      </c>
      <c r="AS57" s="1466" t="s">
        <v>8864</v>
      </c>
      <c r="AT57" s="1466" t="s">
        <v>9511</v>
      </c>
      <c r="AU57" s="1466" t="s">
        <v>9512</v>
      </c>
      <c r="AV57" s="1531" t="str">
        <f t="shared" si="1"/>
        <v>2:41</v>
      </c>
      <c r="AW57" s="1532" t="s">
        <v>9513</v>
      </c>
    </row>
    <row r="58" ht="15.75" customHeight="1">
      <c r="A58" s="1385" t="s">
        <v>1874</v>
      </c>
      <c r="B58" s="1386" t="s">
        <v>8275</v>
      </c>
      <c r="C58" s="1387">
        <v>0.05157407407407407</v>
      </c>
      <c r="D58" s="1312" t="s">
        <v>9514</v>
      </c>
      <c r="E58" s="1435" t="s">
        <v>9515</v>
      </c>
      <c r="F58" s="1435" t="s">
        <v>9516</v>
      </c>
      <c r="G58" s="1453" t="s">
        <v>8960</v>
      </c>
      <c r="H58" s="1436" t="s">
        <v>9517</v>
      </c>
      <c r="I58" s="1436" t="s">
        <v>2014</v>
      </c>
      <c r="J58" s="1454" t="s">
        <v>5365</v>
      </c>
      <c r="K58" s="1454" t="s">
        <v>3240</v>
      </c>
      <c r="L58" s="1454" t="s">
        <v>9518</v>
      </c>
      <c r="M58" s="1454" t="s">
        <v>9167</v>
      </c>
      <c r="N58" s="1454" t="s">
        <v>1225</v>
      </c>
      <c r="O58" s="1454" t="s">
        <v>9469</v>
      </c>
      <c r="P58" s="1454" t="s">
        <v>8548</v>
      </c>
      <c r="Q58" s="1455" t="s">
        <v>9519</v>
      </c>
      <c r="R58" s="1455" t="s">
        <v>9520</v>
      </c>
      <c r="S58" s="1455" t="s">
        <v>9521</v>
      </c>
      <c r="T58" s="1455" t="s">
        <v>7129</v>
      </c>
      <c r="U58" s="1455" t="s">
        <v>7059</v>
      </c>
      <c r="V58" s="1455" t="s">
        <v>5013</v>
      </c>
      <c r="W58" s="1456" t="s">
        <v>9522</v>
      </c>
      <c r="X58" s="1456" t="s">
        <v>9523</v>
      </c>
      <c r="Y58" s="1456" t="s">
        <v>4041</v>
      </c>
      <c r="Z58" s="1456" t="s">
        <v>8352</v>
      </c>
      <c r="AA58" s="1456" t="s">
        <v>5854</v>
      </c>
      <c r="AB58" s="1456" t="s">
        <v>5561</v>
      </c>
      <c r="AC58" s="1456" t="s">
        <v>9524</v>
      </c>
      <c r="AD58" s="1435" t="s">
        <v>9525</v>
      </c>
      <c r="AE58" s="1453" t="s">
        <v>5415</v>
      </c>
      <c r="AF58" s="1457" t="s">
        <v>9526</v>
      </c>
      <c r="AG58" s="1457" t="s">
        <v>9527</v>
      </c>
      <c r="AH58" s="1457" t="s">
        <v>9528</v>
      </c>
      <c r="AI58" s="1457" t="s">
        <v>1035</v>
      </c>
      <c r="AJ58" s="1457" t="s">
        <v>9529</v>
      </c>
      <c r="AK58" s="1440" t="s">
        <v>621</v>
      </c>
      <c r="AL58" s="1440" t="s">
        <v>9530</v>
      </c>
      <c r="AM58" s="1441" t="s">
        <v>3307</v>
      </c>
      <c r="AN58" s="1441" t="s">
        <v>9531</v>
      </c>
      <c r="AO58" s="1441" t="s">
        <v>9532</v>
      </c>
      <c r="AP58" s="1441" t="s">
        <v>9533</v>
      </c>
      <c r="AQ58" s="1441" t="s">
        <v>9534</v>
      </c>
      <c r="AR58" s="1442" t="s">
        <v>7625</v>
      </c>
      <c r="AS58" s="1441" t="s">
        <v>4211</v>
      </c>
      <c r="AT58" s="1454" t="s">
        <v>9535</v>
      </c>
      <c r="AU58" s="1458" t="s">
        <v>9536</v>
      </c>
      <c r="AV58" s="1396" t="str">
        <f t="shared" si="1"/>
        <v>4:40</v>
      </c>
      <c r="AW58" s="1487" t="s">
        <v>9537</v>
      </c>
    </row>
    <row r="59" ht="15.75" customHeight="1">
      <c r="A59" s="1427" t="s">
        <v>9538</v>
      </c>
      <c r="B59" s="1445" t="s">
        <v>8275</v>
      </c>
      <c r="C59" s="1387">
        <v>0.051631944444444446</v>
      </c>
      <c r="D59" s="1435" t="s">
        <v>9539</v>
      </c>
      <c r="E59" s="1435" t="s">
        <v>6377</v>
      </c>
      <c r="F59" s="1435" t="s">
        <v>9140</v>
      </c>
      <c r="G59" s="1435" t="s">
        <v>9540</v>
      </c>
      <c r="H59" s="1482" t="s">
        <v>9541</v>
      </c>
      <c r="I59" s="1482" t="s">
        <v>9542</v>
      </c>
      <c r="J59" s="1437" t="s">
        <v>9543</v>
      </c>
      <c r="K59" s="1437" t="s">
        <v>7366</v>
      </c>
      <c r="L59" s="1437" t="s">
        <v>4376</v>
      </c>
      <c r="M59" s="1437" t="s">
        <v>9544</v>
      </c>
      <c r="N59" s="1437" t="s">
        <v>8897</v>
      </c>
      <c r="O59" s="1437" t="s">
        <v>9545</v>
      </c>
      <c r="P59" s="1437" t="s">
        <v>6410</v>
      </c>
      <c r="Q59" s="1438" t="s">
        <v>9546</v>
      </c>
      <c r="R59" s="1438" t="s">
        <v>9361</v>
      </c>
      <c r="S59" s="1438" t="s">
        <v>5495</v>
      </c>
      <c r="T59" s="1438" t="s">
        <v>5977</v>
      </c>
      <c r="U59" s="1438" t="s">
        <v>9547</v>
      </c>
      <c r="V59" s="1438" t="s">
        <v>9548</v>
      </c>
      <c r="W59" s="1439" t="s">
        <v>9549</v>
      </c>
      <c r="X59" s="1439" t="s">
        <v>621</v>
      </c>
      <c r="Y59" s="1439" t="s">
        <v>5002</v>
      </c>
      <c r="Z59" s="1439" t="s">
        <v>9550</v>
      </c>
      <c r="AA59" s="1394" t="s">
        <v>1755</v>
      </c>
      <c r="AB59" s="1439" t="s">
        <v>9130</v>
      </c>
      <c r="AC59" s="1439" t="s">
        <v>4606</v>
      </c>
      <c r="AD59" s="1435" t="s">
        <v>9551</v>
      </c>
      <c r="AE59" s="1435" t="s">
        <v>8771</v>
      </c>
      <c r="AF59" s="1533" t="s">
        <v>9552</v>
      </c>
      <c r="AG59" s="1440" t="s">
        <v>6473</v>
      </c>
      <c r="AH59" s="1440" t="s">
        <v>9528</v>
      </c>
      <c r="AI59" s="1440" t="s">
        <v>3031</v>
      </c>
      <c r="AJ59" s="1440" t="s">
        <v>9553</v>
      </c>
      <c r="AK59" s="1440" t="s">
        <v>1516</v>
      </c>
      <c r="AL59" s="1440" t="s">
        <v>4364</v>
      </c>
      <c r="AM59" s="1442" t="s">
        <v>5854</v>
      </c>
      <c r="AN59" s="1442" t="s">
        <v>5487</v>
      </c>
      <c r="AO59" s="1442" t="s">
        <v>6315</v>
      </c>
      <c r="AP59" s="1442" t="s">
        <v>9554</v>
      </c>
      <c r="AQ59" s="1442" t="s">
        <v>3247</v>
      </c>
      <c r="AR59" s="1442" t="s">
        <v>9093</v>
      </c>
      <c r="AS59" s="1442" t="s">
        <v>3829</v>
      </c>
      <c r="AT59" s="1437" t="s">
        <v>9555</v>
      </c>
      <c r="AU59" s="1425" t="s">
        <v>9556</v>
      </c>
      <c r="AV59" s="1396" t="str">
        <f t="shared" si="1"/>
        <v>2:25</v>
      </c>
      <c r="AW59" s="1483" t="s">
        <v>9557</v>
      </c>
    </row>
    <row r="60" ht="15.75" customHeight="1">
      <c r="A60" s="1470" t="s">
        <v>9558</v>
      </c>
      <c r="B60" s="1386" t="s">
        <v>8275</v>
      </c>
      <c r="C60" s="1488">
        <v>0.051631944444444446</v>
      </c>
      <c r="D60" s="1312" t="s">
        <v>9559</v>
      </c>
      <c r="E60" s="1531" t="s">
        <v>9560</v>
      </c>
      <c r="F60" s="1531" t="s">
        <v>8362</v>
      </c>
      <c r="G60" s="1531" t="s">
        <v>9561</v>
      </c>
      <c r="H60" s="1531" t="s">
        <v>9562</v>
      </c>
      <c r="I60" s="1531" t="s">
        <v>4957</v>
      </c>
      <c r="J60" s="1531" t="s">
        <v>3241</v>
      </c>
      <c r="K60" s="1531" t="s">
        <v>9563</v>
      </c>
      <c r="L60" s="1531" t="s">
        <v>5314</v>
      </c>
      <c r="M60" s="1531" t="s">
        <v>708</v>
      </c>
      <c r="N60" s="1531" t="s">
        <v>9564</v>
      </c>
      <c r="O60" s="1531" t="s">
        <v>4616</v>
      </c>
      <c r="P60" s="1531" t="s">
        <v>8309</v>
      </c>
      <c r="Q60" s="1531" t="s">
        <v>9565</v>
      </c>
      <c r="R60" s="1531" t="s">
        <v>9566</v>
      </c>
      <c r="S60" s="1531" t="s">
        <v>9350</v>
      </c>
      <c r="T60" s="1531" t="s">
        <v>9389</v>
      </c>
      <c r="U60" s="1531" t="s">
        <v>9567</v>
      </c>
      <c r="V60" s="1531" t="s">
        <v>9568</v>
      </c>
      <c r="W60" s="1531" t="s">
        <v>9569</v>
      </c>
      <c r="X60" s="1531" t="s">
        <v>9472</v>
      </c>
      <c r="Y60" s="1531" t="s">
        <v>4606</v>
      </c>
      <c r="Z60" s="1531" t="s">
        <v>7050</v>
      </c>
      <c r="AA60" s="1531" t="s">
        <v>8860</v>
      </c>
      <c r="AB60" s="1531" t="s">
        <v>9570</v>
      </c>
      <c r="AC60" s="1531" t="s">
        <v>384</v>
      </c>
      <c r="AD60" s="1531" t="s">
        <v>5937</v>
      </c>
      <c r="AE60" s="1531" t="s">
        <v>2938</v>
      </c>
      <c r="AF60" s="1531" t="s">
        <v>9264</v>
      </c>
      <c r="AG60" s="1531" t="s">
        <v>9571</v>
      </c>
      <c r="AH60" s="1531" t="s">
        <v>5274</v>
      </c>
      <c r="AI60" s="1531" t="s">
        <v>4143</v>
      </c>
      <c r="AJ60" s="1531" t="s">
        <v>9572</v>
      </c>
      <c r="AK60" s="1531" t="s">
        <v>9385</v>
      </c>
      <c r="AL60" s="1531" t="s">
        <v>4401</v>
      </c>
      <c r="AM60" s="1531" t="s">
        <v>9573</v>
      </c>
      <c r="AN60" s="1531" t="s">
        <v>8117</v>
      </c>
      <c r="AO60" s="1531" t="s">
        <v>5021</v>
      </c>
      <c r="AP60" s="1531" t="s">
        <v>9574</v>
      </c>
      <c r="AQ60" s="1531" t="s">
        <v>3272</v>
      </c>
      <c r="AR60" s="1531" t="s">
        <v>8881</v>
      </c>
      <c r="AS60" s="1531" t="s">
        <v>4475</v>
      </c>
      <c r="AT60" s="1531" t="s">
        <v>9575</v>
      </c>
      <c r="AU60" s="1534" t="str">
        <f>HYPERLINK("https://splits.io/pc9","1:16:48")</f>
        <v>1:16:48</v>
      </c>
      <c r="AV60" s="1531" t="str">
        <f t="shared" si="1"/>
        <v>2:27</v>
      </c>
      <c r="AW60" s="1535" t="s">
        <v>9576</v>
      </c>
    </row>
    <row r="61" ht="15.75" customHeight="1">
      <c r="A61" s="1385" t="s">
        <v>5558</v>
      </c>
      <c r="B61" s="1386" t="s">
        <v>8275</v>
      </c>
      <c r="C61" s="1488">
        <v>0.051631944444444446</v>
      </c>
      <c r="D61" s="1312" t="s">
        <v>9577</v>
      </c>
      <c r="E61" s="1531" t="s">
        <v>6495</v>
      </c>
      <c r="F61" s="1531" t="s">
        <v>9578</v>
      </c>
      <c r="G61" s="1531" t="s">
        <v>5187</v>
      </c>
      <c r="H61" s="1531" t="s">
        <v>9142</v>
      </c>
      <c r="I61" s="1531" t="s">
        <v>4606</v>
      </c>
      <c r="J61" s="1531" t="s">
        <v>9579</v>
      </c>
      <c r="K61" s="1531" t="s">
        <v>8155</v>
      </c>
      <c r="L61" s="1531" t="s">
        <v>5728</v>
      </c>
      <c r="M61" s="1531" t="s">
        <v>862</v>
      </c>
      <c r="N61" s="1531" t="s">
        <v>9580</v>
      </c>
      <c r="O61" s="1531" t="s">
        <v>9359</v>
      </c>
      <c r="P61" s="1531" t="s">
        <v>9267</v>
      </c>
      <c r="Q61" s="1531" t="s">
        <v>9581</v>
      </c>
      <c r="R61" s="1531" t="s">
        <v>9520</v>
      </c>
      <c r="S61" s="1531" t="s">
        <v>7007</v>
      </c>
      <c r="T61" s="1531" t="s">
        <v>9582</v>
      </c>
      <c r="U61" s="1531" t="s">
        <v>9583</v>
      </c>
      <c r="V61" s="1531" t="s">
        <v>9584</v>
      </c>
      <c r="W61" s="1531" t="s">
        <v>9585</v>
      </c>
      <c r="X61" s="1531" t="s">
        <v>9586</v>
      </c>
      <c r="Y61" s="1531" t="s">
        <v>1095</v>
      </c>
      <c r="Z61" s="1531" t="s">
        <v>4699</v>
      </c>
      <c r="AA61" s="1531" t="s">
        <v>9587</v>
      </c>
      <c r="AB61" s="1531" t="s">
        <v>7080</v>
      </c>
      <c r="AC61" s="1531" t="s">
        <v>3770</v>
      </c>
      <c r="AD61" s="1531" t="s">
        <v>9588</v>
      </c>
      <c r="AE61" s="1466" t="s">
        <v>5394</v>
      </c>
      <c r="AF61" s="1531" t="s">
        <v>9589</v>
      </c>
      <c r="AG61" s="1531" t="s">
        <v>9590</v>
      </c>
      <c r="AH61" s="1531" t="s">
        <v>2197</v>
      </c>
      <c r="AI61" s="1531" t="s">
        <v>5104</v>
      </c>
      <c r="AJ61" s="1531" t="s">
        <v>7932</v>
      </c>
      <c r="AK61" s="1531" t="s">
        <v>1618</v>
      </c>
      <c r="AL61" s="1531" t="s">
        <v>5487</v>
      </c>
      <c r="AM61" s="1531" t="s">
        <v>9591</v>
      </c>
      <c r="AN61" s="1531" t="s">
        <v>9592</v>
      </c>
      <c r="AO61" s="1531" t="s">
        <v>8523</v>
      </c>
      <c r="AP61" s="1531" t="s">
        <v>9593</v>
      </c>
      <c r="AQ61" s="1531" t="s">
        <v>9594</v>
      </c>
      <c r="AR61" s="1531" t="s">
        <v>4684</v>
      </c>
      <c r="AS61" s="1531" t="s">
        <v>2866</v>
      </c>
      <c r="AT61" s="1531" t="s">
        <v>9595</v>
      </c>
      <c r="AU61" s="1531" t="s">
        <v>9596</v>
      </c>
      <c r="AV61" s="1531" t="str">
        <f t="shared" si="1"/>
        <v>3:33</v>
      </c>
      <c r="AW61" s="1535"/>
    </row>
    <row r="62" ht="15.75" customHeight="1">
      <c r="A62" s="1385" t="s">
        <v>4060</v>
      </c>
      <c r="B62" s="1386" t="s">
        <v>8275</v>
      </c>
      <c r="C62" s="1488">
        <v>0.05164351851851852</v>
      </c>
      <c r="D62" s="1312" t="s">
        <v>9597</v>
      </c>
      <c r="E62" s="1531" t="s">
        <v>8447</v>
      </c>
      <c r="F62" s="1531" t="s">
        <v>9598</v>
      </c>
      <c r="G62" s="1531" t="s">
        <v>8336</v>
      </c>
      <c r="H62" s="1531" t="s">
        <v>9599</v>
      </c>
      <c r="I62" s="1531" t="s">
        <v>1286</v>
      </c>
      <c r="J62" s="1531" t="s">
        <v>801</v>
      </c>
      <c r="K62" s="1531" t="s">
        <v>6967</v>
      </c>
      <c r="L62" s="1531" t="s">
        <v>3308</v>
      </c>
      <c r="M62" s="1531" t="s">
        <v>9544</v>
      </c>
      <c r="N62" s="1531" t="s">
        <v>8597</v>
      </c>
      <c r="O62" s="1531" t="s">
        <v>9271</v>
      </c>
      <c r="P62" s="1531" t="s">
        <v>5052</v>
      </c>
      <c r="Q62" s="1531" t="s">
        <v>9600</v>
      </c>
      <c r="R62" s="1531" t="s">
        <v>3743</v>
      </c>
      <c r="S62" s="1531" t="s">
        <v>9601</v>
      </c>
      <c r="T62" s="1531" t="s">
        <v>9602</v>
      </c>
      <c r="U62" s="1531" t="s">
        <v>9603</v>
      </c>
      <c r="V62" s="1531" t="s">
        <v>9604</v>
      </c>
      <c r="W62" s="1531" t="s">
        <v>9605</v>
      </c>
      <c r="X62" s="1531" t="s">
        <v>600</v>
      </c>
      <c r="Y62" s="1531" t="s">
        <v>9606</v>
      </c>
      <c r="Z62" s="1531" t="s">
        <v>7388</v>
      </c>
      <c r="AA62" s="1531" t="s">
        <v>5499</v>
      </c>
      <c r="AB62" s="1531" t="s">
        <v>6316</v>
      </c>
      <c r="AC62" s="1531" t="s">
        <v>6444</v>
      </c>
      <c r="AD62" s="1531" t="s">
        <v>9607</v>
      </c>
      <c r="AE62" s="1531" t="s">
        <v>1974</v>
      </c>
      <c r="AF62" s="1531" t="s">
        <v>9608</v>
      </c>
      <c r="AG62" s="1531" t="s">
        <v>520</v>
      </c>
      <c r="AH62" s="1531" t="s">
        <v>5274</v>
      </c>
      <c r="AI62" s="1531" t="s">
        <v>9609</v>
      </c>
      <c r="AJ62" s="1531" t="s">
        <v>9610</v>
      </c>
      <c r="AK62" s="1531" t="s">
        <v>9611</v>
      </c>
      <c r="AL62" s="1531" t="s">
        <v>3944</v>
      </c>
      <c r="AM62" s="1531" t="s">
        <v>9009</v>
      </c>
      <c r="AN62" s="1531" t="s">
        <v>8641</v>
      </c>
      <c r="AO62" s="1531" t="s">
        <v>8371</v>
      </c>
      <c r="AP62" s="1531" t="s">
        <v>9612</v>
      </c>
      <c r="AQ62" s="1531" t="s">
        <v>9613</v>
      </c>
      <c r="AR62" s="1531" t="s">
        <v>3328</v>
      </c>
      <c r="AS62" s="1531" t="s">
        <v>9614</v>
      </c>
      <c r="AT62" s="1531" t="s">
        <v>9386</v>
      </c>
      <c r="AU62" s="1531" t="s">
        <v>9615</v>
      </c>
      <c r="AV62" s="1531" t="str">
        <f t="shared" si="1"/>
        <v>3:13</v>
      </c>
      <c r="AW62" s="1535" t="s">
        <v>9616</v>
      </c>
    </row>
    <row r="63" ht="15.75" customHeight="1">
      <c r="A63" s="1401" t="s">
        <v>822</v>
      </c>
      <c r="B63" s="1515" t="s">
        <v>8332</v>
      </c>
      <c r="C63" s="1516">
        <v>0.05167824074074074</v>
      </c>
      <c r="D63" s="1312" t="s">
        <v>9617</v>
      </c>
      <c r="E63" s="1531" t="s">
        <v>9618</v>
      </c>
      <c r="F63" s="1531" t="s">
        <v>9619</v>
      </c>
      <c r="G63" s="1531" t="s">
        <v>9620</v>
      </c>
      <c r="H63" s="1531" t="s">
        <v>9621</v>
      </c>
      <c r="I63" s="1531" t="s">
        <v>1962</v>
      </c>
      <c r="J63" s="1531" t="s">
        <v>9465</v>
      </c>
      <c r="K63" s="1531" t="s">
        <v>8574</v>
      </c>
      <c r="L63" s="1531" t="s">
        <v>1815</v>
      </c>
      <c r="M63" s="1531" t="s">
        <v>7113</v>
      </c>
      <c r="N63" s="1531" t="s">
        <v>9216</v>
      </c>
      <c r="O63" s="1531" t="s">
        <v>9622</v>
      </c>
      <c r="P63" s="1531" t="s">
        <v>2298</v>
      </c>
      <c r="Q63" s="1531" t="s">
        <v>715</v>
      </c>
      <c r="R63" s="1531" t="s">
        <v>9623</v>
      </c>
      <c r="S63" s="1531" t="s">
        <v>9624</v>
      </c>
      <c r="T63" s="1531" t="s">
        <v>9625</v>
      </c>
      <c r="U63" s="1531" t="s">
        <v>9201</v>
      </c>
      <c r="V63" s="1531" t="s">
        <v>482</v>
      </c>
      <c r="W63" s="1531" t="s">
        <v>5702</v>
      </c>
      <c r="X63" s="1531" t="s">
        <v>9626</v>
      </c>
      <c r="Y63" s="1531" t="s">
        <v>867</v>
      </c>
      <c r="Z63" s="1531" t="s">
        <v>3894</v>
      </c>
      <c r="AA63" s="1531" t="s">
        <v>1784</v>
      </c>
      <c r="AB63" s="1531" t="s">
        <v>9627</v>
      </c>
      <c r="AC63" s="1531" t="s">
        <v>9628</v>
      </c>
      <c r="AD63" s="1466" t="s">
        <v>9629</v>
      </c>
      <c r="AE63" s="1531" t="s">
        <v>1986</v>
      </c>
      <c r="AF63" s="1531" t="s">
        <v>9079</v>
      </c>
      <c r="AG63" s="1531" t="s">
        <v>6571</v>
      </c>
      <c r="AH63" s="1531" t="s">
        <v>4376</v>
      </c>
      <c r="AI63" s="1531" t="s">
        <v>6111</v>
      </c>
      <c r="AJ63" s="1531" t="s">
        <v>9630</v>
      </c>
      <c r="AK63" s="1531" t="s">
        <v>3557</v>
      </c>
      <c r="AL63" s="1531" t="s">
        <v>5103</v>
      </c>
      <c r="AM63" s="1531" t="s">
        <v>9631</v>
      </c>
      <c r="AN63" s="1531" t="s">
        <v>9632</v>
      </c>
      <c r="AO63" s="1531" t="s">
        <v>9633</v>
      </c>
      <c r="AP63" s="1531" t="s">
        <v>9634</v>
      </c>
      <c r="AQ63" s="1531" t="s">
        <v>9635</v>
      </c>
      <c r="AR63" s="1531" t="s">
        <v>9636</v>
      </c>
      <c r="AS63" s="1531" t="s">
        <v>9637</v>
      </c>
      <c r="AT63" s="1531" t="s">
        <v>9638</v>
      </c>
      <c r="AU63" s="1531" t="s">
        <v>9639</v>
      </c>
      <c r="AV63" s="1531" t="str">
        <f t="shared" si="1"/>
        <v>2:51</v>
      </c>
      <c r="AW63" s="1536"/>
    </row>
    <row r="64" ht="15.75" customHeight="1">
      <c r="A64" s="1427" t="s">
        <v>4568</v>
      </c>
      <c r="B64" s="1448" t="s">
        <v>8303</v>
      </c>
      <c r="C64" s="1488">
        <v>0.05170138888888889</v>
      </c>
      <c r="D64" s="1312" t="s">
        <v>9640</v>
      </c>
      <c r="E64" s="1531" t="s">
        <v>1773</v>
      </c>
      <c r="F64" s="1531" t="s">
        <v>9190</v>
      </c>
      <c r="G64" s="1531" t="s">
        <v>8680</v>
      </c>
      <c r="H64" s="1531" t="s">
        <v>9641</v>
      </c>
      <c r="I64" s="1531" t="s">
        <v>4995</v>
      </c>
      <c r="J64" s="1531" t="s">
        <v>9230</v>
      </c>
      <c r="K64" s="1531" t="s">
        <v>8523</v>
      </c>
      <c r="L64" s="1531" t="s">
        <v>3832</v>
      </c>
      <c r="M64" s="1531" t="s">
        <v>7321</v>
      </c>
      <c r="N64" s="1531" t="s">
        <v>5892</v>
      </c>
      <c r="O64" s="1531" t="s">
        <v>9335</v>
      </c>
      <c r="P64" s="1531" t="s">
        <v>478</v>
      </c>
      <c r="Q64" s="1531" t="s">
        <v>3022</v>
      </c>
      <c r="R64" s="1531" t="s">
        <v>9642</v>
      </c>
      <c r="S64" s="1531" t="s">
        <v>9532</v>
      </c>
      <c r="T64" s="1531" t="s">
        <v>2745</v>
      </c>
      <c r="U64" s="1531" t="s">
        <v>9643</v>
      </c>
      <c r="V64" s="1531" t="s">
        <v>9644</v>
      </c>
      <c r="W64" s="1531" t="s">
        <v>9569</v>
      </c>
      <c r="X64" s="1531" t="s">
        <v>3307</v>
      </c>
      <c r="Y64" s="1531" t="s">
        <v>2363</v>
      </c>
      <c r="Z64" s="1531" t="s">
        <v>155</v>
      </c>
      <c r="AA64" s="1531" t="s">
        <v>621</v>
      </c>
      <c r="AB64" s="1531" t="s">
        <v>9645</v>
      </c>
      <c r="AC64" s="1531" t="s">
        <v>921</v>
      </c>
      <c r="AD64" s="1531" t="s">
        <v>9289</v>
      </c>
      <c r="AE64" s="1531" t="s">
        <v>675</v>
      </c>
      <c r="AF64" s="1531" t="s">
        <v>9646</v>
      </c>
      <c r="AG64" s="1531" t="s">
        <v>9647</v>
      </c>
      <c r="AH64" s="1531" t="s">
        <v>9648</v>
      </c>
      <c r="AI64" s="1531" t="s">
        <v>9649</v>
      </c>
      <c r="AJ64" s="1531" t="s">
        <v>9650</v>
      </c>
      <c r="AK64" s="1531" t="s">
        <v>9234</v>
      </c>
      <c r="AL64" s="1531" t="s">
        <v>9651</v>
      </c>
      <c r="AM64" s="1531" t="s">
        <v>9508</v>
      </c>
      <c r="AN64" s="1531" t="s">
        <v>9652</v>
      </c>
      <c r="AO64" s="1531" t="s">
        <v>9280</v>
      </c>
      <c r="AP64" s="1531" t="s">
        <v>4449</v>
      </c>
      <c r="AQ64" s="1531" t="s">
        <v>9653</v>
      </c>
      <c r="AR64" s="1531" t="s">
        <v>9654</v>
      </c>
      <c r="AS64" s="1531" t="s">
        <v>6205</v>
      </c>
      <c r="AT64" s="1531" t="s">
        <v>9655</v>
      </c>
      <c r="AU64" s="1531" t="s">
        <v>9656</v>
      </c>
      <c r="AV64" s="1531" t="str">
        <f t="shared" si="1"/>
        <v>2:37</v>
      </c>
      <c r="AW64" s="1536" t="s">
        <v>9657</v>
      </c>
    </row>
    <row r="65" ht="15.75" customHeight="1">
      <c r="A65" s="1427" t="s">
        <v>4906</v>
      </c>
      <c r="B65" s="1428" t="s">
        <v>8303</v>
      </c>
      <c r="C65" s="1387">
        <v>0.05171296296296296</v>
      </c>
      <c r="D65" s="1499" t="s">
        <v>9658</v>
      </c>
      <c r="E65" s="1466" t="s">
        <v>9659</v>
      </c>
      <c r="F65" s="1466" t="s">
        <v>1465</v>
      </c>
      <c r="G65" s="1466" t="s">
        <v>9660</v>
      </c>
      <c r="H65" s="1466" t="s">
        <v>9661</v>
      </c>
      <c r="I65" s="1466" t="s">
        <v>9662</v>
      </c>
      <c r="J65" s="1466" t="s">
        <v>969</v>
      </c>
      <c r="K65" s="1466" t="s">
        <v>4834</v>
      </c>
      <c r="L65" s="1466" t="s">
        <v>1805</v>
      </c>
      <c r="M65" s="1537" t="s">
        <v>9663</v>
      </c>
      <c r="N65" s="1466" t="s">
        <v>9664</v>
      </c>
      <c r="O65" s="1466" t="s">
        <v>1694</v>
      </c>
      <c r="P65" s="1466" t="s">
        <v>5002</v>
      </c>
      <c r="Q65" s="1466" t="s">
        <v>9665</v>
      </c>
      <c r="R65" s="1466" t="s">
        <v>9666</v>
      </c>
      <c r="S65" s="1466" t="s">
        <v>3461</v>
      </c>
      <c r="T65" s="1466" t="s">
        <v>9667</v>
      </c>
      <c r="U65" s="1466" t="s">
        <v>9443</v>
      </c>
      <c r="V65" s="1537" t="s">
        <v>9668</v>
      </c>
      <c r="W65" s="1537" t="s">
        <v>9669</v>
      </c>
      <c r="X65" s="1466" t="s">
        <v>9341</v>
      </c>
      <c r="Y65" s="1312" t="s">
        <v>8962</v>
      </c>
      <c r="Z65" s="1466" t="s">
        <v>150</v>
      </c>
      <c r="AA65" s="1466" t="s">
        <v>1327</v>
      </c>
      <c r="AB65" s="1537" t="s">
        <v>9670</v>
      </c>
      <c r="AC65" s="1466" t="s">
        <v>1974</v>
      </c>
      <c r="AD65" s="1466" t="s">
        <v>9671</v>
      </c>
      <c r="AE65" s="1466" t="s">
        <v>3601</v>
      </c>
      <c r="AF65" s="1466" t="s">
        <v>9672</v>
      </c>
      <c r="AG65" s="1466" t="s">
        <v>520</v>
      </c>
      <c r="AH65" s="1466" t="s">
        <v>9673</v>
      </c>
      <c r="AI65" s="1466" t="s">
        <v>5302</v>
      </c>
      <c r="AJ65" s="1466" t="s">
        <v>9674</v>
      </c>
      <c r="AK65" s="1466" t="s">
        <v>9675</v>
      </c>
      <c r="AL65" s="1466" t="s">
        <v>1574</v>
      </c>
      <c r="AM65" s="1466" t="s">
        <v>9499</v>
      </c>
      <c r="AN65" s="1466" t="s">
        <v>9676</v>
      </c>
      <c r="AO65" s="1466" t="s">
        <v>2717</v>
      </c>
      <c r="AP65" s="1466" t="s">
        <v>1921</v>
      </c>
      <c r="AQ65" s="1466" t="s">
        <v>754</v>
      </c>
      <c r="AR65" s="1466" t="s">
        <v>9308</v>
      </c>
      <c r="AS65" s="1466" t="s">
        <v>6790</v>
      </c>
      <c r="AT65" s="1466" t="s">
        <v>9677</v>
      </c>
      <c r="AU65" s="1466" t="s">
        <v>9678</v>
      </c>
      <c r="AV65" s="1531" t="str">
        <f t="shared" si="1"/>
        <v>4:14</v>
      </c>
      <c r="AW65" s="1532" t="s">
        <v>9679</v>
      </c>
    </row>
    <row r="66" ht="15.75" customHeight="1">
      <c r="A66" s="1427" t="s">
        <v>2130</v>
      </c>
      <c r="B66" s="1514" t="s">
        <v>8303</v>
      </c>
      <c r="C66" s="1387">
        <v>0.05173611111111111</v>
      </c>
      <c r="D66" s="1312" t="s">
        <v>9680</v>
      </c>
      <c r="E66" s="1466" t="s">
        <v>9681</v>
      </c>
      <c r="F66" s="1466" t="s">
        <v>9682</v>
      </c>
      <c r="G66" s="1466" t="s">
        <v>9683</v>
      </c>
      <c r="H66" s="1466" t="s">
        <v>7253</v>
      </c>
      <c r="I66" s="1466" t="s">
        <v>489</v>
      </c>
      <c r="J66" s="1466" t="s">
        <v>8622</v>
      </c>
      <c r="K66" s="1466" t="s">
        <v>9684</v>
      </c>
      <c r="L66" s="1466" t="s">
        <v>6865</v>
      </c>
      <c r="M66" s="1466" t="s">
        <v>3346</v>
      </c>
      <c r="N66" s="1466" t="s">
        <v>9685</v>
      </c>
      <c r="O66" s="1466" t="s">
        <v>9686</v>
      </c>
      <c r="P66" s="1466" t="s">
        <v>3473</v>
      </c>
      <c r="Q66" s="1466" t="s">
        <v>9687</v>
      </c>
      <c r="R66" s="1466" t="s">
        <v>9623</v>
      </c>
      <c r="S66" s="1466" t="s">
        <v>5432</v>
      </c>
      <c r="T66" s="1466" t="s">
        <v>9688</v>
      </c>
      <c r="U66" s="1466" t="s">
        <v>9689</v>
      </c>
      <c r="V66" s="1466" t="s">
        <v>357</v>
      </c>
      <c r="W66" s="1466" t="s">
        <v>5504</v>
      </c>
      <c r="X66" s="1466" t="s">
        <v>9527</v>
      </c>
      <c r="Y66" s="1466" t="s">
        <v>1095</v>
      </c>
      <c r="Z66" s="1466" t="s">
        <v>9690</v>
      </c>
      <c r="AA66" s="1466" t="s">
        <v>8860</v>
      </c>
      <c r="AB66" s="1466" t="s">
        <v>6314</v>
      </c>
      <c r="AC66" s="1466" t="s">
        <v>160</v>
      </c>
      <c r="AD66" s="1466" t="s">
        <v>9551</v>
      </c>
      <c r="AE66" s="1466" t="s">
        <v>8933</v>
      </c>
      <c r="AF66" s="1466" t="s">
        <v>8947</v>
      </c>
      <c r="AG66" s="1466" t="s">
        <v>4714</v>
      </c>
      <c r="AH66" s="1466" t="s">
        <v>9691</v>
      </c>
      <c r="AI66" s="1466" t="s">
        <v>9692</v>
      </c>
      <c r="AJ66" s="1466" t="s">
        <v>9693</v>
      </c>
      <c r="AK66" s="1466" t="s">
        <v>8610</v>
      </c>
      <c r="AL66" s="1466" t="s">
        <v>9694</v>
      </c>
      <c r="AM66" s="1466" t="s">
        <v>2802</v>
      </c>
      <c r="AN66" s="1466" t="s">
        <v>3944</v>
      </c>
      <c r="AO66" s="1466" t="s">
        <v>9436</v>
      </c>
      <c r="AP66" s="1466" t="s">
        <v>9695</v>
      </c>
      <c r="AQ66" s="1466" t="s">
        <v>9696</v>
      </c>
      <c r="AR66" s="1466" t="s">
        <v>413</v>
      </c>
      <c r="AS66" s="1466" t="s">
        <v>9697</v>
      </c>
      <c r="AT66" s="1466" t="s">
        <v>9698</v>
      </c>
      <c r="AU66" s="1466" t="s">
        <v>9699</v>
      </c>
      <c r="AV66" s="1531" t="str">
        <f t="shared" si="1"/>
        <v>3:51</v>
      </c>
      <c r="AW66" s="1532" t="s">
        <v>9700</v>
      </c>
    </row>
    <row r="67" ht="15.75" customHeight="1">
      <c r="A67" s="1427" t="s">
        <v>8035</v>
      </c>
      <c r="B67" s="1445" t="s">
        <v>8332</v>
      </c>
      <c r="C67" s="1506">
        <v>0.051805555555555556</v>
      </c>
      <c r="D67" s="1466" t="s">
        <v>9701</v>
      </c>
      <c r="E67" s="1466" t="s">
        <v>9702</v>
      </c>
      <c r="F67" s="1312" t="s">
        <v>9703</v>
      </c>
      <c r="G67" s="1466" t="s">
        <v>9704</v>
      </c>
      <c r="H67" s="1405" t="s">
        <v>9705</v>
      </c>
      <c r="I67" s="1405">
        <v>49.81</v>
      </c>
      <c r="J67" s="1405" t="s">
        <v>9706</v>
      </c>
      <c r="K67" s="1405" t="s">
        <v>5996</v>
      </c>
      <c r="L67" s="1405">
        <v>59.57</v>
      </c>
      <c r="M67" s="1405" t="s">
        <v>9707</v>
      </c>
      <c r="N67" s="1405" t="s">
        <v>9708</v>
      </c>
      <c r="O67" s="1398" t="s">
        <v>7168</v>
      </c>
      <c r="P67" s="1398" t="s">
        <v>9709</v>
      </c>
      <c r="Q67" s="1398" t="s">
        <v>9710</v>
      </c>
      <c r="R67" s="1405" t="s">
        <v>9711</v>
      </c>
      <c r="S67" s="1405" t="s">
        <v>9350</v>
      </c>
      <c r="T67" s="1405" t="s">
        <v>9712</v>
      </c>
      <c r="U67" s="1405" t="s">
        <v>9713</v>
      </c>
      <c r="V67" s="1405" t="s">
        <v>4334</v>
      </c>
      <c r="W67" s="1405" t="s">
        <v>9714</v>
      </c>
      <c r="X67" s="1405" t="s">
        <v>9715</v>
      </c>
      <c r="Y67" s="1398" t="s">
        <v>9235</v>
      </c>
      <c r="Z67" s="1538" t="s">
        <v>8350</v>
      </c>
      <c r="AA67" s="1405" t="s">
        <v>197</v>
      </c>
      <c r="AB67" s="1398" t="s">
        <v>4105</v>
      </c>
      <c r="AC67" s="1405">
        <v>49.53</v>
      </c>
      <c r="AD67" s="1405" t="s">
        <v>1854</v>
      </c>
      <c r="AE67" s="1398" t="s">
        <v>9716</v>
      </c>
      <c r="AF67" s="1405" t="s">
        <v>8551</v>
      </c>
      <c r="AG67" s="1405" t="s">
        <v>9717</v>
      </c>
      <c r="AH67" s="1405">
        <v>59.93</v>
      </c>
      <c r="AI67" s="1405" t="s">
        <v>9718</v>
      </c>
      <c r="AJ67" s="1405" t="s">
        <v>9719</v>
      </c>
      <c r="AK67" s="1405" t="s">
        <v>5689</v>
      </c>
      <c r="AL67" s="1405">
        <v>59.13</v>
      </c>
      <c r="AM67" s="1405" t="s">
        <v>9654</v>
      </c>
      <c r="AN67" s="1405">
        <v>57.86</v>
      </c>
      <c r="AO67" s="1405" t="s">
        <v>7471</v>
      </c>
      <c r="AP67" s="1405" t="s">
        <v>9720</v>
      </c>
      <c r="AQ67" s="1405" t="s">
        <v>9241</v>
      </c>
      <c r="AR67" s="1405" t="s">
        <v>5887</v>
      </c>
      <c r="AS67" s="1405">
        <v>47.67</v>
      </c>
      <c r="AT67" s="1466" t="s">
        <v>9721</v>
      </c>
      <c r="AU67" s="1466" t="s">
        <v>9722</v>
      </c>
      <c r="AV67" s="1531" t="str">
        <f t="shared" si="1"/>
        <v>2:57</v>
      </c>
      <c r="AW67" s="1539" t="s">
        <v>9723</v>
      </c>
    </row>
    <row r="68" ht="15.75" customHeight="1">
      <c r="A68" s="1385" t="s">
        <v>2956</v>
      </c>
      <c r="B68" s="1448" t="s">
        <v>8303</v>
      </c>
      <c r="C68" s="1488">
        <v>0.051863425925925924</v>
      </c>
      <c r="D68" s="1312" t="s">
        <v>9724</v>
      </c>
      <c r="E68" s="1531" t="s">
        <v>6187</v>
      </c>
      <c r="F68" s="1531" t="s">
        <v>9725</v>
      </c>
      <c r="G68" s="1531" t="s">
        <v>9726</v>
      </c>
      <c r="H68" s="1531" t="s">
        <v>9727</v>
      </c>
      <c r="I68" s="1531" t="s">
        <v>2032</v>
      </c>
      <c r="J68" s="1531" t="s">
        <v>1672</v>
      </c>
      <c r="K68" s="1531" t="s">
        <v>1754</v>
      </c>
      <c r="L68" s="1531" t="s">
        <v>2964</v>
      </c>
      <c r="M68" s="1531" t="s">
        <v>9520</v>
      </c>
      <c r="N68" s="1531" t="s">
        <v>4954</v>
      </c>
      <c r="O68" s="1531" t="s">
        <v>9728</v>
      </c>
      <c r="P68" s="1531" t="s">
        <v>1229</v>
      </c>
      <c r="Q68" s="1531" t="s">
        <v>9729</v>
      </c>
      <c r="R68" s="1531" t="s">
        <v>8543</v>
      </c>
      <c r="S68" s="1531" t="s">
        <v>9730</v>
      </c>
      <c r="T68" s="1531" t="s">
        <v>9731</v>
      </c>
      <c r="U68" s="1531" t="s">
        <v>9732</v>
      </c>
      <c r="V68" s="1531" t="s">
        <v>9317</v>
      </c>
      <c r="W68" s="1531" t="s">
        <v>9733</v>
      </c>
      <c r="X68" s="1531" t="s">
        <v>9649</v>
      </c>
      <c r="Y68" s="1531" t="s">
        <v>3089</v>
      </c>
      <c r="Z68" s="1531" t="s">
        <v>2390</v>
      </c>
      <c r="AA68" s="1531" t="s">
        <v>9734</v>
      </c>
      <c r="AB68" s="1531" t="s">
        <v>8158</v>
      </c>
      <c r="AC68" s="1531" t="s">
        <v>921</v>
      </c>
      <c r="AD68" s="1531" t="s">
        <v>9735</v>
      </c>
      <c r="AE68" s="1531" t="s">
        <v>1113</v>
      </c>
      <c r="AF68" s="1531" t="s">
        <v>9736</v>
      </c>
      <c r="AG68" s="1531" t="s">
        <v>9737</v>
      </c>
      <c r="AH68" s="1531" t="s">
        <v>5314</v>
      </c>
      <c r="AI68" s="1531" t="s">
        <v>9692</v>
      </c>
      <c r="AJ68" s="1531" t="s">
        <v>9738</v>
      </c>
      <c r="AK68" s="1531" t="s">
        <v>1966</v>
      </c>
      <c r="AL68" s="1531" t="s">
        <v>6208</v>
      </c>
      <c r="AM68" s="1531" t="s">
        <v>9739</v>
      </c>
      <c r="AN68" s="1531" t="s">
        <v>9199</v>
      </c>
      <c r="AO68" s="1531" t="s">
        <v>8647</v>
      </c>
      <c r="AP68" s="1531" t="s">
        <v>9740</v>
      </c>
      <c r="AQ68" s="1531" t="s">
        <v>9741</v>
      </c>
      <c r="AR68" s="1531" t="s">
        <v>8481</v>
      </c>
      <c r="AS68" s="1531" t="s">
        <v>4675</v>
      </c>
      <c r="AT68" s="1531" t="s">
        <v>9742</v>
      </c>
      <c r="AU68" s="1531" t="s">
        <v>9743</v>
      </c>
      <c r="AV68" s="1531" t="str">
        <f t="shared" si="1"/>
        <v>2:06</v>
      </c>
      <c r="AW68" s="1532" t="s">
        <v>9744</v>
      </c>
    </row>
    <row r="69" ht="15.75" customHeight="1">
      <c r="A69" s="1385" t="s">
        <v>1056</v>
      </c>
      <c r="B69" s="1386" t="s">
        <v>8275</v>
      </c>
      <c r="C69" s="1488">
        <v>0.051875</v>
      </c>
      <c r="D69" s="1312" t="s">
        <v>9745</v>
      </c>
      <c r="E69" s="1531" t="s">
        <v>3549</v>
      </c>
      <c r="F69" s="1531" t="s">
        <v>9746</v>
      </c>
      <c r="G69" s="1531" t="s">
        <v>9747</v>
      </c>
      <c r="H69" s="1531" t="s">
        <v>9748</v>
      </c>
      <c r="I69" s="1531" t="s">
        <v>9749</v>
      </c>
      <c r="J69" s="1531" t="s">
        <v>2478</v>
      </c>
      <c r="K69" s="1531" t="s">
        <v>9750</v>
      </c>
      <c r="L69" s="1531" t="s">
        <v>8372</v>
      </c>
      <c r="M69" s="1531" t="s">
        <v>7340</v>
      </c>
      <c r="N69" s="1531" t="s">
        <v>9389</v>
      </c>
      <c r="O69" s="1531" t="s">
        <v>4389</v>
      </c>
      <c r="P69" s="1531" t="s">
        <v>1519</v>
      </c>
      <c r="Q69" s="1531" t="s">
        <v>9751</v>
      </c>
      <c r="R69" s="1531" t="s">
        <v>8968</v>
      </c>
      <c r="S69" s="1531" t="s">
        <v>4355</v>
      </c>
      <c r="T69" s="1531" t="s">
        <v>9752</v>
      </c>
      <c r="U69" s="1531" t="s">
        <v>9567</v>
      </c>
      <c r="V69" s="1531" t="s">
        <v>6201</v>
      </c>
      <c r="W69" s="1531" t="s">
        <v>4389</v>
      </c>
      <c r="X69" s="1531" t="s">
        <v>9177</v>
      </c>
      <c r="Y69" s="1531" t="s">
        <v>9237</v>
      </c>
      <c r="Z69" s="1531" t="s">
        <v>9753</v>
      </c>
      <c r="AA69" s="1531" t="s">
        <v>416</v>
      </c>
      <c r="AB69" s="1531" t="s">
        <v>615</v>
      </c>
      <c r="AC69" s="1531" t="s">
        <v>9754</v>
      </c>
      <c r="AD69" s="1531" t="s">
        <v>9607</v>
      </c>
      <c r="AE69" s="1531" t="s">
        <v>932</v>
      </c>
      <c r="AF69" s="1531" t="s">
        <v>9755</v>
      </c>
      <c r="AG69" s="1531" t="s">
        <v>9756</v>
      </c>
      <c r="AH69" s="1531" t="s">
        <v>9518</v>
      </c>
      <c r="AI69" s="1531" t="s">
        <v>9757</v>
      </c>
      <c r="AJ69" s="1531" t="s">
        <v>9758</v>
      </c>
      <c r="AK69" s="1531" t="s">
        <v>9759</v>
      </c>
      <c r="AL69" s="1531" t="s">
        <v>5503</v>
      </c>
      <c r="AM69" s="1531" t="s">
        <v>9760</v>
      </c>
      <c r="AN69" s="1531" t="s">
        <v>6051</v>
      </c>
      <c r="AO69" s="1466" t="s">
        <v>8544</v>
      </c>
      <c r="AP69" s="1531" t="s">
        <v>9761</v>
      </c>
      <c r="AQ69" s="1531" t="s">
        <v>9762</v>
      </c>
      <c r="AR69" s="1531" t="s">
        <v>8988</v>
      </c>
      <c r="AS69" s="1531" t="s">
        <v>9084</v>
      </c>
      <c r="AT69" s="1531" t="s">
        <v>9763</v>
      </c>
      <c r="AU69" s="1466" t="s">
        <v>9764</v>
      </c>
      <c r="AV69" s="1531" t="str">
        <f t="shared" si="1"/>
        <v>0:37</v>
      </c>
      <c r="AW69" s="1536" t="s">
        <v>9765</v>
      </c>
    </row>
    <row r="70">
      <c r="A70" s="1427" t="s">
        <v>7632</v>
      </c>
      <c r="B70" s="1428" t="s">
        <v>8275</v>
      </c>
      <c r="C70" s="1387">
        <v>0.05188657407407407</v>
      </c>
      <c r="D70" s="1466" t="s">
        <v>9766</v>
      </c>
      <c r="E70" s="1312" t="s">
        <v>859</v>
      </c>
      <c r="F70" s="1312" t="s">
        <v>9767</v>
      </c>
      <c r="G70" s="1312" t="s">
        <v>9768</v>
      </c>
      <c r="H70" s="1312" t="s">
        <v>9769</v>
      </c>
      <c r="I70" s="1312" t="s">
        <v>675</v>
      </c>
      <c r="J70" s="1312" t="s">
        <v>3982</v>
      </c>
      <c r="K70" s="1312" t="s">
        <v>8963</v>
      </c>
      <c r="L70" s="1312" t="s">
        <v>2696</v>
      </c>
      <c r="M70" s="1312" t="s">
        <v>9770</v>
      </c>
      <c r="N70" s="1312" t="s">
        <v>3811</v>
      </c>
      <c r="O70" s="1312" t="s">
        <v>9771</v>
      </c>
      <c r="P70" s="1312" t="s">
        <v>5054</v>
      </c>
      <c r="Q70" s="1312" t="s">
        <v>9772</v>
      </c>
      <c r="R70" s="1312" t="s">
        <v>5468</v>
      </c>
      <c r="S70" s="1312" t="s">
        <v>9773</v>
      </c>
      <c r="T70" s="1312" t="s">
        <v>8355</v>
      </c>
      <c r="U70" s="1312" t="s">
        <v>9774</v>
      </c>
      <c r="V70" s="1312" t="s">
        <v>5356</v>
      </c>
      <c r="W70" s="1312" t="s">
        <v>9775</v>
      </c>
      <c r="X70" s="1312" t="s">
        <v>9776</v>
      </c>
      <c r="Y70" s="1312" t="s">
        <v>9777</v>
      </c>
      <c r="Z70" s="1312" t="s">
        <v>8974</v>
      </c>
      <c r="AA70" s="1312" t="s">
        <v>5027</v>
      </c>
      <c r="AB70" s="1312" t="s">
        <v>684</v>
      </c>
      <c r="AC70" s="1312" t="s">
        <v>9778</v>
      </c>
      <c r="AD70" s="1312" t="s">
        <v>9779</v>
      </c>
      <c r="AE70" s="1312" t="s">
        <v>5670</v>
      </c>
      <c r="AF70" s="1312" t="s">
        <v>9780</v>
      </c>
      <c r="AG70" s="1312" t="s">
        <v>2329</v>
      </c>
      <c r="AH70" s="1312" t="s">
        <v>2696</v>
      </c>
      <c r="AI70" s="1312" t="s">
        <v>196</v>
      </c>
      <c r="AJ70" s="1312" t="s">
        <v>9781</v>
      </c>
      <c r="AK70" s="1312" t="s">
        <v>8980</v>
      </c>
      <c r="AL70" s="1312" t="s">
        <v>9464</v>
      </c>
      <c r="AM70" s="1312" t="s">
        <v>8949</v>
      </c>
      <c r="AN70" s="1312" t="s">
        <v>3340</v>
      </c>
      <c r="AO70" s="1312" t="s">
        <v>9782</v>
      </c>
      <c r="AP70" s="1312" t="s">
        <v>9414</v>
      </c>
      <c r="AQ70" s="1312" t="s">
        <v>9762</v>
      </c>
      <c r="AR70" s="1312" t="s">
        <v>9783</v>
      </c>
      <c r="AS70" s="1312" t="s">
        <v>6205</v>
      </c>
      <c r="AT70" s="1312" t="s">
        <v>9784</v>
      </c>
      <c r="AU70" s="1466" t="s">
        <v>9785</v>
      </c>
      <c r="AV70" s="1531" t="str">
        <f t="shared" si="1"/>
        <v>4:21</v>
      </c>
      <c r="AW70" s="1532" t="s">
        <v>9786</v>
      </c>
    </row>
    <row r="71" ht="15.75" customHeight="1">
      <c r="A71" s="1385" t="s">
        <v>4702</v>
      </c>
      <c r="B71" s="1515" t="s">
        <v>8332</v>
      </c>
      <c r="C71" s="1506">
        <v>0.051909722222222225</v>
      </c>
      <c r="D71" s="1540" t="s">
        <v>9787</v>
      </c>
      <c r="E71" s="1460" t="s">
        <v>2187</v>
      </c>
      <c r="F71" s="1460" t="s">
        <v>9788</v>
      </c>
      <c r="G71" s="1460" t="s">
        <v>9789</v>
      </c>
      <c r="H71" s="1460" t="s">
        <v>9790</v>
      </c>
      <c r="I71" s="1540">
        <v>49.97</v>
      </c>
      <c r="J71" s="1460" t="s">
        <v>2170</v>
      </c>
      <c r="K71" s="1460" t="s">
        <v>9791</v>
      </c>
      <c r="L71" s="1460" t="s">
        <v>4987</v>
      </c>
      <c r="M71" s="1460" t="s">
        <v>2942</v>
      </c>
      <c r="N71" s="1460" t="s">
        <v>4623</v>
      </c>
      <c r="O71" s="1460" t="s">
        <v>5695</v>
      </c>
      <c r="P71" s="1540">
        <v>48.99</v>
      </c>
      <c r="Q71" s="1460" t="s">
        <v>9792</v>
      </c>
      <c r="R71" s="1460" t="s">
        <v>9793</v>
      </c>
      <c r="S71" s="1460" t="s">
        <v>4052</v>
      </c>
      <c r="T71" s="1460" t="s">
        <v>9794</v>
      </c>
      <c r="U71" s="1460" t="s">
        <v>9795</v>
      </c>
      <c r="V71" s="1460" t="s">
        <v>2336</v>
      </c>
      <c r="W71" s="1460" t="s">
        <v>9796</v>
      </c>
      <c r="X71" s="1460" t="s">
        <v>9523</v>
      </c>
      <c r="Y71" s="1541">
        <v>47.93</v>
      </c>
      <c r="Z71" s="1460" t="s">
        <v>9797</v>
      </c>
      <c r="AA71" s="1460" t="s">
        <v>4975</v>
      </c>
      <c r="AB71" s="1460" t="s">
        <v>9503</v>
      </c>
      <c r="AC71" s="1538">
        <v>49.24</v>
      </c>
      <c r="AD71" s="1460" t="s">
        <v>8871</v>
      </c>
      <c r="AE71" s="1540">
        <v>49.87</v>
      </c>
      <c r="AF71" s="1460" t="s">
        <v>9798</v>
      </c>
      <c r="AG71" s="1460" t="s">
        <v>9799</v>
      </c>
      <c r="AH71" s="1540">
        <v>59.9</v>
      </c>
      <c r="AI71" s="1460" t="s">
        <v>9800</v>
      </c>
      <c r="AJ71" s="1542" t="s">
        <v>8356</v>
      </c>
      <c r="AK71" s="1460" t="s">
        <v>1879</v>
      </c>
      <c r="AL71" s="1540">
        <v>58.74</v>
      </c>
      <c r="AM71" s="1460" t="s">
        <v>1923</v>
      </c>
      <c r="AN71" s="1540">
        <v>57.51</v>
      </c>
      <c r="AO71" s="1460" t="s">
        <v>4767</v>
      </c>
      <c r="AP71" s="1460" t="s">
        <v>9801</v>
      </c>
      <c r="AQ71" s="1460" t="s">
        <v>3579</v>
      </c>
      <c r="AR71" s="1542" t="s">
        <v>6315</v>
      </c>
      <c r="AS71" s="1540">
        <v>47.44</v>
      </c>
      <c r="AT71" s="1460" t="s">
        <v>9802</v>
      </c>
      <c r="AU71" s="1466" t="s">
        <v>9803</v>
      </c>
      <c r="AV71" s="1531" t="str">
        <f t="shared" si="1"/>
        <v>2:59</v>
      </c>
      <c r="AW71" s="1532" t="s">
        <v>7608</v>
      </c>
    </row>
    <row r="72">
      <c r="A72" s="1427" t="s">
        <v>8200</v>
      </c>
      <c r="B72" s="1445" t="s">
        <v>8275</v>
      </c>
      <c r="C72" s="1387">
        <v>0.05193287037037037</v>
      </c>
      <c r="D72" s="1499" t="s">
        <v>9804</v>
      </c>
      <c r="E72" s="1466" t="s">
        <v>7369</v>
      </c>
      <c r="F72" s="1466" t="s">
        <v>9805</v>
      </c>
      <c r="G72" s="1466" t="s">
        <v>9806</v>
      </c>
      <c r="H72" s="1466" t="s">
        <v>9807</v>
      </c>
      <c r="I72" s="1466" t="s">
        <v>2298</v>
      </c>
      <c r="J72" s="1466" t="s">
        <v>4081</v>
      </c>
      <c r="K72" s="1466" t="s">
        <v>8902</v>
      </c>
      <c r="L72" s="1466"/>
      <c r="M72" s="1466" t="s">
        <v>6974</v>
      </c>
      <c r="N72" s="1466" t="s">
        <v>9158</v>
      </c>
      <c r="O72" s="1466" t="s">
        <v>8348</v>
      </c>
      <c r="P72" s="1466" t="s">
        <v>9407</v>
      </c>
      <c r="Q72" s="1466" t="s">
        <v>9808</v>
      </c>
      <c r="R72" s="1466" t="s">
        <v>9809</v>
      </c>
      <c r="S72" s="1466" t="s">
        <v>8698</v>
      </c>
      <c r="T72" s="1466" t="s">
        <v>8917</v>
      </c>
      <c r="U72" s="1466" t="s">
        <v>2217</v>
      </c>
      <c r="V72" s="1466" t="s">
        <v>8734</v>
      </c>
      <c r="W72" s="1466" t="s">
        <v>5695</v>
      </c>
      <c r="X72" s="1466" t="s">
        <v>621</v>
      </c>
      <c r="Y72" s="1466" t="s">
        <v>8713</v>
      </c>
      <c r="Z72" s="1466" t="s">
        <v>9149</v>
      </c>
      <c r="AA72" s="1466" t="s">
        <v>7484</v>
      </c>
      <c r="AB72" s="1466" t="s">
        <v>9415</v>
      </c>
      <c r="AC72" s="1466" t="s">
        <v>2840</v>
      </c>
      <c r="AD72" s="1466" t="s">
        <v>9810</v>
      </c>
      <c r="AE72" s="1466" t="s">
        <v>9811</v>
      </c>
      <c r="AF72" s="1466" t="s">
        <v>9812</v>
      </c>
      <c r="AG72" s="1466" t="s">
        <v>9571</v>
      </c>
      <c r="AH72" s="1466" t="s">
        <v>9813</v>
      </c>
      <c r="AI72" s="1466" t="s">
        <v>9814</v>
      </c>
      <c r="AJ72" s="1466" t="s">
        <v>9815</v>
      </c>
      <c r="AK72" s="1466" t="s">
        <v>9816</v>
      </c>
      <c r="AL72" s="1466" t="s">
        <v>3083</v>
      </c>
      <c r="AM72" s="1466" t="s">
        <v>9817</v>
      </c>
      <c r="AN72" s="1466" t="s">
        <v>3350</v>
      </c>
      <c r="AO72" s="1466" t="s">
        <v>9818</v>
      </c>
      <c r="AP72" s="1466" t="s">
        <v>9819</v>
      </c>
      <c r="AQ72" s="1466" t="s">
        <v>9820</v>
      </c>
      <c r="AR72" s="1466" t="s">
        <v>9821</v>
      </c>
      <c r="AS72" s="1466" t="s">
        <v>3515</v>
      </c>
      <c r="AT72" s="1466" t="s">
        <v>9822</v>
      </c>
      <c r="AU72" s="1466" t="s">
        <v>9823</v>
      </c>
      <c r="AV72" s="1531" t="str">
        <f t="shared" si="1"/>
        <v>4:12</v>
      </c>
      <c r="AW72" s="1536"/>
    </row>
    <row r="73" ht="15.75" customHeight="1">
      <c r="A73" s="1470" t="s">
        <v>9824</v>
      </c>
      <c r="B73" s="1386" t="s">
        <v>8275</v>
      </c>
      <c r="C73" s="1488">
        <v>0.05199074074074074</v>
      </c>
      <c r="D73" s="1312" t="s">
        <v>9825</v>
      </c>
      <c r="E73" s="1531" t="s">
        <v>5240</v>
      </c>
      <c r="F73" s="1531" t="s">
        <v>9826</v>
      </c>
      <c r="G73" s="1531" t="s">
        <v>9827</v>
      </c>
      <c r="H73" s="1531" t="s">
        <v>7282</v>
      </c>
      <c r="I73" s="1531" t="s">
        <v>4041</v>
      </c>
      <c r="J73" s="1531" t="s">
        <v>9828</v>
      </c>
      <c r="K73" s="1531" t="s">
        <v>9829</v>
      </c>
      <c r="L73" s="1531" t="s">
        <v>2964</v>
      </c>
      <c r="M73" s="1531" t="s">
        <v>9830</v>
      </c>
      <c r="N73" s="1531" t="s">
        <v>9081</v>
      </c>
      <c r="O73" s="1531" t="s">
        <v>9831</v>
      </c>
      <c r="P73" s="1531" t="s">
        <v>2353</v>
      </c>
      <c r="Q73" s="1531" t="s">
        <v>4910</v>
      </c>
      <c r="R73" s="1531" t="s">
        <v>5179</v>
      </c>
      <c r="S73" s="1531" t="s">
        <v>4705</v>
      </c>
      <c r="T73" s="1531" t="s">
        <v>5717</v>
      </c>
      <c r="U73" s="1531" t="s">
        <v>9832</v>
      </c>
      <c r="V73" s="1531" t="s">
        <v>6201</v>
      </c>
      <c r="W73" s="1531" t="s">
        <v>7640</v>
      </c>
      <c r="X73" s="1531" t="s">
        <v>9833</v>
      </c>
      <c r="Y73" s="1531" t="s">
        <v>2014</v>
      </c>
      <c r="Z73" s="1531" t="s">
        <v>9834</v>
      </c>
      <c r="AA73" s="1531" t="s">
        <v>9523</v>
      </c>
      <c r="AB73" s="1531" t="s">
        <v>9835</v>
      </c>
      <c r="AC73" s="1531" t="s">
        <v>8354</v>
      </c>
      <c r="AD73" s="1531" t="s">
        <v>9836</v>
      </c>
      <c r="AE73" s="1531" t="s">
        <v>6444</v>
      </c>
      <c r="AF73" s="1531" t="s">
        <v>9837</v>
      </c>
      <c r="AG73" s="1531" t="s">
        <v>9759</v>
      </c>
      <c r="AH73" s="1531" t="s">
        <v>9838</v>
      </c>
      <c r="AI73" s="1531" t="s">
        <v>9839</v>
      </c>
      <c r="AJ73" s="1531" t="s">
        <v>9840</v>
      </c>
      <c r="AK73" s="1531" t="s">
        <v>806</v>
      </c>
      <c r="AL73" s="1531" t="s">
        <v>3448</v>
      </c>
      <c r="AM73" s="1531" t="s">
        <v>9302</v>
      </c>
      <c r="AN73" s="1531" t="s">
        <v>9841</v>
      </c>
      <c r="AO73" s="1466" t="s">
        <v>7239</v>
      </c>
      <c r="AP73" s="1466" t="s">
        <v>9842</v>
      </c>
      <c r="AQ73" s="1531" t="s">
        <v>5216</v>
      </c>
      <c r="AR73" s="1531" t="s">
        <v>9843</v>
      </c>
      <c r="AS73" s="1531" t="s">
        <v>1156</v>
      </c>
      <c r="AT73" s="1531" t="s">
        <v>9408</v>
      </c>
      <c r="AU73" s="1534" t="str">
        <f>HYPERLINK("https://splits.io/m3t","1:18:40")</f>
        <v>1:18:40</v>
      </c>
      <c r="AV73" s="1531" t="str">
        <f t="shared" si="1"/>
        <v>3:48</v>
      </c>
      <c r="AW73" s="1535" t="s">
        <v>9844</v>
      </c>
    </row>
    <row r="74" ht="15.75" customHeight="1">
      <c r="A74" s="1470" t="s">
        <v>9845</v>
      </c>
      <c r="B74" s="1386" t="s">
        <v>8275</v>
      </c>
      <c r="C74" s="1488">
        <v>0.052002314814814814</v>
      </c>
      <c r="D74" s="1312" t="s">
        <v>9846</v>
      </c>
      <c r="E74" s="1531" t="s">
        <v>8565</v>
      </c>
      <c r="F74" s="1531" t="s">
        <v>9847</v>
      </c>
      <c r="G74" s="1531" t="s">
        <v>9848</v>
      </c>
      <c r="H74" s="1531" t="s">
        <v>9849</v>
      </c>
      <c r="I74" s="1531" t="s">
        <v>3351</v>
      </c>
      <c r="J74" s="1531" t="s">
        <v>8937</v>
      </c>
      <c r="K74" s="1531" t="s">
        <v>4355</v>
      </c>
      <c r="L74" s="1531" t="s">
        <v>3234</v>
      </c>
      <c r="M74" s="1531" t="s">
        <v>9566</v>
      </c>
      <c r="N74" s="1531" t="s">
        <v>4393</v>
      </c>
      <c r="O74" s="1531" t="s">
        <v>9850</v>
      </c>
      <c r="P74" s="1531" t="s">
        <v>9851</v>
      </c>
      <c r="Q74" s="1531" t="s">
        <v>113</v>
      </c>
      <c r="R74" s="1531" t="s">
        <v>1450</v>
      </c>
      <c r="S74" s="1531" t="s">
        <v>9024</v>
      </c>
      <c r="T74" s="1531" t="s">
        <v>521</v>
      </c>
      <c r="U74" s="1531" t="s">
        <v>1840</v>
      </c>
      <c r="V74" s="1531" t="s">
        <v>459</v>
      </c>
      <c r="W74" s="1531" t="s">
        <v>5645</v>
      </c>
      <c r="X74" s="1531" t="s">
        <v>9344</v>
      </c>
      <c r="Y74" s="1531" t="s">
        <v>2363</v>
      </c>
      <c r="Z74" s="1531" t="s">
        <v>5338</v>
      </c>
      <c r="AA74" s="1531" t="s">
        <v>9081</v>
      </c>
      <c r="AB74" s="1531" t="s">
        <v>9852</v>
      </c>
      <c r="AC74" s="1531" t="s">
        <v>2938</v>
      </c>
      <c r="AD74" s="1531" t="s">
        <v>9853</v>
      </c>
      <c r="AE74" s="1531" t="s">
        <v>5054</v>
      </c>
      <c r="AF74" s="1531" t="s">
        <v>9854</v>
      </c>
      <c r="AG74" s="1531" t="s">
        <v>9855</v>
      </c>
      <c r="AH74" s="1531" t="s">
        <v>2197</v>
      </c>
      <c r="AI74" s="1531" t="s">
        <v>9856</v>
      </c>
      <c r="AJ74" s="1531" t="s">
        <v>9857</v>
      </c>
      <c r="AK74" s="1531" t="s">
        <v>4505</v>
      </c>
      <c r="AL74" s="1531" t="s">
        <v>8377</v>
      </c>
      <c r="AM74" s="1531" t="s">
        <v>1455</v>
      </c>
      <c r="AN74" s="1531" t="s">
        <v>8451</v>
      </c>
      <c r="AO74" s="1531" t="s">
        <v>8729</v>
      </c>
      <c r="AP74" s="1531" t="s">
        <v>9858</v>
      </c>
      <c r="AQ74" s="1531" t="s">
        <v>9859</v>
      </c>
      <c r="AR74" s="1531" t="s">
        <v>9794</v>
      </c>
      <c r="AS74" s="1531" t="s">
        <v>9063</v>
      </c>
      <c r="AT74" s="1531" t="s">
        <v>9860</v>
      </c>
      <c r="AU74" s="1531" t="s">
        <v>9861</v>
      </c>
      <c r="AV74" s="1531" t="str">
        <f t="shared" si="1"/>
        <v>3:32</v>
      </c>
      <c r="AW74" s="1535" t="s">
        <v>9862</v>
      </c>
    </row>
    <row r="75" ht="15.75" customHeight="1">
      <c r="A75" s="1470" t="s">
        <v>9863</v>
      </c>
      <c r="B75" s="1448" t="s">
        <v>8303</v>
      </c>
      <c r="C75" s="1488">
        <v>0.05201388888888889</v>
      </c>
      <c r="D75" s="1312" t="s">
        <v>9864</v>
      </c>
      <c r="E75" s="1466" t="s">
        <v>9865</v>
      </c>
      <c r="F75" s="1531" t="s">
        <v>9866</v>
      </c>
      <c r="G75" s="1531" t="s">
        <v>9867</v>
      </c>
      <c r="H75" s="1531" t="s">
        <v>1567</v>
      </c>
      <c r="I75" s="1531" t="s">
        <v>9868</v>
      </c>
      <c r="J75" s="1531" t="s">
        <v>9869</v>
      </c>
      <c r="K75" s="1531" t="s">
        <v>4052</v>
      </c>
      <c r="L75" s="1531" t="s">
        <v>9870</v>
      </c>
      <c r="M75" s="1531" t="s">
        <v>9871</v>
      </c>
      <c r="N75" s="1531" t="s">
        <v>9872</v>
      </c>
      <c r="O75" s="1531" t="s">
        <v>9873</v>
      </c>
      <c r="P75" s="1531" t="s">
        <v>160</v>
      </c>
      <c r="Q75" s="1531" t="s">
        <v>9874</v>
      </c>
      <c r="R75" s="1531" t="s">
        <v>7161</v>
      </c>
      <c r="S75" s="1531" t="s">
        <v>9875</v>
      </c>
      <c r="T75" s="1531" t="s">
        <v>9876</v>
      </c>
      <c r="U75" s="1531" t="s">
        <v>9877</v>
      </c>
      <c r="V75" s="1531" t="s">
        <v>7871</v>
      </c>
      <c r="W75" s="1531" t="s">
        <v>9878</v>
      </c>
      <c r="X75" s="1531" t="s">
        <v>9344</v>
      </c>
      <c r="Y75" s="1531" t="s">
        <v>300</v>
      </c>
      <c r="Z75" s="1531" t="s">
        <v>2292</v>
      </c>
      <c r="AA75" s="1531" t="s">
        <v>5659</v>
      </c>
      <c r="AB75" s="1531" t="s">
        <v>8589</v>
      </c>
      <c r="AC75" s="1531" t="s">
        <v>851</v>
      </c>
      <c r="AD75" s="1531" t="s">
        <v>9879</v>
      </c>
      <c r="AE75" s="1531" t="s">
        <v>1095</v>
      </c>
      <c r="AF75" s="1531" t="s">
        <v>9880</v>
      </c>
      <c r="AG75" s="1531" t="s">
        <v>2802</v>
      </c>
      <c r="AH75" s="1531" t="s">
        <v>5895</v>
      </c>
      <c r="AI75" s="1531" t="s">
        <v>1734</v>
      </c>
      <c r="AJ75" s="1531" t="s">
        <v>9881</v>
      </c>
      <c r="AK75" s="1531" t="s">
        <v>3328</v>
      </c>
      <c r="AL75" s="1531" t="s">
        <v>3731</v>
      </c>
      <c r="AM75" s="1531" t="s">
        <v>924</v>
      </c>
      <c r="AN75" s="1531" t="s">
        <v>9651</v>
      </c>
      <c r="AO75" s="1531" t="s">
        <v>2200</v>
      </c>
      <c r="AP75" s="1531" t="s">
        <v>9882</v>
      </c>
      <c r="AQ75" s="1531" t="s">
        <v>1002</v>
      </c>
      <c r="AR75" s="1531" t="s">
        <v>8349</v>
      </c>
      <c r="AS75" s="1531" t="s">
        <v>9393</v>
      </c>
      <c r="AT75" s="1531" t="s">
        <v>9883</v>
      </c>
      <c r="AU75" s="1531" t="s">
        <v>9884</v>
      </c>
      <c r="AV75" s="1531" t="str">
        <f t="shared" si="1"/>
        <v>2:58</v>
      </c>
      <c r="AW75" s="1536" t="s">
        <v>9885</v>
      </c>
    </row>
    <row r="76" ht="15.75" customHeight="1">
      <c r="A76" s="1385" t="s">
        <v>6265</v>
      </c>
      <c r="B76" s="1448" t="s">
        <v>8303</v>
      </c>
      <c r="C76" s="1488">
        <v>0.05207175925925926</v>
      </c>
      <c r="D76" s="1312" t="s">
        <v>9886</v>
      </c>
      <c r="E76" s="1531" t="s">
        <v>9887</v>
      </c>
      <c r="F76" s="1531" t="s">
        <v>9888</v>
      </c>
      <c r="G76" s="1531" t="s">
        <v>9889</v>
      </c>
      <c r="H76" s="1531" t="s">
        <v>9890</v>
      </c>
      <c r="I76" s="1531" t="s">
        <v>4831</v>
      </c>
      <c r="J76" s="1531" t="s">
        <v>8842</v>
      </c>
      <c r="K76" s="1531" t="s">
        <v>9532</v>
      </c>
      <c r="L76" s="1531" t="s">
        <v>9891</v>
      </c>
      <c r="M76" s="1531" t="s">
        <v>2680</v>
      </c>
      <c r="N76" s="1531" t="s">
        <v>9892</v>
      </c>
      <c r="O76" s="1531" t="s">
        <v>9893</v>
      </c>
      <c r="P76" s="1531" t="s">
        <v>762</v>
      </c>
      <c r="Q76" s="1531" t="s">
        <v>9894</v>
      </c>
      <c r="R76" s="1531" t="s">
        <v>4789</v>
      </c>
      <c r="S76" s="1531" t="s">
        <v>5849</v>
      </c>
      <c r="T76" s="1531" t="s">
        <v>5717</v>
      </c>
      <c r="U76" s="1531" t="s">
        <v>9895</v>
      </c>
      <c r="V76" s="1531" t="s">
        <v>2336</v>
      </c>
      <c r="W76" s="1531" t="s">
        <v>8353</v>
      </c>
      <c r="X76" s="1531" t="s">
        <v>9896</v>
      </c>
      <c r="Y76" s="1531" t="s">
        <v>1406</v>
      </c>
      <c r="Z76" s="1531" t="s">
        <v>7104</v>
      </c>
      <c r="AA76" s="1531" t="s">
        <v>1480</v>
      </c>
      <c r="AB76" s="1531" t="s">
        <v>4173</v>
      </c>
      <c r="AC76" s="1531" t="s">
        <v>237</v>
      </c>
      <c r="AD76" s="1531" t="s">
        <v>9897</v>
      </c>
      <c r="AE76" s="1531" t="s">
        <v>2512</v>
      </c>
      <c r="AF76" s="1531" t="s">
        <v>9898</v>
      </c>
      <c r="AG76" s="1531" t="s">
        <v>9344</v>
      </c>
      <c r="AH76" s="1531" t="s">
        <v>6868</v>
      </c>
      <c r="AI76" s="1531" t="s">
        <v>9692</v>
      </c>
      <c r="AJ76" s="1531" t="s">
        <v>9899</v>
      </c>
      <c r="AK76" s="1531" t="s">
        <v>9900</v>
      </c>
      <c r="AL76" s="1531" t="s">
        <v>4122</v>
      </c>
      <c r="AM76" s="1531" t="s">
        <v>9433</v>
      </c>
      <c r="AN76" s="1531" t="s">
        <v>3731</v>
      </c>
      <c r="AO76" s="1531" t="s">
        <v>4052</v>
      </c>
      <c r="AP76" s="1531" t="s">
        <v>9169</v>
      </c>
      <c r="AQ76" s="1531" t="s">
        <v>9901</v>
      </c>
      <c r="AR76" s="1531" t="s">
        <v>1479</v>
      </c>
      <c r="AS76" s="1531" t="s">
        <v>5949</v>
      </c>
      <c r="AT76" s="1531" t="s">
        <v>7417</v>
      </c>
      <c r="AU76" s="1531" t="s">
        <v>9902</v>
      </c>
      <c r="AV76" s="1531" t="str">
        <f t="shared" si="1"/>
        <v>3:10</v>
      </c>
      <c r="AW76" s="1536" t="s">
        <v>9903</v>
      </c>
    </row>
    <row r="77">
      <c r="A77" s="1543" t="s">
        <v>3848</v>
      </c>
      <c r="B77" s="1515" t="s">
        <v>8332</v>
      </c>
      <c r="C77" s="1544">
        <v>0.052141203703703703</v>
      </c>
      <c r="D77" s="1312" t="s">
        <v>9904</v>
      </c>
      <c r="E77" s="1435" t="s">
        <v>2830</v>
      </c>
      <c r="F77" s="1435" t="s">
        <v>9905</v>
      </c>
      <c r="G77" s="1460" t="s">
        <v>9906</v>
      </c>
      <c r="H77" s="1460" t="s">
        <v>9907</v>
      </c>
      <c r="I77" s="1460" t="s">
        <v>2348</v>
      </c>
      <c r="J77" s="1460" t="s">
        <v>6713</v>
      </c>
      <c r="K77" s="1545" t="s">
        <v>6004</v>
      </c>
      <c r="L77" s="1546" t="s">
        <v>6865</v>
      </c>
      <c r="M77" s="1460" t="s">
        <v>9908</v>
      </c>
      <c r="N77" s="1460" t="s">
        <v>5717</v>
      </c>
      <c r="O77" s="1460" t="s">
        <v>5471</v>
      </c>
      <c r="P77" s="1460" t="s">
        <v>1974</v>
      </c>
      <c r="Q77" s="1460" t="s">
        <v>9909</v>
      </c>
      <c r="R77" s="1460" t="s">
        <v>2404</v>
      </c>
      <c r="S77" s="1547" t="s">
        <v>2215</v>
      </c>
      <c r="T77" s="1460" t="s">
        <v>8715</v>
      </c>
      <c r="U77" s="1460" t="s">
        <v>3199</v>
      </c>
      <c r="V77" s="1460" t="s">
        <v>9910</v>
      </c>
      <c r="W77" s="1460" t="s">
        <v>9911</v>
      </c>
      <c r="X77" s="1460" t="s">
        <v>4379</v>
      </c>
      <c r="Y77" s="1460" t="s">
        <v>2570</v>
      </c>
      <c r="Z77" s="1460" t="s">
        <v>4022</v>
      </c>
      <c r="AA77" s="1460" t="s">
        <v>173</v>
      </c>
      <c r="AB77" s="1460" t="s">
        <v>618</v>
      </c>
      <c r="AC77" s="1460" t="s">
        <v>2512</v>
      </c>
      <c r="AD77" s="1548" t="s">
        <v>8640</v>
      </c>
      <c r="AE77" s="1460" t="s">
        <v>474</v>
      </c>
      <c r="AF77" s="1460" t="s">
        <v>9912</v>
      </c>
      <c r="AG77" s="1460" t="s">
        <v>9913</v>
      </c>
      <c r="AH77" s="1460" t="s">
        <v>4450</v>
      </c>
      <c r="AI77" s="1460" t="s">
        <v>3762</v>
      </c>
      <c r="AJ77" s="1460" t="s">
        <v>9914</v>
      </c>
      <c r="AK77" s="1460" t="s">
        <v>9915</v>
      </c>
      <c r="AL77" s="1460" t="s">
        <v>4913</v>
      </c>
      <c r="AM77" s="1460" t="s">
        <v>9573</v>
      </c>
      <c r="AN77" s="1460" t="s">
        <v>9120</v>
      </c>
      <c r="AO77" s="1460" t="s">
        <v>8622</v>
      </c>
      <c r="AP77" s="1460" t="s">
        <v>9916</v>
      </c>
      <c r="AQ77" s="1545" t="s">
        <v>8363</v>
      </c>
      <c r="AR77" s="1460" t="s">
        <v>9917</v>
      </c>
      <c r="AS77" s="1542" t="s">
        <v>751</v>
      </c>
      <c r="AT77" s="1460" t="s">
        <v>9918</v>
      </c>
      <c r="AU77" s="1425" t="s">
        <v>9919</v>
      </c>
      <c r="AV77" s="1425" t="s">
        <v>9920</v>
      </c>
      <c r="AW77" s="1549" t="s">
        <v>9921</v>
      </c>
    </row>
    <row r="78">
      <c r="A78" s="1427" t="s">
        <v>3641</v>
      </c>
      <c r="B78" s="1445" t="s">
        <v>8275</v>
      </c>
      <c r="C78" s="1387">
        <v>0.0522337962962963</v>
      </c>
      <c r="D78" s="1499" t="s">
        <v>9922</v>
      </c>
      <c r="E78" s="1466" t="s">
        <v>9923</v>
      </c>
      <c r="F78" s="1466" t="s">
        <v>9924</v>
      </c>
      <c r="G78" s="1466" t="s">
        <v>9925</v>
      </c>
      <c r="H78" s="1466" t="s">
        <v>9926</v>
      </c>
      <c r="I78" s="1466" t="s">
        <v>141</v>
      </c>
      <c r="J78" s="1466" t="s">
        <v>7946</v>
      </c>
      <c r="K78" s="1466" t="s">
        <v>4355</v>
      </c>
      <c r="L78" s="1466" t="s">
        <v>6016</v>
      </c>
      <c r="M78" s="1466" t="s">
        <v>9927</v>
      </c>
      <c r="N78" s="1466" t="s">
        <v>9928</v>
      </c>
      <c r="O78" s="1466" t="s">
        <v>9929</v>
      </c>
      <c r="P78" s="1466" t="s">
        <v>5054</v>
      </c>
      <c r="Q78" s="1466" t="s">
        <v>4716</v>
      </c>
      <c r="R78" s="1466" t="s">
        <v>6002</v>
      </c>
      <c r="S78" s="1466" t="s">
        <v>600</v>
      </c>
      <c r="T78" s="1466" t="s">
        <v>9930</v>
      </c>
      <c r="U78" s="1466" t="s">
        <v>8669</v>
      </c>
      <c r="V78" s="1466" t="s">
        <v>9931</v>
      </c>
      <c r="W78" s="1466" t="s">
        <v>9932</v>
      </c>
      <c r="X78" s="1466" t="s">
        <v>9933</v>
      </c>
      <c r="Y78" s="1466" t="s">
        <v>756</v>
      </c>
      <c r="Z78" s="1466" t="s">
        <v>1787</v>
      </c>
      <c r="AA78" s="1312" t="s">
        <v>9934</v>
      </c>
      <c r="AB78" s="1466" t="s">
        <v>6810</v>
      </c>
      <c r="AC78" s="1466" t="s">
        <v>9716</v>
      </c>
      <c r="AD78" s="1466" t="s">
        <v>7279</v>
      </c>
      <c r="AE78" s="1466" t="s">
        <v>4793</v>
      </c>
      <c r="AF78" s="1550" t="s">
        <v>9935</v>
      </c>
      <c r="AG78" s="1466" t="s">
        <v>9936</v>
      </c>
      <c r="AH78" s="1466" t="s">
        <v>4974</v>
      </c>
      <c r="AI78" s="1466" t="s">
        <v>6467</v>
      </c>
      <c r="AJ78" s="1466" t="s">
        <v>9937</v>
      </c>
      <c r="AK78" s="1466" t="s">
        <v>9938</v>
      </c>
      <c r="AL78" s="1466" t="s">
        <v>9652</v>
      </c>
      <c r="AM78" s="1466" t="s">
        <v>9939</v>
      </c>
      <c r="AN78" s="1466" t="s">
        <v>1146</v>
      </c>
      <c r="AO78" s="1466" t="s">
        <v>9940</v>
      </c>
      <c r="AP78" s="1466" t="s">
        <v>5506</v>
      </c>
      <c r="AQ78" s="1466" t="s">
        <v>9941</v>
      </c>
      <c r="AR78" s="1466" t="s">
        <v>687</v>
      </c>
      <c r="AS78" s="1550" t="s">
        <v>3021</v>
      </c>
      <c r="AT78" s="1466" t="s">
        <v>9942</v>
      </c>
      <c r="AU78" s="1466" t="s">
        <v>9943</v>
      </c>
      <c r="AV78" s="1531" t="str">
        <f t="shared" ref="AV78:AV85" si="2">TEXT(AU78-C78,"m:ss")</f>
        <v>4:32</v>
      </c>
      <c r="AW78" s="1532" t="s">
        <v>9944</v>
      </c>
    </row>
    <row r="79">
      <c r="A79" s="1427" t="s">
        <v>5083</v>
      </c>
      <c r="B79" s="1428" t="s">
        <v>8303</v>
      </c>
      <c r="C79" s="1387">
        <v>0.05232638888888889</v>
      </c>
      <c r="D79" s="1499" t="s">
        <v>9945</v>
      </c>
      <c r="E79" s="1466" t="s">
        <v>1226</v>
      </c>
      <c r="F79" s="1466" t="s">
        <v>9946</v>
      </c>
      <c r="G79" s="1466" t="s">
        <v>9947</v>
      </c>
      <c r="H79" s="1466" t="s">
        <v>9948</v>
      </c>
      <c r="I79" s="1466" t="s">
        <v>1344</v>
      </c>
      <c r="J79" s="1466" t="s">
        <v>7561</v>
      </c>
      <c r="K79" s="1466" t="s">
        <v>9543</v>
      </c>
      <c r="L79" s="1466" t="s">
        <v>9949</v>
      </c>
      <c r="M79" s="1466" t="s">
        <v>7308</v>
      </c>
      <c r="N79" s="1466" t="s">
        <v>9950</v>
      </c>
      <c r="O79" s="1466" t="s">
        <v>9951</v>
      </c>
      <c r="P79" s="1466" t="s">
        <v>513</v>
      </c>
      <c r="Q79" s="1466" t="s">
        <v>9360</v>
      </c>
      <c r="R79" s="1466" t="s">
        <v>5311</v>
      </c>
      <c r="S79" s="1466" t="s">
        <v>9177</v>
      </c>
      <c r="T79" s="1466" t="s">
        <v>9952</v>
      </c>
      <c r="U79" s="1466" t="s">
        <v>9953</v>
      </c>
      <c r="V79" s="1466" t="s">
        <v>9954</v>
      </c>
      <c r="W79" s="1466" t="s">
        <v>6091</v>
      </c>
      <c r="X79" s="1466" t="s">
        <v>309</v>
      </c>
      <c r="Y79" s="1466" t="s">
        <v>6326</v>
      </c>
      <c r="Z79" s="1466" t="s">
        <v>778</v>
      </c>
      <c r="AA79" s="1531" t="s">
        <v>9177</v>
      </c>
      <c r="AB79" s="1466" t="s">
        <v>9955</v>
      </c>
      <c r="AC79" s="1466" t="s">
        <v>5997</v>
      </c>
      <c r="AD79" s="1466" t="s">
        <v>9956</v>
      </c>
      <c r="AE79" s="1466" t="s">
        <v>222</v>
      </c>
      <c r="AF79" s="1466" t="s">
        <v>7864</v>
      </c>
      <c r="AG79" s="1466" t="s">
        <v>3816</v>
      </c>
      <c r="AH79" s="1466" t="s">
        <v>1805</v>
      </c>
      <c r="AI79" s="1466" t="s">
        <v>415</v>
      </c>
      <c r="AJ79" s="1466" t="s">
        <v>9957</v>
      </c>
      <c r="AK79" s="1466" t="s">
        <v>9958</v>
      </c>
      <c r="AL79" s="1466" t="s">
        <v>9694</v>
      </c>
      <c r="AM79" s="1466" t="s">
        <v>2802</v>
      </c>
      <c r="AN79" s="1466" t="s">
        <v>5785</v>
      </c>
      <c r="AO79" s="1466" t="s">
        <v>3301</v>
      </c>
      <c r="AP79" s="1466" t="s">
        <v>9959</v>
      </c>
      <c r="AQ79" s="1466" t="s">
        <v>7307</v>
      </c>
      <c r="AR79" s="1466" t="s">
        <v>5996</v>
      </c>
      <c r="AS79" s="1466" t="s">
        <v>9960</v>
      </c>
      <c r="AT79" s="1466" t="s">
        <v>9961</v>
      </c>
      <c r="AU79" s="1466" t="s">
        <v>9962</v>
      </c>
      <c r="AV79" s="1531" t="str">
        <f t="shared" si="2"/>
        <v>3:48</v>
      </c>
      <c r="AW79" s="1536"/>
    </row>
    <row r="80" ht="15.75" customHeight="1">
      <c r="A80" s="1385" t="s">
        <v>9963</v>
      </c>
      <c r="B80" s="1386" t="s">
        <v>8275</v>
      </c>
      <c r="C80" s="1488">
        <v>0.05240740740740741</v>
      </c>
      <c r="D80" s="1312" t="s">
        <v>9964</v>
      </c>
      <c r="E80" s="1531" t="s">
        <v>1571</v>
      </c>
      <c r="F80" s="1531" t="s">
        <v>7575</v>
      </c>
      <c r="G80" s="1531" t="s">
        <v>9674</v>
      </c>
      <c r="H80" s="1531" t="s">
        <v>9965</v>
      </c>
      <c r="I80" s="1531" t="s">
        <v>9966</v>
      </c>
      <c r="J80" s="1531" t="s">
        <v>9967</v>
      </c>
      <c r="K80" s="1531" t="s">
        <v>5253</v>
      </c>
      <c r="L80" s="1531" t="s">
        <v>4384</v>
      </c>
      <c r="M80" s="1531" t="s">
        <v>4274</v>
      </c>
      <c r="N80" s="1531" t="s">
        <v>4696</v>
      </c>
      <c r="O80" s="1531" t="s">
        <v>9968</v>
      </c>
      <c r="P80" s="1531" t="s">
        <v>9969</v>
      </c>
      <c r="Q80" s="1531" t="s">
        <v>4063</v>
      </c>
      <c r="R80" s="1531" t="s">
        <v>2508</v>
      </c>
      <c r="S80" s="1531" t="s">
        <v>9436</v>
      </c>
      <c r="T80" s="1531" t="s">
        <v>4975</v>
      </c>
      <c r="U80" s="1531" t="s">
        <v>9970</v>
      </c>
      <c r="V80" s="1531" t="s">
        <v>9971</v>
      </c>
      <c r="W80" s="1531" t="s">
        <v>9972</v>
      </c>
      <c r="X80" s="1531" t="s">
        <v>9973</v>
      </c>
      <c r="Y80" s="1531" t="s">
        <v>6219</v>
      </c>
      <c r="Z80" s="1531" t="s">
        <v>9834</v>
      </c>
      <c r="AA80" s="1531" t="s">
        <v>1991</v>
      </c>
      <c r="AB80" s="1531" t="s">
        <v>9974</v>
      </c>
      <c r="AC80" s="1531" t="s">
        <v>1532</v>
      </c>
      <c r="AD80" s="1531" t="s">
        <v>9975</v>
      </c>
      <c r="AE80" s="1531" t="s">
        <v>1532</v>
      </c>
      <c r="AF80" s="1531" t="s">
        <v>9976</v>
      </c>
      <c r="AG80" s="1531" t="s">
        <v>9609</v>
      </c>
      <c r="AH80" s="1531" t="s">
        <v>2093</v>
      </c>
      <c r="AI80" s="1531" t="s">
        <v>3093</v>
      </c>
      <c r="AJ80" s="1531" t="s">
        <v>9977</v>
      </c>
      <c r="AK80" s="1531" t="s">
        <v>1783</v>
      </c>
      <c r="AL80" s="1531" t="s">
        <v>4142</v>
      </c>
      <c r="AM80" s="1531" t="s">
        <v>1120</v>
      </c>
      <c r="AN80" s="1531" t="s">
        <v>2831</v>
      </c>
      <c r="AO80" s="1531" t="s">
        <v>9978</v>
      </c>
      <c r="AP80" s="1531" t="s">
        <v>3358</v>
      </c>
      <c r="AQ80" s="1531" t="s">
        <v>2276</v>
      </c>
      <c r="AR80" s="1531" t="s">
        <v>9979</v>
      </c>
      <c r="AS80" s="1531" t="s">
        <v>8864</v>
      </c>
      <c r="AT80" s="1531" t="s">
        <v>8950</v>
      </c>
      <c r="AU80" s="1531" t="s">
        <v>9980</v>
      </c>
      <c r="AV80" s="1531" t="str">
        <f t="shared" si="2"/>
        <v>3:40</v>
      </c>
      <c r="AW80" s="1535" t="s">
        <v>9981</v>
      </c>
    </row>
    <row r="81" ht="15.75" customHeight="1">
      <c r="A81" s="1470" t="s">
        <v>9982</v>
      </c>
      <c r="B81" s="1386" t="s">
        <v>8275</v>
      </c>
      <c r="C81" s="1488">
        <v>0.05263888888888889</v>
      </c>
      <c r="D81" s="1312" t="s">
        <v>9983</v>
      </c>
      <c r="E81" s="1531" t="s">
        <v>9984</v>
      </c>
      <c r="F81" s="1531" t="s">
        <v>9985</v>
      </c>
      <c r="G81" s="1531" t="s">
        <v>9986</v>
      </c>
      <c r="H81" s="1531" t="s">
        <v>9987</v>
      </c>
      <c r="I81" s="1531" t="s">
        <v>9988</v>
      </c>
      <c r="J81" s="1531" t="s">
        <v>8697</v>
      </c>
      <c r="K81" s="1531" t="s">
        <v>3982</v>
      </c>
      <c r="L81" s="1531" t="s">
        <v>4056</v>
      </c>
      <c r="M81" s="1531" t="s">
        <v>8972</v>
      </c>
      <c r="N81" s="1531" t="s">
        <v>9989</v>
      </c>
      <c r="O81" s="1531" t="s">
        <v>8320</v>
      </c>
      <c r="P81" s="1531" t="s">
        <v>478</v>
      </c>
      <c r="Q81" s="1531" t="s">
        <v>9990</v>
      </c>
      <c r="R81" s="1531" t="s">
        <v>5468</v>
      </c>
      <c r="S81" s="1531" t="s">
        <v>1969</v>
      </c>
      <c r="T81" s="1531" t="s">
        <v>9991</v>
      </c>
      <c r="U81" s="1531" t="s">
        <v>9992</v>
      </c>
      <c r="V81" s="1531" t="s">
        <v>9993</v>
      </c>
      <c r="W81" s="1531" t="s">
        <v>9994</v>
      </c>
      <c r="X81" s="1531" t="s">
        <v>5569</v>
      </c>
      <c r="Y81" s="1531" t="s">
        <v>1532</v>
      </c>
      <c r="Z81" s="1531" t="s">
        <v>6316</v>
      </c>
      <c r="AA81" s="1466" t="s">
        <v>7489</v>
      </c>
      <c r="AB81" s="1531" t="s">
        <v>5238</v>
      </c>
      <c r="AC81" s="1531" t="s">
        <v>9995</v>
      </c>
      <c r="AD81" s="1531" t="s">
        <v>2871</v>
      </c>
      <c r="AE81" s="1531" t="s">
        <v>4861</v>
      </c>
      <c r="AF81" s="1531" t="s">
        <v>9996</v>
      </c>
      <c r="AG81" s="1531" t="s">
        <v>2704</v>
      </c>
      <c r="AH81" s="1531" t="s">
        <v>6462</v>
      </c>
      <c r="AI81" s="1531" t="s">
        <v>9997</v>
      </c>
      <c r="AJ81" s="1531" t="s">
        <v>9998</v>
      </c>
      <c r="AK81" s="1531" t="s">
        <v>9341</v>
      </c>
      <c r="AL81" s="1531" t="s">
        <v>9999</v>
      </c>
      <c r="AM81" s="1531" t="s">
        <v>10000</v>
      </c>
      <c r="AN81" s="1531" t="s">
        <v>3730</v>
      </c>
      <c r="AO81" s="1531" t="s">
        <v>8622</v>
      </c>
      <c r="AP81" s="1531" t="s">
        <v>10001</v>
      </c>
      <c r="AQ81" s="1531" t="s">
        <v>10002</v>
      </c>
      <c r="AR81" s="1531" t="s">
        <v>154</v>
      </c>
      <c r="AS81" s="1531" t="s">
        <v>1156</v>
      </c>
      <c r="AT81" s="1531" t="s">
        <v>10003</v>
      </c>
      <c r="AU81" s="1531" t="s">
        <v>10004</v>
      </c>
      <c r="AV81" s="1531" t="str">
        <f t="shared" si="2"/>
        <v>4:28</v>
      </c>
      <c r="AW81" s="1535" t="s">
        <v>10005</v>
      </c>
    </row>
    <row r="82">
      <c r="A82" s="1427" t="s">
        <v>3324</v>
      </c>
      <c r="B82" s="1505" t="s">
        <v>8332</v>
      </c>
      <c r="C82" s="1506">
        <v>0.052662037037037035</v>
      </c>
      <c r="D82" s="1312" t="s">
        <v>10006</v>
      </c>
      <c r="E82" s="1312" t="s">
        <v>525</v>
      </c>
      <c r="F82" s="1312" t="s">
        <v>10007</v>
      </c>
      <c r="G82" s="1312" t="s">
        <v>10008</v>
      </c>
      <c r="H82" s="1312" t="s">
        <v>8497</v>
      </c>
      <c r="I82" s="1312" t="s">
        <v>3948</v>
      </c>
      <c r="J82" s="1312" t="s">
        <v>9217</v>
      </c>
      <c r="K82" s="1312" t="s">
        <v>10009</v>
      </c>
      <c r="L82" s="1312" t="s">
        <v>2697</v>
      </c>
      <c r="M82" s="1312" t="s">
        <v>267</v>
      </c>
      <c r="N82" s="1312" t="s">
        <v>8760</v>
      </c>
      <c r="O82" s="1312" t="s">
        <v>10010</v>
      </c>
      <c r="P82" s="1312" t="s">
        <v>2053</v>
      </c>
      <c r="Q82" s="1312" t="s">
        <v>10011</v>
      </c>
      <c r="R82" s="1312" t="s">
        <v>10012</v>
      </c>
      <c r="S82" s="1312" t="s">
        <v>10013</v>
      </c>
      <c r="T82" s="1312" t="s">
        <v>10014</v>
      </c>
      <c r="U82" s="1312" t="s">
        <v>10015</v>
      </c>
      <c r="V82" s="1312" t="s">
        <v>10016</v>
      </c>
      <c r="W82" s="1312" t="s">
        <v>10017</v>
      </c>
      <c r="X82" s="1312" t="s">
        <v>2668</v>
      </c>
      <c r="Y82" s="1312" t="s">
        <v>3035</v>
      </c>
      <c r="Z82" s="1312" t="s">
        <v>6105</v>
      </c>
      <c r="AA82" s="1466" t="s">
        <v>10018</v>
      </c>
      <c r="AB82" s="1312" t="s">
        <v>10019</v>
      </c>
      <c r="AC82" s="1312" t="s">
        <v>6328</v>
      </c>
      <c r="AD82" s="1551" t="s">
        <v>8353</v>
      </c>
      <c r="AE82" s="1312" t="s">
        <v>332</v>
      </c>
      <c r="AF82" s="1312" t="s">
        <v>10020</v>
      </c>
      <c r="AG82" s="1312" t="s">
        <v>7226</v>
      </c>
      <c r="AH82" s="1312" t="s">
        <v>3417</v>
      </c>
      <c r="AI82" s="1312" t="s">
        <v>10021</v>
      </c>
      <c r="AJ82" s="1312" t="s">
        <v>10022</v>
      </c>
      <c r="AK82" s="1312" t="s">
        <v>10023</v>
      </c>
      <c r="AL82" s="1312" t="s">
        <v>4520</v>
      </c>
      <c r="AM82" s="1312" t="s">
        <v>5644</v>
      </c>
      <c r="AN82" s="1551" t="s">
        <v>8360</v>
      </c>
      <c r="AO82" s="1312" t="s">
        <v>10024</v>
      </c>
      <c r="AP82" s="1312" t="s">
        <v>10025</v>
      </c>
      <c r="AQ82" s="1312" t="s">
        <v>10026</v>
      </c>
      <c r="AR82" s="1312" t="s">
        <v>5824</v>
      </c>
      <c r="AS82" s="1312" t="s">
        <v>8879</v>
      </c>
      <c r="AT82" s="1312" t="s">
        <v>10027</v>
      </c>
      <c r="AU82" s="1552" t="s">
        <v>10028</v>
      </c>
      <c r="AV82" s="1531" t="str">
        <f t="shared" si="2"/>
        <v>4:43</v>
      </c>
      <c r="AW82" s="1539" t="s">
        <v>10029</v>
      </c>
    </row>
    <row r="83" ht="15.75" customHeight="1">
      <c r="A83" s="1427" t="s">
        <v>10030</v>
      </c>
      <c r="B83" s="1428" t="s">
        <v>8275</v>
      </c>
      <c r="C83" s="1387">
        <v>0.05267361111111111</v>
      </c>
      <c r="D83" s="1499" t="s">
        <v>9396</v>
      </c>
      <c r="E83" s="1466" t="s">
        <v>859</v>
      </c>
      <c r="F83" s="1466" t="s">
        <v>7252</v>
      </c>
      <c r="G83" s="1466" t="s">
        <v>10031</v>
      </c>
      <c r="H83" s="1466" t="s">
        <v>10032</v>
      </c>
      <c r="I83" s="1466" t="s">
        <v>5498</v>
      </c>
      <c r="J83" s="1312" t="s">
        <v>10033</v>
      </c>
      <c r="K83" s="1466" t="s">
        <v>10034</v>
      </c>
      <c r="L83" s="1466" t="s">
        <v>3417</v>
      </c>
      <c r="M83" s="1466" t="s">
        <v>7208</v>
      </c>
      <c r="N83" s="1466" t="s">
        <v>10035</v>
      </c>
      <c r="O83" s="1466" t="s">
        <v>10036</v>
      </c>
      <c r="P83" s="1466" t="s">
        <v>4041</v>
      </c>
      <c r="Q83" s="1466" t="s">
        <v>10037</v>
      </c>
      <c r="R83" s="1466" t="s">
        <v>5517</v>
      </c>
      <c r="S83" s="1466" t="s">
        <v>7245</v>
      </c>
      <c r="T83" s="1466" t="s">
        <v>10038</v>
      </c>
      <c r="U83" s="1466" t="s">
        <v>10039</v>
      </c>
      <c r="V83" s="1466" t="s">
        <v>9026</v>
      </c>
      <c r="W83" s="1466" t="s">
        <v>10040</v>
      </c>
      <c r="X83" s="1466" t="s">
        <v>2329</v>
      </c>
      <c r="Y83" s="1466" t="s">
        <v>8933</v>
      </c>
      <c r="Z83" s="1466" t="s">
        <v>8470</v>
      </c>
      <c r="AA83" s="1466" t="s">
        <v>10041</v>
      </c>
      <c r="AB83" s="1466" t="s">
        <v>9601</v>
      </c>
      <c r="AC83" s="1466" t="s">
        <v>8802</v>
      </c>
      <c r="AD83" s="1466" t="s">
        <v>10042</v>
      </c>
      <c r="AE83" s="1466" t="s">
        <v>2298</v>
      </c>
      <c r="AF83" s="1466" t="s">
        <v>10043</v>
      </c>
      <c r="AG83" s="1466" t="s">
        <v>10044</v>
      </c>
      <c r="AH83" s="1466" t="s">
        <v>4056</v>
      </c>
      <c r="AI83" s="1466" t="s">
        <v>10045</v>
      </c>
      <c r="AJ83" s="1466" t="s">
        <v>10046</v>
      </c>
      <c r="AK83" s="1466" t="s">
        <v>1601</v>
      </c>
      <c r="AL83" s="1466" t="s">
        <v>2553</v>
      </c>
      <c r="AM83" s="1466" t="s">
        <v>1601</v>
      </c>
      <c r="AN83" s="1466" t="s">
        <v>2553</v>
      </c>
      <c r="AO83" s="1466" t="s">
        <v>5887</v>
      </c>
      <c r="AP83" s="1466" t="s">
        <v>10047</v>
      </c>
      <c r="AQ83" s="1466" t="s">
        <v>2149</v>
      </c>
      <c r="AR83" s="1466" t="s">
        <v>9859</v>
      </c>
      <c r="AS83" s="1466" t="s">
        <v>3575</v>
      </c>
      <c r="AT83" s="1466" t="s">
        <v>10048</v>
      </c>
      <c r="AU83" s="1466" t="s">
        <v>10049</v>
      </c>
      <c r="AV83" s="1531" t="str">
        <f t="shared" si="2"/>
        <v>5:58</v>
      </c>
      <c r="AW83" s="1532" t="s">
        <v>10050</v>
      </c>
    </row>
    <row r="84" ht="15.75" customHeight="1">
      <c r="A84" s="1385" t="s">
        <v>5815</v>
      </c>
      <c r="B84" s="1448" t="s">
        <v>8303</v>
      </c>
      <c r="C84" s="1488">
        <v>0.05275462962962963</v>
      </c>
      <c r="D84" s="1312" t="s">
        <v>10051</v>
      </c>
      <c r="E84" s="1531" t="s">
        <v>9419</v>
      </c>
      <c r="F84" s="1531" t="s">
        <v>10052</v>
      </c>
      <c r="G84" s="1531" t="s">
        <v>8551</v>
      </c>
      <c r="H84" s="1531" t="s">
        <v>7074</v>
      </c>
      <c r="I84" s="1531" t="s">
        <v>2231</v>
      </c>
      <c r="J84" s="1531" t="s">
        <v>3999</v>
      </c>
      <c r="K84" s="1531" t="s">
        <v>9730</v>
      </c>
      <c r="L84" s="1531" t="s">
        <v>5154</v>
      </c>
      <c r="M84" s="1531" t="s">
        <v>3981</v>
      </c>
      <c r="N84" s="1531" t="s">
        <v>10053</v>
      </c>
      <c r="O84" s="1531" t="s">
        <v>10054</v>
      </c>
      <c r="P84" s="1531" t="s">
        <v>6067</v>
      </c>
      <c r="Q84" s="1531" t="s">
        <v>10055</v>
      </c>
      <c r="R84" s="1531" t="s">
        <v>10056</v>
      </c>
      <c r="S84" s="1531" t="s">
        <v>8294</v>
      </c>
      <c r="T84" s="1531" t="s">
        <v>2559</v>
      </c>
      <c r="U84" s="1531" t="s">
        <v>491</v>
      </c>
      <c r="V84" s="1531" t="s">
        <v>10057</v>
      </c>
      <c r="W84" s="1531" t="s">
        <v>10058</v>
      </c>
      <c r="X84" s="1531" t="s">
        <v>10059</v>
      </c>
      <c r="Y84" s="1531" t="s">
        <v>3956</v>
      </c>
      <c r="Z84" s="1531" t="s">
        <v>8589</v>
      </c>
      <c r="AA84" s="1531" t="s">
        <v>10060</v>
      </c>
      <c r="AB84" s="1531" t="s">
        <v>155</v>
      </c>
      <c r="AC84" s="1531" t="s">
        <v>9628</v>
      </c>
      <c r="AD84" s="1531" t="s">
        <v>10061</v>
      </c>
      <c r="AE84" s="1531" t="s">
        <v>10062</v>
      </c>
      <c r="AF84" s="1531" t="s">
        <v>9134</v>
      </c>
      <c r="AG84" s="1531" t="s">
        <v>10063</v>
      </c>
      <c r="AH84" s="1531" t="s">
        <v>718</v>
      </c>
      <c r="AI84" s="1531" t="s">
        <v>5186</v>
      </c>
      <c r="AJ84" s="1531" t="s">
        <v>10064</v>
      </c>
      <c r="AK84" s="1531" t="s">
        <v>8696</v>
      </c>
      <c r="AL84" s="1531" t="s">
        <v>5321</v>
      </c>
      <c r="AM84" s="1531" t="s">
        <v>3945</v>
      </c>
      <c r="AN84" s="1531" t="s">
        <v>6178</v>
      </c>
      <c r="AO84" s="1531" t="s">
        <v>10065</v>
      </c>
      <c r="AP84" s="1531" t="s">
        <v>10066</v>
      </c>
      <c r="AQ84" s="1531" t="s">
        <v>10067</v>
      </c>
      <c r="AR84" s="1531" t="s">
        <v>9688</v>
      </c>
      <c r="AS84" s="1531" t="s">
        <v>8602</v>
      </c>
      <c r="AT84" s="1531" t="s">
        <v>10068</v>
      </c>
      <c r="AU84" s="1531" t="s">
        <v>10069</v>
      </c>
      <c r="AV84" s="1531" t="str">
        <f t="shared" si="2"/>
        <v>3:59</v>
      </c>
      <c r="AW84" s="1536" t="s">
        <v>10070</v>
      </c>
    </row>
    <row r="85" ht="15.75" customHeight="1">
      <c r="A85" s="1470" t="s">
        <v>10071</v>
      </c>
      <c r="B85" s="1515" t="s">
        <v>8332</v>
      </c>
      <c r="C85" s="1516">
        <v>0.05291666666666667</v>
      </c>
      <c r="D85" s="1312" t="s">
        <v>10072</v>
      </c>
      <c r="E85" s="1531" t="s">
        <v>10073</v>
      </c>
      <c r="F85" s="1531" t="s">
        <v>5661</v>
      </c>
      <c r="G85" s="1531" t="s">
        <v>9303</v>
      </c>
      <c r="H85" s="1531" t="s">
        <v>9621</v>
      </c>
      <c r="I85" s="1531" t="s">
        <v>2945</v>
      </c>
      <c r="J85" s="1531" t="s">
        <v>10074</v>
      </c>
      <c r="K85" s="1531" t="s">
        <v>5304</v>
      </c>
      <c r="L85" s="1531" t="s">
        <v>7547</v>
      </c>
      <c r="M85" s="1531" t="s">
        <v>10075</v>
      </c>
      <c r="N85" s="1531" t="s">
        <v>10076</v>
      </c>
      <c r="O85" s="1531" t="s">
        <v>10077</v>
      </c>
      <c r="P85" s="1531" t="s">
        <v>4957</v>
      </c>
      <c r="Q85" s="1531" t="s">
        <v>10078</v>
      </c>
      <c r="R85" s="1531" t="s">
        <v>9361</v>
      </c>
      <c r="S85" s="1531" t="s">
        <v>4461</v>
      </c>
      <c r="T85" s="1531" t="s">
        <v>8606</v>
      </c>
      <c r="U85" s="1531" t="s">
        <v>5258</v>
      </c>
      <c r="V85" s="1531" t="s">
        <v>1078</v>
      </c>
      <c r="W85" s="1531" t="s">
        <v>1956</v>
      </c>
      <c r="X85" s="1531" t="s">
        <v>3085</v>
      </c>
      <c r="Y85" s="1531" t="s">
        <v>654</v>
      </c>
      <c r="Z85" s="1531" t="s">
        <v>10079</v>
      </c>
      <c r="AA85" s="1466" t="s">
        <v>7479</v>
      </c>
      <c r="AB85" s="1531" t="s">
        <v>3376</v>
      </c>
      <c r="AC85" s="1531" t="s">
        <v>2363</v>
      </c>
      <c r="AD85" s="1531" t="s">
        <v>10080</v>
      </c>
      <c r="AE85" s="1531" t="s">
        <v>10081</v>
      </c>
      <c r="AF85" s="1531" t="s">
        <v>10082</v>
      </c>
      <c r="AG85" s="1531" t="s">
        <v>10083</v>
      </c>
      <c r="AH85" s="1531" t="s">
        <v>10084</v>
      </c>
      <c r="AI85" s="1531" t="s">
        <v>10085</v>
      </c>
      <c r="AJ85" s="1531" t="s">
        <v>10086</v>
      </c>
      <c r="AK85" s="1531" t="s">
        <v>10087</v>
      </c>
      <c r="AL85" s="1531" t="s">
        <v>1574</v>
      </c>
      <c r="AM85" s="1531" t="s">
        <v>2504</v>
      </c>
      <c r="AN85" s="1531" t="s">
        <v>10088</v>
      </c>
      <c r="AO85" s="1531" t="s">
        <v>10089</v>
      </c>
      <c r="AP85" s="1531" t="s">
        <v>3958</v>
      </c>
      <c r="AQ85" s="1531" t="s">
        <v>10090</v>
      </c>
      <c r="AR85" s="1531" t="s">
        <v>9991</v>
      </c>
      <c r="AS85" s="1531" t="s">
        <v>4130</v>
      </c>
      <c r="AT85" s="1531" t="s">
        <v>10091</v>
      </c>
      <c r="AU85" s="1531" t="s">
        <v>10092</v>
      </c>
      <c r="AV85" s="1531" t="str">
        <f t="shared" si="2"/>
        <v>2:38</v>
      </c>
      <c r="AW85" s="1536"/>
    </row>
    <row r="86">
      <c r="A86" s="1427" t="s">
        <v>3736</v>
      </c>
      <c r="B86" s="1428" t="s">
        <v>8275</v>
      </c>
      <c r="C86" s="1387">
        <v>0.05318287037037037</v>
      </c>
      <c r="D86" s="1312" t="s">
        <v>10093</v>
      </c>
      <c r="E86" s="1466" t="s">
        <v>10094</v>
      </c>
      <c r="F86" s="1553" t="s">
        <v>10095</v>
      </c>
      <c r="G86" s="1466" t="s">
        <v>10096</v>
      </c>
      <c r="H86" s="1312" t="s">
        <v>10097</v>
      </c>
      <c r="I86" s="1466" t="s">
        <v>2363</v>
      </c>
      <c r="J86" s="1466" t="s">
        <v>8550</v>
      </c>
      <c r="K86" s="1466" t="s">
        <v>6810</v>
      </c>
      <c r="L86" s="1466" t="s">
        <v>9971</v>
      </c>
      <c r="M86" s="1553" t="s">
        <v>8593</v>
      </c>
      <c r="N86" s="1466" t="s">
        <v>10098</v>
      </c>
      <c r="O86" s="1466" t="s">
        <v>9255</v>
      </c>
      <c r="P86" s="1466" t="s">
        <v>8944</v>
      </c>
      <c r="Q86" s="1466" t="s">
        <v>10099</v>
      </c>
      <c r="R86" s="1466" t="s">
        <v>7476</v>
      </c>
      <c r="S86" s="1554" t="s">
        <v>10100</v>
      </c>
      <c r="T86" s="1466" t="s">
        <v>7489</v>
      </c>
      <c r="U86" s="1466" t="s">
        <v>2366</v>
      </c>
      <c r="V86" s="1466" t="s">
        <v>10101</v>
      </c>
      <c r="W86" s="1553" t="s">
        <v>10102</v>
      </c>
      <c r="X86" s="1466" t="s">
        <v>4379</v>
      </c>
      <c r="Y86" s="1553" t="s">
        <v>590</v>
      </c>
      <c r="Z86" s="1466" t="s">
        <v>9503</v>
      </c>
      <c r="AA86" s="1466" t="s">
        <v>10103</v>
      </c>
      <c r="AB86" s="1466" t="s">
        <v>8563</v>
      </c>
      <c r="AC86" s="1466" t="s">
        <v>3663</v>
      </c>
      <c r="AD86" s="1466" t="s">
        <v>10104</v>
      </c>
      <c r="AE86" s="1553" t="s">
        <v>1503</v>
      </c>
      <c r="AF86" s="1553" t="s">
        <v>5995</v>
      </c>
      <c r="AG86" s="1466" t="s">
        <v>4031</v>
      </c>
      <c r="AH86" s="1466" t="s">
        <v>10105</v>
      </c>
      <c r="AI86" s="1466" t="s">
        <v>10106</v>
      </c>
      <c r="AJ86" s="1466" t="s">
        <v>10107</v>
      </c>
      <c r="AK86" s="1466" t="s">
        <v>455</v>
      </c>
      <c r="AL86" s="1466" t="s">
        <v>9518</v>
      </c>
      <c r="AM86" s="1466" t="s">
        <v>3599</v>
      </c>
      <c r="AN86" s="1466" t="s">
        <v>10108</v>
      </c>
      <c r="AO86" s="1466" t="s">
        <v>10109</v>
      </c>
      <c r="AP86" s="1466" t="s">
        <v>10110</v>
      </c>
      <c r="AQ86" s="1466" t="s">
        <v>10111</v>
      </c>
      <c r="AR86" s="1466" t="s">
        <v>10112</v>
      </c>
      <c r="AS86" s="1553" t="s">
        <v>9697</v>
      </c>
      <c r="AT86" s="1553" t="s">
        <v>10113</v>
      </c>
      <c r="AU86" s="1466" t="s">
        <v>10114</v>
      </c>
      <c r="AV86" s="1466" t="s">
        <v>8141</v>
      </c>
      <c r="AW86" s="1539" t="s">
        <v>10115</v>
      </c>
    </row>
    <row r="87" ht="15.75" customHeight="1">
      <c r="A87" s="1427" t="s">
        <v>6093</v>
      </c>
      <c r="B87" s="1445" t="s">
        <v>8275</v>
      </c>
      <c r="C87" s="1387">
        <v>0.05324074074074074</v>
      </c>
      <c r="D87" s="1312" t="s">
        <v>10116</v>
      </c>
      <c r="E87" s="1312" t="s">
        <v>10094</v>
      </c>
      <c r="F87" s="1312" t="s">
        <v>10117</v>
      </c>
      <c r="G87" s="1312" t="s">
        <v>8978</v>
      </c>
      <c r="H87" s="1312" t="s">
        <v>10118</v>
      </c>
      <c r="I87" s="1312" t="s">
        <v>2512</v>
      </c>
      <c r="J87" s="1312" t="s">
        <v>1704</v>
      </c>
      <c r="K87" s="1312" t="s">
        <v>4297</v>
      </c>
      <c r="L87" s="1312" t="s">
        <v>10119</v>
      </c>
      <c r="M87" s="1312" t="s">
        <v>10120</v>
      </c>
      <c r="N87" s="1312" t="s">
        <v>10121</v>
      </c>
      <c r="O87" s="1312" t="s">
        <v>10122</v>
      </c>
      <c r="P87" s="1312" t="s">
        <v>10123</v>
      </c>
      <c r="Q87" s="1312" t="s">
        <v>10124</v>
      </c>
      <c r="R87" s="1312" t="s">
        <v>8291</v>
      </c>
      <c r="S87" s="1312" t="s">
        <v>9973</v>
      </c>
      <c r="T87" s="1312" t="s">
        <v>10125</v>
      </c>
      <c r="U87" s="1312" t="s">
        <v>10126</v>
      </c>
      <c r="V87" s="1312" t="s">
        <v>2719</v>
      </c>
      <c r="W87" s="1312" t="s">
        <v>10127</v>
      </c>
      <c r="X87" s="1312" t="s">
        <v>2517</v>
      </c>
      <c r="Y87" s="1312" t="s">
        <v>5498</v>
      </c>
      <c r="Z87" s="1312" t="s">
        <v>10128</v>
      </c>
      <c r="AA87" s="1466" t="s">
        <v>10129</v>
      </c>
      <c r="AB87" s="1312" t="s">
        <v>9402</v>
      </c>
      <c r="AC87" s="1312" t="s">
        <v>5467</v>
      </c>
      <c r="AD87" s="1312" t="s">
        <v>10130</v>
      </c>
      <c r="AE87" s="1312" t="s">
        <v>9237</v>
      </c>
      <c r="AF87" s="1312" t="s">
        <v>10131</v>
      </c>
      <c r="AG87" s="1312" t="s">
        <v>9913</v>
      </c>
      <c r="AH87" s="1312" t="s">
        <v>5646</v>
      </c>
      <c r="AI87" s="1312" t="s">
        <v>10132</v>
      </c>
      <c r="AJ87" s="1312" t="s">
        <v>10133</v>
      </c>
      <c r="AK87" s="1466" t="s">
        <v>10134</v>
      </c>
      <c r="AL87" s="1312" t="s">
        <v>6208</v>
      </c>
      <c r="AM87" s="1312" t="s">
        <v>10135</v>
      </c>
      <c r="AN87" s="1312" t="s">
        <v>9568</v>
      </c>
      <c r="AO87" s="1312" t="s">
        <v>4495</v>
      </c>
      <c r="AP87" s="1312" t="s">
        <v>10136</v>
      </c>
      <c r="AQ87" s="1312" t="s">
        <v>10137</v>
      </c>
      <c r="AR87" s="1466" t="s">
        <v>3416</v>
      </c>
      <c r="AS87" s="1312" t="s">
        <v>10138</v>
      </c>
      <c r="AT87" s="1312" t="s">
        <v>10139</v>
      </c>
      <c r="AU87" s="1466" t="s">
        <v>10028</v>
      </c>
      <c r="AV87" s="1531" t="str">
        <f t="shared" ref="AV87:AV98" si="3">TEXT(AU87-C87,"m:ss")</f>
        <v>3:53</v>
      </c>
      <c r="AW87" s="1532" t="s">
        <v>10140</v>
      </c>
    </row>
    <row r="88">
      <c r="A88" s="1427" t="s">
        <v>4632</v>
      </c>
      <c r="B88" s="1428" t="s">
        <v>8332</v>
      </c>
      <c r="C88" s="1506">
        <v>0.05331018518518518</v>
      </c>
      <c r="D88" s="1466" t="s">
        <v>10141</v>
      </c>
      <c r="E88" s="1466" t="s">
        <v>7626</v>
      </c>
      <c r="F88" s="1466" t="s">
        <v>9888</v>
      </c>
      <c r="G88" s="1466" t="s">
        <v>10142</v>
      </c>
      <c r="H88" s="1312" t="s">
        <v>10143</v>
      </c>
      <c r="I88" s="1466" t="s">
        <v>10144</v>
      </c>
      <c r="J88" s="1466" t="s">
        <v>9664</v>
      </c>
      <c r="K88" s="1466" t="s">
        <v>8647</v>
      </c>
      <c r="L88" s="1466" t="s">
        <v>4390</v>
      </c>
      <c r="M88" s="1466" t="s">
        <v>10145</v>
      </c>
      <c r="N88" s="1466" t="s">
        <v>9433</v>
      </c>
      <c r="O88" s="1466" t="s">
        <v>10146</v>
      </c>
      <c r="P88" s="1466" t="s">
        <v>5997</v>
      </c>
      <c r="Q88" s="1466" t="s">
        <v>10147</v>
      </c>
      <c r="R88" s="1466" t="s">
        <v>2128</v>
      </c>
      <c r="S88" s="1466" t="s">
        <v>7496</v>
      </c>
      <c r="T88" s="1466" t="s">
        <v>7054</v>
      </c>
      <c r="U88" s="1466" t="s">
        <v>10148</v>
      </c>
      <c r="V88" s="1466" t="s">
        <v>9644</v>
      </c>
      <c r="W88" s="1466" t="s">
        <v>10149</v>
      </c>
      <c r="X88" s="1466" t="s">
        <v>6708</v>
      </c>
      <c r="Y88" s="1466" t="s">
        <v>5374</v>
      </c>
      <c r="Z88" s="1466" t="s">
        <v>9436</v>
      </c>
      <c r="AA88" s="1466" t="s">
        <v>10150</v>
      </c>
      <c r="AB88" s="1466" t="s">
        <v>3218</v>
      </c>
      <c r="AC88" s="1466" t="s">
        <v>4577</v>
      </c>
      <c r="AD88" s="1466" t="s">
        <v>10151</v>
      </c>
      <c r="AE88" s="1466" t="s">
        <v>3956</v>
      </c>
      <c r="AF88" s="1466" t="s">
        <v>10152</v>
      </c>
      <c r="AG88" s="1466" t="s">
        <v>10153</v>
      </c>
      <c r="AH88" s="1466" t="s">
        <v>10154</v>
      </c>
      <c r="AI88" s="1466" t="s">
        <v>10155</v>
      </c>
      <c r="AJ88" s="1466" t="s">
        <v>10156</v>
      </c>
      <c r="AK88" s="1466" t="s">
        <v>8481</v>
      </c>
      <c r="AL88" s="1466" t="s">
        <v>2139</v>
      </c>
      <c r="AM88" s="1466" t="s">
        <v>10157</v>
      </c>
      <c r="AN88" s="1466" t="s">
        <v>10158</v>
      </c>
      <c r="AO88" s="1466" t="s">
        <v>8547</v>
      </c>
      <c r="AP88" s="1466" t="s">
        <v>2674</v>
      </c>
      <c r="AQ88" s="1466" t="s">
        <v>10159</v>
      </c>
      <c r="AR88" s="1466" t="s">
        <v>1588</v>
      </c>
      <c r="AS88" s="1466" t="s">
        <v>899</v>
      </c>
      <c r="AT88" s="1466" t="s">
        <v>10160</v>
      </c>
      <c r="AU88" s="1466" t="s">
        <v>10161</v>
      </c>
      <c r="AV88" s="1531" t="str">
        <f t="shared" si="3"/>
        <v>4:18</v>
      </c>
      <c r="AW88" s="1536"/>
    </row>
    <row r="89" ht="15.75" customHeight="1">
      <c r="A89" s="1470" t="s">
        <v>10162</v>
      </c>
      <c r="B89" s="1515" t="s">
        <v>8332</v>
      </c>
      <c r="C89" s="1506">
        <v>0.05348379629629629</v>
      </c>
      <c r="D89" s="1312" t="s">
        <v>10163</v>
      </c>
      <c r="E89" s="1531" t="s">
        <v>9923</v>
      </c>
      <c r="F89" s="1531" t="s">
        <v>6177</v>
      </c>
      <c r="G89" s="1531" t="s">
        <v>10164</v>
      </c>
      <c r="H89" s="1531" t="s">
        <v>10165</v>
      </c>
      <c r="I89" s="1531" t="s">
        <v>2382</v>
      </c>
      <c r="J89" s="1531" t="s">
        <v>8775</v>
      </c>
      <c r="K89" s="1531" t="s">
        <v>8345</v>
      </c>
      <c r="L89" s="1531" t="s">
        <v>4694</v>
      </c>
      <c r="M89" s="1531" t="s">
        <v>9215</v>
      </c>
      <c r="N89" s="1531" t="s">
        <v>10166</v>
      </c>
      <c r="O89" s="1531" t="s">
        <v>4338</v>
      </c>
      <c r="P89" s="1531" t="s">
        <v>851</v>
      </c>
      <c r="Q89" s="1466" t="s">
        <v>10167</v>
      </c>
      <c r="R89" s="1531" t="s">
        <v>9711</v>
      </c>
      <c r="S89" s="1531" t="s">
        <v>3879</v>
      </c>
      <c r="T89" s="1531" t="s">
        <v>9896</v>
      </c>
      <c r="U89" s="1531" t="s">
        <v>10168</v>
      </c>
      <c r="V89" s="1531" t="s">
        <v>3568</v>
      </c>
      <c r="W89" s="1531" t="s">
        <v>3782</v>
      </c>
      <c r="X89" s="1531" t="s">
        <v>2968</v>
      </c>
      <c r="Y89" s="1531" t="s">
        <v>1424</v>
      </c>
      <c r="Z89" s="1531" t="s">
        <v>8667</v>
      </c>
      <c r="AA89" s="1466" t="s">
        <v>10169</v>
      </c>
      <c r="AB89" s="1531" t="s">
        <v>9444</v>
      </c>
      <c r="AC89" s="1531" t="s">
        <v>1084</v>
      </c>
      <c r="AD89" s="1531" t="s">
        <v>10170</v>
      </c>
      <c r="AE89" s="1531" t="s">
        <v>578</v>
      </c>
      <c r="AF89" s="1466" t="s">
        <v>10171</v>
      </c>
      <c r="AG89" s="1531" t="s">
        <v>5615</v>
      </c>
      <c r="AH89" s="1531" t="s">
        <v>8876</v>
      </c>
      <c r="AI89" s="1531" t="s">
        <v>2585</v>
      </c>
      <c r="AJ89" s="1531" t="s">
        <v>10172</v>
      </c>
      <c r="AK89" s="1531" t="s">
        <v>8705</v>
      </c>
      <c r="AL89" s="1531" t="s">
        <v>10173</v>
      </c>
      <c r="AM89" s="1531" t="s">
        <v>8299</v>
      </c>
      <c r="AN89" s="1531" t="s">
        <v>6208</v>
      </c>
      <c r="AO89" s="1531" t="s">
        <v>8656</v>
      </c>
      <c r="AP89" s="1531" t="s">
        <v>10174</v>
      </c>
      <c r="AQ89" s="1531" t="s">
        <v>4381</v>
      </c>
      <c r="AR89" s="1531" t="s">
        <v>154</v>
      </c>
      <c r="AS89" s="1531" t="s">
        <v>8491</v>
      </c>
      <c r="AT89" s="1531" t="s">
        <v>4592</v>
      </c>
      <c r="AU89" s="1531" t="s">
        <v>10175</v>
      </c>
      <c r="AV89" s="1531" t="str">
        <f t="shared" si="3"/>
        <v>3:27</v>
      </c>
      <c r="AW89" s="1532" t="s">
        <v>10176</v>
      </c>
    </row>
    <row r="90" ht="15.75" customHeight="1">
      <c r="A90" s="1427" t="s">
        <v>1252</v>
      </c>
      <c r="B90" s="1448" t="s">
        <v>8303</v>
      </c>
      <c r="C90" s="1387">
        <v>0.05355324074074074</v>
      </c>
      <c r="D90" s="1388" t="s">
        <v>10177</v>
      </c>
      <c r="E90" s="1388" t="s">
        <v>10178</v>
      </c>
      <c r="F90" s="1388" t="s">
        <v>10179</v>
      </c>
      <c r="G90" s="1388" t="s">
        <v>10180</v>
      </c>
      <c r="H90" s="1388" t="s">
        <v>10181</v>
      </c>
      <c r="I90" s="1388" t="s">
        <v>3756</v>
      </c>
      <c r="J90" s="1388" t="s">
        <v>10182</v>
      </c>
      <c r="K90" s="1388" t="s">
        <v>1476</v>
      </c>
      <c r="L90" s="1388" t="s">
        <v>8876</v>
      </c>
      <c r="M90" s="1388" t="s">
        <v>10183</v>
      </c>
      <c r="N90" s="1388" t="s">
        <v>10184</v>
      </c>
      <c r="O90" s="1388" t="s">
        <v>10185</v>
      </c>
      <c r="P90" s="1388" t="s">
        <v>2938</v>
      </c>
      <c r="Q90" s="1388" t="s">
        <v>5691</v>
      </c>
      <c r="R90" s="1388" t="s">
        <v>7187</v>
      </c>
      <c r="S90" s="1388" t="s">
        <v>10186</v>
      </c>
      <c r="T90" s="1388" t="s">
        <v>9053</v>
      </c>
      <c r="U90" s="1388" t="s">
        <v>8364</v>
      </c>
      <c r="V90" s="1388" t="s">
        <v>10187</v>
      </c>
      <c r="W90" s="1388" t="s">
        <v>10188</v>
      </c>
      <c r="X90" s="1388" t="s">
        <v>10189</v>
      </c>
      <c r="Y90" s="1388" t="s">
        <v>1070</v>
      </c>
      <c r="Z90" s="1388" t="s">
        <v>5253</v>
      </c>
      <c r="AA90" s="1388" t="s">
        <v>10169</v>
      </c>
      <c r="AB90" s="1388" t="s">
        <v>2075</v>
      </c>
      <c r="AC90" s="1388" t="s">
        <v>6526</v>
      </c>
      <c r="AD90" s="1388" t="s">
        <v>10190</v>
      </c>
      <c r="AE90" s="1388" t="s">
        <v>1958</v>
      </c>
      <c r="AF90" s="1388" t="s">
        <v>9386</v>
      </c>
      <c r="AG90" s="1388" t="s">
        <v>2797</v>
      </c>
      <c r="AH90" s="1388" t="s">
        <v>10191</v>
      </c>
      <c r="AI90" s="1388" t="s">
        <v>243</v>
      </c>
      <c r="AJ90" s="1388" t="s">
        <v>10192</v>
      </c>
      <c r="AK90" s="1388" t="s">
        <v>10193</v>
      </c>
      <c r="AL90" s="1388" t="s">
        <v>9464</v>
      </c>
      <c r="AM90" s="1388" t="s">
        <v>10194</v>
      </c>
      <c r="AN90" s="1388" t="s">
        <v>10195</v>
      </c>
      <c r="AO90" s="1388" t="s">
        <v>10196</v>
      </c>
      <c r="AP90" s="1388" t="s">
        <v>10197</v>
      </c>
      <c r="AQ90" s="1388" t="s">
        <v>10198</v>
      </c>
      <c r="AR90" s="1388" t="s">
        <v>10199</v>
      </c>
      <c r="AS90" s="1388" t="s">
        <v>4710</v>
      </c>
      <c r="AT90" s="1388" t="s">
        <v>10200</v>
      </c>
      <c r="AU90" s="1388" t="s">
        <v>10201</v>
      </c>
      <c r="AV90" s="1531" t="str">
        <f t="shared" si="3"/>
        <v>4:58</v>
      </c>
      <c r="AW90" s="1555" t="s">
        <v>10202</v>
      </c>
    </row>
    <row r="91">
      <c r="A91" s="1427" t="s">
        <v>5259</v>
      </c>
      <c r="B91" s="1445" t="s">
        <v>8275</v>
      </c>
      <c r="C91" s="1387">
        <v>0.05376157407407407</v>
      </c>
      <c r="D91" s="1466" t="s">
        <v>10203</v>
      </c>
      <c r="E91" s="1466" t="s">
        <v>10204</v>
      </c>
      <c r="F91" s="1466" t="s">
        <v>10205</v>
      </c>
      <c r="G91" s="1466" t="s">
        <v>10206</v>
      </c>
      <c r="H91" s="1556" t="s">
        <v>10207</v>
      </c>
      <c r="I91" s="1312" t="s">
        <v>237</v>
      </c>
      <c r="J91" s="1466" t="s">
        <v>9341</v>
      </c>
      <c r="K91" s="1466" t="s">
        <v>10208</v>
      </c>
      <c r="L91" s="1466" t="s">
        <v>2466</v>
      </c>
      <c r="M91" s="1466" t="s">
        <v>1255</v>
      </c>
      <c r="N91" s="1466" t="s">
        <v>10209</v>
      </c>
      <c r="O91" s="1466" t="s">
        <v>10210</v>
      </c>
      <c r="P91" s="1466" t="s">
        <v>946</v>
      </c>
      <c r="Q91" s="1466" t="s">
        <v>4186</v>
      </c>
      <c r="R91" s="1466" t="s">
        <v>10211</v>
      </c>
      <c r="S91" s="1557" t="s">
        <v>10212</v>
      </c>
      <c r="T91" s="1557" t="s">
        <v>8838</v>
      </c>
      <c r="U91" s="1466" t="s">
        <v>10213</v>
      </c>
      <c r="V91" s="1466" t="s">
        <v>10214</v>
      </c>
      <c r="W91" s="1466" t="s">
        <v>7451</v>
      </c>
      <c r="X91" s="1466" t="s">
        <v>10215</v>
      </c>
      <c r="Y91" s="1466" t="s">
        <v>2104</v>
      </c>
      <c r="Z91" s="1466" t="s">
        <v>9444</v>
      </c>
      <c r="AA91" s="1466" t="s">
        <v>10216</v>
      </c>
      <c r="AB91" s="1466" t="s">
        <v>10217</v>
      </c>
      <c r="AC91" s="1466" t="s">
        <v>7404</v>
      </c>
      <c r="AD91" s="1466" t="s">
        <v>5751</v>
      </c>
      <c r="AE91" s="1466" t="s">
        <v>2363</v>
      </c>
      <c r="AF91" s="1466" t="s">
        <v>7501</v>
      </c>
      <c r="AG91" s="1466" t="s">
        <v>10218</v>
      </c>
      <c r="AH91" s="1466" t="s">
        <v>8835</v>
      </c>
      <c r="AI91" s="1466" t="s">
        <v>7298</v>
      </c>
      <c r="AJ91" s="1466" t="s">
        <v>10219</v>
      </c>
      <c r="AK91" s="1466" t="s">
        <v>4684</v>
      </c>
      <c r="AL91" s="1466" t="s">
        <v>10220</v>
      </c>
      <c r="AM91" s="1466" t="s">
        <v>4697</v>
      </c>
      <c r="AN91" s="1466" t="s">
        <v>10221</v>
      </c>
      <c r="AO91" s="1466" t="s">
        <v>8290</v>
      </c>
      <c r="AP91" s="1466" t="s">
        <v>10222</v>
      </c>
      <c r="AQ91" s="1466" t="s">
        <v>10223</v>
      </c>
      <c r="AR91" s="1466" t="s">
        <v>5050</v>
      </c>
      <c r="AS91" s="1466" t="s">
        <v>8464</v>
      </c>
      <c r="AT91" s="1466" t="s">
        <v>10224</v>
      </c>
      <c r="AU91" s="1466" t="s">
        <v>10225</v>
      </c>
      <c r="AV91" s="1531" t="str">
        <f t="shared" si="3"/>
        <v>4:58</v>
      </c>
      <c r="AW91" s="1558"/>
    </row>
    <row r="92" ht="15.75" customHeight="1">
      <c r="A92" s="1470" t="s">
        <v>6211</v>
      </c>
      <c r="B92" s="1515" t="s">
        <v>8332</v>
      </c>
      <c r="C92" s="1516">
        <v>0.05386574074074074</v>
      </c>
      <c r="D92" s="1531" t="s">
        <v>10226</v>
      </c>
      <c r="E92" s="1531" t="s">
        <v>7034</v>
      </c>
      <c r="F92" s="1531" t="s">
        <v>10227</v>
      </c>
      <c r="G92" s="1531" t="s">
        <v>4304</v>
      </c>
      <c r="H92" s="1531" t="s">
        <v>10228</v>
      </c>
      <c r="I92" s="1531" t="s">
        <v>10144</v>
      </c>
      <c r="J92" s="1531" t="s">
        <v>10229</v>
      </c>
      <c r="K92" s="1531" t="s">
        <v>10230</v>
      </c>
      <c r="L92" s="1531" t="s">
        <v>1431</v>
      </c>
      <c r="M92" s="1531" t="s">
        <v>4430</v>
      </c>
      <c r="N92" s="1531" t="s">
        <v>7199</v>
      </c>
      <c r="O92" s="1531" t="s">
        <v>10231</v>
      </c>
      <c r="P92" s="1531" t="s">
        <v>5997</v>
      </c>
      <c r="Q92" s="1531" t="s">
        <v>10232</v>
      </c>
      <c r="R92" s="1531" t="s">
        <v>10233</v>
      </c>
      <c r="S92" s="1531" t="s">
        <v>10234</v>
      </c>
      <c r="T92" s="1531" t="s">
        <v>9423</v>
      </c>
      <c r="U92" s="1531" t="s">
        <v>10235</v>
      </c>
      <c r="V92" s="1531" t="s">
        <v>10236</v>
      </c>
      <c r="W92" s="1531" t="s">
        <v>10237</v>
      </c>
      <c r="X92" s="1531" t="s">
        <v>1324</v>
      </c>
      <c r="Y92" s="1531" t="s">
        <v>1801</v>
      </c>
      <c r="Z92" s="1531" t="s">
        <v>8851</v>
      </c>
      <c r="AA92" s="1312" t="s">
        <v>10238</v>
      </c>
      <c r="AB92" s="1531" t="s">
        <v>10239</v>
      </c>
      <c r="AC92" s="1531" t="s">
        <v>6782</v>
      </c>
      <c r="AD92" s="1531" t="s">
        <v>10240</v>
      </c>
      <c r="AE92" s="1531" t="s">
        <v>10241</v>
      </c>
      <c r="AF92" s="1531" t="s">
        <v>9758</v>
      </c>
      <c r="AG92" s="1531" t="s">
        <v>10242</v>
      </c>
      <c r="AH92" s="1531" t="s">
        <v>10243</v>
      </c>
      <c r="AI92" s="1531" t="s">
        <v>3352</v>
      </c>
      <c r="AJ92" s="1531" t="s">
        <v>10244</v>
      </c>
      <c r="AK92" s="1531" t="s">
        <v>3104</v>
      </c>
      <c r="AL92" s="1531" t="s">
        <v>4490</v>
      </c>
      <c r="AM92" s="1531" t="s">
        <v>9411</v>
      </c>
      <c r="AN92" s="1531" t="s">
        <v>8915</v>
      </c>
      <c r="AO92" s="1466" t="s">
        <v>9124</v>
      </c>
      <c r="AP92" s="1531" t="s">
        <v>10245</v>
      </c>
      <c r="AQ92" s="1531" t="s">
        <v>10246</v>
      </c>
      <c r="AR92" s="1531" t="s">
        <v>10247</v>
      </c>
      <c r="AS92" s="1531" t="s">
        <v>8674</v>
      </c>
      <c r="AT92" s="1531" t="s">
        <v>10248</v>
      </c>
      <c r="AU92" s="1531" t="s">
        <v>10161</v>
      </c>
      <c r="AV92" s="1531" t="str">
        <f t="shared" si="3"/>
        <v>3:30</v>
      </c>
      <c r="AW92" s="1536"/>
    </row>
    <row r="93">
      <c r="A93" s="1427" t="s">
        <v>5132</v>
      </c>
      <c r="B93" s="1445" t="s">
        <v>8332</v>
      </c>
      <c r="C93" s="1506">
        <v>0.05482638888888889</v>
      </c>
      <c r="D93" s="1499" t="s">
        <v>10249</v>
      </c>
      <c r="E93" s="1466" t="s">
        <v>9003</v>
      </c>
      <c r="F93" s="1466" t="s">
        <v>10250</v>
      </c>
      <c r="G93" s="1466" t="s">
        <v>10251</v>
      </c>
      <c r="H93" s="1466" t="s">
        <v>10181</v>
      </c>
      <c r="I93" s="1466" t="s">
        <v>10252</v>
      </c>
      <c r="J93" s="1466" t="s">
        <v>10253</v>
      </c>
      <c r="K93" s="1466" t="s">
        <v>9448</v>
      </c>
      <c r="L93" s="1466" t="s">
        <v>10254</v>
      </c>
      <c r="M93" s="1466" t="s">
        <v>1586</v>
      </c>
      <c r="N93" s="1466" t="s">
        <v>10255</v>
      </c>
      <c r="O93" s="1466" t="s">
        <v>10256</v>
      </c>
      <c r="P93" s="1466" t="s">
        <v>6219</v>
      </c>
      <c r="Q93" s="1466" t="s">
        <v>10257</v>
      </c>
      <c r="R93" s="1466" t="s">
        <v>8672</v>
      </c>
      <c r="S93" s="1466" t="s">
        <v>10258</v>
      </c>
      <c r="T93" s="1466" t="s">
        <v>10150</v>
      </c>
      <c r="U93" s="1466" t="s">
        <v>10259</v>
      </c>
      <c r="V93" s="1466" t="s">
        <v>925</v>
      </c>
      <c r="W93" s="1466" t="s">
        <v>10260</v>
      </c>
      <c r="X93" s="1466" t="s">
        <v>10261</v>
      </c>
      <c r="Y93" s="1466" t="s">
        <v>1678</v>
      </c>
      <c r="Z93" s="1466" t="s">
        <v>9465</v>
      </c>
      <c r="AA93" s="1466" t="s">
        <v>2304</v>
      </c>
      <c r="AB93" s="1466" t="s">
        <v>5310</v>
      </c>
      <c r="AC93" s="1466" t="s">
        <v>10262</v>
      </c>
      <c r="AD93" s="1466" t="s">
        <v>10263</v>
      </c>
      <c r="AE93" s="1466" t="s">
        <v>1532</v>
      </c>
      <c r="AF93" s="1466" t="s">
        <v>10264</v>
      </c>
      <c r="AG93" s="1466" t="s">
        <v>10265</v>
      </c>
      <c r="AH93" s="1466" t="s">
        <v>10266</v>
      </c>
      <c r="AI93" s="1466" t="s">
        <v>10267</v>
      </c>
      <c r="AJ93" s="1466" t="s">
        <v>10268</v>
      </c>
      <c r="AK93" s="1466" t="s">
        <v>243</v>
      </c>
      <c r="AL93" s="1466" t="s">
        <v>6865</v>
      </c>
      <c r="AM93" s="1466" t="s">
        <v>4308</v>
      </c>
      <c r="AN93" s="1466" t="s">
        <v>10269</v>
      </c>
      <c r="AO93" s="1466" t="s">
        <v>1704</v>
      </c>
      <c r="AP93" s="1466" t="s">
        <v>968</v>
      </c>
      <c r="AQ93" s="1466" t="s">
        <v>10270</v>
      </c>
      <c r="AR93" s="1466" t="s">
        <v>10271</v>
      </c>
      <c r="AS93" s="1466" t="s">
        <v>2166</v>
      </c>
      <c r="AT93" s="1466" t="s">
        <v>10272</v>
      </c>
      <c r="AU93" s="1466" t="s">
        <v>10273</v>
      </c>
      <c r="AV93" s="1531" t="str">
        <f t="shared" si="3"/>
        <v>3:40</v>
      </c>
      <c r="AW93" s="1532" t="s">
        <v>10274</v>
      </c>
    </row>
    <row r="94">
      <c r="A94" s="1427" t="s">
        <v>5336</v>
      </c>
      <c r="B94" s="1445" t="s">
        <v>8275</v>
      </c>
      <c r="C94" s="1387">
        <v>0.05482638888888889</v>
      </c>
      <c r="D94" s="1408" t="s">
        <v>10275</v>
      </c>
      <c r="E94" s="1408" t="s">
        <v>8850</v>
      </c>
      <c r="F94" s="1559" t="s">
        <v>10276</v>
      </c>
      <c r="G94" s="1408" t="s">
        <v>10277</v>
      </c>
      <c r="H94" s="1408" t="s">
        <v>10278</v>
      </c>
      <c r="I94" s="1408">
        <v>50.26</v>
      </c>
      <c r="J94" s="1408" t="s">
        <v>10253</v>
      </c>
      <c r="K94" s="1408" t="s">
        <v>10279</v>
      </c>
      <c r="L94" s="1408" t="s">
        <v>10280</v>
      </c>
      <c r="M94" s="1559" t="s">
        <v>2196</v>
      </c>
      <c r="N94" s="1408" t="s">
        <v>10281</v>
      </c>
      <c r="O94" s="1408" t="s">
        <v>10282</v>
      </c>
      <c r="P94" s="1408">
        <v>49.15</v>
      </c>
      <c r="Q94" s="1408" t="s">
        <v>10283</v>
      </c>
      <c r="R94" s="1408" t="s">
        <v>3399</v>
      </c>
      <c r="S94" s="1408" t="s">
        <v>10284</v>
      </c>
      <c r="T94" s="1408" t="s">
        <v>4975</v>
      </c>
      <c r="U94" s="1408" t="s">
        <v>10285</v>
      </c>
      <c r="V94" s="1408" t="s">
        <v>10101</v>
      </c>
      <c r="W94" s="1559" t="s">
        <v>10286</v>
      </c>
      <c r="X94" s="1408" t="s">
        <v>10287</v>
      </c>
      <c r="Y94" s="1559">
        <v>51.87</v>
      </c>
      <c r="Z94" s="1408" t="s">
        <v>5996</v>
      </c>
      <c r="AA94" s="1408" t="s">
        <v>1756</v>
      </c>
      <c r="AB94" s="1408" t="s">
        <v>1969</v>
      </c>
      <c r="AC94" s="1408">
        <v>49.75</v>
      </c>
      <c r="AD94" s="1408" t="s">
        <v>10288</v>
      </c>
      <c r="AE94" s="1559">
        <v>50.16</v>
      </c>
      <c r="AF94" s="1559" t="s">
        <v>10289</v>
      </c>
      <c r="AG94" s="1408" t="s">
        <v>10290</v>
      </c>
      <c r="AH94" s="1408" t="s">
        <v>6088</v>
      </c>
      <c r="AI94" s="1408" t="s">
        <v>1983</v>
      </c>
      <c r="AJ94" s="1408" t="s">
        <v>10291</v>
      </c>
      <c r="AK94" s="1408" t="s">
        <v>10209</v>
      </c>
      <c r="AL94" s="1408">
        <v>59.29</v>
      </c>
      <c r="AM94" s="1408" t="s">
        <v>4381</v>
      </c>
      <c r="AN94" s="1408" t="s">
        <v>616</v>
      </c>
      <c r="AO94" s="1408" t="s">
        <v>10292</v>
      </c>
      <c r="AP94" s="1408" t="s">
        <v>10293</v>
      </c>
      <c r="AQ94" s="1408" t="s">
        <v>10294</v>
      </c>
      <c r="AR94" s="1408" t="s">
        <v>7098</v>
      </c>
      <c r="AS94" s="1559">
        <v>47.7</v>
      </c>
      <c r="AT94" s="1559" t="s">
        <v>10295</v>
      </c>
      <c r="AU94" s="1429" t="s">
        <v>10296</v>
      </c>
      <c r="AV94" s="1531" t="str">
        <f t="shared" si="3"/>
        <v>5:51</v>
      </c>
      <c r="AW94" s="1539" t="s">
        <v>10297</v>
      </c>
    </row>
    <row r="95">
      <c r="A95" s="1427" t="s">
        <v>5403</v>
      </c>
      <c r="B95" s="1428" t="s">
        <v>8275</v>
      </c>
      <c r="C95" s="1387">
        <v>0.05559027777777778</v>
      </c>
      <c r="D95" s="1499" t="s">
        <v>10298</v>
      </c>
      <c r="E95" s="1466" t="s">
        <v>10299</v>
      </c>
      <c r="F95" s="1466" t="s">
        <v>10300</v>
      </c>
      <c r="G95" s="1466" t="s">
        <v>7950</v>
      </c>
      <c r="H95" s="1466" t="s">
        <v>5672</v>
      </c>
      <c r="I95" s="1466" t="s">
        <v>1971</v>
      </c>
      <c r="J95" s="1466" t="s">
        <v>10301</v>
      </c>
      <c r="K95" s="1466" t="s">
        <v>6001</v>
      </c>
      <c r="L95" s="1466" t="s">
        <v>8096</v>
      </c>
      <c r="M95" s="1466" t="s">
        <v>7104</v>
      </c>
      <c r="N95" s="1466" t="s">
        <v>10302</v>
      </c>
      <c r="O95" s="1466" t="s">
        <v>10303</v>
      </c>
      <c r="P95" s="1466" t="s">
        <v>289</v>
      </c>
      <c r="Q95" s="1466" t="s">
        <v>1668</v>
      </c>
      <c r="R95" s="1466" t="s">
        <v>10304</v>
      </c>
      <c r="S95" s="1466" t="s">
        <v>5120</v>
      </c>
      <c r="T95" s="1466" t="s">
        <v>10305</v>
      </c>
      <c r="U95" s="1466" t="s">
        <v>10306</v>
      </c>
      <c r="V95" s="1466" t="s">
        <v>6217</v>
      </c>
      <c r="W95" s="1466" t="s">
        <v>8983</v>
      </c>
      <c r="X95" s="1466" t="s">
        <v>10307</v>
      </c>
      <c r="Y95" s="1466" t="s">
        <v>99</v>
      </c>
      <c r="Z95" s="1466" t="s">
        <v>10308</v>
      </c>
      <c r="AA95" s="1466" t="s">
        <v>10021</v>
      </c>
      <c r="AB95" s="1466" t="s">
        <v>3240</v>
      </c>
      <c r="AC95" s="1466" t="s">
        <v>4606</v>
      </c>
      <c r="AD95" s="1466" t="s">
        <v>9312</v>
      </c>
      <c r="AE95" s="1466" t="s">
        <v>943</v>
      </c>
      <c r="AF95" s="1466" t="s">
        <v>10309</v>
      </c>
      <c r="AG95" s="1466" t="s">
        <v>3451</v>
      </c>
      <c r="AH95" s="1466" t="s">
        <v>7984</v>
      </c>
      <c r="AI95" s="1466" t="s">
        <v>10310</v>
      </c>
      <c r="AJ95" s="1466" t="s">
        <v>10311</v>
      </c>
      <c r="AK95" s="1466" t="s">
        <v>4424</v>
      </c>
      <c r="AL95" s="1466" t="s">
        <v>125</v>
      </c>
      <c r="AM95" s="1466" t="s">
        <v>10312</v>
      </c>
      <c r="AN95" s="1466" t="s">
        <v>10313</v>
      </c>
      <c r="AO95" s="1466" t="s">
        <v>1035</v>
      </c>
      <c r="AP95" s="1466" t="s">
        <v>10314</v>
      </c>
      <c r="AQ95" s="1466" t="s">
        <v>10315</v>
      </c>
      <c r="AR95" s="1466" t="s">
        <v>10316</v>
      </c>
      <c r="AS95" s="1466" t="s">
        <v>913</v>
      </c>
      <c r="AT95" s="1466" t="s">
        <v>10317</v>
      </c>
      <c r="AU95" s="1466" t="s">
        <v>10318</v>
      </c>
      <c r="AV95" s="1531" t="str">
        <f t="shared" si="3"/>
        <v>5:05</v>
      </c>
      <c r="AW95" s="1532" t="s">
        <v>10319</v>
      </c>
    </row>
    <row r="96">
      <c r="A96" s="1427" t="s">
        <v>4785</v>
      </c>
      <c r="B96" s="1428" t="s">
        <v>8303</v>
      </c>
      <c r="C96" s="1468">
        <v>0.05565972222222222</v>
      </c>
      <c r="D96" s="1466" t="s">
        <v>10320</v>
      </c>
      <c r="E96" s="1466" t="s">
        <v>3548</v>
      </c>
      <c r="F96" s="1466" t="s">
        <v>10321</v>
      </c>
      <c r="G96" s="1466" t="s">
        <v>10322</v>
      </c>
      <c r="H96" s="1312" t="s">
        <v>8741</v>
      </c>
      <c r="I96" s="1466" t="s">
        <v>3237</v>
      </c>
      <c r="J96" s="1466" t="s">
        <v>8993</v>
      </c>
      <c r="K96" s="1466" t="s">
        <v>801</v>
      </c>
      <c r="L96" s="1466" t="s">
        <v>10323</v>
      </c>
      <c r="M96" s="1466" t="s">
        <v>10324</v>
      </c>
      <c r="N96" s="1466" t="s">
        <v>6117</v>
      </c>
      <c r="O96" s="1466" t="s">
        <v>10325</v>
      </c>
      <c r="P96" s="1466" t="s">
        <v>9716</v>
      </c>
      <c r="Q96" s="1466" t="s">
        <v>10326</v>
      </c>
      <c r="R96" s="1466" t="s">
        <v>9466</v>
      </c>
      <c r="S96" s="1466" t="s">
        <v>415</v>
      </c>
      <c r="T96" s="1466" t="s">
        <v>10327</v>
      </c>
      <c r="U96" s="1466" t="s">
        <v>10328</v>
      </c>
      <c r="V96" s="1466" t="s">
        <v>10329</v>
      </c>
      <c r="W96" s="1466" t="s">
        <v>10330</v>
      </c>
      <c r="X96" s="1466" t="s">
        <v>10331</v>
      </c>
      <c r="Y96" s="1466" t="s">
        <v>2363</v>
      </c>
      <c r="Z96" s="1466" t="s">
        <v>5202</v>
      </c>
      <c r="AA96" s="1466" t="s">
        <v>9649</v>
      </c>
      <c r="AB96" s="1466" t="s">
        <v>5253</v>
      </c>
      <c r="AC96" s="1466" t="s">
        <v>4957</v>
      </c>
      <c r="AD96" s="1466" t="s">
        <v>10332</v>
      </c>
      <c r="AE96" s="1466" t="s">
        <v>10333</v>
      </c>
      <c r="AF96" s="1466" t="s">
        <v>10334</v>
      </c>
      <c r="AG96" s="1466" t="s">
        <v>10335</v>
      </c>
      <c r="AH96" s="1466" t="s">
        <v>10336</v>
      </c>
      <c r="AI96" s="1466" t="s">
        <v>8827</v>
      </c>
      <c r="AJ96" s="1466" t="s">
        <v>10337</v>
      </c>
      <c r="AK96" s="1466" t="s">
        <v>7054</v>
      </c>
      <c r="AL96" s="1466" t="s">
        <v>3478</v>
      </c>
      <c r="AM96" s="1466" t="s">
        <v>4697</v>
      </c>
      <c r="AN96" s="1466" t="s">
        <v>10338</v>
      </c>
      <c r="AO96" s="1466" t="s">
        <v>1906</v>
      </c>
      <c r="AP96" s="1466" t="s">
        <v>10339</v>
      </c>
      <c r="AQ96" s="1466" t="s">
        <v>10340</v>
      </c>
      <c r="AR96" s="1466" t="s">
        <v>10341</v>
      </c>
      <c r="AS96" s="1466" t="s">
        <v>10342</v>
      </c>
      <c r="AT96" s="1466" t="s">
        <v>10343</v>
      </c>
      <c r="AU96" s="1466" t="s">
        <v>10344</v>
      </c>
      <c r="AV96" s="1531" t="str">
        <f t="shared" si="3"/>
        <v>8:24</v>
      </c>
      <c r="AW96" s="1532" t="s">
        <v>9353</v>
      </c>
    </row>
    <row r="97">
      <c r="A97" s="1470" t="s">
        <v>10345</v>
      </c>
      <c r="B97" s="1448" t="s">
        <v>8303</v>
      </c>
      <c r="C97" s="1488">
        <v>0.057881944444444444</v>
      </c>
      <c r="D97" s="1466" t="s">
        <v>10346</v>
      </c>
      <c r="E97" s="1531" t="s">
        <v>10347</v>
      </c>
      <c r="F97" s="1466" t="s">
        <v>10348</v>
      </c>
      <c r="G97" s="1466" t="s">
        <v>10349</v>
      </c>
      <c r="H97" s="1531" t="s">
        <v>10350</v>
      </c>
      <c r="I97" s="1531" t="s">
        <v>1024</v>
      </c>
      <c r="J97" s="1531" t="s">
        <v>10351</v>
      </c>
      <c r="K97" s="1531" t="s">
        <v>3291</v>
      </c>
      <c r="L97" s="1531" t="s">
        <v>3753</v>
      </c>
      <c r="M97" s="1531" t="s">
        <v>6563</v>
      </c>
      <c r="N97" s="1531" t="s">
        <v>10352</v>
      </c>
      <c r="O97" s="1531" t="s">
        <v>10353</v>
      </c>
      <c r="P97" s="1531" t="s">
        <v>2398</v>
      </c>
      <c r="Q97" s="1531" t="s">
        <v>10354</v>
      </c>
      <c r="R97" s="1531" t="s">
        <v>10355</v>
      </c>
      <c r="S97" s="1531" t="s">
        <v>10356</v>
      </c>
      <c r="T97" s="1531" t="s">
        <v>1676</v>
      </c>
      <c r="U97" s="1531" t="s">
        <v>10357</v>
      </c>
      <c r="V97" s="1531" t="s">
        <v>10358</v>
      </c>
      <c r="W97" s="1531" t="s">
        <v>10359</v>
      </c>
      <c r="X97" s="1531" t="s">
        <v>10360</v>
      </c>
      <c r="Y97" s="1531" t="s">
        <v>2799</v>
      </c>
      <c r="Z97" s="1531" t="s">
        <v>10361</v>
      </c>
      <c r="AA97" s="1466" t="s">
        <v>10362</v>
      </c>
      <c r="AB97" s="1531" t="s">
        <v>8775</v>
      </c>
      <c r="AC97" s="1531" t="s">
        <v>4454</v>
      </c>
      <c r="AD97" s="1531" t="s">
        <v>5166</v>
      </c>
      <c r="AE97" s="1531" t="s">
        <v>2561</v>
      </c>
      <c r="AF97" s="1531" t="s">
        <v>10363</v>
      </c>
      <c r="AG97" s="1531" t="s">
        <v>5618</v>
      </c>
      <c r="AH97" s="1531" t="s">
        <v>10364</v>
      </c>
      <c r="AI97" s="1531" t="s">
        <v>4741</v>
      </c>
      <c r="AJ97" s="1531" t="s">
        <v>10365</v>
      </c>
      <c r="AK97" s="1531" t="s">
        <v>10366</v>
      </c>
      <c r="AL97" s="1531" t="s">
        <v>3699</v>
      </c>
      <c r="AM97" s="1531" t="s">
        <v>4749</v>
      </c>
      <c r="AN97" s="1531" t="s">
        <v>10367</v>
      </c>
      <c r="AO97" s="1531" t="s">
        <v>9717</v>
      </c>
      <c r="AP97" s="1531" t="s">
        <v>10368</v>
      </c>
      <c r="AQ97" s="1531" t="s">
        <v>7073</v>
      </c>
      <c r="AR97" s="1531" t="s">
        <v>10369</v>
      </c>
      <c r="AS97" s="1531" t="s">
        <v>611</v>
      </c>
      <c r="AT97" s="1531" t="s">
        <v>10370</v>
      </c>
      <c r="AU97" s="1531" t="s">
        <v>10371</v>
      </c>
      <c r="AV97" s="1531" t="str">
        <f t="shared" si="3"/>
        <v>2:11</v>
      </c>
      <c r="AW97" s="1536" t="s">
        <v>10372</v>
      </c>
    </row>
    <row r="98" ht="15.75" customHeight="1">
      <c r="A98" s="1427" t="s">
        <v>6073</v>
      </c>
      <c r="B98" s="1448" t="s">
        <v>8303</v>
      </c>
      <c r="C98" s="1387">
        <v>0.06635416666666667</v>
      </c>
      <c r="D98" s="1312" t="s">
        <v>10373</v>
      </c>
      <c r="E98" s="1312" t="s">
        <v>8155</v>
      </c>
      <c r="F98" s="1312" t="s">
        <v>10374</v>
      </c>
      <c r="G98" s="1312" t="s">
        <v>10375</v>
      </c>
      <c r="H98" s="1312" t="s">
        <v>10376</v>
      </c>
      <c r="I98" s="1312" t="s">
        <v>3632</v>
      </c>
      <c r="J98" s="1312" t="s">
        <v>10377</v>
      </c>
      <c r="K98" s="1312" t="s">
        <v>3668</v>
      </c>
      <c r="L98" s="1312" t="s">
        <v>7105</v>
      </c>
      <c r="M98" s="1312" t="s">
        <v>861</v>
      </c>
      <c r="N98" s="1312" t="s">
        <v>10378</v>
      </c>
      <c r="O98" s="1312" t="s">
        <v>10379</v>
      </c>
      <c r="P98" s="1312" t="s">
        <v>5076</v>
      </c>
      <c r="Q98" s="1312" t="s">
        <v>10380</v>
      </c>
      <c r="R98" s="1312" t="s">
        <v>4439</v>
      </c>
      <c r="S98" s="1312" t="s">
        <v>10381</v>
      </c>
      <c r="T98" s="1312" t="s">
        <v>10260</v>
      </c>
      <c r="U98" s="1312" t="s">
        <v>10382</v>
      </c>
      <c r="V98" s="1312" t="s">
        <v>7626</v>
      </c>
      <c r="W98" s="1312" t="s">
        <v>10383</v>
      </c>
      <c r="X98" s="1312" t="s">
        <v>10384</v>
      </c>
      <c r="Y98" s="1312" t="s">
        <v>753</v>
      </c>
      <c r="Z98" s="1312" t="s">
        <v>10385</v>
      </c>
      <c r="AA98" s="1531"/>
      <c r="AB98" s="1312" t="s">
        <v>10386</v>
      </c>
      <c r="AC98" s="1312" t="s">
        <v>880</v>
      </c>
      <c r="AD98" s="1312" t="s">
        <v>10387</v>
      </c>
      <c r="AE98" s="1312" t="s">
        <v>10388</v>
      </c>
      <c r="AF98" s="1312" t="s">
        <v>10389</v>
      </c>
      <c r="AG98" s="1312" t="s">
        <v>10390</v>
      </c>
      <c r="AH98" s="1312" t="s">
        <v>4178</v>
      </c>
      <c r="AI98" s="1312" t="s">
        <v>10391</v>
      </c>
      <c r="AJ98" s="1312" t="s">
        <v>10392</v>
      </c>
      <c r="AK98" s="1312" t="s">
        <v>10393</v>
      </c>
      <c r="AL98" s="1312" t="s">
        <v>10394</v>
      </c>
      <c r="AM98" s="1312" t="s">
        <v>10395</v>
      </c>
      <c r="AN98" s="1312" t="s">
        <v>8855</v>
      </c>
      <c r="AO98" s="1312" t="s">
        <v>2278</v>
      </c>
      <c r="AP98" s="1312" t="s">
        <v>10396</v>
      </c>
      <c r="AQ98" s="1312" t="s">
        <v>129</v>
      </c>
      <c r="AR98" s="1312" t="s">
        <v>10397</v>
      </c>
      <c r="AS98" s="1312" t="s">
        <v>3817</v>
      </c>
      <c r="AT98" s="1312" t="s">
        <v>10398</v>
      </c>
      <c r="AU98" s="1451" t="s">
        <v>10399</v>
      </c>
      <c r="AV98" s="1531" t="str">
        <f t="shared" si="3"/>
        <v>9:53</v>
      </c>
      <c r="AW98" s="1539" t="s">
        <v>10400</v>
      </c>
    </row>
    <row r="99">
      <c r="A99" s="1427" t="s">
        <v>4543</v>
      </c>
      <c r="B99" s="1445" t="s">
        <v>8303</v>
      </c>
      <c r="C99" s="1387"/>
      <c r="D99" s="1435"/>
      <c r="E99" s="1435"/>
      <c r="F99" s="1435"/>
      <c r="G99" s="1435"/>
      <c r="H99" s="1312"/>
      <c r="I99" s="1482"/>
      <c r="J99" s="1437"/>
      <c r="K99" s="1437"/>
      <c r="L99" s="1437"/>
      <c r="M99" s="1437"/>
      <c r="N99" s="1437"/>
      <c r="O99" s="1437"/>
      <c r="P99" s="1437"/>
      <c r="Q99" s="1438"/>
      <c r="R99" s="1438"/>
      <c r="S99" s="1438"/>
      <c r="T99" s="1438"/>
      <c r="U99" s="1438"/>
      <c r="V99" s="1438"/>
      <c r="W99" s="1439"/>
      <c r="X99" s="1439"/>
      <c r="Y99" s="1439"/>
      <c r="Z99" s="1439"/>
      <c r="AA99" s="1394"/>
      <c r="AB99" s="1439"/>
      <c r="AC99" s="1439"/>
      <c r="AD99" s="1435"/>
      <c r="AE99" s="1435"/>
      <c r="AF99" s="1509" t="s">
        <v>8322</v>
      </c>
      <c r="AG99" s="1440"/>
      <c r="AH99" s="1440"/>
      <c r="AI99" s="1440"/>
      <c r="AJ99" s="1440"/>
      <c r="AK99" s="1440"/>
      <c r="AL99" s="1440"/>
      <c r="AM99" s="1442"/>
      <c r="AN99" s="1442"/>
      <c r="AO99" s="1442"/>
      <c r="AP99" s="1442"/>
      <c r="AQ99" s="1442"/>
      <c r="AR99" s="1442"/>
      <c r="AS99" s="1442"/>
      <c r="AT99" s="1437"/>
      <c r="AU99" s="1425"/>
      <c r="AV99" s="1425"/>
      <c r="AW99" s="1447"/>
    </row>
    <row r="100">
      <c r="A100" s="1427" t="s">
        <v>6260</v>
      </c>
      <c r="B100" s="1428" t="s">
        <v>8303</v>
      </c>
      <c r="C100" s="1488"/>
      <c r="D100" s="1408"/>
      <c r="E100" s="1408"/>
      <c r="F100" s="1408"/>
      <c r="G100" s="1408"/>
      <c r="H100" s="1408"/>
      <c r="I100" s="1408"/>
      <c r="J100" s="1408"/>
      <c r="K100" s="1408"/>
      <c r="L100" s="1408"/>
      <c r="M100" s="1408"/>
      <c r="N100" s="1408"/>
      <c r="O100" s="1408"/>
      <c r="P100" s="1408"/>
      <c r="Q100" s="1408"/>
      <c r="R100" s="1408"/>
      <c r="S100" s="1408"/>
      <c r="T100" s="1408"/>
      <c r="U100" s="1408"/>
      <c r="V100" s="1408"/>
      <c r="W100" s="1560" t="s">
        <v>8317</v>
      </c>
      <c r="X100" s="1408"/>
      <c r="Y100" s="1408"/>
      <c r="Z100" s="1408"/>
      <c r="AA100" s="1408"/>
      <c r="AB100" s="1560" t="s">
        <v>2806</v>
      </c>
      <c r="AC100" s="1408"/>
      <c r="AD100" s="1408"/>
      <c r="AE100" s="1429"/>
      <c r="AF100" s="1408"/>
      <c r="AG100" s="1408"/>
      <c r="AH100" s="1408"/>
      <c r="AI100" s="1408"/>
      <c r="AJ100" s="1408"/>
      <c r="AK100" s="1408"/>
      <c r="AL100" s="1408"/>
      <c r="AM100" s="1560" t="s">
        <v>2316</v>
      </c>
      <c r="AN100" s="1408"/>
      <c r="AO100" s="1408"/>
      <c r="AP100" s="1408"/>
      <c r="AQ100" s="1408"/>
      <c r="AR100" s="1408"/>
      <c r="AS100" s="1408"/>
      <c r="AT100" s="1408"/>
      <c r="AU100" s="1396"/>
      <c r="AV100" s="1396"/>
      <c r="AW100" s="1467"/>
    </row>
    <row r="101">
      <c r="A101" s="1561" t="s">
        <v>3937</v>
      </c>
      <c r="B101" s="1445" t="s">
        <v>8275</v>
      </c>
      <c r="C101" s="1562">
        <v>0.05148148148148148</v>
      </c>
      <c r="D101" s="1312" t="s">
        <v>10401</v>
      </c>
      <c r="E101" s="1435" t="s">
        <v>4474</v>
      </c>
      <c r="F101" s="1563" t="s">
        <v>6971</v>
      </c>
      <c r="G101" s="1435" t="s">
        <v>9239</v>
      </c>
      <c r="H101" s="1564" t="s">
        <v>3656</v>
      </c>
      <c r="I101" s="1482" t="s">
        <v>9988</v>
      </c>
      <c r="J101" s="1437" t="s">
        <v>8433</v>
      </c>
      <c r="K101" s="1437" t="s">
        <v>10402</v>
      </c>
      <c r="L101" s="1437" t="s">
        <v>2976</v>
      </c>
      <c r="M101" s="1565" t="s">
        <v>4368</v>
      </c>
      <c r="N101" s="1565" t="s">
        <v>10109</v>
      </c>
      <c r="O101" s="1437" t="s">
        <v>10403</v>
      </c>
      <c r="P101" s="1437" t="s">
        <v>10404</v>
      </c>
      <c r="Q101" s="1566" t="s">
        <v>715</v>
      </c>
      <c r="R101" s="1438" t="s">
        <v>9809</v>
      </c>
      <c r="S101" s="1566" t="s">
        <v>4043</v>
      </c>
      <c r="T101" s="1438" t="s">
        <v>10405</v>
      </c>
      <c r="U101" s="1438" t="s">
        <v>10406</v>
      </c>
      <c r="V101" s="1566" t="s">
        <v>10407</v>
      </c>
      <c r="W101" s="1567" t="s">
        <v>10408</v>
      </c>
      <c r="X101" s="1439" t="s">
        <v>10018</v>
      </c>
      <c r="Y101" s="1567" t="s">
        <v>6790</v>
      </c>
      <c r="Z101" s="1567" t="s">
        <v>2943</v>
      </c>
      <c r="AA101" s="1475" t="s">
        <v>508</v>
      </c>
      <c r="AB101" s="1567" t="s">
        <v>10409</v>
      </c>
      <c r="AC101" s="1567" t="s">
        <v>2840</v>
      </c>
      <c r="AD101" s="1563" t="s">
        <v>10410</v>
      </c>
      <c r="AE101" s="1563" t="s">
        <v>9407</v>
      </c>
      <c r="AF101" s="1568" t="s">
        <v>1285</v>
      </c>
      <c r="AG101" s="1568" t="s">
        <v>287</v>
      </c>
      <c r="AH101" s="1568" t="s">
        <v>1822</v>
      </c>
      <c r="AI101" s="1568" t="s">
        <v>173</v>
      </c>
      <c r="AJ101" s="1568" t="s">
        <v>10411</v>
      </c>
      <c r="AK101" s="1568" t="s">
        <v>10412</v>
      </c>
      <c r="AL101" s="1568" t="s">
        <v>9592</v>
      </c>
      <c r="AM101" s="1569" t="s">
        <v>3667</v>
      </c>
      <c r="AN101" s="1569" t="s">
        <v>5648</v>
      </c>
      <c r="AO101" s="1569" t="s">
        <v>2108</v>
      </c>
      <c r="AP101" s="1569" t="s">
        <v>337</v>
      </c>
      <c r="AQ101" s="1569" t="s">
        <v>9202</v>
      </c>
      <c r="AR101" s="1569" t="s">
        <v>9601</v>
      </c>
      <c r="AS101" s="1569" t="s">
        <v>10413</v>
      </c>
      <c r="AT101" s="1565" t="s">
        <v>10414</v>
      </c>
      <c r="AU101" s="1425" t="s">
        <v>9639</v>
      </c>
      <c r="AV101" s="1458" t="str">
        <f t="shared" ref="AV101:AV102" si="4">TEXT(AU101-C101,"m:ss")</f>
        <v>3:08</v>
      </c>
      <c r="AW101" s="1487"/>
    </row>
    <row r="102">
      <c r="A102" s="1543" t="s">
        <v>1252</v>
      </c>
      <c r="B102" s="1428" t="s">
        <v>8303</v>
      </c>
      <c r="C102" s="1570">
        <v>0.05181712962962963</v>
      </c>
      <c r="D102" s="1571" t="s">
        <v>10415</v>
      </c>
      <c r="E102" s="1391" t="s">
        <v>9984</v>
      </c>
      <c r="F102" s="1391" t="s">
        <v>10416</v>
      </c>
      <c r="G102" s="1391" t="s">
        <v>10417</v>
      </c>
      <c r="H102" s="1388" t="s">
        <v>10418</v>
      </c>
      <c r="I102" s="1391" t="s">
        <v>4900</v>
      </c>
      <c r="J102" s="1391" t="s">
        <v>9052</v>
      </c>
      <c r="K102" s="1391" t="s">
        <v>8851</v>
      </c>
      <c r="L102" s="1391" t="s">
        <v>9691</v>
      </c>
      <c r="M102" s="1391" t="s">
        <v>1450</v>
      </c>
      <c r="N102" s="1391" t="s">
        <v>9177</v>
      </c>
      <c r="O102" s="1391" t="s">
        <v>7224</v>
      </c>
      <c r="P102" s="1391" t="s">
        <v>8778</v>
      </c>
      <c r="Q102" s="1391" t="s">
        <v>10419</v>
      </c>
      <c r="R102" s="1391" t="s">
        <v>3130</v>
      </c>
      <c r="S102" s="1391" t="s">
        <v>4787</v>
      </c>
      <c r="T102" s="1391" t="s">
        <v>9053</v>
      </c>
      <c r="U102" s="1391" t="s">
        <v>10420</v>
      </c>
      <c r="V102" s="1391" t="s">
        <v>9644</v>
      </c>
      <c r="W102" s="1391" t="s">
        <v>10421</v>
      </c>
      <c r="X102" s="1391" t="s">
        <v>9298</v>
      </c>
      <c r="Y102" s="1391" t="s">
        <v>9995</v>
      </c>
      <c r="Z102" s="1391" t="s">
        <v>6084</v>
      </c>
      <c r="AA102" s="1512" t="s">
        <v>884</v>
      </c>
      <c r="AB102" s="1391" t="s">
        <v>10422</v>
      </c>
      <c r="AC102" s="1391" t="s">
        <v>2014</v>
      </c>
      <c r="AD102" s="1391" t="s">
        <v>10423</v>
      </c>
      <c r="AE102" s="1391" t="s">
        <v>6410</v>
      </c>
      <c r="AF102" s="1391" t="s">
        <v>9386</v>
      </c>
      <c r="AG102" s="1391" t="s">
        <v>173</v>
      </c>
      <c r="AH102" s="1391" t="s">
        <v>6208</v>
      </c>
      <c r="AI102" s="1391" t="s">
        <v>243</v>
      </c>
      <c r="AJ102" s="1391" t="s">
        <v>10192</v>
      </c>
      <c r="AK102" s="1391" t="s">
        <v>8951</v>
      </c>
      <c r="AL102" s="1391" t="s">
        <v>4621</v>
      </c>
      <c r="AM102" s="1391" t="s">
        <v>9930</v>
      </c>
      <c r="AN102" s="1391" t="s">
        <v>9002</v>
      </c>
      <c r="AO102" s="1391" t="s">
        <v>10424</v>
      </c>
      <c r="AP102" s="1391" t="s">
        <v>10425</v>
      </c>
      <c r="AQ102" s="1391" t="s">
        <v>10198</v>
      </c>
      <c r="AR102" s="1391" t="s">
        <v>10199</v>
      </c>
      <c r="AS102" s="1391" t="s">
        <v>350</v>
      </c>
      <c r="AT102" s="1391" t="s">
        <v>10426</v>
      </c>
      <c r="AU102" s="1394" t="s">
        <v>10427</v>
      </c>
      <c r="AV102" s="1458" t="str">
        <f t="shared" si="4"/>
        <v>3:49</v>
      </c>
      <c r="AW102" s="1555" t="s">
        <v>10202</v>
      </c>
    </row>
    <row r="103">
      <c r="A103" s="1572"/>
      <c r="B103" s="1573"/>
      <c r="C103" s="1574"/>
      <c r="D103" s="1537"/>
      <c r="E103" s="1575"/>
      <c r="F103" s="1575"/>
      <c r="G103" s="1575"/>
      <c r="H103" s="1576"/>
      <c r="I103" s="1577"/>
      <c r="J103" s="1578"/>
      <c r="K103" s="1578"/>
      <c r="L103" s="1578"/>
      <c r="M103" s="1578"/>
      <c r="N103" s="1578"/>
      <c r="O103" s="1578"/>
      <c r="P103" s="1578"/>
      <c r="Q103" s="1579"/>
      <c r="R103" s="1579"/>
      <c r="S103" s="1579"/>
      <c r="T103" s="1579"/>
      <c r="U103" s="1579"/>
      <c r="V103" s="1579"/>
      <c r="W103" s="1580"/>
      <c r="X103" s="1580"/>
      <c r="Y103" s="1580"/>
      <c r="Z103" s="1580"/>
      <c r="AA103" s="1513"/>
      <c r="AB103" s="1580"/>
      <c r="AC103" s="1580"/>
      <c r="AD103" s="1575"/>
      <c r="AE103" s="1575"/>
      <c r="AF103" s="1581"/>
      <c r="AG103" s="1581"/>
      <c r="AH103" s="1581"/>
      <c r="AI103" s="1581"/>
      <c r="AJ103" s="1581"/>
      <c r="AK103" s="1581"/>
      <c r="AL103" s="1581"/>
      <c r="AM103" s="1582"/>
      <c r="AN103" s="1582"/>
      <c r="AO103" s="1582"/>
      <c r="AP103" s="1582"/>
      <c r="AQ103" s="1582"/>
      <c r="AR103" s="1582"/>
      <c r="AS103" s="1582"/>
      <c r="AT103" s="1578"/>
      <c r="AU103" s="1583"/>
      <c r="AV103" s="1583"/>
      <c r="AW103" s="1487"/>
    </row>
    <row r="104">
      <c r="A104" s="1584"/>
      <c r="B104" s="1585"/>
      <c r="C104" s="1586"/>
      <c r="D104" s="1537"/>
      <c r="E104" s="1513"/>
      <c r="F104" s="1513"/>
      <c r="G104" s="1513"/>
      <c r="H104" s="1576"/>
      <c r="I104" s="1513"/>
      <c r="J104" s="1513"/>
      <c r="K104" s="1513"/>
      <c r="L104" s="1513"/>
      <c r="M104" s="1513"/>
      <c r="N104" s="1513"/>
      <c r="O104" s="1513"/>
      <c r="P104" s="1513"/>
      <c r="Q104" s="1513"/>
      <c r="R104" s="1513"/>
      <c r="S104" s="1513"/>
      <c r="T104" s="1513"/>
      <c r="U104" s="1513"/>
      <c r="V104" s="1513"/>
      <c r="W104" s="1513"/>
      <c r="X104" s="1513"/>
      <c r="Y104" s="1513"/>
      <c r="Z104" s="1513"/>
      <c r="AA104" s="1580"/>
      <c r="AB104" s="1513"/>
      <c r="AC104" s="1513"/>
      <c r="AD104" s="1513"/>
      <c r="AE104" s="1513"/>
      <c r="AF104" s="1513"/>
      <c r="AG104" s="1513"/>
      <c r="AH104" s="1513"/>
      <c r="AI104" s="1513"/>
      <c r="AJ104" s="1513"/>
      <c r="AK104" s="1513"/>
      <c r="AL104" s="1513"/>
      <c r="AM104" s="1513"/>
      <c r="AN104" s="1513"/>
      <c r="AO104" s="1513"/>
      <c r="AP104" s="1513"/>
      <c r="AQ104" s="1513"/>
      <c r="AR104" s="1513"/>
      <c r="AS104" s="1513"/>
      <c r="AT104" s="1513"/>
      <c r="AU104" s="1513"/>
      <c r="AV104" s="1513"/>
      <c r="AW104" s="1467"/>
    </row>
    <row r="105">
      <c r="A105" s="1572"/>
      <c r="B105" s="1573"/>
      <c r="C105" s="1574"/>
      <c r="D105" s="1537"/>
      <c r="E105" s="1575"/>
      <c r="F105" s="1575"/>
      <c r="G105" s="1575"/>
      <c r="H105" s="1576"/>
      <c r="I105" s="1577"/>
      <c r="J105" s="1578"/>
      <c r="K105" s="1578"/>
      <c r="L105" s="1578"/>
      <c r="M105" s="1578"/>
      <c r="N105" s="1578"/>
      <c r="O105" s="1578"/>
      <c r="P105" s="1578"/>
      <c r="Q105" s="1579"/>
      <c r="R105" s="1579"/>
      <c r="S105" s="1579"/>
      <c r="T105" s="1579"/>
      <c r="U105" s="1579"/>
      <c r="V105" s="1579"/>
      <c r="W105" s="1580"/>
      <c r="X105" s="1580"/>
      <c r="Y105" s="1580"/>
      <c r="Z105" s="1580"/>
      <c r="AA105" s="1513"/>
      <c r="AB105" s="1580"/>
      <c r="AC105" s="1580"/>
      <c r="AD105" s="1575"/>
      <c r="AE105" s="1575"/>
      <c r="AF105" s="1581"/>
      <c r="AG105" s="1581"/>
      <c r="AH105" s="1581"/>
      <c r="AI105" s="1581"/>
      <c r="AJ105" s="1581"/>
      <c r="AK105" s="1581"/>
      <c r="AL105" s="1581"/>
      <c r="AM105" s="1582"/>
      <c r="AN105" s="1582"/>
      <c r="AO105" s="1582"/>
      <c r="AP105" s="1582"/>
      <c r="AQ105" s="1582"/>
      <c r="AR105" s="1582"/>
      <c r="AS105" s="1582"/>
      <c r="AT105" s="1578"/>
      <c r="AU105" s="1583"/>
      <c r="AV105" s="1583"/>
      <c r="AW105" s="1487"/>
    </row>
    <row r="106">
      <c r="A106" s="1584"/>
      <c r="B106" s="1585"/>
      <c r="C106" s="1586"/>
      <c r="D106" s="1537"/>
      <c r="E106" s="1513"/>
      <c r="F106" s="1513"/>
      <c r="G106" s="1513"/>
      <c r="H106" s="1576"/>
      <c r="I106" s="1513"/>
      <c r="J106" s="1513"/>
      <c r="K106" s="1513"/>
      <c r="L106" s="1513"/>
      <c r="M106" s="1513"/>
      <c r="N106" s="1513"/>
      <c r="O106" s="1513"/>
      <c r="P106" s="1513"/>
      <c r="Q106" s="1513"/>
      <c r="R106" s="1513"/>
      <c r="S106" s="1513"/>
      <c r="T106" s="1513"/>
      <c r="U106" s="1513"/>
      <c r="V106" s="1513"/>
      <c r="W106" s="1513"/>
      <c r="X106" s="1513"/>
      <c r="Y106" s="1513"/>
      <c r="Z106" s="1513"/>
      <c r="AA106" s="1580"/>
      <c r="AB106" s="1513"/>
      <c r="AC106" s="1513"/>
      <c r="AD106" s="1513"/>
      <c r="AE106" s="1513"/>
      <c r="AF106" s="1513"/>
      <c r="AG106" s="1513"/>
      <c r="AH106" s="1513"/>
      <c r="AI106" s="1513"/>
      <c r="AJ106" s="1513"/>
      <c r="AK106" s="1513"/>
      <c r="AL106" s="1513"/>
      <c r="AM106" s="1513"/>
      <c r="AN106" s="1513"/>
      <c r="AO106" s="1513"/>
      <c r="AP106" s="1513"/>
      <c r="AQ106" s="1513"/>
      <c r="AR106" s="1513"/>
      <c r="AS106" s="1513"/>
      <c r="AT106" s="1513"/>
      <c r="AU106" s="1513"/>
      <c r="AV106" s="1513"/>
      <c r="AW106" s="1467"/>
    </row>
    <row r="107">
      <c r="A107" s="1572"/>
      <c r="B107" s="1573"/>
      <c r="C107" s="1574"/>
      <c r="D107" s="1537"/>
      <c r="E107" s="1575"/>
      <c r="F107" s="1575"/>
      <c r="G107" s="1575"/>
      <c r="H107" s="1576"/>
      <c r="I107" s="1577"/>
      <c r="J107" s="1578"/>
      <c r="K107" s="1578"/>
      <c r="L107" s="1578"/>
      <c r="M107" s="1578"/>
      <c r="N107" s="1578"/>
      <c r="O107" s="1578"/>
      <c r="P107" s="1578"/>
      <c r="Q107" s="1579"/>
      <c r="R107" s="1579"/>
      <c r="S107" s="1579"/>
      <c r="T107" s="1579"/>
      <c r="U107" s="1579"/>
      <c r="V107" s="1579"/>
      <c r="W107" s="1580"/>
      <c r="X107" s="1580"/>
      <c r="Y107" s="1580"/>
      <c r="Z107" s="1580"/>
      <c r="AA107" s="1513"/>
      <c r="AB107" s="1580"/>
      <c r="AC107" s="1580"/>
      <c r="AD107" s="1575"/>
      <c r="AE107" s="1575"/>
      <c r="AF107" s="1581"/>
      <c r="AG107" s="1581"/>
      <c r="AH107" s="1581"/>
      <c r="AI107" s="1581"/>
      <c r="AJ107" s="1581"/>
      <c r="AK107" s="1581"/>
      <c r="AL107" s="1581"/>
      <c r="AM107" s="1582"/>
      <c r="AN107" s="1582"/>
      <c r="AO107" s="1582"/>
      <c r="AP107" s="1582"/>
      <c r="AQ107" s="1582"/>
      <c r="AR107" s="1582"/>
      <c r="AS107" s="1582"/>
      <c r="AT107" s="1578"/>
      <c r="AU107" s="1583"/>
      <c r="AV107" s="1583"/>
      <c r="AW107" s="1487"/>
    </row>
    <row r="108">
      <c r="A108" s="1584"/>
      <c r="B108" s="1585"/>
      <c r="C108" s="1586"/>
      <c r="D108" s="1537"/>
      <c r="E108" s="1513"/>
      <c r="F108" s="1513"/>
      <c r="G108" s="1513"/>
      <c r="H108" s="1576"/>
      <c r="I108" s="1513"/>
      <c r="J108" s="1513"/>
      <c r="K108" s="1513"/>
      <c r="L108" s="1513"/>
      <c r="M108" s="1513"/>
      <c r="N108" s="1513"/>
      <c r="O108" s="1513"/>
      <c r="P108" s="1513"/>
      <c r="Q108" s="1513"/>
      <c r="R108" s="1513"/>
      <c r="S108" s="1513"/>
      <c r="T108" s="1513"/>
      <c r="U108" s="1513"/>
      <c r="V108" s="1513"/>
      <c r="W108" s="1513"/>
      <c r="X108" s="1513"/>
      <c r="Y108" s="1513"/>
      <c r="Z108" s="1513"/>
      <c r="AA108" s="1580"/>
      <c r="AB108" s="1513"/>
      <c r="AC108" s="1513"/>
      <c r="AD108" s="1513"/>
      <c r="AE108" s="1513"/>
      <c r="AF108" s="1513"/>
      <c r="AG108" s="1513"/>
      <c r="AH108" s="1513"/>
      <c r="AI108" s="1513"/>
      <c r="AJ108" s="1513"/>
      <c r="AK108" s="1513"/>
      <c r="AL108" s="1513"/>
      <c r="AM108" s="1513"/>
      <c r="AN108" s="1513"/>
      <c r="AO108" s="1513"/>
      <c r="AP108" s="1513"/>
      <c r="AQ108" s="1513"/>
      <c r="AR108" s="1513"/>
      <c r="AS108" s="1513"/>
      <c r="AT108" s="1513"/>
      <c r="AU108" s="1513"/>
      <c r="AV108" s="1513"/>
      <c r="AW108" s="1467"/>
    </row>
    <row r="109">
      <c r="A109" s="1572"/>
      <c r="B109" s="1573"/>
      <c r="C109" s="1574"/>
      <c r="D109" s="1537"/>
      <c r="E109" s="1575"/>
      <c r="F109" s="1575"/>
      <c r="G109" s="1575"/>
      <c r="H109" s="1576"/>
      <c r="I109" s="1577"/>
      <c r="J109" s="1578"/>
      <c r="K109" s="1578"/>
      <c r="L109" s="1578"/>
      <c r="M109" s="1578"/>
      <c r="N109" s="1578"/>
      <c r="O109" s="1578"/>
      <c r="P109" s="1578"/>
      <c r="Q109" s="1579"/>
      <c r="R109" s="1579"/>
      <c r="S109" s="1579"/>
      <c r="T109" s="1579"/>
      <c r="U109" s="1579"/>
      <c r="V109" s="1579"/>
      <c r="W109" s="1580"/>
      <c r="X109" s="1580"/>
      <c r="Y109" s="1580"/>
      <c r="Z109" s="1580"/>
      <c r="AA109" s="1513"/>
      <c r="AB109" s="1580"/>
      <c r="AC109" s="1580"/>
      <c r="AD109" s="1575"/>
      <c r="AE109" s="1575"/>
      <c r="AF109" s="1581"/>
      <c r="AG109" s="1581"/>
      <c r="AH109" s="1581"/>
      <c r="AI109" s="1581"/>
      <c r="AJ109" s="1581"/>
      <c r="AK109" s="1581"/>
      <c r="AL109" s="1581"/>
      <c r="AM109" s="1582"/>
      <c r="AN109" s="1582"/>
      <c r="AO109" s="1582"/>
      <c r="AP109" s="1582"/>
      <c r="AQ109" s="1582"/>
      <c r="AR109" s="1582"/>
      <c r="AS109" s="1582"/>
      <c r="AT109" s="1578"/>
      <c r="AU109" s="1583"/>
      <c r="AV109" s="1583"/>
      <c r="AW109" s="1487"/>
    </row>
    <row r="110">
      <c r="A110" s="1584"/>
      <c r="B110" s="1585"/>
      <c r="C110" s="1586"/>
      <c r="D110" s="1537"/>
      <c r="E110" s="1513"/>
      <c r="F110" s="1513"/>
      <c r="G110" s="1513"/>
      <c r="H110" s="1576"/>
      <c r="I110" s="1513"/>
      <c r="J110" s="1513"/>
      <c r="K110" s="1513"/>
      <c r="L110" s="1513"/>
      <c r="M110" s="1513"/>
      <c r="N110" s="1513"/>
      <c r="O110" s="1513"/>
      <c r="P110" s="1513"/>
      <c r="Q110" s="1513"/>
      <c r="R110" s="1513"/>
      <c r="S110" s="1513"/>
      <c r="T110" s="1513"/>
      <c r="U110" s="1513"/>
      <c r="V110" s="1513"/>
      <c r="W110" s="1513"/>
      <c r="X110" s="1513"/>
      <c r="Y110" s="1513"/>
      <c r="Z110" s="1513"/>
      <c r="AA110" s="1580"/>
      <c r="AB110" s="1513"/>
      <c r="AC110" s="1513"/>
      <c r="AD110" s="1513"/>
      <c r="AE110" s="1513"/>
      <c r="AF110" s="1513"/>
      <c r="AG110" s="1513"/>
      <c r="AH110" s="1513"/>
      <c r="AI110" s="1513"/>
      <c r="AJ110" s="1513"/>
      <c r="AK110" s="1513"/>
      <c r="AL110" s="1513"/>
      <c r="AM110" s="1513"/>
      <c r="AN110" s="1513"/>
      <c r="AO110" s="1513"/>
      <c r="AP110" s="1513"/>
      <c r="AQ110" s="1513"/>
      <c r="AR110" s="1513"/>
      <c r="AS110" s="1513"/>
      <c r="AT110" s="1513"/>
      <c r="AU110" s="1513"/>
      <c r="AV110" s="1513"/>
      <c r="AW110" s="1467"/>
    </row>
    <row r="111">
      <c r="A111" s="1572"/>
      <c r="B111" s="1573"/>
      <c r="C111" s="1574"/>
      <c r="D111" s="1537"/>
      <c r="E111" s="1575"/>
      <c r="F111" s="1575"/>
      <c r="G111" s="1575"/>
      <c r="H111" s="1576"/>
      <c r="I111" s="1577"/>
      <c r="J111" s="1578"/>
      <c r="K111" s="1578"/>
      <c r="L111" s="1578"/>
      <c r="M111" s="1578"/>
      <c r="N111" s="1578"/>
      <c r="O111" s="1578"/>
      <c r="P111" s="1578"/>
      <c r="Q111" s="1579"/>
      <c r="R111" s="1579"/>
      <c r="S111" s="1579"/>
      <c r="T111" s="1579"/>
      <c r="U111" s="1579"/>
      <c r="V111" s="1579"/>
      <c r="W111" s="1580"/>
      <c r="X111" s="1580"/>
      <c r="Y111" s="1580"/>
      <c r="Z111" s="1580"/>
      <c r="AA111" s="1513"/>
      <c r="AB111" s="1580"/>
      <c r="AC111" s="1580"/>
      <c r="AD111" s="1575"/>
      <c r="AE111" s="1575"/>
      <c r="AF111" s="1581"/>
      <c r="AG111" s="1581"/>
      <c r="AH111" s="1581"/>
      <c r="AI111" s="1581"/>
      <c r="AJ111" s="1581"/>
      <c r="AK111" s="1581"/>
      <c r="AL111" s="1581"/>
      <c r="AM111" s="1582"/>
      <c r="AN111" s="1582"/>
      <c r="AO111" s="1582"/>
      <c r="AP111" s="1582"/>
      <c r="AQ111" s="1582"/>
      <c r="AR111" s="1582"/>
      <c r="AS111" s="1582"/>
      <c r="AT111" s="1578"/>
      <c r="AU111" s="1583"/>
      <c r="AV111" s="1583"/>
      <c r="AW111" s="1487"/>
    </row>
    <row r="112">
      <c r="A112" s="1584"/>
      <c r="B112" s="1585"/>
      <c r="C112" s="1586"/>
      <c r="D112" s="1537"/>
      <c r="E112" s="1513"/>
      <c r="F112" s="1513"/>
      <c r="G112" s="1513"/>
      <c r="H112" s="1576"/>
      <c r="I112" s="1513"/>
      <c r="J112" s="1513"/>
      <c r="K112" s="1513"/>
      <c r="L112" s="1513"/>
      <c r="M112" s="1513"/>
      <c r="N112" s="1513"/>
      <c r="O112" s="1513"/>
      <c r="P112" s="1513"/>
      <c r="Q112" s="1513"/>
      <c r="R112" s="1513"/>
      <c r="S112" s="1513"/>
      <c r="T112" s="1513"/>
      <c r="U112" s="1513"/>
      <c r="V112" s="1513"/>
      <c r="W112" s="1513"/>
      <c r="X112" s="1513"/>
      <c r="Y112" s="1513"/>
      <c r="Z112" s="1513"/>
      <c r="AA112" s="1580"/>
      <c r="AB112" s="1513"/>
      <c r="AC112" s="1513"/>
      <c r="AD112" s="1513"/>
      <c r="AE112" s="1513"/>
      <c r="AF112" s="1513"/>
      <c r="AG112" s="1513"/>
      <c r="AH112" s="1513"/>
      <c r="AI112" s="1513"/>
      <c r="AJ112" s="1513"/>
      <c r="AK112" s="1513"/>
      <c r="AL112" s="1513"/>
      <c r="AM112" s="1513"/>
      <c r="AN112" s="1513"/>
      <c r="AO112" s="1513"/>
      <c r="AP112" s="1513"/>
      <c r="AQ112" s="1513"/>
      <c r="AR112" s="1513"/>
      <c r="AS112" s="1513"/>
      <c r="AT112" s="1513"/>
      <c r="AU112" s="1513"/>
      <c r="AV112" s="1513"/>
      <c r="AW112" s="1467"/>
    </row>
    <row r="113">
      <c r="A113" s="1572"/>
      <c r="B113" s="1573"/>
      <c r="C113" s="1574"/>
      <c r="D113" s="1537"/>
      <c r="E113" s="1575"/>
      <c r="F113" s="1575"/>
      <c r="G113" s="1575"/>
      <c r="H113" s="1576"/>
      <c r="I113" s="1577"/>
      <c r="J113" s="1578"/>
      <c r="K113" s="1578"/>
      <c r="L113" s="1578"/>
      <c r="M113" s="1578"/>
      <c r="N113" s="1578"/>
      <c r="O113" s="1578"/>
      <c r="P113" s="1578"/>
      <c r="Q113" s="1579"/>
      <c r="R113" s="1579"/>
      <c r="S113" s="1579"/>
      <c r="T113" s="1579"/>
      <c r="U113" s="1579"/>
      <c r="V113" s="1579"/>
      <c r="W113" s="1580"/>
      <c r="X113" s="1580"/>
      <c r="Y113" s="1580"/>
      <c r="Z113" s="1580"/>
      <c r="AA113" s="1513"/>
      <c r="AB113" s="1580"/>
      <c r="AC113" s="1580"/>
      <c r="AD113" s="1575"/>
      <c r="AE113" s="1575"/>
      <c r="AF113" s="1581"/>
      <c r="AG113" s="1581"/>
      <c r="AH113" s="1581"/>
      <c r="AI113" s="1581"/>
      <c r="AJ113" s="1581"/>
      <c r="AK113" s="1581"/>
      <c r="AL113" s="1581"/>
      <c r="AM113" s="1582"/>
      <c r="AN113" s="1582"/>
      <c r="AO113" s="1582"/>
      <c r="AP113" s="1582"/>
      <c r="AQ113" s="1582"/>
      <c r="AR113" s="1582"/>
      <c r="AS113" s="1582"/>
      <c r="AT113" s="1578"/>
      <c r="AU113" s="1583"/>
      <c r="AV113" s="1583"/>
      <c r="AW113" s="1487"/>
    </row>
    <row r="114">
      <c r="A114" s="1584"/>
      <c r="B114" s="1585"/>
      <c r="C114" s="1586"/>
      <c r="D114" s="1537"/>
      <c r="E114" s="1513"/>
      <c r="F114" s="1513"/>
      <c r="G114" s="1513"/>
      <c r="H114" s="1576"/>
      <c r="I114" s="1513"/>
      <c r="J114" s="1513"/>
      <c r="K114" s="1513"/>
      <c r="L114" s="1513"/>
      <c r="M114" s="1513"/>
      <c r="N114" s="1513"/>
      <c r="O114" s="1513"/>
      <c r="P114" s="1513"/>
      <c r="Q114" s="1513"/>
      <c r="R114" s="1513"/>
      <c r="S114" s="1513"/>
      <c r="T114" s="1513"/>
      <c r="U114" s="1513"/>
      <c r="V114" s="1513"/>
      <c r="W114" s="1513"/>
      <c r="X114" s="1513"/>
      <c r="Y114" s="1513"/>
      <c r="Z114" s="1513"/>
      <c r="AA114" s="1580"/>
      <c r="AB114" s="1513"/>
      <c r="AC114" s="1513"/>
      <c r="AD114" s="1513"/>
      <c r="AE114" s="1513"/>
      <c r="AF114" s="1513"/>
      <c r="AG114" s="1513"/>
      <c r="AH114" s="1513"/>
      <c r="AI114" s="1513"/>
      <c r="AJ114" s="1513"/>
      <c r="AK114" s="1513"/>
      <c r="AL114" s="1513"/>
      <c r="AM114" s="1513"/>
      <c r="AN114" s="1513"/>
      <c r="AO114" s="1513"/>
      <c r="AP114" s="1513"/>
      <c r="AQ114" s="1513"/>
      <c r="AR114" s="1513"/>
      <c r="AS114" s="1513"/>
      <c r="AT114" s="1513"/>
      <c r="AU114" s="1513"/>
      <c r="AV114" s="1513"/>
      <c r="AW114" s="1467"/>
    </row>
    <row r="115">
      <c r="A115" s="1572"/>
      <c r="B115" s="1573"/>
      <c r="C115" s="1574"/>
      <c r="D115" s="1537"/>
      <c r="E115" s="1575"/>
      <c r="F115" s="1575"/>
      <c r="G115" s="1575"/>
      <c r="H115" s="1576"/>
      <c r="I115" s="1577"/>
      <c r="J115" s="1578"/>
      <c r="K115" s="1578"/>
      <c r="L115" s="1578"/>
      <c r="M115" s="1578"/>
      <c r="N115" s="1578"/>
      <c r="O115" s="1578"/>
      <c r="P115" s="1578"/>
      <c r="Q115" s="1579"/>
      <c r="R115" s="1579"/>
      <c r="S115" s="1579"/>
      <c r="T115" s="1579"/>
      <c r="U115" s="1579"/>
      <c r="V115" s="1579"/>
      <c r="W115" s="1580"/>
      <c r="X115" s="1580"/>
      <c r="Y115" s="1580"/>
      <c r="Z115" s="1580"/>
      <c r="AA115" s="1513"/>
      <c r="AB115" s="1580"/>
      <c r="AC115" s="1580"/>
      <c r="AD115" s="1575"/>
      <c r="AE115" s="1575"/>
      <c r="AF115" s="1581"/>
      <c r="AG115" s="1581"/>
      <c r="AH115" s="1581"/>
      <c r="AI115" s="1581"/>
      <c r="AJ115" s="1581"/>
      <c r="AK115" s="1581"/>
      <c r="AL115" s="1581"/>
      <c r="AM115" s="1582"/>
      <c r="AN115" s="1582"/>
      <c r="AO115" s="1582"/>
      <c r="AP115" s="1582"/>
      <c r="AQ115" s="1582"/>
      <c r="AR115" s="1582"/>
      <c r="AS115" s="1582"/>
      <c r="AT115" s="1578"/>
      <c r="AU115" s="1583"/>
      <c r="AV115" s="1583"/>
      <c r="AW115" s="1487"/>
    </row>
    <row r="116">
      <c r="A116" s="1584"/>
      <c r="B116" s="1585"/>
      <c r="C116" s="1586"/>
      <c r="D116" s="1537"/>
      <c r="E116" s="1513"/>
      <c r="F116" s="1513"/>
      <c r="G116" s="1513"/>
      <c r="H116" s="1576"/>
      <c r="I116" s="1513"/>
      <c r="J116" s="1513"/>
      <c r="K116" s="1513"/>
      <c r="L116" s="1513"/>
      <c r="M116" s="1513"/>
      <c r="N116" s="1513"/>
      <c r="O116" s="1513"/>
      <c r="P116" s="1513"/>
      <c r="Q116" s="1513"/>
      <c r="R116" s="1513"/>
      <c r="S116" s="1513"/>
      <c r="T116" s="1513"/>
      <c r="U116" s="1513"/>
      <c r="V116" s="1513"/>
      <c r="W116" s="1513"/>
      <c r="X116" s="1513"/>
      <c r="Y116" s="1513"/>
      <c r="Z116" s="1513"/>
      <c r="AA116" s="1580"/>
      <c r="AB116" s="1513"/>
      <c r="AC116" s="1513"/>
      <c r="AD116" s="1513"/>
      <c r="AE116" s="1513"/>
      <c r="AF116" s="1513"/>
      <c r="AG116" s="1513"/>
      <c r="AH116" s="1513"/>
      <c r="AI116" s="1513"/>
      <c r="AJ116" s="1513"/>
      <c r="AK116" s="1513"/>
      <c r="AL116" s="1513"/>
      <c r="AM116" s="1513"/>
      <c r="AN116" s="1513"/>
      <c r="AO116" s="1513"/>
      <c r="AP116" s="1513"/>
      <c r="AQ116" s="1513"/>
      <c r="AR116" s="1513"/>
      <c r="AS116" s="1513"/>
      <c r="AT116" s="1513"/>
      <c r="AU116" s="1513"/>
      <c r="AV116" s="1513"/>
      <c r="AW116" s="1467"/>
    </row>
    <row r="117">
      <c r="A117" s="1572"/>
      <c r="B117" s="1573"/>
      <c r="C117" s="1574"/>
      <c r="D117" s="1537"/>
      <c r="E117" s="1575"/>
      <c r="F117" s="1575"/>
      <c r="G117" s="1575"/>
      <c r="H117" s="1577"/>
      <c r="I117" s="1577"/>
      <c r="J117" s="1578"/>
      <c r="K117" s="1578"/>
      <c r="L117" s="1578"/>
      <c r="M117" s="1578"/>
      <c r="N117" s="1578"/>
      <c r="O117" s="1578"/>
      <c r="P117" s="1578"/>
      <c r="Q117" s="1579"/>
      <c r="R117" s="1579"/>
      <c r="S117" s="1579"/>
      <c r="T117" s="1579"/>
      <c r="U117" s="1579"/>
      <c r="V117" s="1579"/>
      <c r="W117" s="1580"/>
      <c r="X117" s="1580"/>
      <c r="Y117" s="1580"/>
      <c r="Z117" s="1580"/>
      <c r="AA117" s="1513"/>
      <c r="AB117" s="1580"/>
      <c r="AC117" s="1580"/>
      <c r="AD117" s="1575"/>
      <c r="AE117" s="1575"/>
      <c r="AF117" s="1581"/>
      <c r="AG117" s="1581"/>
      <c r="AH117" s="1581"/>
      <c r="AI117" s="1581"/>
      <c r="AJ117" s="1581"/>
      <c r="AK117" s="1581"/>
      <c r="AL117" s="1581"/>
      <c r="AM117" s="1582"/>
      <c r="AN117" s="1582"/>
      <c r="AO117" s="1582"/>
      <c r="AP117" s="1582"/>
      <c r="AQ117" s="1582"/>
      <c r="AR117" s="1582"/>
      <c r="AS117" s="1582"/>
      <c r="AT117" s="1578"/>
      <c r="AU117" s="1583"/>
      <c r="AV117" s="1583"/>
      <c r="AW117" s="1487"/>
    </row>
    <row r="118">
      <c r="A118" s="1584"/>
      <c r="B118" s="1585"/>
      <c r="C118" s="1586"/>
      <c r="D118" s="1537"/>
      <c r="E118" s="1513"/>
      <c r="F118" s="1513"/>
      <c r="G118" s="1513"/>
      <c r="H118" s="1513"/>
      <c r="I118" s="1513"/>
      <c r="J118" s="1513"/>
      <c r="K118" s="1513"/>
      <c r="L118" s="1513"/>
      <c r="M118" s="1513"/>
      <c r="N118" s="1513"/>
      <c r="O118" s="1513"/>
      <c r="P118" s="1513"/>
      <c r="Q118" s="1513"/>
      <c r="R118" s="1513"/>
      <c r="S118" s="1513"/>
      <c r="T118" s="1513"/>
      <c r="U118" s="1513"/>
      <c r="V118" s="1513"/>
      <c r="W118" s="1513"/>
      <c r="X118" s="1513"/>
      <c r="Y118" s="1513"/>
      <c r="Z118" s="1513"/>
      <c r="AA118" s="1580"/>
      <c r="AB118" s="1513"/>
      <c r="AC118" s="1513"/>
      <c r="AD118" s="1513"/>
      <c r="AE118" s="1513"/>
      <c r="AF118" s="1513"/>
      <c r="AG118" s="1513"/>
      <c r="AH118" s="1513"/>
      <c r="AI118" s="1513"/>
      <c r="AJ118" s="1513"/>
      <c r="AK118" s="1513"/>
      <c r="AL118" s="1513"/>
      <c r="AM118" s="1513"/>
      <c r="AN118" s="1513"/>
      <c r="AO118" s="1513"/>
      <c r="AP118" s="1513"/>
      <c r="AQ118" s="1513"/>
      <c r="AR118" s="1513"/>
      <c r="AS118" s="1513"/>
      <c r="AT118" s="1513"/>
      <c r="AU118" s="1513"/>
      <c r="AV118" s="1513"/>
      <c r="AW118" s="1467"/>
    </row>
    <row r="119">
      <c r="A119" s="1572"/>
      <c r="B119" s="1573"/>
      <c r="C119" s="1574"/>
      <c r="D119" s="1537"/>
      <c r="E119" s="1575"/>
      <c r="F119" s="1575"/>
      <c r="G119" s="1575"/>
      <c r="H119" s="1577"/>
      <c r="I119" s="1577"/>
      <c r="J119" s="1578"/>
      <c r="K119" s="1578"/>
      <c r="L119" s="1578"/>
      <c r="M119" s="1578"/>
      <c r="N119" s="1578"/>
      <c r="O119" s="1578"/>
      <c r="P119" s="1578"/>
      <c r="Q119" s="1579"/>
      <c r="R119" s="1579"/>
      <c r="S119" s="1579"/>
      <c r="T119" s="1579"/>
      <c r="U119" s="1579"/>
      <c r="V119" s="1579"/>
      <c r="W119" s="1580"/>
      <c r="X119" s="1580"/>
      <c r="Y119" s="1580"/>
      <c r="Z119" s="1580"/>
      <c r="AA119" s="1513"/>
      <c r="AB119" s="1580"/>
      <c r="AC119" s="1580"/>
      <c r="AD119" s="1575"/>
      <c r="AE119" s="1575"/>
      <c r="AF119" s="1581"/>
      <c r="AG119" s="1581"/>
      <c r="AH119" s="1581"/>
      <c r="AI119" s="1581"/>
      <c r="AJ119" s="1581"/>
      <c r="AK119" s="1581"/>
      <c r="AL119" s="1581"/>
      <c r="AM119" s="1582"/>
      <c r="AN119" s="1582"/>
      <c r="AO119" s="1582"/>
      <c r="AP119" s="1582"/>
      <c r="AQ119" s="1582"/>
      <c r="AR119" s="1582"/>
      <c r="AS119" s="1582"/>
      <c r="AT119" s="1578"/>
      <c r="AU119" s="1583"/>
      <c r="AV119" s="1583"/>
      <c r="AW119" s="1487"/>
    </row>
    <row r="120">
      <c r="A120" s="1584"/>
      <c r="B120" s="1585"/>
      <c r="C120" s="1586"/>
      <c r="D120" s="1537"/>
      <c r="E120" s="1513"/>
      <c r="F120" s="1513"/>
      <c r="G120" s="1513"/>
      <c r="H120" s="1513"/>
      <c r="I120" s="1513"/>
      <c r="J120" s="1513"/>
      <c r="K120" s="1513"/>
      <c r="L120" s="1513"/>
      <c r="M120" s="1513"/>
      <c r="N120" s="1513"/>
      <c r="O120" s="1513"/>
      <c r="P120" s="1513"/>
      <c r="Q120" s="1513"/>
      <c r="R120" s="1513"/>
      <c r="S120" s="1513"/>
      <c r="T120" s="1513"/>
      <c r="U120" s="1513"/>
      <c r="V120" s="1513"/>
      <c r="W120" s="1513"/>
      <c r="X120" s="1513"/>
      <c r="Y120" s="1513"/>
      <c r="Z120" s="1513"/>
      <c r="AA120" s="1580"/>
      <c r="AB120" s="1513"/>
      <c r="AC120" s="1513"/>
      <c r="AD120" s="1513"/>
      <c r="AE120" s="1513"/>
      <c r="AF120" s="1513"/>
      <c r="AG120" s="1513"/>
      <c r="AH120" s="1513"/>
      <c r="AI120" s="1513"/>
      <c r="AJ120" s="1513"/>
      <c r="AK120" s="1513"/>
      <c r="AL120" s="1513"/>
      <c r="AM120" s="1513"/>
      <c r="AN120" s="1513"/>
      <c r="AO120" s="1513"/>
      <c r="AP120" s="1513"/>
      <c r="AQ120" s="1513"/>
      <c r="AR120" s="1513"/>
      <c r="AS120" s="1513"/>
      <c r="AT120" s="1513"/>
      <c r="AU120" s="1513"/>
      <c r="AV120" s="1513"/>
      <c r="AW120" s="1467"/>
    </row>
    <row r="121">
      <c r="A121" s="1572"/>
      <c r="B121" s="1573"/>
      <c r="C121" s="1574"/>
      <c r="D121" s="1537"/>
      <c r="E121" s="1575"/>
      <c r="F121" s="1575"/>
      <c r="G121" s="1575"/>
      <c r="H121" s="1577"/>
      <c r="I121" s="1577"/>
      <c r="J121" s="1578"/>
      <c r="K121" s="1578"/>
      <c r="L121" s="1578"/>
      <c r="M121" s="1578"/>
      <c r="N121" s="1578"/>
      <c r="O121" s="1578"/>
      <c r="P121" s="1578"/>
      <c r="Q121" s="1579"/>
      <c r="R121" s="1579"/>
      <c r="S121" s="1579"/>
      <c r="T121" s="1579"/>
      <c r="U121" s="1579"/>
      <c r="V121" s="1579"/>
      <c r="W121" s="1580"/>
      <c r="X121" s="1580"/>
      <c r="Y121" s="1580"/>
      <c r="Z121" s="1580"/>
      <c r="AA121" s="1513"/>
      <c r="AB121" s="1580"/>
      <c r="AC121" s="1580"/>
      <c r="AD121" s="1575"/>
      <c r="AE121" s="1575"/>
      <c r="AF121" s="1581"/>
      <c r="AG121" s="1581"/>
      <c r="AH121" s="1581"/>
      <c r="AI121" s="1581"/>
      <c r="AJ121" s="1581"/>
      <c r="AK121" s="1581"/>
      <c r="AL121" s="1581"/>
      <c r="AM121" s="1582"/>
      <c r="AN121" s="1582"/>
      <c r="AO121" s="1582"/>
      <c r="AP121" s="1582"/>
      <c r="AQ121" s="1582"/>
      <c r="AR121" s="1582"/>
      <c r="AS121" s="1582"/>
      <c r="AT121" s="1578"/>
      <c r="AU121" s="1583"/>
      <c r="AV121" s="1583"/>
      <c r="AW121" s="1487"/>
    </row>
    <row r="122">
      <c r="A122" s="1584"/>
      <c r="B122" s="1585"/>
      <c r="C122" s="1586"/>
      <c r="D122" s="1537"/>
      <c r="E122" s="1513"/>
      <c r="F122" s="1513"/>
      <c r="G122" s="1513"/>
      <c r="H122" s="1513"/>
      <c r="I122" s="1513"/>
      <c r="J122" s="1513"/>
      <c r="K122" s="1513"/>
      <c r="L122" s="1513"/>
      <c r="M122" s="1513"/>
      <c r="N122" s="1513"/>
      <c r="O122" s="1513"/>
      <c r="P122" s="1513"/>
      <c r="Q122" s="1513"/>
      <c r="R122" s="1513"/>
      <c r="S122" s="1513"/>
      <c r="T122" s="1513"/>
      <c r="U122" s="1513"/>
      <c r="V122" s="1513"/>
      <c r="W122" s="1513"/>
      <c r="X122" s="1513"/>
      <c r="Y122" s="1513"/>
      <c r="Z122" s="1513"/>
      <c r="AA122" s="1580"/>
      <c r="AB122" s="1513"/>
      <c r="AC122" s="1513"/>
      <c r="AD122" s="1513"/>
      <c r="AE122" s="1513"/>
      <c r="AF122" s="1513"/>
      <c r="AG122" s="1513"/>
      <c r="AH122" s="1513"/>
      <c r="AI122" s="1513"/>
      <c r="AJ122" s="1513"/>
      <c r="AK122" s="1513"/>
      <c r="AL122" s="1513"/>
      <c r="AM122" s="1513"/>
      <c r="AN122" s="1513"/>
      <c r="AO122" s="1513"/>
      <c r="AP122" s="1513"/>
      <c r="AQ122" s="1513"/>
      <c r="AR122" s="1513"/>
      <c r="AS122" s="1513"/>
      <c r="AT122" s="1513"/>
      <c r="AU122" s="1513"/>
      <c r="AV122" s="1513"/>
      <c r="AW122" s="1467"/>
    </row>
    <row r="123">
      <c r="A123" s="1572"/>
      <c r="B123" s="1573"/>
      <c r="C123" s="1574"/>
      <c r="D123" s="1537"/>
      <c r="E123" s="1575"/>
      <c r="F123" s="1575"/>
      <c r="G123" s="1575"/>
      <c r="H123" s="1577"/>
      <c r="I123" s="1577"/>
      <c r="J123" s="1578"/>
      <c r="K123" s="1578"/>
      <c r="L123" s="1578"/>
      <c r="M123" s="1578"/>
      <c r="N123" s="1578"/>
      <c r="O123" s="1578"/>
      <c r="P123" s="1578"/>
      <c r="Q123" s="1579"/>
      <c r="R123" s="1579"/>
      <c r="S123" s="1579"/>
      <c r="T123" s="1579"/>
      <c r="U123" s="1579"/>
      <c r="V123" s="1579"/>
      <c r="W123" s="1580"/>
      <c r="X123" s="1580"/>
      <c r="Y123" s="1580"/>
      <c r="Z123" s="1580"/>
      <c r="AA123" s="1513"/>
      <c r="AB123" s="1580"/>
      <c r="AC123" s="1580"/>
      <c r="AD123" s="1575"/>
      <c r="AE123" s="1575"/>
      <c r="AF123" s="1581"/>
      <c r="AG123" s="1581"/>
      <c r="AH123" s="1581"/>
      <c r="AI123" s="1581"/>
      <c r="AJ123" s="1581"/>
      <c r="AK123" s="1581"/>
      <c r="AL123" s="1581"/>
      <c r="AM123" s="1582"/>
      <c r="AN123" s="1582"/>
      <c r="AO123" s="1582"/>
      <c r="AP123" s="1582"/>
      <c r="AQ123" s="1582"/>
      <c r="AR123" s="1582"/>
      <c r="AS123" s="1582"/>
      <c r="AT123" s="1578"/>
      <c r="AU123" s="1583"/>
      <c r="AV123" s="1583"/>
      <c r="AW123" s="1487"/>
    </row>
    <row r="124">
      <c r="A124" s="1584"/>
      <c r="B124" s="1585"/>
      <c r="C124" s="1586"/>
      <c r="D124" s="1537"/>
      <c r="E124" s="1513"/>
      <c r="F124" s="1513"/>
      <c r="G124" s="1513"/>
      <c r="H124" s="1513"/>
      <c r="I124" s="1513"/>
      <c r="J124" s="1513"/>
      <c r="K124" s="1513"/>
      <c r="L124" s="1513"/>
      <c r="M124" s="1513"/>
      <c r="N124" s="1513"/>
      <c r="O124" s="1513"/>
      <c r="P124" s="1513"/>
      <c r="Q124" s="1513"/>
      <c r="R124" s="1513"/>
      <c r="S124" s="1513"/>
      <c r="T124" s="1513"/>
      <c r="U124" s="1513"/>
      <c r="V124" s="1513"/>
      <c r="W124" s="1513"/>
      <c r="X124" s="1513"/>
      <c r="Y124" s="1513"/>
      <c r="Z124" s="1513"/>
      <c r="AA124" s="1580"/>
      <c r="AB124" s="1513"/>
      <c r="AC124" s="1513"/>
      <c r="AD124" s="1513"/>
      <c r="AE124" s="1513"/>
      <c r="AF124" s="1513"/>
      <c r="AG124" s="1513"/>
      <c r="AH124" s="1513"/>
      <c r="AI124" s="1513"/>
      <c r="AJ124" s="1513"/>
      <c r="AK124" s="1513"/>
      <c r="AL124" s="1513"/>
      <c r="AM124" s="1513"/>
      <c r="AN124" s="1513"/>
      <c r="AO124" s="1513"/>
      <c r="AP124" s="1513"/>
      <c r="AQ124" s="1513"/>
      <c r="AR124" s="1513"/>
      <c r="AS124" s="1513"/>
      <c r="AT124" s="1513"/>
      <c r="AU124" s="1513"/>
      <c r="AV124" s="1513"/>
      <c r="AW124" s="1467"/>
    </row>
    <row r="125">
      <c r="A125" s="1572"/>
      <c r="B125" s="1573"/>
      <c r="C125" s="1574"/>
      <c r="D125" s="1537"/>
      <c r="E125" s="1575"/>
      <c r="F125" s="1575"/>
      <c r="G125" s="1575"/>
      <c r="H125" s="1577"/>
      <c r="I125" s="1577"/>
      <c r="J125" s="1578"/>
      <c r="K125" s="1578"/>
      <c r="L125" s="1578"/>
      <c r="M125" s="1578"/>
      <c r="N125" s="1578"/>
      <c r="O125" s="1578"/>
      <c r="P125" s="1578"/>
      <c r="Q125" s="1579"/>
      <c r="R125" s="1579"/>
      <c r="S125" s="1579"/>
      <c r="T125" s="1579"/>
      <c r="U125" s="1579"/>
      <c r="V125" s="1579"/>
      <c r="W125" s="1580"/>
      <c r="X125" s="1580"/>
      <c r="Y125" s="1580"/>
      <c r="Z125" s="1580"/>
      <c r="AA125" s="1513"/>
      <c r="AB125" s="1580"/>
      <c r="AC125" s="1580"/>
      <c r="AD125" s="1575"/>
      <c r="AE125" s="1575"/>
      <c r="AF125" s="1581"/>
      <c r="AG125" s="1581"/>
      <c r="AH125" s="1581"/>
      <c r="AI125" s="1581"/>
      <c r="AJ125" s="1581"/>
      <c r="AK125" s="1581"/>
      <c r="AL125" s="1581"/>
      <c r="AM125" s="1582"/>
      <c r="AN125" s="1582"/>
      <c r="AO125" s="1582"/>
      <c r="AP125" s="1582"/>
      <c r="AQ125" s="1582"/>
      <c r="AR125" s="1582"/>
      <c r="AS125" s="1582"/>
      <c r="AT125" s="1578"/>
      <c r="AU125" s="1583"/>
      <c r="AV125" s="1583"/>
      <c r="AW125" s="1487"/>
    </row>
    <row r="126">
      <c r="A126" s="1584"/>
      <c r="B126" s="1585"/>
      <c r="C126" s="1586"/>
      <c r="D126" s="1537"/>
      <c r="E126" s="1513"/>
      <c r="F126" s="1513"/>
      <c r="G126" s="1513"/>
      <c r="H126" s="1513"/>
      <c r="I126" s="1513"/>
      <c r="J126" s="1513"/>
      <c r="K126" s="1513"/>
      <c r="L126" s="1513"/>
      <c r="M126" s="1513"/>
      <c r="N126" s="1513"/>
      <c r="O126" s="1513"/>
      <c r="P126" s="1513"/>
      <c r="Q126" s="1513"/>
      <c r="R126" s="1513"/>
      <c r="S126" s="1513"/>
      <c r="T126" s="1513"/>
      <c r="U126" s="1513"/>
      <c r="V126" s="1513"/>
      <c r="W126" s="1513"/>
      <c r="X126" s="1513"/>
      <c r="Y126" s="1513"/>
      <c r="Z126" s="1513"/>
      <c r="AA126" s="1580"/>
      <c r="AB126" s="1513"/>
      <c r="AC126" s="1513"/>
      <c r="AD126" s="1513"/>
      <c r="AE126" s="1513"/>
      <c r="AF126" s="1513"/>
      <c r="AG126" s="1513"/>
      <c r="AH126" s="1513"/>
      <c r="AI126" s="1513"/>
      <c r="AJ126" s="1513"/>
      <c r="AK126" s="1513"/>
      <c r="AL126" s="1513"/>
      <c r="AM126" s="1513"/>
      <c r="AN126" s="1513"/>
      <c r="AO126" s="1513"/>
      <c r="AP126" s="1513"/>
      <c r="AQ126" s="1513"/>
      <c r="AR126" s="1513"/>
      <c r="AS126" s="1513"/>
      <c r="AT126" s="1513"/>
      <c r="AU126" s="1513"/>
      <c r="AV126" s="1513"/>
      <c r="AW126" s="1467"/>
    </row>
    <row r="127">
      <c r="A127" s="1572"/>
      <c r="B127" s="1573"/>
      <c r="C127" s="1574"/>
      <c r="D127" s="1537"/>
      <c r="E127" s="1575"/>
      <c r="F127" s="1575"/>
      <c r="G127" s="1575"/>
      <c r="H127" s="1577"/>
      <c r="I127" s="1577"/>
      <c r="J127" s="1578"/>
      <c r="K127" s="1578"/>
      <c r="L127" s="1578"/>
      <c r="M127" s="1578"/>
      <c r="N127" s="1578"/>
      <c r="O127" s="1578"/>
      <c r="P127" s="1578"/>
      <c r="Q127" s="1579"/>
      <c r="R127" s="1579"/>
      <c r="S127" s="1579"/>
      <c r="T127" s="1579"/>
      <c r="U127" s="1579"/>
      <c r="V127" s="1579"/>
      <c r="W127" s="1580"/>
      <c r="X127" s="1580"/>
      <c r="Y127" s="1580"/>
      <c r="Z127" s="1580"/>
      <c r="AA127" s="1513"/>
      <c r="AB127" s="1580"/>
      <c r="AC127" s="1580"/>
      <c r="AD127" s="1575"/>
      <c r="AE127" s="1575"/>
      <c r="AF127" s="1581"/>
      <c r="AG127" s="1581"/>
      <c r="AH127" s="1581"/>
      <c r="AI127" s="1581"/>
      <c r="AJ127" s="1581"/>
      <c r="AK127" s="1581"/>
      <c r="AL127" s="1581"/>
      <c r="AM127" s="1582"/>
      <c r="AN127" s="1582"/>
      <c r="AO127" s="1582"/>
      <c r="AP127" s="1582"/>
      <c r="AQ127" s="1582"/>
      <c r="AR127" s="1582"/>
      <c r="AS127" s="1582"/>
      <c r="AT127" s="1578"/>
      <c r="AU127" s="1583"/>
      <c r="AV127" s="1583"/>
      <c r="AW127" s="1487"/>
    </row>
    <row r="128">
      <c r="A128" s="1584"/>
      <c r="B128" s="1585"/>
      <c r="C128" s="1586"/>
      <c r="D128" s="1537"/>
      <c r="E128" s="1513"/>
      <c r="F128" s="1513"/>
      <c r="G128" s="1513"/>
      <c r="H128" s="1513"/>
      <c r="I128" s="1513"/>
      <c r="J128" s="1513"/>
      <c r="K128" s="1513"/>
      <c r="L128" s="1513"/>
      <c r="M128" s="1513"/>
      <c r="N128" s="1513"/>
      <c r="O128" s="1513"/>
      <c r="P128" s="1513"/>
      <c r="Q128" s="1513"/>
      <c r="R128" s="1513"/>
      <c r="S128" s="1513"/>
      <c r="T128" s="1513"/>
      <c r="U128" s="1513"/>
      <c r="V128" s="1513"/>
      <c r="W128" s="1513"/>
      <c r="X128" s="1513"/>
      <c r="Y128" s="1513"/>
      <c r="Z128" s="1513"/>
      <c r="AA128" s="1580"/>
      <c r="AB128" s="1513"/>
      <c r="AC128" s="1513"/>
      <c r="AD128" s="1513"/>
      <c r="AE128" s="1513"/>
      <c r="AF128" s="1513"/>
      <c r="AG128" s="1513"/>
      <c r="AH128" s="1513"/>
      <c r="AI128" s="1513"/>
      <c r="AJ128" s="1513"/>
      <c r="AK128" s="1513"/>
      <c r="AL128" s="1513"/>
      <c r="AM128" s="1513"/>
      <c r="AN128" s="1513"/>
      <c r="AO128" s="1513"/>
      <c r="AP128" s="1513"/>
      <c r="AQ128" s="1513"/>
      <c r="AR128" s="1513"/>
      <c r="AS128" s="1513"/>
      <c r="AT128" s="1513"/>
      <c r="AU128" s="1513"/>
      <c r="AV128" s="1513"/>
      <c r="AW128" s="1467"/>
    </row>
    <row r="129">
      <c r="A129" s="1572"/>
      <c r="B129" s="1573"/>
      <c r="C129" s="1574"/>
      <c r="D129" s="1537"/>
      <c r="E129" s="1575"/>
      <c r="F129" s="1575"/>
      <c r="G129" s="1575"/>
      <c r="H129" s="1577"/>
      <c r="I129" s="1577"/>
      <c r="J129" s="1578"/>
      <c r="K129" s="1578"/>
      <c r="L129" s="1578"/>
      <c r="M129" s="1578"/>
      <c r="N129" s="1578"/>
      <c r="O129" s="1578"/>
      <c r="P129" s="1578"/>
      <c r="Q129" s="1579"/>
      <c r="R129" s="1579"/>
      <c r="S129" s="1579"/>
      <c r="T129" s="1579"/>
      <c r="U129" s="1579"/>
      <c r="V129" s="1579"/>
      <c r="W129" s="1580"/>
      <c r="X129" s="1580"/>
      <c r="Y129" s="1580"/>
      <c r="Z129" s="1580"/>
      <c r="AA129" s="1513"/>
      <c r="AB129" s="1580"/>
      <c r="AC129" s="1580"/>
      <c r="AD129" s="1575"/>
      <c r="AE129" s="1575"/>
      <c r="AF129" s="1581"/>
      <c r="AG129" s="1581"/>
      <c r="AH129" s="1581"/>
      <c r="AI129" s="1581"/>
      <c r="AJ129" s="1581"/>
      <c r="AK129" s="1581"/>
      <c r="AL129" s="1581"/>
      <c r="AM129" s="1582"/>
      <c r="AN129" s="1582"/>
      <c r="AO129" s="1582"/>
      <c r="AP129" s="1582"/>
      <c r="AQ129" s="1582"/>
      <c r="AR129" s="1582"/>
      <c r="AS129" s="1582"/>
      <c r="AT129" s="1578"/>
      <c r="AU129" s="1583"/>
      <c r="AV129" s="1583"/>
      <c r="AW129" s="1487"/>
    </row>
    <row r="130">
      <c r="A130" s="1584"/>
      <c r="B130" s="1585"/>
      <c r="C130" s="1586"/>
      <c r="D130" s="1537"/>
      <c r="E130" s="1513"/>
      <c r="F130" s="1513"/>
      <c r="G130" s="1513"/>
      <c r="H130" s="1513"/>
      <c r="I130" s="1513"/>
      <c r="J130" s="1513"/>
      <c r="K130" s="1513"/>
      <c r="L130" s="1513"/>
      <c r="M130" s="1513"/>
      <c r="N130" s="1513"/>
      <c r="O130" s="1513"/>
      <c r="P130" s="1513"/>
      <c r="Q130" s="1513"/>
      <c r="R130" s="1513"/>
      <c r="S130" s="1513"/>
      <c r="T130" s="1513"/>
      <c r="U130" s="1513"/>
      <c r="V130" s="1513"/>
      <c r="W130" s="1513"/>
      <c r="X130" s="1513"/>
      <c r="Y130" s="1513"/>
      <c r="Z130" s="1513"/>
      <c r="AA130" s="1580"/>
      <c r="AB130" s="1513"/>
      <c r="AC130" s="1513"/>
      <c r="AD130" s="1513"/>
      <c r="AE130" s="1513"/>
      <c r="AF130" s="1513"/>
      <c r="AG130" s="1513"/>
      <c r="AH130" s="1513"/>
      <c r="AI130" s="1513"/>
      <c r="AJ130" s="1513"/>
      <c r="AK130" s="1513"/>
      <c r="AL130" s="1513"/>
      <c r="AM130" s="1513"/>
      <c r="AN130" s="1513"/>
      <c r="AO130" s="1513"/>
      <c r="AP130" s="1513"/>
      <c r="AQ130" s="1513"/>
      <c r="AR130" s="1513"/>
      <c r="AS130" s="1513"/>
      <c r="AT130" s="1513"/>
      <c r="AU130" s="1513"/>
      <c r="AV130" s="1513"/>
      <c r="AW130" s="1467"/>
    </row>
    <row r="131">
      <c r="A131" s="1572"/>
      <c r="B131" s="1573"/>
      <c r="C131" s="1574"/>
      <c r="D131" s="1537"/>
      <c r="E131" s="1575"/>
      <c r="F131" s="1575"/>
      <c r="G131" s="1575"/>
      <c r="H131" s="1577"/>
      <c r="I131" s="1577"/>
      <c r="J131" s="1578"/>
      <c r="K131" s="1578"/>
      <c r="L131" s="1578"/>
      <c r="M131" s="1578"/>
      <c r="N131" s="1578"/>
      <c r="O131" s="1578"/>
      <c r="P131" s="1578"/>
      <c r="Q131" s="1579"/>
      <c r="R131" s="1579"/>
      <c r="S131" s="1579"/>
      <c r="T131" s="1579"/>
      <c r="U131" s="1579"/>
      <c r="V131" s="1579"/>
      <c r="W131" s="1580"/>
      <c r="X131" s="1580"/>
      <c r="Y131" s="1580"/>
      <c r="Z131" s="1580"/>
      <c r="AA131" s="1513"/>
      <c r="AB131" s="1580"/>
      <c r="AC131" s="1580"/>
      <c r="AD131" s="1575"/>
      <c r="AE131" s="1575"/>
      <c r="AF131" s="1581"/>
      <c r="AG131" s="1581"/>
      <c r="AH131" s="1581"/>
      <c r="AI131" s="1581"/>
      <c r="AJ131" s="1581"/>
      <c r="AK131" s="1581"/>
      <c r="AL131" s="1581"/>
      <c r="AM131" s="1582"/>
      <c r="AN131" s="1582"/>
      <c r="AO131" s="1582"/>
      <c r="AP131" s="1582"/>
      <c r="AQ131" s="1582"/>
      <c r="AR131" s="1582"/>
      <c r="AS131" s="1582"/>
      <c r="AT131" s="1578"/>
      <c r="AU131" s="1583"/>
      <c r="AV131" s="1583"/>
      <c r="AW131" s="1487"/>
    </row>
    <row r="132">
      <c r="A132" s="1584"/>
      <c r="B132" s="1585"/>
      <c r="C132" s="1586"/>
      <c r="D132" s="1537"/>
      <c r="E132" s="1513"/>
      <c r="F132" s="1513"/>
      <c r="G132" s="1513"/>
      <c r="H132" s="1513"/>
      <c r="I132" s="1513"/>
      <c r="J132" s="1513"/>
      <c r="K132" s="1513"/>
      <c r="L132" s="1513"/>
      <c r="M132" s="1513"/>
      <c r="N132" s="1513"/>
      <c r="O132" s="1513"/>
      <c r="P132" s="1513"/>
      <c r="Q132" s="1513"/>
      <c r="R132" s="1513"/>
      <c r="S132" s="1513"/>
      <c r="T132" s="1513"/>
      <c r="U132" s="1513"/>
      <c r="V132" s="1513"/>
      <c r="W132" s="1513"/>
      <c r="X132" s="1513"/>
      <c r="Y132" s="1513"/>
      <c r="Z132" s="1513"/>
      <c r="AA132" s="1580"/>
      <c r="AB132" s="1513"/>
      <c r="AC132" s="1513"/>
      <c r="AD132" s="1513"/>
      <c r="AE132" s="1513"/>
      <c r="AF132" s="1513"/>
      <c r="AG132" s="1513"/>
      <c r="AH132" s="1513"/>
      <c r="AI132" s="1513"/>
      <c r="AJ132" s="1513"/>
      <c r="AK132" s="1513"/>
      <c r="AL132" s="1513"/>
      <c r="AM132" s="1513"/>
      <c r="AN132" s="1513"/>
      <c r="AO132" s="1513"/>
      <c r="AP132" s="1513"/>
      <c r="AQ132" s="1513"/>
      <c r="AR132" s="1513"/>
      <c r="AS132" s="1513"/>
      <c r="AT132" s="1513"/>
      <c r="AU132" s="1513"/>
      <c r="AV132" s="1513"/>
      <c r="AW132" s="1467"/>
    </row>
    <row r="133">
      <c r="A133" s="1572"/>
      <c r="B133" s="1573"/>
      <c r="C133" s="1574"/>
      <c r="D133" s="1537"/>
      <c r="E133" s="1575"/>
      <c r="F133" s="1575"/>
      <c r="G133" s="1575"/>
      <c r="H133" s="1577"/>
      <c r="I133" s="1577"/>
      <c r="J133" s="1578"/>
      <c r="K133" s="1578"/>
      <c r="L133" s="1578"/>
      <c r="M133" s="1578"/>
      <c r="N133" s="1578"/>
      <c r="O133" s="1578"/>
      <c r="P133" s="1578"/>
      <c r="Q133" s="1579"/>
      <c r="R133" s="1579"/>
      <c r="S133" s="1579"/>
      <c r="T133" s="1579"/>
      <c r="U133" s="1579"/>
      <c r="V133" s="1579"/>
      <c r="W133" s="1580"/>
      <c r="X133" s="1580"/>
      <c r="Y133" s="1580"/>
      <c r="Z133" s="1580"/>
      <c r="AA133" s="1513"/>
      <c r="AB133" s="1580"/>
      <c r="AC133" s="1580"/>
      <c r="AD133" s="1575"/>
      <c r="AE133" s="1575"/>
      <c r="AF133" s="1581"/>
      <c r="AG133" s="1581"/>
      <c r="AH133" s="1581"/>
      <c r="AI133" s="1581"/>
      <c r="AJ133" s="1581"/>
      <c r="AK133" s="1581"/>
      <c r="AL133" s="1581"/>
      <c r="AM133" s="1582"/>
      <c r="AN133" s="1582"/>
      <c r="AO133" s="1582"/>
      <c r="AP133" s="1582"/>
      <c r="AQ133" s="1582"/>
      <c r="AR133" s="1582"/>
      <c r="AS133" s="1582"/>
      <c r="AT133" s="1578"/>
      <c r="AU133" s="1583"/>
      <c r="AV133" s="1583"/>
      <c r="AW133" s="1487"/>
    </row>
    <row r="134">
      <c r="A134" s="1584"/>
      <c r="B134" s="1585"/>
      <c r="C134" s="1586"/>
      <c r="D134" s="1537"/>
      <c r="E134" s="1513"/>
      <c r="F134" s="1513"/>
      <c r="G134" s="1513"/>
      <c r="H134" s="1513"/>
      <c r="I134" s="1513"/>
      <c r="J134" s="1513"/>
      <c r="K134" s="1513"/>
      <c r="L134" s="1513"/>
      <c r="M134" s="1513"/>
      <c r="N134" s="1513"/>
      <c r="O134" s="1513"/>
      <c r="P134" s="1513"/>
      <c r="Q134" s="1513"/>
      <c r="R134" s="1513"/>
      <c r="S134" s="1513"/>
      <c r="T134" s="1513"/>
      <c r="U134" s="1513"/>
      <c r="V134" s="1513"/>
      <c r="W134" s="1513"/>
      <c r="X134" s="1513"/>
      <c r="Y134" s="1513"/>
      <c r="Z134" s="1513"/>
      <c r="AA134" s="1580"/>
      <c r="AB134" s="1513"/>
      <c r="AC134" s="1513"/>
      <c r="AD134" s="1513"/>
      <c r="AE134" s="1513"/>
      <c r="AF134" s="1513"/>
      <c r="AG134" s="1513"/>
      <c r="AH134" s="1513"/>
      <c r="AI134" s="1513"/>
      <c r="AJ134" s="1513"/>
      <c r="AK134" s="1513"/>
      <c r="AL134" s="1513"/>
      <c r="AM134" s="1513"/>
      <c r="AN134" s="1513"/>
      <c r="AO134" s="1513"/>
      <c r="AP134" s="1513"/>
      <c r="AQ134" s="1513"/>
      <c r="AR134" s="1513"/>
      <c r="AS134" s="1513"/>
      <c r="AT134" s="1513"/>
      <c r="AU134" s="1513"/>
      <c r="AV134" s="1513"/>
      <c r="AW134" s="1467"/>
    </row>
    <row r="135">
      <c r="A135" s="1572"/>
      <c r="B135" s="1573"/>
      <c r="C135" s="1574"/>
      <c r="D135" s="1537"/>
      <c r="E135" s="1575"/>
      <c r="F135" s="1575"/>
      <c r="G135" s="1575"/>
      <c r="H135" s="1577"/>
      <c r="I135" s="1577"/>
      <c r="J135" s="1578"/>
      <c r="K135" s="1578"/>
      <c r="L135" s="1578"/>
      <c r="M135" s="1578"/>
      <c r="N135" s="1578"/>
      <c r="O135" s="1578"/>
      <c r="P135" s="1578"/>
      <c r="Q135" s="1579"/>
      <c r="R135" s="1579"/>
      <c r="S135" s="1579"/>
      <c r="T135" s="1579"/>
      <c r="U135" s="1579"/>
      <c r="V135" s="1579"/>
      <c r="W135" s="1580"/>
      <c r="X135" s="1580"/>
      <c r="Y135" s="1580"/>
      <c r="Z135" s="1580"/>
      <c r="AA135" s="1513"/>
      <c r="AB135" s="1580"/>
      <c r="AC135" s="1580"/>
      <c r="AD135" s="1575"/>
      <c r="AE135" s="1575"/>
      <c r="AF135" s="1581"/>
      <c r="AG135" s="1581"/>
      <c r="AH135" s="1581"/>
      <c r="AI135" s="1581"/>
      <c r="AJ135" s="1581"/>
      <c r="AK135" s="1581"/>
      <c r="AL135" s="1581"/>
      <c r="AM135" s="1582"/>
      <c r="AN135" s="1582"/>
      <c r="AO135" s="1582"/>
      <c r="AP135" s="1582"/>
      <c r="AQ135" s="1582"/>
      <c r="AR135" s="1582"/>
      <c r="AS135" s="1582"/>
      <c r="AT135" s="1578"/>
      <c r="AU135" s="1583"/>
      <c r="AV135" s="1583"/>
      <c r="AW135" s="1487"/>
    </row>
    <row r="136">
      <c r="A136" s="1584"/>
      <c r="B136" s="1585"/>
      <c r="C136" s="1586"/>
      <c r="D136" s="1537"/>
      <c r="E136" s="1513"/>
      <c r="F136" s="1513"/>
      <c r="G136" s="1513"/>
      <c r="H136" s="1513"/>
      <c r="I136" s="1513"/>
      <c r="J136" s="1513"/>
      <c r="K136" s="1513"/>
      <c r="L136" s="1513"/>
      <c r="M136" s="1513"/>
      <c r="N136" s="1513"/>
      <c r="O136" s="1513"/>
      <c r="P136" s="1513"/>
      <c r="Q136" s="1513"/>
      <c r="R136" s="1513"/>
      <c r="S136" s="1513"/>
      <c r="T136" s="1513"/>
      <c r="U136" s="1513"/>
      <c r="V136" s="1513"/>
      <c r="W136" s="1513"/>
      <c r="X136" s="1513"/>
      <c r="Y136" s="1513"/>
      <c r="Z136" s="1513"/>
      <c r="AA136" s="1580"/>
      <c r="AB136" s="1513"/>
      <c r="AC136" s="1513"/>
      <c r="AD136" s="1513"/>
      <c r="AE136" s="1513"/>
      <c r="AF136" s="1513"/>
      <c r="AG136" s="1513"/>
      <c r="AH136" s="1513"/>
      <c r="AI136" s="1513"/>
      <c r="AJ136" s="1513"/>
      <c r="AK136" s="1513"/>
      <c r="AL136" s="1513"/>
      <c r="AM136" s="1513"/>
      <c r="AN136" s="1513"/>
      <c r="AO136" s="1513"/>
      <c r="AP136" s="1513"/>
      <c r="AQ136" s="1513"/>
      <c r="AR136" s="1513"/>
      <c r="AS136" s="1513"/>
      <c r="AT136" s="1513"/>
      <c r="AU136" s="1513"/>
      <c r="AV136" s="1513"/>
      <c r="AW136" s="1467"/>
    </row>
    <row r="137">
      <c r="A137" s="1572"/>
      <c r="B137" s="1573"/>
      <c r="C137" s="1574"/>
      <c r="D137" s="1537"/>
      <c r="E137" s="1575"/>
      <c r="F137" s="1575"/>
      <c r="G137" s="1575"/>
      <c r="H137" s="1577"/>
      <c r="I137" s="1577"/>
      <c r="J137" s="1578"/>
      <c r="K137" s="1578"/>
      <c r="L137" s="1578"/>
      <c r="M137" s="1578"/>
      <c r="N137" s="1578"/>
      <c r="O137" s="1578"/>
      <c r="P137" s="1578"/>
      <c r="Q137" s="1579"/>
      <c r="R137" s="1579"/>
      <c r="S137" s="1579"/>
      <c r="T137" s="1579"/>
      <c r="U137" s="1579"/>
      <c r="V137" s="1579"/>
      <c r="W137" s="1580"/>
      <c r="X137" s="1580"/>
      <c r="Y137" s="1580"/>
      <c r="Z137" s="1580"/>
      <c r="AA137" s="1513"/>
      <c r="AB137" s="1580"/>
      <c r="AC137" s="1580"/>
      <c r="AD137" s="1575"/>
      <c r="AE137" s="1575"/>
      <c r="AF137" s="1581"/>
      <c r="AG137" s="1581"/>
      <c r="AH137" s="1581"/>
      <c r="AI137" s="1581"/>
      <c r="AJ137" s="1581"/>
      <c r="AK137" s="1581"/>
      <c r="AL137" s="1581"/>
      <c r="AM137" s="1582"/>
      <c r="AN137" s="1582"/>
      <c r="AO137" s="1582"/>
      <c r="AP137" s="1582"/>
      <c r="AQ137" s="1582"/>
      <c r="AR137" s="1582"/>
      <c r="AS137" s="1582"/>
      <c r="AT137" s="1578"/>
      <c r="AU137" s="1583"/>
      <c r="AV137" s="1583"/>
      <c r="AW137" s="1487"/>
    </row>
    <row r="138">
      <c r="A138" s="1584"/>
      <c r="B138" s="1585"/>
      <c r="C138" s="1586"/>
      <c r="D138" s="1513"/>
      <c r="E138" s="1513"/>
      <c r="F138" s="1513"/>
      <c r="G138" s="1513"/>
      <c r="H138" s="1513"/>
      <c r="I138" s="1513"/>
      <c r="J138" s="1513"/>
      <c r="K138" s="1513"/>
      <c r="L138" s="1513"/>
      <c r="M138" s="1513"/>
      <c r="N138" s="1513"/>
      <c r="O138" s="1513"/>
      <c r="P138" s="1513"/>
      <c r="Q138" s="1513"/>
      <c r="R138" s="1513"/>
      <c r="S138" s="1513"/>
      <c r="T138" s="1513"/>
      <c r="U138" s="1513"/>
      <c r="V138" s="1513"/>
      <c r="W138" s="1513"/>
      <c r="X138" s="1513"/>
      <c r="Y138" s="1513"/>
      <c r="Z138" s="1513"/>
      <c r="AA138" s="1580"/>
      <c r="AB138" s="1513"/>
      <c r="AC138" s="1513"/>
      <c r="AD138" s="1513"/>
      <c r="AE138" s="1513"/>
      <c r="AF138" s="1513"/>
      <c r="AG138" s="1513"/>
      <c r="AH138" s="1513"/>
      <c r="AI138" s="1513"/>
      <c r="AJ138" s="1513"/>
      <c r="AK138" s="1513"/>
      <c r="AL138" s="1513"/>
      <c r="AM138" s="1513"/>
      <c r="AN138" s="1513"/>
      <c r="AO138" s="1513"/>
      <c r="AP138" s="1513"/>
      <c r="AQ138" s="1513"/>
      <c r="AR138" s="1513"/>
      <c r="AS138" s="1513"/>
      <c r="AT138" s="1513"/>
      <c r="AU138" s="1513"/>
      <c r="AV138" s="1513"/>
      <c r="AW138" s="1467"/>
    </row>
    <row r="139">
      <c r="A139" s="1572"/>
      <c r="B139" s="1573"/>
      <c r="C139" s="1574"/>
      <c r="D139" s="1575"/>
      <c r="E139" s="1575"/>
      <c r="F139" s="1575"/>
      <c r="G139" s="1575"/>
      <c r="H139" s="1577"/>
      <c r="I139" s="1577"/>
      <c r="J139" s="1578"/>
      <c r="K139" s="1578"/>
      <c r="L139" s="1578"/>
      <c r="M139" s="1578"/>
      <c r="N139" s="1578"/>
      <c r="O139" s="1578"/>
      <c r="P139" s="1578"/>
      <c r="Q139" s="1579"/>
      <c r="R139" s="1579"/>
      <c r="S139" s="1579"/>
      <c r="T139" s="1579"/>
      <c r="U139" s="1579"/>
      <c r="V139" s="1579"/>
      <c r="W139" s="1580"/>
      <c r="X139" s="1580"/>
      <c r="Y139" s="1580"/>
      <c r="Z139" s="1580"/>
      <c r="AA139" s="1513"/>
      <c r="AB139" s="1580"/>
      <c r="AC139" s="1580"/>
      <c r="AD139" s="1575"/>
      <c r="AE139" s="1575"/>
      <c r="AF139" s="1581"/>
      <c r="AG139" s="1581"/>
      <c r="AH139" s="1581"/>
      <c r="AI139" s="1581"/>
      <c r="AJ139" s="1581"/>
      <c r="AK139" s="1581"/>
      <c r="AL139" s="1581"/>
      <c r="AM139" s="1582"/>
      <c r="AN139" s="1582"/>
      <c r="AO139" s="1582"/>
      <c r="AP139" s="1582"/>
      <c r="AQ139" s="1582"/>
      <c r="AR139" s="1582"/>
      <c r="AS139" s="1582"/>
      <c r="AT139" s="1578"/>
      <c r="AU139" s="1583"/>
      <c r="AV139" s="1583"/>
      <c r="AW139" s="1487"/>
    </row>
    <row r="140">
      <c r="A140" s="1584"/>
      <c r="B140" s="1585"/>
      <c r="C140" s="1586"/>
      <c r="D140" s="1513"/>
      <c r="E140" s="1513"/>
      <c r="F140" s="1513"/>
      <c r="G140" s="1513"/>
      <c r="H140" s="1513"/>
      <c r="I140" s="1513"/>
      <c r="J140" s="1513"/>
      <c r="K140" s="1513"/>
      <c r="L140" s="1513"/>
      <c r="M140" s="1513"/>
      <c r="N140" s="1513"/>
      <c r="O140" s="1513"/>
      <c r="P140" s="1513"/>
      <c r="Q140" s="1513"/>
      <c r="R140" s="1513"/>
      <c r="S140" s="1513"/>
      <c r="T140" s="1513"/>
      <c r="U140" s="1513"/>
      <c r="V140" s="1513"/>
      <c r="W140" s="1513"/>
      <c r="X140" s="1513"/>
      <c r="Y140" s="1513"/>
      <c r="Z140" s="1513"/>
      <c r="AA140" s="1580"/>
      <c r="AB140" s="1513"/>
      <c r="AC140" s="1513"/>
      <c r="AD140" s="1513"/>
      <c r="AE140" s="1513"/>
      <c r="AF140" s="1513"/>
      <c r="AG140" s="1513"/>
      <c r="AH140" s="1513"/>
      <c r="AI140" s="1513"/>
      <c r="AJ140" s="1513"/>
      <c r="AK140" s="1513"/>
      <c r="AL140" s="1513"/>
      <c r="AM140" s="1513"/>
      <c r="AN140" s="1513"/>
      <c r="AO140" s="1513"/>
      <c r="AP140" s="1513"/>
      <c r="AQ140" s="1513"/>
      <c r="AR140" s="1513"/>
      <c r="AS140" s="1513"/>
      <c r="AT140" s="1513"/>
      <c r="AU140" s="1513"/>
      <c r="AV140" s="1513"/>
      <c r="AW140" s="1467"/>
    </row>
    <row r="141">
      <c r="A141" s="1572"/>
      <c r="B141" s="1573"/>
      <c r="C141" s="1574"/>
      <c r="D141" s="1575"/>
      <c r="E141" s="1575"/>
      <c r="F141" s="1575"/>
      <c r="G141" s="1575"/>
      <c r="H141" s="1577"/>
      <c r="I141" s="1577"/>
      <c r="J141" s="1578"/>
      <c r="K141" s="1578"/>
      <c r="L141" s="1578"/>
      <c r="M141" s="1578"/>
      <c r="N141" s="1578"/>
      <c r="O141" s="1578"/>
      <c r="P141" s="1578"/>
      <c r="Q141" s="1579"/>
      <c r="R141" s="1579"/>
      <c r="S141" s="1579"/>
      <c r="T141" s="1579"/>
      <c r="U141" s="1579"/>
      <c r="V141" s="1579"/>
      <c r="W141" s="1580"/>
      <c r="X141" s="1580"/>
      <c r="Y141" s="1580"/>
      <c r="Z141" s="1580"/>
      <c r="AA141" s="1513"/>
      <c r="AB141" s="1580"/>
      <c r="AC141" s="1580"/>
      <c r="AD141" s="1575"/>
      <c r="AE141" s="1575"/>
      <c r="AF141" s="1581"/>
      <c r="AG141" s="1581"/>
      <c r="AH141" s="1581"/>
      <c r="AI141" s="1581"/>
      <c r="AJ141" s="1581"/>
      <c r="AK141" s="1581"/>
      <c r="AL141" s="1581"/>
      <c r="AM141" s="1582"/>
      <c r="AN141" s="1582"/>
      <c r="AO141" s="1582"/>
      <c r="AP141" s="1582"/>
      <c r="AQ141" s="1582"/>
      <c r="AR141" s="1582"/>
      <c r="AS141" s="1582"/>
      <c r="AT141" s="1578"/>
      <c r="AU141" s="1583"/>
      <c r="AV141" s="1583"/>
      <c r="AW141" s="1487"/>
    </row>
    <row r="142">
      <c r="A142" s="1584"/>
      <c r="B142" s="1585"/>
      <c r="C142" s="1586"/>
      <c r="D142" s="1513"/>
      <c r="E142" s="1513"/>
      <c r="F142" s="1513"/>
      <c r="G142" s="1513"/>
      <c r="H142" s="1513"/>
      <c r="I142" s="1513"/>
      <c r="J142" s="1513"/>
      <c r="K142" s="1513"/>
      <c r="L142" s="1513"/>
      <c r="M142" s="1513"/>
      <c r="N142" s="1513"/>
      <c r="O142" s="1513"/>
      <c r="P142" s="1513"/>
      <c r="Q142" s="1513"/>
      <c r="R142" s="1513"/>
      <c r="S142" s="1513"/>
      <c r="T142" s="1513"/>
      <c r="U142" s="1513"/>
      <c r="V142" s="1513"/>
      <c r="W142" s="1513"/>
      <c r="X142" s="1513"/>
      <c r="Y142" s="1513"/>
      <c r="Z142" s="1513"/>
      <c r="AA142" s="1580"/>
      <c r="AB142" s="1513"/>
      <c r="AC142" s="1513"/>
      <c r="AD142" s="1513"/>
      <c r="AE142" s="1513"/>
      <c r="AF142" s="1513"/>
      <c r="AG142" s="1513"/>
      <c r="AH142" s="1513"/>
      <c r="AI142" s="1513"/>
      <c r="AJ142" s="1513"/>
      <c r="AK142" s="1513"/>
      <c r="AL142" s="1513"/>
      <c r="AM142" s="1513"/>
      <c r="AN142" s="1513"/>
      <c r="AO142" s="1513"/>
      <c r="AP142" s="1513"/>
      <c r="AQ142" s="1513"/>
      <c r="AR142" s="1513"/>
      <c r="AS142" s="1513"/>
      <c r="AT142" s="1513"/>
      <c r="AU142" s="1513"/>
      <c r="AV142" s="1513"/>
      <c r="AW142" s="1467"/>
    </row>
    <row r="143">
      <c r="A143" s="1572"/>
      <c r="B143" s="1573"/>
      <c r="C143" s="1574"/>
      <c r="D143" s="1575"/>
      <c r="E143" s="1575"/>
      <c r="F143" s="1575"/>
      <c r="G143" s="1575"/>
      <c r="H143" s="1577"/>
      <c r="I143" s="1577"/>
      <c r="J143" s="1578"/>
      <c r="K143" s="1578"/>
      <c r="L143" s="1578"/>
      <c r="M143" s="1578"/>
      <c r="N143" s="1578"/>
      <c r="O143" s="1578"/>
      <c r="P143" s="1578"/>
      <c r="Q143" s="1579"/>
      <c r="R143" s="1579"/>
      <c r="S143" s="1579"/>
      <c r="T143" s="1579"/>
      <c r="U143" s="1579"/>
      <c r="V143" s="1579"/>
      <c r="W143" s="1580"/>
      <c r="X143" s="1580"/>
      <c r="Y143" s="1580"/>
      <c r="Z143" s="1580"/>
      <c r="AA143" s="1513"/>
      <c r="AB143" s="1580"/>
      <c r="AC143" s="1580"/>
      <c r="AD143" s="1575"/>
      <c r="AE143" s="1575"/>
      <c r="AF143" s="1581"/>
      <c r="AG143" s="1581"/>
      <c r="AH143" s="1581"/>
      <c r="AI143" s="1581"/>
      <c r="AJ143" s="1581"/>
      <c r="AK143" s="1581"/>
      <c r="AL143" s="1581"/>
      <c r="AM143" s="1582"/>
      <c r="AN143" s="1582"/>
      <c r="AO143" s="1582"/>
      <c r="AP143" s="1582"/>
      <c r="AQ143" s="1582"/>
      <c r="AR143" s="1582"/>
      <c r="AS143" s="1582"/>
      <c r="AT143" s="1578"/>
      <c r="AU143" s="1583"/>
      <c r="AV143" s="1583"/>
      <c r="AW143" s="1487"/>
    </row>
    <row r="144">
      <c r="A144" s="1584"/>
      <c r="B144" s="1585"/>
      <c r="C144" s="1586"/>
      <c r="D144" s="1513"/>
      <c r="E144" s="1513"/>
      <c r="F144" s="1513"/>
      <c r="G144" s="1513"/>
      <c r="H144" s="1513"/>
      <c r="I144" s="1513"/>
      <c r="J144" s="1513"/>
      <c r="K144" s="1513"/>
      <c r="L144" s="1513"/>
      <c r="M144" s="1513"/>
      <c r="N144" s="1513"/>
      <c r="O144" s="1513"/>
      <c r="P144" s="1513"/>
      <c r="Q144" s="1513"/>
      <c r="R144" s="1513"/>
      <c r="S144" s="1513"/>
      <c r="T144" s="1513"/>
      <c r="U144" s="1513"/>
      <c r="V144" s="1513"/>
      <c r="W144" s="1513"/>
      <c r="X144" s="1513"/>
      <c r="Y144" s="1513"/>
      <c r="Z144" s="1513"/>
      <c r="AA144" s="1580"/>
      <c r="AB144" s="1513"/>
      <c r="AC144" s="1513"/>
      <c r="AD144" s="1513"/>
      <c r="AE144" s="1513"/>
      <c r="AF144" s="1513"/>
      <c r="AG144" s="1513"/>
      <c r="AH144" s="1513"/>
      <c r="AI144" s="1513"/>
      <c r="AJ144" s="1513"/>
      <c r="AK144" s="1513"/>
      <c r="AL144" s="1513"/>
      <c r="AM144" s="1513"/>
      <c r="AN144" s="1513"/>
      <c r="AO144" s="1513"/>
      <c r="AP144" s="1513"/>
      <c r="AQ144" s="1513"/>
      <c r="AR144" s="1513"/>
      <c r="AS144" s="1513"/>
      <c r="AT144" s="1513"/>
      <c r="AU144" s="1513"/>
      <c r="AV144" s="1513"/>
      <c r="AW144" s="1467"/>
    </row>
    <row r="145">
      <c r="A145" s="1572"/>
      <c r="B145" s="1573"/>
      <c r="C145" s="1574"/>
      <c r="D145" s="1575"/>
      <c r="E145" s="1575"/>
      <c r="F145" s="1575"/>
      <c r="G145" s="1575"/>
      <c r="H145" s="1577"/>
      <c r="I145" s="1577"/>
      <c r="J145" s="1578"/>
      <c r="K145" s="1578"/>
      <c r="L145" s="1578"/>
      <c r="M145" s="1578"/>
      <c r="N145" s="1578"/>
      <c r="O145" s="1578"/>
      <c r="P145" s="1578"/>
      <c r="Q145" s="1579"/>
      <c r="R145" s="1579"/>
      <c r="S145" s="1579"/>
      <c r="T145" s="1579"/>
      <c r="U145" s="1579"/>
      <c r="V145" s="1579"/>
      <c r="W145" s="1580"/>
      <c r="X145" s="1580"/>
      <c r="Y145" s="1580"/>
      <c r="Z145" s="1580"/>
      <c r="AA145" s="1513"/>
      <c r="AB145" s="1580"/>
      <c r="AC145" s="1580"/>
      <c r="AD145" s="1575"/>
      <c r="AE145" s="1575"/>
      <c r="AF145" s="1581"/>
      <c r="AG145" s="1581"/>
      <c r="AH145" s="1581"/>
      <c r="AI145" s="1581"/>
      <c r="AJ145" s="1581"/>
      <c r="AK145" s="1581"/>
      <c r="AL145" s="1581"/>
      <c r="AM145" s="1582"/>
      <c r="AN145" s="1582"/>
      <c r="AO145" s="1582"/>
      <c r="AP145" s="1582"/>
      <c r="AQ145" s="1582"/>
      <c r="AR145" s="1582"/>
      <c r="AS145" s="1582"/>
      <c r="AT145" s="1578"/>
      <c r="AU145" s="1583"/>
      <c r="AV145" s="1583"/>
      <c r="AW145" s="1487"/>
    </row>
    <row r="146">
      <c r="A146" s="1584"/>
      <c r="B146" s="1585"/>
      <c r="C146" s="1586"/>
      <c r="D146" s="1513"/>
      <c r="E146" s="1513"/>
      <c r="F146" s="1513"/>
      <c r="G146" s="1513"/>
      <c r="H146" s="1513"/>
      <c r="I146" s="1513"/>
      <c r="J146" s="1513"/>
      <c r="K146" s="1513"/>
      <c r="L146" s="1513"/>
      <c r="M146" s="1513"/>
      <c r="N146" s="1513"/>
      <c r="O146" s="1513"/>
      <c r="P146" s="1513"/>
      <c r="Q146" s="1513"/>
      <c r="R146" s="1513"/>
      <c r="S146" s="1513"/>
      <c r="T146" s="1513"/>
      <c r="U146" s="1513"/>
      <c r="V146" s="1513"/>
      <c r="W146" s="1513"/>
      <c r="X146" s="1513"/>
      <c r="Y146" s="1513"/>
      <c r="Z146" s="1513"/>
      <c r="AA146" s="1580"/>
      <c r="AB146" s="1513"/>
      <c r="AC146" s="1513"/>
      <c r="AD146" s="1513"/>
      <c r="AE146" s="1513"/>
      <c r="AF146" s="1513"/>
      <c r="AG146" s="1513"/>
      <c r="AH146" s="1513"/>
      <c r="AI146" s="1513"/>
      <c r="AJ146" s="1513"/>
      <c r="AK146" s="1513"/>
      <c r="AL146" s="1513"/>
      <c r="AM146" s="1513"/>
      <c r="AN146" s="1513"/>
      <c r="AO146" s="1513"/>
      <c r="AP146" s="1513"/>
      <c r="AQ146" s="1513"/>
      <c r="AR146" s="1513"/>
      <c r="AS146" s="1513"/>
      <c r="AT146" s="1513"/>
      <c r="AU146" s="1513"/>
      <c r="AV146" s="1513"/>
      <c r="AW146" s="1467"/>
    </row>
    <row r="147">
      <c r="A147" s="1572"/>
      <c r="B147" s="1573"/>
      <c r="C147" s="1574"/>
      <c r="D147" s="1575"/>
      <c r="E147" s="1575"/>
      <c r="F147" s="1575"/>
      <c r="G147" s="1575"/>
      <c r="H147" s="1577"/>
      <c r="I147" s="1577"/>
      <c r="J147" s="1578"/>
      <c r="K147" s="1578"/>
      <c r="L147" s="1578"/>
      <c r="M147" s="1578"/>
      <c r="N147" s="1578"/>
      <c r="O147" s="1578"/>
      <c r="P147" s="1578"/>
      <c r="Q147" s="1579"/>
      <c r="R147" s="1579"/>
      <c r="S147" s="1579"/>
      <c r="T147" s="1579"/>
      <c r="U147" s="1579"/>
      <c r="V147" s="1579"/>
      <c r="W147" s="1580"/>
      <c r="X147" s="1580"/>
      <c r="Y147" s="1580"/>
      <c r="Z147" s="1580"/>
      <c r="AA147" s="1513"/>
      <c r="AB147" s="1580"/>
      <c r="AC147" s="1580"/>
      <c r="AD147" s="1575"/>
      <c r="AE147" s="1575"/>
      <c r="AF147" s="1581"/>
      <c r="AG147" s="1581"/>
      <c r="AH147" s="1581"/>
      <c r="AI147" s="1581"/>
      <c r="AJ147" s="1581"/>
      <c r="AK147" s="1581"/>
      <c r="AL147" s="1581"/>
      <c r="AM147" s="1582"/>
      <c r="AN147" s="1582"/>
      <c r="AO147" s="1582"/>
      <c r="AP147" s="1582"/>
      <c r="AQ147" s="1582"/>
      <c r="AR147" s="1582"/>
      <c r="AS147" s="1582"/>
      <c r="AT147" s="1578"/>
      <c r="AU147" s="1583"/>
      <c r="AV147" s="1583"/>
      <c r="AW147" s="1487"/>
    </row>
    <row r="148">
      <c r="A148" s="1584"/>
      <c r="B148" s="1585"/>
      <c r="C148" s="1586"/>
      <c r="D148" s="1513"/>
      <c r="E148" s="1513"/>
      <c r="F148" s="1513"/>
      <c r="G148" s="1513"/>
      <c r="H148" s="1513"/>
      <c r="I148" s="1513"/>
      <c r="J148" s="1513"/>
      <c r="K148" s="1513"/>
      <c r="L148" s="1513"/>
      <c r="M148" s="1513"/>
      <c r="N148" s="1513"/>
      <c r="O148" s="1513"/>
      <c r="P148" s="1513"/>
      <c r="Q148" s="1513"/>
      <c r="R148" s="1513"/>
      <c r="S148" s="1513"/>
      <c r="T148" s="1513"/>
      <c r="U148" s="1513"/>
      <c r="V148" s="1513"/>
      <c r="W148" s="1513"/>
      <c r="X148" s="1513"/>
      <c r="Y148" s="1513"/>
      <c r="Z148" s="1513"/>
      <c r="AA148" s="1580"/>
      <c r="AB148" s="1513"/>
      <c r="AC148" s="1513"/>
      <c r="AD148" s="1513"/>
      <c r="AE148" s="1513"/>
      <c r="AF148" s="1513"/>
      <c r="AG148" s="1513"/>
      <c r="AH148" s="1513"/>
      <c r="AI148" s="1513"/>
      <c r="AJ148" s="1513"/>
      <c r="AK148" s="1513"/>
      <c r="AL148" s="1513"/>
      <c r="AM148" s="1513"/>
      <c r="AN148" s="1513"/>
      <c r="AO148" s="1513"/>
      <c r="AP148" s="1513"/>
      <c r="AQ148" s="1513"/>
      <c r="AR148" s="1513"/>
      <c r="AS148" s="1513"/>
      <c r="AT148" s="1513"/>
      <c r="AU148" s="1513"/>
      <c r="AV148" s="1513"/>
      <c r="AW148" s="1467"/>
    </row>
    <row r="149">
      <c r="A149" s="1572"/>
      <c r="B149" s="1573"/>
      <c r="C149" s="1574"/>
      <c r="D149" s="1575"/>
      <c r="E149" s="1575"/>
      <c r="F149" s="1575"/>
      <c r="G149" s="1575"/>
      <c r="H149" s="1577"/>
      <c r="I149" s="1577"/>
      <c r="J149" s="1578"/>
      <c r="K149" s="1578"/>
      <c r="L149" s="1578"/>
      <c r="M149" s="1578"/>
      <c r="N149" s="1578"/>
      <c r="O149" s="1578"/>
      <c r="P149" s="1578"/>
      <c r="Q149" s="1579"/>
      <c r="R149" s="1579"/>
      <c r="S149" s="1579"/>
      <c r="T149" s="1579"/>
      <c r="U149" s="1579"/>
      <c r="V149" s="1579"/>
      <c r="W149" s="1580"/>
      <c r="X149" s="1580"/>
      <c r="Y149" s="1580"/>
      <c r="Z149" s="1580"/>
      <c r="AA149" s="1513"/>
      <c r="AB149" s="1580"/>
      <c r="AC149" s="1580"/>
      <c r="AD149" s="1575"/>
      <c r="AE149" s="1575"/>
      <c r="AF149" s="1581"/>
      <c r="AG149" s="1581"/>
      <c r="AH149" s="1581"/>
      <c r="AI149" s="1581"/>
      <c r="AJ149" s="1581"/>
      <c r="AK149" s="1581"/>
      <c r="AL149" s="1581"/>
      <c r="AM149" s="1582"/>
      <c r="AN149" s="1582"/>
      <c r="AO149" s="1582"/>
      <c r="AP149" s="1582"/>
      <c r="AQ149" s="1582"/>
      <c r="AR149" s="1582"/>
      <c r="AS149" s="1582"/>
      <c r="AT149" s="1578"/>
      <c r="AU149" s="1583"/>
      <c r="AV149" s="1583"/>
      <c r="AW149" s="1487"/>
    </row>
    <row r="150">
      <c r="A150" s="1584"/>
      <c r="B150" s="1585"/>
      <c r="C150" s="1586"/>
      <c r="D150" s="1513"/>
      <c r="E150" s="1513"/>
      <c r="F150" s="1513"/>
      <c r="G150" s="1513"/>
      <c r="H150" s="1513"/>
      <c r="I150" s="1513"/>
      <c r="J150" s="1513"/>
      <c r="K150" s="1513"/>
      <c r="L150" s="1513"/>
      <c r="M150" s="1513"/>
      <c r="N150" s="1513"/>
      <c r="O150" s="1513"/>
      <c r="P150" s="1513"/>
      <c r="Q150" s="1513"/>
      <c r="R150" s="1513"/>
      <c r="S150" s="1513"/>
      <c r="T150" s="1513"/>
      <c r="U150" s="1513"/>
      <c r="V150" s="1513"/>
      <c r="W150" s="1513"/>
      <c r="X150" s="1513"/>
      <c r="Y150" s="1513"/>
      <c r="Z150" s="1513"/>
      <c r="AA150" s="1580"/>
      <c r="AB150" s="1513"/>
      <c r="AC150" s="1513"/>
      <c r="AD150" s="1513"/>
      <c r="AE150" s="1513"/>
      <c r="AF150" s="1513"/>
      <c r="AG150" s="1513"/>
      <c r="AH150" s="1513"/>
      <c r="AI150" s="1513"/>
      <c r="AJ150" s="1513"/>
      <c r="AK150" s="1513"/>
      <c r="AL150" s="1513"/>
      <c r="AM150" s="1513"/>
      <c r="AN150" s="1513"/>
      <c r="AO150" s="1513"/>
      <c r="AP150" s="1513"/>
      <c r="AQ150" s="1513"/>
      <c r="AR150" s="1513"/>
      <c r="AS150" s="1513"/>
      <c r="AT150" s="1513"/>
      <c r="AU150" s="1513"/>
      <c r="AV150" s="1513"/>
      <c r="AW150" s="1467"/>
    </row>
    <row r="151">
      <c r="A151" s="1572"/>
      <c r="B151" s="1573"/>
      <c r="C151" s="1574"/>
      <c r="D151" s="1575"/>
      <c r="E151" s="1575"/>
      <c r="F151" s="1575"/>
      <c r="G151" s="1575"/>
      <c r="H151" s="1577"/>
      <c r="I151" s="1577"/>
      <c r="J151" s="1578"/>
      <c r="K151" s="1578"/>
      <c r="L151" s="1578"/>
      <c r="M151" s="1578"/>
      <c r="N151" s="1578"/>
      <c r="O151" s="1578"/>
      <c r="P151" s="1578"/>
      <c r="Q151" s="1579"/>
      <c r="R151" s="1579"/>
      <c r="S151" s="1579"/>
      <c r="T151" s="1579"/>
      <c r="U151" s="1579"/>
      <c r="V151" s="1579"/>
      <c r="W151" s="1580"/>
      <c r="X151" s="1580"/>
      <c r="Y151" s="1580"/>
      <c r="Z151" s="1580"/>
      <c r="AA151" s="1513"/>
      <c r="AB151" s="1580"/>
      <c r="AC151" s="1580"/>
      <c r="AD151" s="1575"/>
      <c r="AE151" s="1575"/>
      <c r="AF151" s="1581"/>
      <c r="AG151" s="1581"/>
      <c r="AH151" s="1581"/>
      <c r="AI151" s="1581"/>
      <c r="AJ151" s="1581"/>
      <c r="AK151" s="1581"/>
      <c r="AL151" s="1581"/>
      <c r="AM151" s="1582"/>
      <c r="AN151" s="1582"/>
      <c r="AO151" s="1582"/>
      <c r="AP151" s="1582"/>
      <c r="AQ151" s="1582"/>
      <c r="AR151" s="1582"/>
      <c r="AS151" s="1582"/>
      <c r="AT151" s="1578"/>
      <c r="AU151" s="1583"/>
      <c r="AV151" s="1583"/>
      <c r="AW151" s="1487"/>
    </row>
    <row r="152">
      <c r="A152" s="1584"/>
      <c r="B152" s="1585"/>
      <c r="C152" s="1586"/>
      <c r="D152" s="1513"/>
      <c r="E152" s="1513"/>
      <c r="F152" s="1513"/>
      <c r="G152" s="1513"/>
      <c r="H152" s="1513"/>
      <c r="I152" s="1513"/>
      <c r="J152" s="1513"/>
      <c r="K152" s="1513"/>
      <c r="L152" s="1513"/>
      <c r="M152" s="1513"/>
      <c r="N152" s="1513"/>
      <c r="O152" s="1513"/>
      <c r="P152" s="1513"/>
      <c r="Q152" s="1513"/>
      <c r="R152" s="1513"/>
      <c r="S152" s="1513"/>
      <c r="T152" s="1513"/>
      <c r="U152" s="1513"/>
      <c r="V152" s="1513"/>
      <c r="W152" s="1513"/>
      <c r="X152" s="1513"/>
      <c r="Y152" s="1513"/>
      <c r="Z152" s="1513"/>
      <c r="AA152" s="1580"/>
      <c r="AB152" s="1513"/>
      <c r="AC152" s="1513"/>
      <c r="AD152" s="1513"/>
      <c r="AE152" s="1513"/>
      <c r="AF152" s="1513"/>
      <c r="AG152" s="1513"/>
      <c r="AH152" s="1513"/>
      <c r="AI152" s="1513"/>
      <c r="AJ152" s="1513"/>
      <c r="AK152" s="1513"/>
      <c r="AL152" s="1513"/>
      <c r="AM152" s="1513"/>
      <c r="AN152" s="1513"/>
      <c r="AO152" s="1513"/>
      <c r="AP152" s="1513"/>
      <c r="AQ152" s="1513"/>
      <c r="AR152" s="1513"/>
      <c r="AS152" s="1513"/>
      <c r="AT152" s="1513"/>
      <c r="AU152" s="1513"/>
      <c r="AV152" s="1513"/>
      <c r="AW152" s="1467"/>
    </row>
    <row r="153">
      <c r="A153" s="1572"/>
      <c r="B153" s="1573"/>
      <c r="C153" s="1574"/>
      <c r="D153" s="1575"/>
      <c r="E153" s="1575"/>
      <c r="F153" s="1575"/>
      <c r="G153" s="1575"/>
      <c r="H153" s="1577"/>
      <c r="I153" s="1577"/>
      <c r="J153" s="1578"/>
      <c r="K153" s="1578"/>
      <c r="L153" s="1578"/>
      <c r="M153" s="1578"/>
      <c r="N153" s="1578"/>
      <c r="O153" s="1578"/>
      <c r="P153" s="1578"/>
      <c r="Q153" s="1579"/>
      <c r="R153" s="1579"/>
      <c r="S153" s="1579"/>
      <c r="T153" s="1579"/>
      <c r="U153" s="1579"/>
      <c r="V153" s="1579"/>
      <c r="W153" s="1580"/>
      <c r="X153" s="1580"/>
      <c r="Y153" s="1580"/>
      <c r="Z153" s="1580"/>
      <c r="AA153" s="1513"/>
      <c r="AB153" s="1580"/>
      <c r="AC153" s="1580"/>
      <c r="AD153" s="1575"/>
      <c r="AE153" s="1575"/>
      <c r="AF153" s="1581"/>
      <c r="AG153" s="1581"/>
      <c r="AH153" s="1581"/>
      <c r="AI153" s="1581"/>
      <c r="AJ153" s="1581"/>
      <c r="AK153" s="1581"/>
      <c r="AL153" s="1581"/>
      <c r="AM153" s="1582"/>
      <c r="AN153" s="1582"/>
      <c r="AO153" s="1582"/>
      <c r="AP153" s="1582"/>
      <c r="AQ153" s="1582"/>
      <c r="AR153" s="1582"/>
      <c r="AS153" s="1582"/>
      <c r="AT153" s="1578"/>
      <c r="AU153" s="1583"/>
      <c r="AV153" s="1583"/>
      <c r="AW153" s="1487"/>
    </row>
    <row r="154">
      <c r="A154" s="1584"/>
      <c r="B154" s="1585"/>
      <c r="C154" s="1586"/>
      <c r="D154" s="1513"/>
      <c r="E154" s="1513"/>
      <c r="F154" s="1513"/>
      <c r="G154" s="1513"/>
      <c r="H154" s="1513"/>
      <c r="I154" s="1513"/>
      <c r="J154" s="1513"/>
      <c r="K154" s="1513"/>
      <c r="L154" s="1513"/>
      <c r="M154" s="1513"/>
      <c r="N154" s="1513"/>
      <c r="O154" s="1513"/>
      <c r="P154" s="1513"/>
      <c r="Q154" s="1513"/>
      <c r="R154" s="1513"/>
      <c r="S154" s="1513"/>
      <c r="T154" s="1513"/>
      <c r="U154" s="1513"/>
      <c r="V154" s="1513"/>
      <c r="W154" s="1513"/>
      <c r="X154" s="1513"/>
      <c r="Y154" s="1513"/>
      <c r="Z154" s="1513"/>
      <c r="AA154" s="1580"/>
      <c r="AB154" s="1513"/>
      <c r="AC154" s="1513"/>
      <c r="AD154" s="1513"/>
      <c r="AE154" s="1513"/>
      <c r="AF154" s="1513"/>
      <c r="AG154" s="1513"/>
      <c r="AH154" s="1513"/>
      <c r="AI154" s="1513"/>
      <c r="AJ154" s="1513"/>
      <c r="AK154" s="1513"/>
      <c r="AL154" s="1513"/>
      <c r="AM154" s="1513"/>
      <c r="AN154" s="1513"/>
      <c r="AO154" s="1513"/>
      <c r="AP154" s="1513"/>
      <c r="AQ154" s="1513"/>
      <c r="AR154" s="1513"/>
      <c r="AS154" s="1513"/>
      <c r="AT154" s="1513"/>
      <c r="AU154" s="1513"/>
      <c r="AV154" s="1513"/>
      <c r="AW154" s="1467"/>
    </row>
    <row r="155">
      <c r="A155" s="1572"/>
      <c r="B155" s="1573"/>
      <c r="C155" s="1574"/>
      <c r="D155" s="1575"/>
      <c r="E155" s="1575"/>
      <c r="F155" s="1575"/>
      <c r="G155" s="1575"/>
      <c r="H155" s="1577"/>
      <c r="I155" s="1577"/>
      <c r="J155" s="1578"/>
      <c r="K155" s="1578"/>
      <c r="L155" s="1578"/>
      <c r="M155" s="1578"/>
      <c r="N155" s="1578"/>
      <c r="O155" s="1578"/>
      <c r="P155" s="1578"/>
      <c r="Q155" s="1579"/>
      <c r="R155" s="1579"/>
      <c r="S155" s="1579"/>
      <c r="T155" s="1579"/>
      <c r="U155" s="1579"/>
      <c r="V155" s="1579"/>
      <c r="W155" s="1580"/>
      <c r="X155" s="1580"/>
      <c r="Y155" s="1580"/>
      <c r="Z155" s="1580"/>
      <c r="AA155" s="1513"/>
      <c r="AB155" s="1580"/>
      <c r="AC155" s="1580"/>
      <c r="AD155" s="1575"/>
      <c r="AE155" s="1575"/>
      <c r="AF155" s="1581"/>
      <c r="AG155" s="1581"/>
      <c r="AH155" s="1581"/>
      <c r="AI155" s="1581"/>
      <c r="AJ155" s="1581"/>
      <c r="AK155" s="1581"/>
      <c r="AL155" s="1581"/>
      <c r="AM155" s="1582"/>
      <c r="AN155" s="1582"/>
      <c r="AO155" s="1582"/>
      <c r="AP155" s="1582"/>
      <c r="AQ155" s="1582"/>
      <c r="AR155" s="1582"/>
      <c r="AS155" s="1582"/>
      <c r="AT155" s="1578"/>
      <c r="AU155" s="1583"/>
      <c r="AV155" s="1583"/>
      <c r="AW155" s="1487"/>
    </row>
    <row r="156">
      <c r="A156" s="1584"/>
      <c r="B156" s="1585"/>
      <c r="C156" s="1586"/>
      <c r="D156" s="1513"/>
      <c r="E156" s="1513"/>
      <c r="F156" s="1513"/>
      <c r="G156" s="1513"/>
      <c r="H156" s="1513"/>
      <c r="I156" s="1513"/>
      <c r="J156" s="1513"/>
      <c r="K156" s="1513"/>
      <c r="L156" s="1513"/>
      <c r="M156" s="1513"/>
      <c r="N156" s="1513"/>
      <c r="O156" s="1513"/>
      <c r="P156" s="1513"/>
      <c r="Q156" s="1513"/>
      <c r="R156" s="1513"/>
      <c r="S156" s="1513"/>
      <c r="T156" s="1513"/>
      <c r="U156" s="1513"/>
      <c r="V156" s="1513"/>
      <c r="W156" s="1513"/>
      <c r="X156" s="1513"/>
      <c r="Y156" s="1513"/>
      <c r="Z156" s="1513"/>
      <c r="AA156" s="1580"/>
      <c r="AB156" s="1513"/>
      <c r="AC156" s="1513"/>
      <c r="AD156" s="1513"/>
      <c r="AE156" s="1513"/>
      <c r="AF156" s="1513"/>
      <c r="AG156" s="1513"/>
      <c r="AH156" s="1513"/>
      <c r="AI156" s="1513"/>
      <c r="AJ156" s="1513"/>
      <c r="AK156" s="1513"/>
      <c r="AL156" s="1513"/>
      <c r="AM156" s="1513"/>
      <c r="AN156" s="1513"/>
      <c r="AO156" s="1513"/>
      <c r="AP156" s="1513"/>
      <c r="AQ156" s="1513"/>
      <c r="AR156" s="1513"/>
      <c r="AS156" s="1513"/>
      <c r="AT156" s="1513"/>
      <c r="AU156" s="1513"/>
      <c r="AV156" s="1513"/>
      <c r="AW156" s="1467"/>
    </row>
    <row r="157">
      <c r="A157" s="1572"/>
      <c r="B157" s="1573"/>
      <c r="C157" s="1574"/>
      <c r="D157" s="1575"/>
      <c r="E157" s="1575"/>
      <c r="F157" s="1575"/>
      <c r="G157" s="1575"/>
      <c r="H157" s="1577"/>
      <c r="I157" s="1577"/>
      <c r="J157" s="1578"/>
      <c r="K157" s="1578"/>
      <c r="L157" s="1578"/>
      <c r="M157" s="1578"/>
      <c r="N157" s="1578"/>
      <c r="O157" s="1578"/>
      <c r="P157" s="1578"/>
      <c r="Q157" s="1579"/>
      <c r="R157" s="1579"/>
      <c r="S157" s="1579"/>
      <c r="T157" s="1579"/>
      <c r="U157" s="1579"/>
      <c r="V157" s="1579"/>
      <c r="W157" s="1580"/>
      <c r="X157" s="1580"/>
      <c r="Y157" s="1580"/>
      <c r="Z157" s="1580"/>
      <c r="AA157" s="1513"/>
      <c r="AB157" s="1580"/>
      <c r="AC157" s="1580"/>
      <c r="AD157" s="1575"/>
      <c r="AE157" s="1575"/>
      <c r="AF157" s="1581"/>
      <c r="AG157" s="1581"/>
      <c r="AH157" s="1581"/>
      <c r="AI157" s="1581"/>
      <c r="AJ157" s="1581"/>
      <c r="AK157" s="1581"/>
      <c r="AL157" s="1581"/>
      <c r="AM157" s="1582"/>
      <c r="AN157" s="1582"/>
      <c r="AO157" s="1582"/>
      <c r="AP157" s="1582"/>
      <c r="AQ157" s="1582"/>
      <c r="AR157" s="1582"/>
      <c r="AS157" s="1582"/>
      <c r="AT157" s="1578"/>
      <c r="AU157" s="1583"/>
      <c r="AV157" s="1583"/>
      <c r="AW157" s="1487"/>
    </row>
    <row r="158">
      <c r="A158" s="1584"/>
      <c r="B158" s="1585"/>
      <c r="C158" s="1586"/>
      <c r="D158" s="1513"/>
      <c r="E158" s="1513"/>
      <c r="F158" s="1513"/>
      <c r="G158" s="1513"/>
      <c r="H158" s="1513"/>
      <c r="I158" s="1513"/>
      <c r="J158" s="1513"/>
      <c r="K158" s="1513"/>
      <c r="L158" s="1513"/>
      <c r="M158" s="1513"/>
      <c r="N158" s="1513"/>
      <c r="O158" s="1513"/>
      <c r="P158" s="1513"/>
      <c r="Q158" s="1513"/>
      <c r="R158" s="1513"/>
      <c r="S158" s="1513"/>
      <c r="T158" s="1513"/>
      <c r="U158" s="1513"/>
      <c r="V158" s="1513"/>
      <c r="W158" s="1513"/>
      <c r="X158" s="1513"/>
      <c r="Y158" s="1513"/>
      <c r="Z158" s="1513"/>
      <c r="AA158" s="1580"/>
      <c r="AB158" s="1513"/>
      <c r="AC158" s="1513"/>
      <c r="AD158" s="1513"/>
      <c r="AE158" s="1513"/>
      <c r="AF158" s="1513"/>
      <c r="AG158" s="1513"/>
      <c r="AH158" s="1513"/>
      <c r="AI158" s="1513"/>
      <c r="AJ158" s="1513"/>
      <c r="AK158" s="1513"/>
      <c r="AL158" s="1513"/>
      <c r="AM158" s="1513"/>
      <c r="AN158" s="1513"/>
      <c r="AO158" s="1513"/>
      <c r="AP158" s="1513"/>
      <c r="AQ158" s="1513"/>
      <c r="AR158" s="1513"/>
      <c r="AS158" s="1513"/>
      <c r="AT158" s="1513"/>
      <c r="AU158" s="1513"/>
      <c r="AV158" s="1513"/>
      <c r="AW158" s="1467"/>
    </row>
    <row r="159">
      <c r="A159" s="1572"/>
      <c r="B159" s="1573"/>
      <c r="C159" s="1574"/>
      <c r="D159" s="1575"/>
      <c r="E159" s="1575"/>
      <c r="F159" s="1575"/>
      <c r="G159" s="1575"/>
      <c r="H159" s="1577"/>
      <c r="I159" s="1577"/>
      <c r="J159" s="1578"/>
      <c r="K159" s="1578"/>
      <c r="L159" s="1578"/>
      <c r="M159" s="1578"/>
      <c r="N159" s="1578"/>
      <c r="O159" s="1578"/>
      <c r="P159" s="1578"/>
      <c r="Q159" s="1579"/>
      <c r="R159" s="1579"/>
      <c r="S159" s="1579"/>
      <c r="T159" s="1579"/>
      <c r="U159" s="1579"/>
      <c r="V159" s="1579"/>
      <c r="W159" s="1580"/>
      <c r="X159" s="1580"/>
      <c r="Y159" s="1580"/>
      <c r="Z159" s="1580"/>
      <c r="AA159" s="1513"/>
      <c r="AB159" s="1580"/>
      <c r="AC159" s="1580"/>
      <c r="AD159" s="1575"/>
      <c r="AE159" s="1575"/>
      <c r="AF159" s="1581"/>
      <c r="AG159" s="1581"/>
      <c r="AH159" s="1581"/>
      <c r="AI159" s="1581"/>
      <c r="AJ159" s="1581"/>
      <c r="AK159" s="1581"/>
      <c r="AL159" s="1581"/>
      <c r="AM159" s="1582"/>
      <c r="AN159" s="1582"/>
      <c r="AO159" s="1582"/>
      <c r="AP159" s="1582"/>
      <c r="AQ159" s="1582"/>
      <c r="AR159" s="1582"/>
      <c r="AS159" s="1582"/>
      <c r="AT159" s="1578"/>
      <c r="AU159" s="1583"/>
      <c r="AV159" s="1583"/>
      <c r="AW159" s="1487"/>
    </row>
    <row r="160">
      <c r="A160" s="1584"/>
      <c r="B160" s="1585"/>
      <c r="C160" s="1586"/>
      <c r="D160" s="1513"/>
      <c r="E160" s="1513"/>
      <c r="F160" s="1513"/>
      <c r="G160" s="1513"/>
      <c r="H160" s="1513"/>
      <c r="I160" s="1513"/>
      <c r="J160" s="1513"/>
      <c r="K160" s="1513"/>
      <c r="L160" s="1513"/>
      <c r="M160" s="1513"/>
      <c r="N160" s="1513"/>
      <c r="O160" s="1513"/>
      <c r="P160" s="1513"/>
      <c r="Q160" s="1513"/>
      <c r="R160" s="1513"/>
      <c r="S160" s="1513"/>
      <c r="T160" s="1513"/>
      <c r="U160" s="1513"/>
      <c r="V160" s="1513"/>
      <c r="W160" s="1513"/>
      <c r="X160" s="1513"/>
      <c r="Y160" s="1513"/>
      <c r="Z160" s="1513"/>
      <c r="AA160" s="1580"/>
      <c r="AB160" s="1513"/>
      <c r="AC160" s="1513"/>
      <c r="AD160" s="1513"/>
      <c r="AE160" s="1513"/>
      <c r="AF160" s="1513"/>
      <c r="AG160" s="1513"/>
      <c r="AH160" s="1513"/>
      <c r="AI160" s="1513"/>
      <c r="AJ160" s="1513"/>
      <c r="AK160" s="1513"/>
      <c r="AL160" s="1513"/>
      <c r="AM160" s="1513"/>
      <c r="AN160" s="1513"/>
      <c r="AO160" s="1513"/>
      <c r="AP160" s="1513"/>
      <c r="AQ160" s="1513"/>
      <c r="AR160" s="1513"/>
      <c r="AS160" s="1513"/>
      <c r="AT160" s="1513"/>
      <c r="AU160" s="1513"/>
      <c r="AV160" s="1513"/>
      <c r="AW160" s="1467"/>
    </row>
    <row r="161">
      <c r="A161" s="1572"/>
      <c r="B161" s="1573"/>
      <c r="C161" s="1574"/>
      <c r="D161" s="1575"/>
      <c r="E161" s="1575"/>
      <c r="F161" s="1575"/>
      <c r="G161" s="1575"/>
      <c r="H161" s="1577"/>
      <c r="I161" s="1577"/>
      <c r="J161" s="1578"/>
      <c r="K161" s="1578"/>
      <c r="L161" s="1578"/>
      <c r="M161" s="1578"/>
      <c r="N161" s="1578"/>
      <c r="O161" s="1578"/>
      <c r="P161" s="1578"/>
      <c r="Q161" s="1579"/>
      <c r="R161" s="1579"/>
      <c r="S161" s="1579"/>
      <c r="T161" s="1579"/>
      <c r="U161" s="1579"/>
      <c r="V161" s="1579"/>
      <c r="W161" s="1580"/>
      <c r="X161" s="1580"/>
      <c r="Y161" s="1580"/>
      <c r="Z161" s="1580"/>
      <c r="AA161" s="1513"/>
      <c r="AB161" s="1580"/>
      <c r="AC161" s="1580"/>
      <c r="AD161" s="1575"/>
      <c r="AE161" s="1575"/>
      <c r="AF161" s="1581"/>
      <c r="AG161" s="1581"/>
      <c r="AH161" s="1581"/>
      <c r="AI161" s="1581"/>
      <c r="AJ161" s="1581"/>
      <c r="AK161" s="1581"/>
      <c r="AL161" s="1581"/>
      <c r="AM161" s="1582"/>
      <c r="AN161" s="1582"/>
      <c r="AO161" s="1582"/>
      <c r="AP161" s="1582"/>
      <c r="AQ161" s="1582"/>
      <c r="AR161" s="1582"/>
      <c r="AS161" s="1582"/>
      <c r="AT161" s="1578"/>
      <c r="AU161" s="1583"/>
      <c r="AV161" s="1583"/>
      <c r="AW161" s="1487"/>
    </row>
    <row r="162">
      <c r="A162" s="1584"/>
      <c r="B162" s="1585"/>
      <c r="C162" s="1586"/>
      <c r="D162" s="1513"/>
      <c r="E162" s="1513"/>
      <c r="F162" s="1513"/>
      <c r="G162" s="1513"/>
      <c r="H162" s="1513"/>
      <c r="I162" s="1513"/>
      <c r="J162" s="1513"/>
      <c r="K162" s="1513"/>
      <c r="L162" s="1513"/>
      <c r="M162" s="1513"/>
      <c r="N162" s="1513"/>
      <c r="O162" s="1513"/>
      <c r="P162" s="1513"/>
      <c r="Q162" s="1513"/>
      <c r="R162" s="1513"/>
      <c r="S162" s="1513"/>
      <c r="T162" s="1513"/>
      <c r="U162" s="1513"/>
      <c r="V162" s="1513"/>
      <c r="W162" s="1513"/>
      <c r="X162" s="1513"/>
      <c r="Y162" s="1513"/>
      <c r="Z162" s="1513"/>
      <c r="AA162" s="1580"/>
      <c r="AB162" s="1513"/>
      <c r="AC162" s="1513"/>
      <c r="AD162" s="1513"/>
      <c r="AE162" s="1513"/>
      <c r="AF162" s="1513"/>
      <c r="AG162" s="1513"/>
      <c r="AH162" s="1513"/>
      <c r="AI162" s="1513"/>
      <c r="AJ162" s="1513"/>
      <c r="AK162" s="1513"/>
      <c r="AL162" s="1513"/>
      <c r="AM162" s="1513"/>
      <c r="AN162" s="1513"/>
      <c r="AO162" s="1513"/>
      <c r="AP162" s="1513"/>
      <c r="AQ162" s="1513"/>
      <c r="AR162" s="1513"/>
      <c r="AS162" s="1513"/>
      <c r="AT162" s="1513"/>
      <c r="AU162" s="1513"/>
      <c r="AV162" s="1513"/>
      <c r="AW162" s="1467"/>
    </row>
    <row r="163">
      <c r="A163" s="1572"/>
      <c r="B163" s="1573"/>
      <c r="C163" s="1574"/>
      <c r="D163" s="1575"/>
      <c r="E163" s="1575"/>
      <c r="F163" s="1575"/>
      <c r="G163" s="1575"/>
      <c r="H163" s="1577"/>
      <c r="I163" s="1577"/>
      <c r="J163" s="1578"/>
      <c r="K163" s="1578"/>
      <c r="L163" s="1578"/>
      <c r="M163" s="1578"/>
      <c r="N163" s="1578"/>
      <c r="O163" s="1578"/>
      <c r="P163" s="1578"/>
      <c r="Q163" s="1579"/>
      <c r="R163" s="1579"/>
      <c r="S163" s="1579"/>
      <c r="T163" s="1579"/>
      <c r="U163" s="1579"/>
      <c r="V163" s="1579"/>
      <c r="W163" s="1580"/>
      <c r="X163" s="1580"/>
      <c r="Y163" s="1580"/>
      <c r="Z163" s="1580"/>
      <c r="AA163" s="1513"/>
      <c r="AB163" s="1580"/>
      <c r="AC163" s="1580"/>
      <c r="AD163" s="1575"/>
      <c r="AE163" s="1575"/>
      <c r="AF163" s="1581"/>
      <c r="AG163" s="1581"/>
      <c r="AH163" s="1581"/>
      <c r="AI163" s="1581"/>
      <c r="AJ163" s="1581"/>
      <c r="AK163" s="1581"/>
      <c r="AL163" s="1581"/>
      <c r="AM163" s="1582"/>
      <c r="AN163" s="1582"/>
      <c r="AO163" s="1582"/>
      <c r="AP163" s="1582"/>
      <c r="AQ163" s="1582"/>
      <c r="AR163" s="1582"/>
      <c r="AS163" s="1582"/>
      <c r="AT163" s="1578"/>
      <c r="AU163" s="1583"/>
      <c r="AV163" s="1583"/>
      <c r="AW163" s="1487"/>
    </row>
    <row r="164">
      <c r="A164" s="1584"/>
      <c r="B164" s="1585"/>
      <c r="C164" s="1586"/>
      <c r="D164" s="1513"/>
      <c r="E164" s="1513"/>
      <c r="F164" s="1513"/>
      <c r="G164" s="1513"/>
      <c r="H164" s="1513"/>
      <c r="I164" s="1513"/>
      <c r="J164" s="1513"/>
      <c r="K164" s="1513"/>
      <c r="L164" s="1513"/>
      <c r="M164" s="1513"/>
      <c r="N164" s="1513"/>
      <c r="O164" s="1513"/>
      <c r="P164" s="1513"/>
      <c r="Q164" s="1513"/>
      <c r="R164" s="1513"/>
      <c r="S164" s="1513"/>
      <c r="T164" s="1513"/>
      <c r="U164" s="1513"/>
      <c r="V164" s="1513"/>
      <c r="W164" s="1513"/>
      <c r="X164" s="1513"/>
      <c r="Y164" s="1513"/>
      <c r="Z164" s="1513"/>
      <c r="AA164" s="1580"/>
      <c r="AB164" s="1513"/>
      <c r="AC164" s="1513"/>
      <c r="AD164" s="1513"/>
      <c r="AE164" s="1513"/>
      <c r="AF164" s="1513"/>
      <c r="AG164" s="1513"/>
      <c r="AH164" s="1513"/>
      <c r="AI164" s="1513"/>
      <c r="AJ164" s="1513"/>
      <c r="AK164" s="1513"/>
      <c r="AL164" s="1513"/>
      <c r="AM164" s="1513"/>
      <c r="AN164" s="1513"/>
      <c r="AO164" s="1513"/>
      <c r="AP164" s="1513"/>
      <c r="AQ164" s="1513"/>
      <c r="AR164" s="1513"/>
      <c r="AS164" s="1513"/>
      <c r="AT164" s="1513"/>
      <c r="AU164" s="1513"/>
      <c r="AV164" s="1513"/>
      <c r="AW164" s="1467"/>
    </row>
    <row r="165">
      <c r="A165" s="1572"/>
      <c r="B165" s="1573"/>
      <c r="C165" s="1574"/>
      <c r="D165" s="1575"/>
      <c r="E165" s="1575"/>
      <c r="F165" s="1575"/>
      <c r="G165" s="1575"/>
      <c r="H165" s="1577"/>
      <c r="I165" s="1577"/>
      <c r="J165" s="1578"/>
      <c r="K165" s="1578"/>
      <c r="L165" s="1578"/>
      <c r="M165" s="1578"/>
      <c r="N165" s="1578"/>
      <c r="O165" s="1578"/>
      <c r="P165" s="1578"/>
      <c r="Q165" s="1579"/>
      <c r="R165" s="1579"/>
      <c r="S165" s="1579"/>
      <c r="T165" s="1579"/>
      <c r="U165" s="1579"/>
      <c r="V165" s="1579"/>
      <c r="W165" s="1580"/>
      <c r="X165" s="1580"/>
      <c r="Y165" s="1580"/>
      <c r="Z165" s="1580"/>
      <c r="AA165" s="1513"/>
      <c r="AB165" s="1580"/>
      <c r="AC165" s="1580"/>
      <c r="AD165" s="1575"/>
      <c r="AE165" s="1575"/>
      <c r="AF165" s="1581"/>
      <c r="AG165" s="1581"/>
      <c r="AH165" s="1581"/>
      <c r="AI165" s="1581"/>
      <c r="AJ165" s="1581"/>
      <c r="AK165" s="1581"/>
      <c r="AL165" s="1581"/>
      <c r="AM165" s="1582"/>
      <c r="AN165" s="1582"/>
      <c r="AO165" s="1582"/>
      <c r="AP165" s="1582"/>
      <c r="AQ165" s="1582"/>
      <c r="AR165" s="1582"/>
      <c r="AS165" s="1582"/>
      <c r="AT165" s="1578"/>
      <c r="AU165" s="1583"/>
      <c r="AV165" s="1583"/>
      <c r="AW165" s="1487"/>
    </row>
    <row r="166">
      <c r="A166" s="1584"/>
      <c r="B166" s="1585"/>
      <c r="C166" s="1586"/>
      <c r="D166" s="1513"/>
      <c r="E166" s="1513"/>
      <c r="F166" s="1513"/>
      <c r="G166" s="1513"/>
      <c r="H166" s="1513"/>
      <c r="I166" s="1513"/>
      <c r="J166" s="1513"/>
      <c r="K166" s="1513"/>
      <c r="L166" s="1513"/>
      <c r="M166" s="1513"/>
      <c r="N166" s="1513"/>
      <c r="O166" s="1513"/>
      <c r="P166" s="1513"/>
      <c r="Q166" s="1513"/>
      <c r="R166" s="1513"/>
      <c r="S166" s="1513"/>
      <c r="T166" s="1513"/>
      <c r="U166" s="1513"/>
      <c r="V166" s="1513"/>
      <c r="W166" s="1513"/>
      <c r="X166" s="1513"/>
      <c r="Y166" s="1513"/>
      <c r="Z166" s="1513"/>
      <c r="AA166" s="1580"/>
      <c r="AB166" s="1513"/>
      <c r="AC166" s="1513"/>
      <c r="AD166" s="1513"/>
      <c r="AE166" s="1513"/>
      <c r="AF166" s="1513"/>
      <c r="AG166" s="1513"/>
      <c r="AH166" s="1513"/>
      <c r="AI166" s="1513"/>
      <c r="AJ166" s="1513"/>
      <c r="AK166" s="1513"/>
      <c r="AL166" s="1513"/>
      <c r="AM166" s="1513"/>
      <c r="AN166" s="1513"/>
      <c r="AO166" s="1513"/>
      <c r="AP166" s="1513"/>
      <c r="AQ166" s="1513"/>
      <c r="AR166" s="1513"/>
      <c r="AS166" s="1513"/>
      <c r="AT166" s="1513"/>
      <c r="AU166" s="1513"/>
      <c r="AV166" s="1513"/>
      <c r="AW166" s="1467"/>
    </row>
    <row r="167">
      <c r="A167" s="1572"/>
      <c r="B167" s="1573"/>
      <c r="C167" s="1574"/>
      <c r="D167" s="1575"/>
      <c r="E167" s="1575"/>
      <c r="F167" s="1575"/>
      <c r="G167" s="1575"/>
      <c r="H167" s="1577"/>
      <c r="I167" s="1577"/>
      <c r="J167" s="1578"/>
      <c r="K167" s="1578"/>
      <c r="L167" s="1578"/>
      <c r="M167" s="1578"/>
      <c r="N167" s="1578"/>
      <c r="O167" s="1578"/>
      <c r="P167" s="1578"/>
      <c r="Q167" s="1579"/>
      <c r="R167" s="1579"/>
      <c r="S167" s="1579"/>
      <c r="T167" s="1579"/>
      <c r="U167" s="1579"/>
      <c r="V167" s="1579"/>
      <c r="W167" s="1580"/>
      <c r="X167" s="1580"/>
      <c r="Y167" s="1580"/>
      <c r="Z167" s="1580"/>
      <c r="AA167" s="1513"/>
      <c r="AB167" s="1580"/>
      <c r="AC167" s="1580"/>
      <c r="AD167" s="1575"/>
      <c r="AE167" s="1575"/>
      <c r="AF167" s="1581"/>
      <c r="AG167" s="1581"/>
      <c r="AH167" s="1581"/>
      <c r="AI167" s="1581"/>
      <c r="AJ167" s="1581"/>
      <c r="AK167" s="1581"/>
      <c r="AL167" s="1581"/>
      <c r="AM167" s="1582"/>
      <c r="AN167" s="1582"/>
      <c r="AO167" s="1582"/>
      <c r="AP167" s="1582"/>
      <c r="AQ167" s="1582"/>
      <c r="AR167" s="1582"/>
      <c r="AS167" s="1582"/>
      <c r="AT167" s="1578"/>
      <c r="AU167" s="1583"/>
      <c r="AV167" s="1583"/>
      <c r="AW167" s="1487"/>
    </row>
    <row r="168">
      <c r="A168" s="1584"/>
      <c r="B168" s="1585"/>
      <c r="C168" s="1586"/>
      <c r="D168" s="1513"/>
      <c r="E168" s="1513"/>
      <c r="F168" s="1513"/>
      <c r="G168" s="1513"/>
      <c r="H168" s="1513"/>
      <c r="I168" s="1513"/>
      <c r="J168" s="1513"/>
      <c r="K168" s="1513"/>
      <c r="L168" s="1513"/>
      <c r="M168" s="1513"/>
      <c r="N168" s="1513"/>
      <c r="O168" s="1513"/>
      <c r="P168" s="1513"/>
      <c r="Q168" s="1513"/>
      <c r="R168" s="1513"/>
      <c r="S168" s="1513"/>
      <c r="T168" s="1513"/>
      <c r="U168" s="1513"/>
      <c r="V168" s="1513"/>
      <c r="W168" s="1513"/>
      <c r="X168" s="1513"/>
      <c r="Y168" s="1513"/>
      <c r="Z168" s="1513"/>
      <c r="AA168" s="1580"/>
      <c r="AB168" s="1513"/>
      <c r="AC168" s="1513"/>
      <c r="AD168" s="1513"/>
      <c r="AE168" s="1513"/>
      <c r="AF168" s="1513"/>
      <c r="AG168" s="1513"/>
      <c r="AH168" s="1513"/>
      <c r="AI168" s="1513"/>
      <c r="AJ168" s="1513"/>
      <c r="AK168" s="1513"/>
      <c r="AL168" s="1513"/>
      <c r="AM168" s="1513"/>
      <c r="AN168" s="1513"/>
      <c r="AO168" s="1513"/>
      <c r="AP168" s="1513"/>
      <c r="AQ168" s="1513"/>
      <c r="AR168" s="1513"/>
      <c r="AS168" s="1513"/>
      <c r="AT168" s="1513"/>
      <c r="AU168" s="1513"/>
      <c r="AV168" s="1513"/>
      <c r="AW168" s="1467"/>
    </row>
    <row r="169">
      <c r="A169" s="1572"/>
      <c r="B169" s="1573"/>
      <c r="C169" s="1574"/>
      <c r="D169" s="1575"/>
      <c r="E169" s="1575"/>
      <c r="F169" s="1575"/>
      <c r="G169" s="1575"/>
      <c r="H169" s="1577"/>
      <c r="I169" s="1577"/>
      <c r="J169" s="1578"/>
      <c r="K169" s="1578"/>
      <c r="L169" s="1578"/>
      <c r="M169" s="1578"/>
      <c r="N169" s="1578"/>
      <c r="O169" s="1578"/>
      <c r="P169" s="1578"/>
      <c r="Q169" s="1579"/>
      <c r="R169" s="1579"/>
      <c r="S169" s="1579"/>
      <c r="T169" s="1579"/>
      <c r="U169" s="1579"/>
      <c r="V169" s="1579"/>
      <c r="W169" s="1580"/>
      <c r="X169" s="1580"/>
      <c r="Y169" s="1580"/>
      <c r="Z169" s="1580"/>
      <c r="AA169" s="1513"/>
      <c r="AB169" s="1580"/>
      <c r="AC169" s="1580"/>
      <c r="AD169" s="1575"/>
      <c r="AE169" s="1575"/>
      <c r="AF169" s="1581"/>
      <c r="AG169" s="1581"/>
      <c r="AH169" s="1581"/>
      <c r="AI169" s="1581"/>
      <c r="AJ169" s="1581"/>
      <c r="AK169" s="1581"/>
      <c r="AL169" s="1581"/>
      <c r="AM169" s="1582"/>
      <c r="AN169" s="1582"/>
      <c r="AO169" s="1582"/>
      <c r="AP169" s="1582"/>
      <c r="AQ169" s="1582"/>
      <c r="AR169" s="1582"/>
      <c r="AS169" s="1582"/>
      <c r="AT169" s="1578"/>
      <c r="AU169" s="1583"/>
      <c r="AV169" s="1583"/>
      <c r="AW169" s="1487"/>
    </row>
    <row r="170">
      <c r="A170" s="1584"/>
      <c r="B170" s="1585"/>
      <c r="C170" s="1586"/>
      <c r="D170" s="1513"/>
      <c r="E170" s="1513"/>
      <c r="F170" s="1513"/>
      <c r="G170" s="1513"/>
      <c r="H170" s="1513"/>
      <c r="I170" s="1513"/>
      <c r="J170" s="1513"/>
      <c r="K170" s="1513"/>
      <c r="L170" s="1513"/>
      <c r="M170" s="1513"/>
      <c r="N170" s="1513"/>
      <c r="O170" s="1513"/>
      <c r="P170" s="1513"/>
      <c r="Q170" s="1513"/>
      <c r="R170" s="1513"/>
      <c r="S170" s="1513"/>
      <c r="T170" s="1513"/>
      <c r="U170" s="1513"/>
      <c r="V170" s="1513"/>
      <c r="W170" s="1513"/>
      <c r="X170" s="1513"/>
      <c r="Y170" s="1513"/>
      <c r="Z170" s="1513"/>
      <c r="AA170" s="1580"/>
      <c r="AB170" s="1513"/>
      <c r="AC170" s="1513"/>
      <c r="AD170" s="1513"/>
      <c r="AE170" s="1513"/>
      <c r="AF170" s="1513"/>
      <c r="AG170" s="1513"/>
      <c r="AH170" s="1513"/>
      <c r="AI170" s="1513"/>
      <c r="AJ170" s="1513"/>
      <c r="AK170" s="1513"/>
      <c r="AL170" s="1513"/>
      <c r="AM170" s="1513"/>
      <c r="AN170" s="1513"/>
      <c r="AO170" s="1513"/>
      <c r="AP170" s="1513"/>
      <c r="AQ170" s="1513"/>
      <c r="AR170" s="1513"/>
      <c r="AS170" s="1513"/>
      <c r="AT170" s="1513"/>
      <c r="AU170" s="1513"/>
      <c r="AV170" s="1513"/>
      <c r="AW170" s="1467"/>
    </row>
    <row r="171">
      <c r="A171" s="1572"/>
      <c r="B171" s="1573"/>
      <c r="C171" s="1574"/>
      <c r="D171" s="1575"/>
      <c r="E171" s="1575"/>
      <c r="F171" s="1575"/>
      <c r="G171" s="1575"/>
      <c r="H171" s="1577"/>
      <c r="I171" s="1577"/>
      <c r="J171" s="1578"/>
      <c r="K171" s="1578"/>
      <c r="L171" s="1578"/>
      <c r="M171" s="1578"/>
      <c r="N171" s="1578"/>
      <c r="O171" s="1578"/>
      <c r="P171" s="1578"/>
      <c r="Q171" s="1579"/>
      <c r="R171" s="1579"/>
      <c r="S171" s="1579"/>
      <c r="T171" s="1579"/>
      <c r="U171" s="1579"/>
      <c r="V171" s="1579"/>
      <c r="W171" s="1580"/>
      <c r="X171" s="1580"/>
      <c r="Y171" s="1580"/>
      <c r="Z171" s="1580"/>
      <c r="AA171" s="1513"/>
      <c r="AB171" s="1580"/>
      <c r="AC171" s="1580"/>
      <c r="AD171" s="1575"/>
      <c r="AE171" s="1575"/>
      <c r="AF171" s="1581"/>
      <c r="AG171" s="1581"/>
      <c r="AH171" s="1581"/>
      <c r="AI171" s="1581"/>
      <c r="AJ171" s="1581"/>
      <c r="AK171" s="1581"/>
      <c r="AL171" s="1581"/>
      <c r="AM171" s="1582"/>
      <c r="AN171" s="1582"/>
      <c r="AO171" s="1582"/>
      <c r="AP171" s="1582"/>
      <c r="AQ171" s="1582"/>
      <c r="AR171" s="1582"/>
      <c r="AS171" s="1582"/>
      <c r="AT171" s="1578"/>
      <c r="AU171" s="1583"/>
      <c r="AV171" s="1583"/>
      <c r="AW171" s="1487"/>
    </row>
    <row r="172">
      <c r="A172" s="1584"/>
      <c r="B172" s="1585"/>
      <c r="C172" s="1586"/>
      <c r="D172" s="1513"/>
      <c r="E172" s="1513"/>
      <c r="F172" s="1513"/>
      <c r="G172" s="1513"/>
      <c r="H172" s="1513"/>
      <c r="I172" s="1513"/>
      <c r="J172" s="1513"/>
      <c r="K172" s="1513"/>
      <c r="L172" s="1513"/>
      <c r="M172" s="1513"/>
      <c r="N172" s="1513"/>
      <c r="O172" s="1513"/>
      <c r="P172" s="1513"/>
      <c r="Q172" s="1513"/>
      <c r="R172" s="1513"/>
      <c r="S172" s="1513"/>
      <c r="T172" s="1513"/>
      <c r="U172" s="1513"/>
      <c r="V172" s="1513"/>
      <c r="W172" s="1513"/>
      <c r="X172" s="1513"/>
      <c r="Y172" s="1513"/>
      <c r="Z172" s="1513"/>
      <c r="AA172" s="1580"/>
      <c r="AB172" s="1513"/>
      <c r="AC172" s="1513"/>
      <c r="AD172" s="1513"/>
      <c r="AE172" s="1513"/>
      <c r="AF172" s="1513"/>
      <c r="AG172" s="1513"/>
      <c r="AH172" s="1513"/>
      <c r="AI172" s="1513"/>
      <c r="AJ172" s="1513"/>
      <c r="AK172" s="1513"/>
      <c r="AL172" s="1513"/>
      <c r="AM172" s="1513"/>
      <c r="AN172" s="1513"/>
      <c r="AO172" s="1513"/>
      <c r="AP172" s="1513"/>
      <c r="AQ172" s="1513"/>
      <c r="AR172" s="1513"/>
      <c r="AS172" s="1513"/>
      <c r="AT172" s="1513"/>
      <c r="AU172" s="1513"/>
      <c r="AV172" s="1513"/>
      <c r="AW172" s="1467"/>
    </row>
    <row r="173">
      <c r="A173" s="1572"/>
      <c r="B173" s="1573"/>
      <c r="C173" s="1574"/>
      <c r="D173" s="1575"/>
      <c r="E173" s="1575"/>
      <c r="F173" s="1575"/>
      <c r="G173" s="1575"/>
      <c r="H173" s="1577"/>
      <c r="I173" s="1577"/>
      <c r="J173" s="1578"/>
      <c r="K173" s="1578"/>
      <c r="L173" s="1578"/>
      <c r="M173" s="1578"/>
      <c r="N173" s="1578"/>
      <c r="O173" s="1578"/>
      <c r="P173" s="1578"/>
      <c r="Q173" s="1579"/>
      <c r="R173" s="1579"/>
      <c r="S173" s="1579"/>
      <c r="T173" s="1579"/>
      <c r="U173" s="1579"/>
      <c r="V173" s="1579"/>
      <c r="W173" s="1580"/>
      <c r="X173" s="1580"/>
      <c r="Y173" s="1580"/>
      <c r="Z173" s="1580"/>
      <c r="AA173" s="1513"/>
      <c r="AB173" s="1580"/>
      <c r="AC173" s="1580"/>
      <c r="AD173" s="1575"/>
      <c r="AE173" s="1575"/>
      <c r="AF173" s="1581"/>
      <c r="AG173" s="1581"/>
      <c r="AH173" s="1581"/>
      <c r="AI173" s="1581"/>
      <c r="AJ173" s="1581"/>
      <c r="AK173" s="1581"/>
      <c r="AL173" s="1581"/>
      <c r="AM173" s="1582"/>
      <c r="AN173" s="1582"/>
      <c r="AO173" s="1582"/>
      <c r="AP173" s="1582"/>
      <c r="AQ173" s="1582"/>
      <c r="AR173" s="1582"/>
      <c r="AS173" s="1582"/>
      <c r="AT173" s="1578"/>
      <c r="AU173" s="1583"/>
      <c r="AV173" s="1583"/>
      <c r="AW173" s="1487"/>
    </row>
    <row r="174">
      <c r="A174" s="1584"/>
      <c r="B174" s="1585"/>
      <c r="C174" s="1586"/>
      <c r="D174" s="1513"/>
      <c r="E174" s="1513"/>
      <c r="F174" s="1513"/>
      <c r="G174" s="1513"/>
      <c r="H174" s="1513"/>
      <c r="I174" s="1513"/>
      <c r="J174" s="1513"/>
      <c r="K174" s="1513"/>
      <c r="L174" s="1513"/>
      <c r="M174" s="1513"/>
      <c r="N174" s="1513"/>
      <c r="O174" s="1513"/>
      <c r="P174" s="1513"/>
      <c r="Q174" s="1513"/>
      <c r="R174" s="1513"/>
      <c r="S174" s="1513"/>
      <c r="T174" s="1513"/>
      <c r="U174" s="1513"/>
      <c r="V174" s="1513"/>
      <c r="W174" s="1513"/>
      <c r="X174" s="1513"/>
      <c r="Y174" s="1513"/>
      <c r="Z174" s="1513"/>
      <c r="AA174" s="1580"/>
      <c r="AB174" s="1513"/>
      <c r="AC174" s="1513"/>
      <c r="AD174" s="1513"/>
      <c r="AE174" s="1513"/>
      <c r="AF174" s="1513"/>
      <c r="AG174" s="1513"/>
      <c r="AH174" s="1513"/>
      <c r="AI174" s="1513"/>
      <c r="AJ174" s="1513"/>
      <c r="AK174" s="1513"/>
      <c r="AL174" s="1513"/>
      <c r="AM174" s="1513"/>
      <c r="AN174" s="1513"/>
      <c r="AO174" s="1513"/>
      <c r="AP174" s="1513"/>
      <c r="AQ174" s="1513"/>
      <c r="AR174" s="1513"/>
      <c r="AS174" s="1513"/>
      <c r="AT174" s="1513"/>
      <c r="AU174" s="1513"/>
      <c r="AV174" s="1513"/>
      <c r="AW174" s="1467"/>
    </row>
    <row r="175">
      <c r="A175" s="1572"/>
      <c r="B175" s="1573"/>
      <c r="C175" s="1574"/>
      <c r="D175" s="1575"/>
      <c r="E175" s="1575"/>
      <c r="F175" s="1575"/>
      <c r="G175" s="1575"/>
      <c r="H175" s="1577"/>
      <c r="I175" s="1577"/>
      <c r="J175" s="1578"/>
      <c r="K175" s="1578"/>
      <c r="L175" s="1578"/>
      <c r="M175" s="1578"/>
      <c r="N175" s="1578"/>
      <c r="O175" s="1578"/>
      <c r="P175" s="1578"/>
      <c r="Q175" s="1579"/>
      <c r="R175" s="1579"/>
      <c r="S175" s="1579"/>
      <c r="T175" s="1579"/>
      <c r="U175" s="1579"/>
      <c r="V175" s="1579"/>
      <c r="W175" s="1580"/>
      <c r="X175" s="1580"/>
      <c r="Y175" s="1580"/>
      <c r="Z175" s="1580"/>
      <c r="AA175" s="1513"/>
      <c r="AB175" s="1580"/>
      <c r="AC175" s="1580"/>
      <c r="AD175" s="1575"/>
      <c r="AE175" s="1575"/>
      <c r="AF175" s="1581"/>
      <c r="AG175" s="1581"/>
      <c r="AH175" s="1581"/>
      <c r="AI175" s="1581"/>
      <c r="AJ175" s="1581"/>
      <c r="AK175" s="1581"/>
      <c r="AL175" s="1581"/>
      <c r="AM175" s="1582"/>
      <c r="AN175" s="1582"/>
      <c r="AO175" s="1582"/>
      <c r="AP175" s="1582"/>
      <c r="AQ175" s="1582"/>
      <c r="AR175" s="1582"/>
      <c r="AS175" s="1582"/>
      <c r="AT175" s="1578"/>
      <c r="AU175" s="1583"/>
      <c r="AV175" s="1583"/>
      <c r="AW175" s="1487"/>
    </row>
    <row r="176">
      <c r="A176" s="1584"/>
      <c r="B176" s="1585"/>
      <c r="C176" s="1586"/>
      <c r="D176" s="1513"/>
      <c r="E176" s="1513"/>
      <c r="F176" s="1513"/>
      <c r="G176" s="1513"/>
      <c r="H176" s="1513"/>
      <c r="I176" s="1513"/>
      <c r="J176" s="1513"/>
      <c r="K176" s="1513"/>
      <c r="L176" s="1513"/>
      <c r="M176" s="1513"/>
      <c r="N176" s="1513"/>
      <c r="O176" s="1513"/>
      <c r="P176" s="1513"/>
      <c r="Q176" s="1513"/>
      <c r="R176" s="1513"/>
      <c r="S176" s="1513"/>
      <c r="T176" s="1513"/>
      <c r="U176" s="1513"/>
      <c r="V176" s="1513"/>
      <c r="W176" s="1513"/>
      <c r="X176" s="1513"/>
      <c r="Y176" s="1513"/>
      <c r="Z176" s="1513"/>
      <c r="AA176" s="1580"/>
      <c r="AB176" s="1513"/>
      <c r="AC176" s="1513"/>
      <c r="AD176" s="1513"/>
      <c r="AE176" s="1513"/>
      <c r="AF176" s="1513"/>
      <c r="AG176" s="1513"/>
      <c r="AH176" s="1513"/>
      <c r="AI176" s="1513"/>
      <c r="AJ176" s="1513"/>
      <c r="AK176" s="1513"/>
      <c r="AL176" s="1513"/>
      <c r="AM176" s="1513"/>
      <c r="AN176" s="1513"/>
      <c r="AO176" s="1513"/>
      <c r="AP176" s="1513"/>
      <c r="AQ176" s="1513"/>
      <c r="AR176" s="1513"/>
      <c r="AS176" s="1513"/>
      <c r="AT176" s="1513"/>
      <c r="AU176" s="1513"/>
      <c r="AV176" s="1513"/>
      <c r="AW176" s="1467"/>
    </row>
    <row r="177">
      <c r="A177" s="1572"/>
      <c r="B177" s="1573"/>
      <c r="C177" s="1574"/>
      <c r="D177" s="1575"/>
      <c r="E177" s="1575"/>
      <c r="F177" s="1575"/>
      <c r="G177" s="1575"/>
      <c r="H177" s="1577"/>
      <c r="I177" s="1577"/>
      <c r="J177" s="1578"/>
      <c r="K177" s="1578"/>
      <c r="L177" s="1578"/>
      <c r="M177" s="1578"/>
      <c r="N177" s="1578"/>
      <c r="O177" s="1578"/>
      <c r="P177" s="1578"/>
      <c r="Q177" s="1579"/>
      <c r="R177" s="1579"/>
      <c r="S177" s="1579"/>
      <c r="T177" s="1579"/>
      <c r="U177" s="1579"/>
      <c r="V177" s="1579"/>
      <c r="W177" s="1580"/>
      <c r="X177" s="1580"/>
      <c r="Y177" s="1580"/>
      <c r="Z177" s="1580"/>
      <c r="AA177" s="1513"/>
      <c r="AB177" s="1580"/>
      <c r="AC177" s="1580"/>
      <c r="AD177" s="1575"/>
      <c r="AE177" s="1575"/>
      <c r="AF177" s="1581"/>
      <c r="AG177" s="1581"/>
      <c r="AH177" s="1581"/>
      <c r="AI177" s="1581"/>
      <c r="AJ177" s="1581"/>
      <c r="AK177" s="1581"/>
      <c r="AL177" s="1581"/>
      <c r="AM177" s="1582"/>
      <c r="AN177" s="1582"/>
      <c r="AO177" s="1582"/>
      <c r="AP177" s="1582"/>
      <c r="AQ177" s="1582"/>
      <c r="AR177" s="1582"/>
      <c r="AS177" s="1582"/>
      <c r="AT177" s="1578"/>
      <c r="AU177" s="1583"/>
      <c r="AV177" s="1583"/>
      <c r="AW177" s="1487"/>
    </row>
    <row r="178">
      <c r="A178" s="1584"/>
      <c r="B178" s="1585"/>
      <c r="C178" s="1586"/>
      <c r="D178" s="1513"/>
      <c r="E178" s="1513"/>
      <c r="F178" s="1513"/>
      <c r="G178" s="1513"/>
      <c r="H178" s="1513"/>
      <c r="I178" s="1513"/>
      <c r="J178" s="1513"/>
      <c r="K178" s="1513"/>
      <c r="L178" s="1513"/>
      <c r="M178" s="1513"/>
      <c r="N178" s="1513"/>
      <c r="O178" s="1513"/>
      <c r="P178" s="1513"/>
      <c r="Q178" s="1513"/>
      <c r="R178" s="1513"/>
      <c r="S178" s="1513"/>
      <c r="T178" s="1513"/>
      <c r="U178" s="1513"/>
      <c r="V178" s="1513"/>
      <c r="W178" s="1513"/>
      <c r="X178" s="1513"/>
      <c r="Y178" s="1513"/>
      <c r="Z178" s="1513"/>
      <c r="AA178" s="1580"/>
      <c r="AB178" s="1513"/>
      <c r="AC178" s="1513"/>
      <c r="AD178" s="1513"/>
      <c r="AE178" s="1513"/>
      <c r="AF178" s="1513"/>
      <c r="AG178" s="1513"/>
      <c r="AH178" s="1513"/>
      <c r="AI178" s="1513"/>
      <c r="AJ178" s="1513"/>
      <c r="AK178" s="1513"/>
      <c r="AL178" s="1513"/>
      <c r="AM178" s="1513"/>
      <c r="AN178" s="1513"/>
      <c r="AO178" s="1513"/>
      <c r="AP178" s="1513"/>
      <c r="AQ178" s="1513"/>
      <c r="AR178" s="1513"/>
      <c r="AS178" s="1513"/>
      <c r="AT178" s="1513"/>
      <c r="AU178" s="1513"/>
      <c r="AV178" s="1513"/>
      <c r="AW178" s="1467"/>
    </row>
    <row r="179">
      <c r="A179" s="1572"/>
      <c r="B179" s="1573"/>
      <c r="C179" s="1574"/>
      <c r="D179" s="1575"/>
      <c r="E179" s="1575"/>
      <c r="F179" s="1575"/>
      <c r="G179" s="1575"/>
      <c r="H179" s="1577"/>
      <c r="I179" s="1577"/>
      <c r="J179" s="1578"/>
      <c r="K179" s="1578"/>
      <c r="L179" s="1578"/>
      <c r="M179" s="1578"/>
      <c r="N179" s="1578"/>
      <c r="O179" s="1578"/>
      <c r="P179" s="1578"/>
      <c r="Q179" s="1579"/>
      <c r="R179" s="1579"/>
      <c r="S179" s="1579"/>
      <c r="T179" s="1579"/>
      <c r="U179" s="1579"/>
      <c r="V179" s="1579"/>
      <c r="W179" s="1580"/>
      <c r="X179" s="1580"/>
      <c r="Y179" s="1580"/>
      <c r="Z179" s="1580"/>
      <c r="AA179" s="1513"/>
      <c r="AB179" s="1580"/>
      <c r="AC179" s="1580"/>
      <c r="AD179" s="1575"/>
      <c r="AE179" s="1575"/>
      <c r="AF179" s="1581"/>
      <c r="AG179" s="1581"/>
      <c r="AH179" s="1581"/>
      <c r="AI179" s="1581"/>
      <c r="AJ179" s="1581"/>
      <c r="AK179" s="1581"/>
      <c r="AL179" s="1581"/>
      <c r="AM179" s="1582"/>
      <c r="AN179" s="1582"/>
      <c r="AO179" s="1582"/>
      <c r="AP179" s="1582"/>
      <c r="AQ179" s="1582"/>
      <c r="AR179" s="1582"/>
      <c r="AS179" s="1582"/>
      <c r="AT179" s="1578"/>
      <c r="AU179" s="1583"/>
      <c r="AV179" s="1583"/>
      <c r="AW179" s="1487"/>
    </row>
    <row r="180">
      <c r="A180" s="1584"/>
      <c r="B180" s="1585"/>
      <c r="C180" s="1586"/>
      <c r="D180" s="1513"/>
      <c r="E180" s="1513"/>
      <c r="F180" s="1513"/>
      <c r="G180" s="1513"/>
      <c r="H180" s="1513"/>
      <c r="I180" s="1513"/>
      <c r="J180" s="1513"/>
      <c r="K180" s="1513"/>
      <c r="L180" s="1513"/>
      <c r="M180" s="1513"/>
      <c r="N180" s="1513"/>
      <c r="O180" s="1513"/>
      <c r="P180" s="1513"/>
      <c r="Q180" s="1513"/>
      <c r="R180" s="1513"/>
      <c r="S180" s="1513"/>
      <c r="T180" s="1513"/>
      <c r="U180" s="1513"/>
      <c r="V180" s="1513"/>
      <c r="W180" s="1513"/>
      <c r="X180" s="1513"/>
      <c r="Y180" s="1513"/>
      <c r="Z180" s="1513"/>
      <c r="AA180" s="1580"/>
      <c r="AB180" s="1513"/>
      <c r="AC180" s="1513"/>
      <c r="AD180" s="1513"/>
      <c r="AE180" s="1513"/>
      <c r="AF180" s="1513"/>
      <c r="AG180" s="1513"/>
      <c r="AH180" s="1513"/>
      <c r="AI180" s="1513"/>
      <c r="AJ180" s="1513"/>
      <c r="AK180" s="1513"/>
      <c r="AL180" s="1513"/>
      <c r="AM180" s="1513"/>
      <c r="AN180" s="1513"/>
      <c r="AO180" s="1513"/>
      <c r="AP180" s="1513"/>
      <c r="AQ180" s="1513"/>
      <c r="AR180" s="1513"/>
      <c r="AS180" s="1513"/>
      <c r="AT180" s="1513"/>
      <c r="AU180" s="1513"/>
      <c r="AV180" s="1513"/>
      <c r="AW180" s="1467"/>
    </row>
    <row r="181">
      <c r="A181" s="1572"/>
      <c r="B181" s="1573"/>
      <c r="C181" s="1574"/>
      <c r="D181" s="1575"/>
      <c r="E181" s="1575"/>
      <c r="F181" s="1575"/>
      <c r="G181" s="1575"/>
      <c r="H181" s="1577"/>
      <c r="I181" s="1577"/>
      <c r="J181" s="1578"/>
      <c r="K181" s="1578"/>
      <c r="L181" s="1578"/>
      <c r="M181" s="1578"/>
      <c r="N181" s="1578"/>
      <c r="O181" s="1578"/>
      <c r="P181" s="1578"/>
      <c r="Q181" s="1579"/>
      <c r="R181" s="1579"/>
      <c r="S181" s="1579"/>
      <c r="T181" s="1579"/>
      <c r="U181" s="1579"/>
      <c r="V181" s="1579"/>
      <c r="W181" s="1580"/>
      <c r="X181" s="1580"/>
      <c r="Y181" s="1580"/>
      <c r="Z181" s="1580"/>
      <c r="AA181" s="1513"/>
      <c r="AB181" s="1580"/>
      <c r="AC181" s="1580"/>
      <c r="AD181" s="1575"/>
      <c r="AE181" s="1575"/>
      <c r="AF181" s="1581"/>
      <c r="AG181" s="1581"/>
      <c r="AH181" s="1581"/>
      <c r="AI181" s="1581"/>
      <c r="AJ181" s="1581"/>
      <c r="AK181" s="1581"/>
      <c r="AL181" s="1581"/>
      <c r="AM181" s="1582"/>
      <c r="AN181" s="1582"/>
      <c r="AO181" s="1582"/>
      <c r="AP181" s="1582"/>
      <c r="AQ181" s="1582"/>
      <c r="AR181" s="1582"/>
      <c r="AS181" s="1582"/>
      <c r="AT181" s="1578"/>
      <c r="AU181" s="1583"/>
      <c r="AV181" s="1583"/>
      <c r="AW181" s="1487"/>
    </row>
    <row r="182">
      <c r="A182" s="1584"/>
      <c r="B182" s="1585"/>
      <c r="C182" s="1586"/>
      <c r="D182" s="1513"/>
      <c r="E182" s="1513"/>
      <c r="F182" s="1513"/>
      <c r="G182" s="1513"/>
      <c r="H182" s="1513"/>
      <c r="I182" s="1513"/>
      <c r="J182" s="1513"/>
      <c r="K182" s="1513"/>
      <c r="L182" s="1513"/>
      <c r="M182" s="1513"/>
      <c r="N182" s="1513"/>
      <c r="O182" s="1513"/>
      <c r="P182" s="1513"/>
      <c r="Q182" s="1513"/>
      <c r="R182" s="1513"/>
      <c r="S182" s="1513"/>
      <c r="T182" s="1513"/>
      <c r="U182" s="1513"/>
      <c r="V182" s="1513"/>
      <c r="W182" s="1513"/>
      <c r="X182" s="1513"/>
      <c r="Y182" s="1513"/>
      <c r="Z182" s="1513"/>
      <c r="AA182" s="1580"/>
      <c r="AB182" s="1513"/>
      <c r="AC182" s="1513"/>
      <c r="AD182" s="1513"/>
      <c r="AE182" s="1513"/>
      <c r="AF182" s="1513"/>
      <c r="AG182" s="1513"/>
      <c r="AH182" s="1513"/>
      <c r="AI182" s="1513"/>
      <c r="AJ182" s="1513"/>
      <c r="AK182" s="1513"/>
      <c r="AL182" s="1513"/>
      <c r="AM182" s="1513"/>
      <c r="AN182" s="1513"/>
      <c r="AO182" s="1513"/>
      <c r="AP182" s="1513"/>
      <c r="AQ182" s="1513"/>
      <c r="AR182" s="1513"/>
      <c r="AS182" s="1513"/>
      <c r="AT182" s="1513"/>
      <c r="AU182" s="1513"/>
      <c r="AV182" s="1513"/>
      <c r="AW182" s="1467"/>
    </row>
    <row r="183">
      <c r="A183" s="1572"/>
      <c r="B183" s="1573"/>
      <c r="C183" s="1574"/>
      <c r="D183" s="1575"/>
      <c r="E183" s="1575"/>
      <c r="F183" s="1575"/>
      <c r="G183" s="1575"/>
      <c r="H183" s="1577"/>
      <c r="I183" s="1577"/>
      <c r="J183" s="1578"/>
      <c r="K183" s="1578"/>
      <c r="L183" s="1578"/>
      <c r="M183" s="1578"/>
      <c r="N183" s="1578"/>
      <c r="O183" s="1578"/>
      <c r="P183" s="1578"/>
      <c r="Q183" s="1579"/>
      <c r="R183" s="1579"/>
      <c r="S183" s="1579"/>
      <c r="T183" s="1579"/>
      <c r="U183" s="1579"/>
      <c r="V183" s="1579"/>
      <c r="W183" s="1580"/>
      <c r="X183" s="1580"/>
      <c r="Y183" s="1580"/>
      <c r="Z183" s="1580"/>
      <c r="AA183" s="1513"/>
      <c r="AB183" s="1580"/>
      <c r="AC183" s="1580"/>
      <c r="AD183" s="1575"/>
      <c r="AE183" s="1575"/>
      <c r="AF183" s="1581"/>
      <c r="AG183" s="1581"/>
      <c r="AH183" s="1581"/>
      <c r="AI183" s="1581"/>
      <c r="AJ183" s="1581"/>
      <c r="AK183" s="1581"/>
      <c r="AL183" s="1581"/>
      <c r="AM183" s="1582"/>
      <c r="AN183" s="1582"/>
      <c r="AO183" s="1582"/>
      <c r="AP183" s="1582"/>
      <c r="AQ183" s="1582"/>
      <c r="AR183" s="1582"/>
      <c r="AS183" s="1582"/>
      <c r="AT183" s="1578"/>
      <c r="AU183" s="1583"/>
      <c r="AV183" s="1583"/>
      <c r="AW183" s="1487"/>
    </row>
    <row r="184">
      <c r="A184" s="1584"/>
      <c r="B184" s="1585"/>
      <c r="C184" s="1586"/>
      <c r="D184" s="1513"/>
      <c r="E184" s="1513"/>
      <c r="F184" s="1513"/>
      <c r="G184" s="1513"/>
      <c r="H184" s="1513"/>
      <c r="I184" s="1513"/>
      <c r="J184" s="1513"/>
      <c r="K184" s="1513"/>
      <c r="L184" s="1513"/>
      <c r="M184" s="1513"/>
      <c r="N184" s="1513"/>
      <c r="O184" s="1513"/>
      <c r="P184" s="1513"/>
      <c r="Q184" s="1513"/>
      <c r="R184" s="1513"/>
      <c r="S184" s="1513"/>
      <c r="T184" s="1513"/>
      <c r="U184" s="1513"/>
      <c r="V184" s="1513"/>
      <c r="W184" s="1513"/>
      <c r="X184" s="1513"/>
      <c r="Y184" s="1513"/>
      <c r="Z184" s="1513"/>
      <c r="AA184" s="1580"/>
      <c r="AB184" s="1513"/>
      <c r="AC184" s="1513"/>
      <c r="AD184" s="1513"/>
      <c r="AE184" s="1513"/>
      <c r="AF184" s="1513"/>
      <c r="AG184" s="1513"/>
      <c r="AH184" s="1513"/>
      <c r="AI184" s="1513"/>
      <c r="AJ184" s="1513"/>
      <c r="AK184" s="1513"/>
      <c r="AL184" s="1513"/>
      <c r="AM184" s="1513"/>
      <c r="AN184" s="1513"/>
      <c r="AO184" s="1513"/>
      <c r="AP184" s="1513"/>
      <c r="AQ184" s="1513"/>
      <c r="AR184" s="1513"/>
      <c r="AS184" s="1513"/>
      <c r="AT184" s="1513"/>
      <c r="AU184" s="1513"/>
      <c r="AV184" s="1513"/>
      <c r="AW184" s="1467"/>
    </row>
    <row r="185">
      <c r="A185" s="1572"/>
      <c r="B185" s="1573"/>
      <c r="C185" s="1574"/>
      <c r="D185" s="1575"/>
      <c r="E185" s="1575"/>
      <c r="F185" s="1575"/>
      <c r="G185" s="1575"/>
      <c r="H185" s="1577"/>
      <c r="I185" s="1577"/>
      <c r="J185" s="1578"/>
      <c r="K185" s="1578"/>
      <c r="L185" s="1578"/>
      <c r="M185" s="1578"/>
      <c r="N185" s="1578"/>
      <c r="O185" s="1578"/>
      <c r="P185" s="1578"/>
      <c r="Q185" s="1579"/>
      <c r="R185" s="1579"/>
      <c r="S185" s="1579"/>
      <c r="T185" s="1579"/>
      <c r="U185" s="1579"/>
      <c r="V185" s="1579"/>
      <c r="W185" s="1580"/>
      <c r="X185" s="1580"/>
      <c r="Y185" s="1580"/>
      <c r="Z185" s="1580"/>
      <c r="AA185" s="1513"/>
      <c r="AB185" s="1580"/>
      <c r="AC185" s="1580"/>
      <c r="AD185" s="1575"/>
      <c r="AE185" s="1575"/>
      <c r="AF185" s="1581"/>
      <c r="AG185" s="1581"/>
      <c r="AH185" s="1581"/>
      <c r="AI185" s="1581"/>
      <c r="AJ185" s="1581"/>
      <c r="AK185" s="1581"/>
      <c r="AL185" s="1581"/>
      <c r="AM185" s="1582"/>
      <c r="AN185" s="1582"/>
      <c r="AO185" s="1582"/>
      <c r="AP185" s="1582"/>
      <c r="AQ185" s="1582"/>
      <c r="AR185" s="1582"/>
      <c r="AS185" s="1582"/>
      <c r="AT185" s="1578"/>
      <c r="AU185" s="1583"/>
      <c r="AV185" s="1583"/>
      <c r="AW185" s="1487"/>
    </row>
    <row r="186">
      <c r="A186" s="1584"/>
      <c r="B186" s="1585"/>
      <c r="C186" s="1586"/>
      <c r="D186" s="1513"/>
      <c r="E186" s="1513"/>
      <c r="F186" s="1513"/>
      <c r="G186" s="1513"/>
      <c r="H186" s="1513"/>
      <c r="I186" s="1513"/>
      <c r="J186" s="1513"/>
      <c r="K186" s="1513"/>
      <c r="L186" s="1513"/>
      <c r="M186" s="1513"/>
      <c r="N186" s="1513"/>
      <c r="O186" s="1513"/>
      <c r="P186" s="1513"/>
      <c r="Q186" s="1513"/>
      <c r="R186" s="1513"/>
      <c r="S186" s="1513"/>
      <c r="T186" s="1513"/>
      <c r="U186" s="1513"/>
      <c r="V186" s="1513"/>
      <c r="W186" s="1513"/>
      <c r="X186" s="1513"/>
      <c r="Y186" s="1513"/>
      <c r="Z186" s="1513"/>
      <c r="AA186" s="1580"/>
      <c r="AB186" s="1513"/>
      <c r="AC186" s="1513"/>
      <c r="AD186" s="1513"/>
      <c r="AE186" s="1513"/>
      <c r="AF186" s="1513"/>
      <c r="AG186" s="1513"/>
      <c r="AH186" s="1513"/>
      <c r="AI186" s="1513"/>
      <c r="AJ186" s="1513"/>
      <c r="AK186" s="1513"/>
      <c r="AL186" s="1513"/>
      <c r="AM186" s="1513"/>
      <c r="AN186" s="1513"/>
      <c r="AO186" s="1513"/>
      <c r="AP186" s="1513"/>
      <c r="AQ186" s="1513"/>
      <c r="AR186" s="1513"/>
      <c r="AS186" s="1513"/>
      <c r="AT186" s="1513"/>
      <c r="AU186" s="1513"/>
      <c r="AV186" s="1513"/>
      <c r="AW186" s="1467"/>
    </row>
    <row r="187">
      <c r="A187" s="1572"/>
      <c r="B187" s="1573"/>
      <c r="C187" s="1574"/>
      <c r="D187" s="1575"/>
      <c r="E187" s="1575"/>
      <c r="F187" s="1575"/>
      <c r="G187" s="1575"/>
      <c r="H187" s="1577"/>
      <c r="I187" s="1577"/>
      <c r="J187" s="1578"/>
      <c r="K187" s="1578"/>
      <c r="L187" s="1578"/>
      <c r="M187" s="1578"/>
      <c r="N187" s="1578"/>
      <c r="O187" s="1578"/>
      <c r="P187" s="1578"/>
      <c r="Q187" s="1579"/>
      <c r="R187" s="1579"/>
      <c r="S187" s="1579"/>
      <c r="T187" s="1579"/>
      <c r="U187" s="1579"/>
      <c r="V187" s="1579"/>
      <c r="W187" s="1580"/>
      <c r="X187" s="1580"/>
      <c r="Y187" s="1580"/>
      <c r="Z187" s="1580"/>
      <c r="AA187" s="1513"/>
      <c r="AB187" s="1580"/>
      <c r="AC187" s="1580"/>
      <c r="AD187" s="1575"/>
      <c r="AE187" s="1575"/>
      <c r="AF187" s="1581"/>
      <c r="AG187" s="1581"/>
      <c r="AH187" s="1581"/>
      <c r="AI187" s="1581"/>
      <c r="AJ187" s="1581"/>
      <c r="AK187" s="1581"/>
      <c r="AL187" s="1581"/>
      <c r="AM187" s="1582"/>
      <c r="AN187" s="1582"/>
      <c r="AO187" s="1582"/>
      <c r="AP187" s="1582"/>
      <c r="AQ187" s="1582"/>
      <c r="AR187" s="1582"/>
      <c r="AS187" s="1582"/>
      <c r="AT187" s="1578"/>
      <c r="AU187" s="1583"/>
      <c r="AV187" s="1583"/>
      <c r="AW187" s="1487"/>
    </row>
    <row r="188">
      <c r="A188" s="1584"/>
      <c r="B188" s="1585"/>
      <c r="C188" s="1586"/>
      <c r="D188" s="1513"/>
      <c r="E188" s="1513"/>
      <c r="F188" s="1513"/>
      <c r="G188" s="1513"/>
      <c r="H188" s="1513"/>
      <c r="I188" s="1513"/>
      <c r="J188" s="1513"/>
      <c r="K188" s="1513"/>
      <c r="L188" s="1513"/>
      <c r="M188" s="1513"/>
      <c r="N188" s="1513"/>
      <c r="O188" s="1513"/>
      <c r="P188" s="1513"/>
      <c r="Q188" s="1513"/>
      <c r="R188" s="1513"/>
      <c r="S188" s="1513"/>
      <c r="T188" s="1513"/>
      <c r="U188" s="1513"/>
      <c r="V188" s="1513"/>
      <c r="W188" s="1513"/>
      <c r="X188" s="1513"/>
      <c r="Y188" s="1513"/>
      <c r="Z188" s="1513"/>
      <c r="AA188" s="1580"/>
      <c r="AB188" s="1513"/>
      <c r="AC188" s="1513"/>
      <c r="AD188" s="1513"/>
      <c r="AE188" s="1513"/>
      <c r="AF188" s="1513"/>
      <c r="AG188" s="1513"/>
      <c r="AH188" s="1513"/>
      <c r="AI188" s="1513"/>
      <c r="AJ188" s="1513"/>
      <c r="AK188" s="1513"/>
      <c r="AL188" s="1513"/>
      <c r="AM188" s="1513"/>
      <c r="AN188" s="1513"/>
      <c r="AO188" s="1513"/>
      <c r="AP188" s="1513"/>
      <c r="AQ188" s="1513"/>
      <c r="AR188" s="1513"/>
      <c r="AS188" s="1513"/>
      <c r="AT188" s="1513"/>
      <c r="AU188" s="1513"/>
      <c r="AV188" s="1513"/>
      <c r="AW188" s="1467"/>
    </row>
    <row r="189">
      <c r="A189" s="1572"/>
      <c r="B189" s="1573"/>
      <c r="C189" s="1574"/>
      <c r="D189" s="1575"/>
      <c r="E189" s="1575"/>
      <c r="F189" s="1575"/>
      <c r="G189" s="1575"/>
      <c r="H189" s="1577"/>
      <c r="I189" s="1577"/>
      <c r="J189" s="1578"/>
      <c r="K189" s="1578"/>
      <c r="L189" s="1578"/>
      <c r="M189" s="1578"/>
      <c r="N189" s="1578"/>
      <c r="O189" s="1578"/>
      <c r="P189" s="1578"/>
      <c r="Q189" s="1579"/>
      <c r="R189" s="1579"/>
      <c r="S189" s="1579"/>
      <c r="T189" s="1579"/>
      <c r="U189" s="1579"/>
      <c r="V189" s="1579"/>
      <c r="W189" s="1580"/>
      <c r="X189" s="1580"/>
      <c r="Y189" s="1580"/>
      <c r="Z189" s="1580"/>
      <c r="AA189" s="1513"/>
      <c r="AB189" s="1580"/>
      <c r="AC189" s="1580"/>
      <c r="AD189" s="1575"/>
      <c r="AE189" s="1575"/>
      <c r="AF189" s="1581"/>
      <c r="AG189" s="1581"/>
      <c r="AH189" s="1581"/>
      <c r="AI189" s="1581"/>
      <c r="AJ189" s="1581"/>
      <c r="AK189" s="1581"/>
      <c r="AL189" s="1581"/>
      <c r="AM189" s="1582"/>
      <c r="AN189" s="1582"/>
      <c r="AO189" s="1582"/>
      <c r="AP189" s="1582"/>
      <c r="AQ189" s="1582"/>
      <c r="AR189" s="1582"/>
      <c r="AS189" s="1582"/>
      <c r="AT189" s="1578"/>
      <c r="AU189" s="1583"/>
      <c r="AV189" s="1583"/>
      <c r="AW189" s="1487"/>
    </row>
    <row r="190">
      <c r="A190" s="1584"/>
      <c r="B190" s="1585"/>
      <c r="C190" s="1586"/>
      <c r="D190" s="1513"/>
      <c r="E190" s="1513"/>
      <c r="F190" s="1513"/>
      <c r="G190" s="1513"/>
      <c r="H190" s="1513"/>
      <c r="I190" s="1513"/>
      <c r="J190" s="1513"/>
      <c r="K190" s="1513"/>
      <c r="L190" s="1513"/>
      <c r="M190" s="1513"/>
      <c r="N190" s="1513"/>
      <c r="O190" s="1513"/>
      <c r="P190" s="1513"/>
      <c r="Q190" s="1513"/>
      <c r="R190" s="1513"/>
      <c r="S190" s="1513"/>
      <c r="T190" s="1513"/>
      <c r="U190" s="1513"/>
      <c r="V190" s="1513"/>
      <c r="W190" s="1513"/>
      <c r="X190" s="1513"/>
      <c r="Y190" s="1513"/>
      <c r="Z190" s="1513"/>
      <c r="AA190" s="1580"/>
      <c r="AB190" s="1513"/>
      <c r="AC190" s="1513"/>
      <c r="AD190" s="1513"/>
      <c r="AE190" s="1513"/>
      <c r="AF190" s="1513"/>
      <c r="AG190" s="1513"/>
      <c r="AH190" s="1513"/>
      <c r="AI190" s="1513"/>
      <c r="AJ190" s="1513"/>
      <c r="AK190" s="1513"/>
      <c r="AL190" s="1513"/>
      <c r="AM190" s="1513"/>
      <c r="AN190" s="1513"/>
      <c r="AO190" s="1513"/>
      <c r="AP190" s="1513"/>
      <c r="AQ190" s="1513"/>
      <c r="AR190" s="1513"/>
      <c r="AS190" s="1513"/>
      <c r="AT190" s="1513"/>
      <c r="AU190" s="1513"/>
      <c r="AV190" s="1513"/>
      <c r="AW190" s="1467"/>
    </row>
    <row r="191">
      <c r="A191" s="1572"/>
      <c r="B191" s="1573"/>
      <c r="C191" s="1574"/>
      <c r="D191" s="1575"/>
      <c r="E191" s="1575"/>
      <c r="F191" s="1575"/>
      <c r="G191" s="1575"/>
      <c r="H191" s="1577"/>
      <c r="I191" s="1577"/>
      <c r="J191" s="1578"/>
      <c r="K191" s="1578"/>
      <c r="L191" s="1578"/>
      <c r="M191" s="1578"/>
      <c r="N191" s="1578"/>
      <c r="O191" s="1578"/>
      <c r="P191" s="1578"/>
      <c r="Q191" s="1579"/>
      <c r="R191" s="1579"/>
      <c r="S191" s="1579"/>
      <c r="T191" s="1579"/>
      <c r="U191" s="1579"/>
      <c r="V191" s="1579"/>
      <c r="W191" s="1580"/>
      <c r="X191" s="1580"/>
      <c r="Y191" s="1580"/>
      <c r="Z191" s="1580"/>
      <c r="AA191" s="1513"/>
      <c r="AB191" s="1580"/>
      <c r="AC191" s="1580"/>
      <c r="AD191" s="1575"/>
      <c r="AE191" s="1575"/>
      <c r="AF191" s="1581"/>
      <c r="AG191" s="1581"/>
      <c r="AH191" s="1581"/>
      <c r="AI191" s="1581"/>
      <c r="AJ191" s="1581"/>
      <c r="AK191" s="1581"/>
      <c r="AL191" s="1581"/>
      <c r="AM191" s="1582"/>
      <c r="AN191" s="1582"/>
      <c r="AO191" s="1582"/>
      <c r="AP191" s="1582"/>
      <c r="AQ191" s="1582"/>
      <c r="AR191" s="1582"/>
      <c r="AS191" s="1582"/>
      <c r="AT191" s="1578"/>
      <c r="AU191" s="1583"/>
      <c r="AV191" s="1583"/>
      <c r="AW191" s="1487"/>
    </row>
    <row r="192">
      <c r="A192" s="1584"/>
      <c r="B192" s="1585"/>
      <c r="C192" s="1586"/>
      <c r="D192" s="1513"/>
      <c r="E192" s="1513"/>
      <c r="F192" s="1513"/>
      <c r="G192" s="1513"/>
      <c r="H192" s="1513"/>
      <c r="I192" s="1513"/>
      <c r="J192" s="1513"/>
      <c r="K192" s="1513"/>
      <c r="L192" s="1513"/>
      <c r="M192" s="1513"/>
      <c r="N192" s="1513"/>
      <c r="O192" s="1513"/>
      <c r="P192" s="1513"/>
      <c r="Q192" s="1513"/>
      <c r="R192" s="1513"/>
      <c r="S192" s="1513"/>
      <c r="T192" s="1513"/>
      <c r="U192" s="1513"/>
      <c r="V192" s="1513"/>
      <c r="W192" s="1513"/>
      <c r="X192" s="1513"/>
      <c r="Y192" s="1513"/>
      <c r="Z192" s="1513"/>
      <c r="AA192" s="1580"/>
      <c r="AB192" s="1513"/>
      <c r="AC192" s="1513"/>
      <c r="AD192" s="1513"/>
      <c r="AE192" s="1513"/>
      <c r="AF192" s="1513"/>
      <c r="AG192" s="1513"/>
      <c r="AH192" s="1513"/>
      <c r="AI192" s="1513"/>
      <c r="AJ192" s="1513"/>
      <c r="AK192" s="1513"/>
      <c r="AL192" s="1513"/>
      <c r="AM192" s="1513"/>
      <c r="AN192" s="1513"/>
      <c r="AO192" s="1513"/>
      <c r="AP192" s="1513"/>
      <c r="AQ192" s="1513"/>
      <c r="AR192" s="1513"/>
      <c r="AS192" s="1513"/>
      <c r="AT192" s="1513"/>
      <c r="AU192" s="1513"/>
      <c r="AV192" s="1513"/>
      <c r="AW192" s="1467"/>
    </row>
    <row r="193">
      <c r="A193" s="1572"/>
      <c r="B193" s="1573"/>
      <c r="C193" s="1574"/>
      <c r="D193" s="1575"/>
      <c r="E193" s="1575"/>
      <c r="F193" s="1575"/>
      <c r="G193" s="1575"/>
      <c r="H193" s="1577"/>
      <c r="I193" s="1577"/>
      <c r="J193" s="1578"/>
      <c r="K193" s="1578"/>
      <c r="L193" s="1578"/>
      <c r="M193" s="1578"/>
      <c r="N193" s="1578"/>
      <c r="O193" s="1578"/>
      <c r="P193" s="1578"/>
      <c r="Q193" s="1579"/>
      <c r="R193" s="1579"/>
      <c r="S193" s="1579"/>
      <c r="T193" s="1579"/>
      <c r="U193" s="1579"/>
      <c r="V193" s="1579"/>
      <c r="W193" s="1580"/>
      <c r="X193" s="1580"/>
      <c r="Y193" s="1580"/>
      <c r="Z193" s="1580"/>
      <c r="AA193" s="1513"/>
      <c r="AB193" s="1580"/>
      <c r="AC193" s="1580"/>
      <c r="AD193" s="1575"/>
      <c r="AE193" s="1575"/>
      <c r="AF193" s="1581"/>
      <c r="AG193" s="1581"/>
      <c r="AH193" s="1581"/>
      <c r="AI193" s="1581"/>
      <c r="AJ193" s="1581"/>
      <c r="AK193" s="1581"/>
      <c r="AL193" s="1581"/>
      <c r="AM193" s="1582"/>
      <c r="AN193" s="1582"/>
      <c r="AO193" s="1582"/>
      <c r="AP193" s="1582"/>
      <c r="AQ193" s="1582"/>
      <c r="AR193" s="1582"/>
      <c r="AS193" s="1582"/>
      <c r="AT193" s="1578"/>
      <c r="AU193" s="1583"/>
      <c r="AV193" s="1583"/>
      <c r="AW193" s="1487"/>
    </row>
    <row r="194">
      <c r="A194" s="1584"/>
      <c r="B194" s="1585"/>
      <c r="C194" s="1586"/>
      <c r="D194" s="1513"/>
      <c r="E194" s="1513"/>
      <c r="F194" s="1513"/>
      <c r="G194" s="1513"/>
      <c r="H194" s="1513"/>
      <c r="I194" s="1513"/>
      <c r="J194" s="1513"/>
      <c r="K194" s="1513"/>
      <c r="L194" s="1513"/>
      <c r="M194" s="1513"/>
      <c r="N194" s="1513"/>
      <c r="O194" s="1513"/>
      <c r="P194" s="1513"/>
      <c r="Q194" s="1513"/>
      <c r="R194" s="1513"/>
      <c r="S194" s="1513"/>
      <c r="T194" s="1513"/>
      <c r="U194" s="1513"/>
      <c r="V194" s="1513"/>
      <c r="W194" s="1513"/>
      <c r="X194" s="1513"/>
      <c r="Y194" s="1513"/>
      <c r="Z194" s="1513"/>
      <c r="AA194" s="1580"/>
      <c r="AB194" s="1513"/>
      <c r="AC194" s="1513"/>
      <c r="AD194" s="1513"/>
      <c r="AE194" s="1513"/>
      <c r="AF194" s="1513"/>
      <c r="AG194" s="1513"/>
      <c r="AH194" s="1513"/>
      <c r="AI194" s="1513"/>
      <c r="AJ194" s="1513"/>
      <c r="AK194" s="1513"/>
      <c r="AL194" s="1513"/>
      <c r="AM194" s="1513"/>
      <c r="AN194" s="1513"/>
      <c r="AO194" s="1513"/>
      <c r="AP194" s="1513"/>
      <c r="AQ194" s="1513"/>
      <c r="AR194" s="1513"/>
      <c r="AS194" s="1513"/>
      <c r="AT194" s="1513"/>
      <c r="AU194" s="1513"/>
      <c r="AV194" s="1513"/>
      <c r="AW194" s="1467"/>
    </row>
    <row r="195">
      <c r="A195" s="1572"/>
      <c r="B195" s="1573"/>
      <c r="C195" s="1574"/>
      <c r="D195" s="1575"/>
      <c r="E195" s="1575"/>
      <c r="F195" s="1575"/>
      <c r="G195" s="1575"/>
      <c r="H195" s="1577"/>
      <c r="I195" s="1577"/>
      <c r="J195" s="1578"/>
      <c r="K195" s="1578"/>
      <c r="L195" s="1578"/>
      <c r="M195" s="1578"/>
      <c r="N195" s="1578"/>
      <c r="O195" s="1578"/>
      <c r="P195" s="1578"/>
      <c r="Q195" s="1579"/>
      <c r="R195" s="1579"/>
      <c r="S195" s="1579"/>
      <c r="T195" s="1579"/>
      <c r="U195" s="1579"/>
      <c r="V195" s="1579"/>
      <c r="W195" s="1580"/>
      <c r="X195" s="1580"/>
      <c r="Y195" s="1580"/>
      <c r="Z195" s="1580"/>
      <c r="AA195" s="1513"/>
      <c r="AB195" s="1580"/>
      <c r="AC195" s="1580"/>
      <c r="AD195" s="1575"/>
      <c r="AE195" s="1575"/>
      <c r="AF195" s="1581"/>
      <c r="AG195" s="1581"/>
      <c r="AH195" s="1581"/>
      <c r="AI195" s="1581"/>
      <c r="AJ195" s="1581"/>
      <c r="AK195" s="1581"/>
      <c r="AL195" s="1581"/>
      <c r="AM195" s="1582"/>
      <c r="AN195" s="1582"/>
      <c r="AO195" s="1582"/>
      <c r="AP195" s="1582"/>
      <c r="AQ195" s="1582"/>
      <c r="AR195" s="1582"/>
      <c r="AS195" s="1582"/>
      <c r="AT195" s="1578"/>
      <c r="AU195" s="1583"/>
      <c r="AV195" s="1583"/>
      <c r="AW195" s="1487"/>
    </row>
    <row r="196">
      <c r="A196" s="1584"/>
      <c r="B196" s="1585"/>
      <c r="C196" s="1586"/>
      <c r="D196" s="1513"/>
      <c r="E196" s="1513"/>
      <c r="F196" s="1513"/>
      <c r="G196" s="1513"/>
      <c r="H196" s="1513"/>
      <c r="I196" s="1513"/>
      <c r="J196" s="1513"/>
      <c r="K196" s="1513"/>
      <c r="L196" s="1513"/>
      <c r="M196" s="1513"/>
      <c r="N196" s="1513"/>
      <c r="O196" s="1513"/>
      <c r="P196" s="1513"/>
      <c r="Q196" s="1513"/>
      <c r="R196" s="1513"/>
      <c r="S196" s="1513"/>
      <c r="T196" s="1513"/>
      <c r="U196" s="1513"/>
      <c r="V196" s="1513"/>
      <c r="W196" s="1513"/>
      <c r="X196" s="1513"/>
      <c r="Y196" s="1513"/>
      <c r="Z196" s="1513"/>
      <c r="AA196" s="1580"/>
      <c r="AB196" s="1513"/>
      <c r="AC196" s="1513"/>
      <c r="AD196" s="1513"/>
      <c r="AE196" s="1513"/>
      <c r="AF196" s="1513"/>
      <c r="AG196" s="1513"/>
      <c r="AH196" s="1513"/>
      <c r="AI196" s="1513"/>
      <c r="AJ196" s="1513"/>
      <c r="AK196" s="1513"/>
      <c r="AL196" s="1513"/>
      <c r="AM196" s="1513"/>
      <c r="AN196" s="1513"/>
      <c r="AO196" s="1513"/>
      <c r="AP196" s="1513"/>
      <c r="AQ196" s="1513"/>
      <c r="AR196" s="1513"/>
      <c r="AS196" s="1513"/>
      <c r="AT196" s="1513"/>
      <c r="AU196" s="1513"/>
      <c r="AV196" s="1513"/>
      <c r="AW196" s="1467"/>
    </row>
    <row r="197">
      <c r="A197" s="1572"/>
      <c r="B197" s="1573"/>
      <c r="C197" s="1574"/>
      <c r="D197" s="1575"/>
      <c r="E197" s="1575"/>
      <c r="F197" s="1575"/>
      <c r="G197" s="1575"/>
      <c r="H197" s="1577"/>
      <c r="I197" s="1577"/>
      <c r="J197" s="1578"/>
      <c r="K197" s="1578"/>
      <c r="L197" s="1578"/>
      <c r="M197" s="1578"/>
      <c r="N197" s="1578"/>
      <c r="O197" s="1578"/>
      <c r="P197" s="1578"/>
      <c r="Q197" s="1579"/>
      <c r="R197" s="1579"/>
      <c r="S197" s="1579"/>
      <c r="T197" s="1579"/>
      <c r="U197" s="1579"/>
      <c r="V197" s="1579"/>
      <c r="W197" s="1580"/>
      <c r="X197" s="1580"/>
      <c r="Y197" s="1580"/>
      <c r="Z197" s="1580"/>
      <c r="AA197" s="1513"/>
      <c r="AB197" s="1580"/>
      <c r="AC197" s="1580"/>
      <c r="AD197" s="1575"/>
      <c r="AE197" s="1575"/>
      <c r="AF197" s="1581"/>
      <c r="AG197" s="1581"/>
      <c r="AH197" s="1581"/>
      <c r="AI197" s="1581"/>
      <c r="AJ197" s="1581"/>
      <c r="AK197" s="1581"/>
      <c r="AL197" s="1581"/>
      <c r="AM197" s="1582"/>
      <c r="AN197" s="1582"/>
      <c r="AO197" s="1582"/>
      <c r="AP197" s="1582"/>
      <c r="AQ197" s="1582"/>
      <c r="AR197" s="1582"/>
      <c r="AS197" s="1582"/>
      <c r="AT197" s="1578"/>
      <c r="AU197" s="1583"/>
      <c r="AV197" s="1583"/>
      <c r="AW197" s="1487"/>
    </row>
    <row r="198">
      <c r="A198" s="1584"/>
      <c r="B198" s="1585"/>
      <c r="C198" s="1586"/>
      <c r="D198" s="1513"/>
      <c r="E198" s="1513"/>
      <c r="F198" s="1513"/>
      <c r="G198" s="1513"/>
      <c r="H198" s="1513"/>
      <c r="I198" s="1513"/>
      <c r="J198" s="1513"/>
      <c r="K198" s="1513"/>
      <c r="L198" s="1513"/>
      <c r="M198" s="1513"/>
      <c r="N198" s="1513"/>
      <c r="O198" s="1513"/>
      <c r="P198" s="1513"/>
      <c r="Q198" s="1513"/>
      <c r="R198" s="1513"/>
      <c r="S198" s="1513"/>
      <c r="T198" s="1513"/>
      <c r="U198" s="1513"/>
      <c r="V198" s="1513"/>
      <c r="W198" s="1513"/>
      <c r="X198" s="1513"/>
      <c r="Y198" s="1513"/>
      <c r="Z198" s="1513"/>
      <c r="AA198" s="1580"/>
      <c r="AB198" s="1513"/>
      <c r="AC198" s="1513"/>
      <c r="AD198" s="1513"/>
      <c r="AE198" s="1513"/>
      <c r="AF198" s="1513"/>
      <c r="AG198" s="1513"/>
      <c r="AH198" s="1513"/>
      <c r="AI198" s="1513"/>
      <c r="AJ198" s="1513"/>
      <c r="AK198" s="1513"/>
      <c r="AL198" s="1513"/>
      <c r="AM198" s="1513"/>
      <c r="AN198" s="1513"/>
      <c r="AO198" s="1513"/>
      <c r="AP198" s="1513"/>
      <c r="AQ198" s="1513"/>
      <c r="AR198" s="1513"/>
      <c r="AS198" s="1513"/>
      <c r="AT198" s="1513"/>
      <c r="AU198" s="1513"/>
      <c r="AV198" s="1513"/>
      <c r="AW198" s="1467"/>
    </row>
    <row r="199">
      <c r="A199" s="1572"/>
      <c r="B199" s="1573"/>
      <c r="C199" s="1574"/>
      <c r="D199" s="1575"/>
      <c r="E199" s="1575"/>
      <c r="F199" s="1575"/>
      <c r="G199" s="1575"/>
      <c r="H199" s="1577"/>
      <c r="I199" s="1577"/>
      <c r="J199" s="1578"/>
      <c r="K199" s="1578"/>
      <c r="L199" s="1578"/>
      <c r="M199" s="1578"/>
      <c r="N199" s="1578"/>
      <c r="O199" s="1578"/>
      <c r="P199" s="1578"/>
      <c r="Q199" s="1579"/>
      <c r="R199" s="1579"/>
      <c r="S199" s="1579"/>
      <c r="T199" s="1579"/>
      <c r="U199" s="1579"/>
      <c r="V199" s="1579"/>
      <c r="W199" s="1580"/>
      <c r="X199" s="1580"/>
      <c r="Y199" s="1580"/>
      <c r="Z199" s="1580"/>
      <c r="AA199" s="1513"/>
      <c r="AB199" s="1580"/>
      <c r="AC199" s="1580"/>
      <c r="AD199" s="1575"/>
      <c r="AE199" s="1575"/>
      <c r="AF199" s="1581"/>
      <c r="AG199" s="1581"/>
      <c r="AH199" s="1581"/>
      <c r="AI199" s="1581"/>
      <c r="AJ199" s="1581"/>
      <c r="AK199" s="1581"/>
      <c r="AL199" s="1581"/>
      <c r="AM199" s="1582"/>
      <c r="AN199" s="1582"/>
      <c r="AO199" s="1582"/>
      <c r="AP199" s="1582"/>
      <c r="AQ199" s="1582"/>
      <c r="AR199" s="1582"/>
      <c r="AS199" s="1582"/>
      <c r="AT199" s="1578"/>
      <c r="AU199" s="1583"/>
      <c r="AV199" s="1583"/>
      <c r="AW199" s="1487"/>
    </row>
    <row r="200">
      <c r="A200" s="1584"/>
      <c r="B200" s="1585"/>
      <c r="C200" s="1586"/>
      <c r="D200" s="1513"/>
      <c r="E200" s="1513"/>
      <c r="F200" s="1513"/>
      <c r="G200" s="1513"/>
      <c r="H200" s="1513"/>
      <c r="I200" s="1513"/>
      <c r="J200" s="1513"/>
      <c r="K200" s="1513"/>
      <c r="L200" s="1513"/>
      <c r="M200" s="1513"/>
      <c r="N200" s="1513"/>
      <c r="O200" s="1513"/>
      <c r="P200" s="1513"/>
      <c r="Q200" s="1513"/>
      <c r="R200" s="1513"/>
      <c r="S200" s="1513"/>
      <c r="T200" s="1513"/>
      <c r="U200" s="1513"/>
      <c r="V200" s="1513"/>
      <c r="W200" s="1513"/>
      <c r="X200" s="1513"/>
      <c r="Y200" s="1513"/>
      <c r="Z200" s="1513"/>
      <c r="AA200" s="1580"/>
      <c r="AB200" s="1513"/>
      <c r="AC200" s="1513"/>
      <c r="AD200" s="1513"/>
      <c r="AE200" s="1513"/>
      <c r="AF200" s="1513"/>
      <c r="AG200" s="1513"/>
      <c r="AH200" s="1513"/>
      <c r="AI200" s="1513"/>
      <c r="AJ200" s="1513"/>
      <c r="AK200" s="1513"/>
      <c r="AL200" s="1513"/>
      <c r="AM200" s="1513"/>
      <c r="AN200" s="1513"/>
      <c r="AO200" s="1513"/>
      <c r="AP200" s="1513"/>
      <c r="AQ200" s="1513"/>
      <c r="AR200" s="1513"/>
      <c r="AS200" s="1513"/>
      <c r="AT200" s="1513"/>
      <c r="AU200" s="1513"/>
      <c r="AV200" s="1513"/>
      <c r="AW200" s="1467"/>
    </row>
  </sheetData>
  <mergeCells count="1">
    <mergeCell ref="AW2:AW4"/>
  </mergeCells>
  <conditionalFormatting sqref="B2 B5:B200">
    <cfRule type="containsText" dxfId="21" priority="1" operator="containsText" text="NTSC-J">
      <formula>NOT(ISERROR(SEARCH(("NTSC-J"),(B2))))</formula>
    </cfRule>
  </conditionalFormatting>
  <conditionalFormatting sqref="B2 B5:B200">
    <cfRule type="containsText" dxfId="22" priority="2" operator="containsText" text="NTSC-U">
      <formula>NOT(ISERROR(SEARCH(("NTSC-U"),(B2))))</formula>
    </cfRule>
  </conditionalFormatting>
  <conditionalFormatting sqref="B2 B5:B200">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43"/>
    <hyperlink r:id="rId68" ref="AL43"/>
    <hyperlink r:id="rId69" ref="AQ43"/>
    <hyperlink r:id="rId70" ref="AS43"/>
    <hyperlink r:id="rId71" ref="U45"/>
    <hyperlink r:id="rId72" ref="AJ45"/>
    <hyperlink r:id="rId73" ref="L47"/>
    <hyperlink r:id="rId74" ref="R47"/>
    <hyperlink r:id="rId75" ref="Y47"/>
    <hyperlink r:id="rId76" ref="AN47"/>
    <hyperlink r:id="rId77" ref="AP55"/>
    <hyperlink r:id="rId78" ref="AK56"/>
    <hyperlink r:id="rId79" ref="AF57"/>
    <hyperlink r:id="rId80" ref="K77"/>
    <hyperlink r:id="rId81" ref="AD77"/>
    <hyperlink r:id="rId82" ref="AQ77"/>
    <hyperlink r:id="rId83" ref="AF78"/>
    <hyperlink r:id="rId84" ref="AS78"/>
    <hyperlink r:id="rId85" ref="AD82"/>
    <hyperlink r:id="rId86" ref="AN82"/>
    <hyperlink r:id="rId87" ref="S86"/>
    <hyperlink r:id="rId88" ref="D90"/>
    <hyperlink r:id="rId89" ref="E90"/>
    <hyperlink r:id="rId90" ref="F90"/>
    <hyperlink r:id="rId91" ref="G90"/>
    <hyperlink r:id="rId92" ref="H90"/>
    <hyperlink r:id="rId93" ref="I90"/>
    <hyperlink r:id="rId94" ref="J90"/>
    <hyperlink r:id="rId95" ref="K90"/>
    <hyperlink r:id="rId96" ref="L90"/>
    <hyperlink r:id="rId97" ref="M90"/>
    <hyperlink r:id="rId98" ref="N90"/>
    <hyperlink r:id="rId99" ref="O90"/>
    <hyperlink r:id="rId100" ref="P90"/>
    <hyperlink r:id="rId101" ref="Q90"/>
    <hyperlink r:id="rId102" ref="R90"/>
    <hyperlink r:id="rId103" ref="S90"/>
    <hyperlink r:id="rId104" ref="T90"/>
    <hyperlink r:id="rId105" ref="U90"/>
    <hyperlink r:id="rId106" ref="V90"/>
    <hyperlink r:id="rId107" ref="W90"/>
    <hyperlink r:id="rId108" ref="X90"/>
    <hyperlink r:id="rId109" ref="Y90"/>
    <hyperlink r:id="rId110" ref="Z90"/>
    <hyperlink r:id="rId111" ref="AA90"/>
    <hyperlink r:id="rId112" ref="AB90"/>
    <hyperlink r:id="rId113" ref="AC90"/>
    <hyperlink r:id="rId114" ref="AD90"/>
    <hyperlink r:id="rId115" ref="AE90"/>
    <hyperlink r:id="rId116" ref="AF90"/>
    <hyperlink r:id="rId117" ref="AG90"/>
    <hyperlink r:id="rId118" ref="AH90"/>
    <hyperlink r:id="rId119" ref="AI90"/>
    <hyperlink r:id="rId120" ref="AJ90"/>
    <hyperlink r:id="rId121" ref="AK90"/>
    <hyperlink r:id="rId122" ref="AL90"/>
    <hyperlink r:id="rId123" ref="AM90"/>
    <hyperlink r:id="rId124" ref="AN90"/>
    <hyperlink r:id="rId125" ref="AO90"/>
    <hyperlink r:id="rId126" ref="AP90"/>
    <hyperlink r:id="rId127" ref="AQ90"/>
    <hyperlink r:id="rId128" ref="AR90"/>
    <hyperlink r:id="rId129" ref="AS90"/>
    <hyperlink r:id="rId130" ref="AT90"/>
    <hyperlink r:id="rId131" ref="AU90"/>
    <hyperlink r:id="rId132" ref="AF99"/>
    <hyperlink r:id="rId133" ref="W100"/>
    <hyperlink r:id="rId134" ref="AB100"/>
    <hyperlink r:id="rId135" ref="AM100"/>
    <hyperlink r:id="rId136" ref="D102"/>
    <hyperlink r:id="rId137" ref="E102"/>
    <hyperlink r:id="rId138" ref="F102"/>
    <hyperlink r:id="rId139" ref="G102"/>
    <hyperlink r:id="rId140" ref="H102"/>
    <hyperlink r:id="rId141" ref="I102"/>
    <hyperlink r:id="rId142" ref="J102"/>
    <hyperlink r:id="rId143" ref="K102"/>
    <hyperlink r:id="rId144" ref="L102"/>
    <hyperlink r:id="rId145" ref="M102"/>
    <hyperlink r:id="rId146" ref="N102"/>
    <hyperlink r:id="rId147" ref="O102"/>
    <hyperlink r:id="rId148" ref="P102"/>
    <hyperlink r:id="rId149" ref="Q102"/>
    <hyperlink r:id="rId150" ref="R102"/>
    <hyperlink r:id="rId151" ref="S102"/>
    <hyperlink r:id="rId152" ref="T102"/>
    <hyperlink r:id="rId153" ref="U102"/>
    <hyperlink r:id="rId154" ref="V102"/>
    <hyperlink r:id="rId155" ref="W102"/>
    <hyperlink r:id="rId156" ref="X102"/>
    <hyperlink r:id="rId157" ref="Y102"/>
    <hyperlink r:id="rId158" ref="Z102"/>
    <hyperlink r:id="rId159" ref="AA102"/>
    <hyperlink r:id="rId160" ref="AB102"/>
    <hyperlink r:id="rId161" ref="AC102"/>
    <hyperlink r:id="rId162" ref="AD102"/>
    <hyperlink r:id="rId163" ref="AE102"/>
    <hyperlink r:id="rId164" ref="AF102"/>
    <hyperlink r:id="rId165" ref="AG102"/>
    <hyperlink r:id="rId166" ref="AH102"/>
    <hyperlink r:id="rId167" ref="AI102"/>
    <hyperlink r:id="rId168" ref="AJ102"/>
    <hyperlink r:id="rId169" ref="AK102"/>
    <hyperlink r:id="rId170" ref="AL102"/>
    <hyperlink r:id="rId171" ref="AM102"/>
    <hyperlink r:id="rId172" ref="AN102"/>
    <hyperlink r:id="rId173" ref="AO102"/>
    <hyperlink r:id="rId174" ref="AP102"/>
    <hyperlink r:id="rId175" ref="AQ102"/>
    <hyperlink r:id="rId176" ref="AR102"/>
    <hyperlink r:id="rId177" ref="AS102"/>
    <hyperlink r:id="rId178" ref="AT102"/>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8237</v>
      </c>
      <c r="C1" s="1318" t="s">
        <v>8238</v>
      </c>
      <c r="D1" s="1587" t="s">
        <v>10428</v>
      </c>
      <c r="E1" s="1588" t="s">
        <v>6486</v>
      </c>
      <c r="F1" s="1589" t="s">
        <v>6752</v>
      </c>
      <c r="G1" s="1590" t="s">
        <v>38</v>
      </c>
      <c r="H1" s="1591" t="s">
        <v>36</v>
      </c>
      <c r="I1" s="1587" t="s">
        <v>10429</v>
      </c>
      <c r="J1" s="1592" t="s">
        <v>39</v>
      </c>
      <c r="K1" s="1593" t="s">
        <v>6700</v>
      </c>
      <c r="L1" s="1326" t="s">
        <v>8270</v>
      </c>
      <c r="M1" s="1594" t="s">
        <v>8271</v>
      </c>
      <c r="N1" s="1595" t="s">
        <v>8272</v>
      </c>
      <c r="O1" s="1316" t="s">
        <v>8273</v>
      </c>
    </row>
    <row r="2" ht="15.75" customHeight="1">
      <c r="A2" s="1329" t="s">
        <v>8274</v>
      </c>
      <c r="B2" s="1329" t="s">
        <v>8275</v>
      </c>
      <c r="C2" s="1596">
        <v>0.04982638888888889</v>
      </c>
      <c r="D2" s="1597" t="s">
        <v>10430</v>
      </c>
      <c r="E2" s="1598" t="s">
        <v>10431</v>
      </c>
      <c r="F2" s="1599" t="s">
        <v>10432</v>
      </c>
      <c r="G2" s="1600" t="s">
        <v>10433</v>
      </c>
      <c r="H2" s="1601" t="s">
        <v>10434</v>
      </c>
      <c r="I2" s="1597" t="s">
        <v>10435</v>
      </c>
      <c r="J2" s="1602" t="s">
        <v>10436</v>
      </c>
      <c r="K2" s="1603" t="s">
        <v>10437</v>
      </c>
      <c r="L2" s="1604" t="s">
        <v>8300</v>
      </c>
      <c r="M2" s="1605">
        <v>0.0506712962962963</v>
      </c>
      <c r="N2" s="1606" t="str">
        <f t="shared" ref="N2:N36" si="1">TEXT(M2-C2, "m:ss")</f>
        <v>1:13</v>
      </c>
      <c r="O2" s="1353"/>
    </row>
    <row r="3" ht="15.75" customHeight="1">
      <c r="A3" s="1354" t="s">
        <v>8302</v>
      </c>
      <c r="B3" s="1354" t="s">
        <v>8303</v>
      </c>
      <c r="C3" s="1607">
        <v>0.051458333333333335</v>
      </c>
      <c r="D3" s="1357" t="s">
        <v>10438</v>
      </c>
      <c r="E3" s="1608" t="s">
        <v>5762</v>
      </c>
      <c r="F3" s="1359" t="s">
        <v>10439</v>
      </c>
      <c r="G3" s="1360" t="s">
        <v>10440</v>
      </c>
      <c r="H3" s="1363" t="s">
        <v>10441</v>
      </c>
      <c r="I3" s="1357" t="s">
        <v>10442</v>
      </c>
      <c r="J3" s="1365" t="s">
        <v>10443</v>
      </c>
      <c r="K3" s="1367" t="s">
        <v>10444</v>
      </c>
      <c r="L3" s="1368" t="s">
        <v>8845</v>
      </c>
      <c r="M3" s="1609">
        <v>0.05236111111111111</v>
      </c>
      <c r="N3" s="1610" t="str">
        <f t="shared" si="1"/>
        <v>1:18</v>
      </c>
    </row>
    <row r="4" ht="15.75" customHeight="1">
      <c r="A4" s="1370" t="s">
        <v>8331</v>
      </c>
      <c r="B4" s="1370" t="s">
        <v>8332</v>
      </c>
      <c r="C4" s="1611">
        <f>C21</f>
        <v>0.05158564815</v>
      </c>
      <c r="D4" s="1373" t="s">
        <v>10445</v>
      </c>
      <c r="E4" s="1612" t="s">
        <v>10446</v>
      </c>
      <c r="F4" s="1375" t="s">
        <v>10447</v>
      </c>
      <c r="G4" s="1376" t="s">
        <v>10448</v>
      </c>
      <c r="H4" s="1377" t="s">
        <v>10449</v>
      </c>
      <c r="I4" s="1373" t="s">
        <v>10450</v>
      </c>
      <c r="J4" s="1379" t="s">
        <v>10451</v>
      </c>
      <c r="K4" s="1380" t="s">
        <v>10452</v>
      </c>
      <c r="L4" s="1382" t="s">
        <v>8364</v>
      </c>
      <c r="M4" s="1613">
        <f>M21</f>
        <v>0.0521412037</v>
      </c>
      <c r="N4" s="1613" t="str">
        <f t="shared" si="1"/>
        <v>0:48</v>
      </c>
    </row>
    <row r="5" ht="15.75" customHeight="1">
      <c r="A5" s="1614" t="s">
        <v>431</v>
      </c>
      <c r="B5" s="1386" t="s">
        <v>8275</v>
      </c>
      <c r="C5" s="1615">
        <v>0.04998842592592593</v>
      </c>
      <c r="D5" s="1399" t="s">
        <v>10453</v>
      </c>
      <c r="E5" s="1616" t="s">
        <v>10431</v>
      </c>
      <c r="F5" s="1399" t="s">
        <v>10454</v>
      </c>
      <c r="G5" s="1399" t="s">
        <v>10455</v>
      </c>
      <c r="H5" s="1450" t="s">
        <v>10434</v>
      </c>
      <c r="I5" s="1399" t="s">
        <v>10456</v>
      </c>
      <c r="J5" s="1450" t="s">
        <v>10436</v>
      </c>
      <c r="K5" s="1399" t="s">
        <v>10457</v>
      </c>
      <c r="L5" s="1399" t="s">
        <v>8400</v>
      </c>
      <c r="M5" s="1399" t="s">
        <v>8382</v>
      </c>
      <c r="N5" s="1617" t="str">
        <f t="shared" si="1"/>
        <v>1:18</v>
      </c>
      <c r="O5" s="1399" t="s">
        <v>10458</v>
      </c>
    </row>
    <row r="6" ht="15.75" customHeight="1">
      <c r="A6" s="1543" t="s">
        <v>1128</v>
      </c>
      <c r="B6" s="1514" t="s">
        <v>8275</v>
      </c>
      <c r="C6" s="1618">
        <v>0.0500462962962963</v>
      </c>
      <c r="D6" s="1409" t="s">
        <v>10459</v>
      </c>
      <c r="E6" s="1409" t="s">
        <v>10460</v>
      </c>
      <c r="F6" s="1412" t="s">
        <v>10432</v>
      </c>
      <c r="G6" s="1412" t="s">
        <v>10433</v>
      </c>
      <c r="H6" s="1619" t="s">
        <v>10461</v>
      </c>
      <c r="I6" s="1399" t="s">
        <v>10462</v>
      </c>
      <c r="J6" s="1399" t="s">
        <v>10463</v>
      </c>
      <c r="K6" s="1399" t="s">
        <v>10464</v>
      </c>
      <c r="L6" s="1399" t="s">
        <v>2059</v>
      </c>
      <c r="M6" s="1620">
        <v>0.0508912037037037</v>
      </c>
      <c r="N6" s="1617" t="str">
        <f t="shared" si="1"/>
        <v>1:13</v>
      </c>
      <c r="O6" s="1399" t="s">
        <v>10465</v>
      </c>
    </row>
    <row r="7" ht="15.75" customHeight="1">
      <c r="A7" s="1584" t="s">
        <v>1936</v>
      </c>
      <c r="B7" s="1386" t="s">
        <v>8275</v>
      </c>
      <c r="C7" s="1618">
        <v>0.050150462962962966</v>
      </c>
      <c r="D7" s="1399" t="s">
        <v>10466</v>
      </c>
      <c r="E7" s="1399" t="s">
        <v>10467</v>
      </c>
      <c r="F7" s="1399" t="s">
        <v>10468</v>
      </c>
      <c r="G7" s="1399" t="s">
        <v>10469</v>
      </c>
      <c r="H7" s="1399" t="s">
        <v>10470</v>
      </c>
      <c r="I7" s="1399" t="s">
        <v>10471</v>
      </c>
      <c r="J7" s="1399" t="s">
        <v>10472</v>
      </c>
      <c r="K7" s="1450" t="s">
        <v>10437</v>
      </c>
      <c r="L7" s="1399" t="s">
        <v>10473</v>
      </c>
      <c r="M7" s="1620">
        <v>0.05077546296296296</v>
      </c>
      <c r="N7" s="1617" t="str">
        <f t="shared" si="1"/>
        <v>0:54</v>
      </c>
      <c r="O7" s="1399" t="s">
        <v>10458</v>
      </c>
    </row>
    <row r="8" ht="15.75" customHeight="1">
      <c r="A8" s="1543" t="s">
        <v>6155</v>
      </c>
      <c r="B8" s="1500" t="s">
        <v>8275</v>
      </c>
      <c r="C8" s="1621">
        <v>0.05025462962962963</v>
      </c>
      <c r="D8" s="1563" t="s">
        <v>10474</v>
      </c>
      <c r="E8" s="1407" t="s">
        <v>10475</v>
      </c>
      <c r="F8" s="1399" t="s">
        <v>10476</v>
      </c>
      <c r="G8" s="1399" t="s">
        <v>10477</v>
      </c>
      <c r="H8" s="1399" t="s">
        <v>10478</v>
      </c>
      <c r="I8" s="1399" t="s">
        <v>10232</v>
      </c>
      <c r="J8" s="1399" t="s">
        <v>10479</v>
      </c>
      <c r="K8" s="1399" t="s">
        <v>10480</v>
      </c>
      <c r="L8" s="1399" t="s">
        <v>8485</v>
      </c>
      <c r="M8" s="1450" t="s">
        <v>8486</v>
      </c>
      <c r="N8" s="1617" t="str">
        <f t="shared" si="1"/>
        <v>0:36</v>
      </c>
      <c r="O8" s="1399"/>
    </row>
    <row r="9" ht="15.75" customHeight="1">
      <c r="A9" s="1584" t="s">
        <v>6266</v>
      </c>
      <c r="B9" s="1386" t="s">
        <v>8275</v>
      </c>
      <c r="C9" s="1621">
        <v>0.050416666666666665</v>
      </c>
      <c r="D9" s="1399" t="s">
        <v>10481</v>
      </c>
      <c r="E9" s="1407" t="s">
        <v>10482</v>
      </c>
      <c r="F9" s="1409" t="s">
        <v>10483</v>
      </c>
      <c r="G9" s="1409" t="s">
        <v>10484</v>
      </c>
      <c r="H9" s="1399" t="s">
        <v>10485</v>
      </c>
      <c r="I9" s="1450" t="s">
        <v>10435</v>
      </c>
      <c r="J9" s="1399" t="s">
        <v>10486</v>
      </c>
      <c r="K9" s="1399" t="s">
        <v>10487</v>
      </c>
      <c r="L9" s="1409" t="s">
        <v>10473</v>
      </c>
      <c r="M9" s="1620">
        <v>0.0512037037037037</v>
      </c>
      <c r="N9" s="1617" t="str">
        <f t="shared" si="1"/>
        <v>1:08</v>
      </c>
      <c r="O9" s="1399" t="s">
        <v>10458</v>
      </c>
    </row>
    <row r="10" ht="15.75" customHeight="1">
      <c r="A10" s="1572" t="s">
        <v>2000</v>
      </c>
      <c r="B10" s="1386" t="s">
        <v>8275</v>
      </c>
      <c r="C10" s="1615">
        <v>0.05061342592592592</v>
      </c>
      <c r="D10" s="1450" t="s">
        <v>10430</v>
      </c>
      <c r="E10" s="1622" t="s">
        <v>10488</v>
      </c>
      <c r="F10" s="1399" t="s">
        <v>10489</v>
      </c>
      <c r="G10" s="1399" t="s">
        <v>10490</v>
      </c>
      <c r="H10" s="1399" t="s">
        <v>10491</v>
      </c>
      <c r="I10" s="1399" t="s">
        <v>10492</v>
      </c>
      <c r="J10" s="1399" t="s">
        <v>10493</v>
      </c>
      <c r="K10" s="1399" t="s">
        <v>10494</v>
      </c>
      <c r="L10" s="1399" t="s">
        <v>6185</v>
      </c>
      <c r="M10" s="1620">
        <v>0.05153935185185185</v>
      </c>
      <c r="N10" s="1617" t="str">
        <f t="shared" si="1"/>
        <v>1:20</v>
      </c>
      <c r="O10" s="1399" t="s">
        <v>10458</v>
      </c>
    </row>
    <row r="11">
      <c r="A11" s="1623" t="s">
        <v>908</v>
      </c>
      <c r="B11" s="1624" t="s">
        <v>8275</v>
      </c>
      <c r="C11" s="1621">
        <v>0.0506712962962963</v>
      </c>
      <c r="D11" s="1475" t="s">
        <v>10495</v>
      </c>
      <c r="E11" s="1407" t="s">
        <v>10496</v>
      </c>
      <c r="F11" s="1399" t="s">
        <v>10497</v>
      </c>
      <c r="G11" s="1399" t="s">
        <v>10498</v>
      </c>
      <c r="H11" s="1399" t="s">
        <v>10499</v>
      </c>
      <c r="I11" s="1399" t="s">
        <v>10500</v>
      </c>
      <c r="J11" s="1399" t="s">
        <v>10501</v>
      </c>
      <c r="K11" s="1399" t="s">
        <v>10502</v>
      </c>
      <c r="L11" s="1399" t="s">
        <v>8556</v>
      </c>
      <c r="M11" s="1620">
        <v>0.051354166666666666</v>
      </c>
      <c r="N11" s="1617" t="str">
        <f t="shared" si="1"/>
        <v>0:59</v>
      </c>
      <c r="O11" s="1399" t="s">
        <v>10503</v>
      </c>
    </row>
    <row r="12" ht="15.75" customHeight="1">
      <c r="A12" s="1614" t="s">
        <v>327</v>
      </c>
      <c r="B12" s="1386" t="s">
        <v>8275</v>
      </c>
      <c r="C12" s="1615">
        <v>0.05068287037037037</v>
      </c>
      <c r="D12" s="1399" t="s">
        <v>10504</v>
      </c>
      <c r="E12" s="1622" t="s">
        <v>10505</v>
      </c>
      <c r="F12" s="1399" t="s">
        <v>10506</v>
      </c>
      <c r="G12" s="1399" t="s">
        <v>10507</v>
      </c>
      <c r="H12" s="1399" t="s">
        <v>10508</v>
      </c>
      <c r="I12" s="1399" t="s">
        <v>10509</v>
      </c>
      <c r="J12" s="1399" t="s">
        <v>10510</v>
      </c>
      <c r="K12" s="1399" t="s">
        <v>10511</v>
      </c>
      <c r="L12" s="1424" t="s">
        <v>8300</v>
      </c>
      <c r="M12" s="1620">
        <v>0.05164351851851852</v>
      </c>
      <c r="N12" s="1617" t="str">
        <f t="shared" si="1"/>
        <v>1:23</v>
      </c>
      <c r="O12" s="1399" t="s">
        <v>10458</v>
      </c>
    </row>
    <row r="13" ht="15.75" customHeight="1">
      <c r="A13" s="1625" t="s">
        <v>2633</v>
      </c>
      <c r="B13" s="1386" t="s">
        <v>8275</v>
      </c>
      <c r="C13" s="1626">
        <v>0.05103009259259259</v>
      </c>
      <c r="D13" s="1399" t="s">
        <v>10512</v>
      </c>
      <c r="E13" s="1622" t="s">
        <v>9996</v>
      </c>
      <c r="F13" s="1399" t="s">
        <v>10513</v>
      </c>
      <c r="G13" s="1399" t="s">
        <v>10514</v>
      </c>
      <c r="H13" s="1619" t="s">
        <v>10515</v>
      </c>
      <c r="I13" s="1399" t="s">
        <v>10516</v>
      </c>
      <c r="J13" s="1399" t="s">
        <v>10517</v>
      </c>
      <c r="K13" s="1399" t="s">
        <v>10518</v>
      </c>
      <c r="L13" s="1399" t="s">
        <v>10519</v>
      </c>
      <c r="M13" s="1620">
        <v>0.051909722222222225</v>
      </c>
      <c r="N13" s="1617" t="str">
        <f t="shared" si="1"/>
        <v>1:16</v>
      </c>
      <c r="O13" s="1399" t="s">
        <v>10458</v>
      </c>
    </row>
    <row r="14" ht="15.75" customHeight="1">
      <c r="A14" s="1614" t="s">
        <v>1411</v>
      </c>
      <c r="B14" s="1386" t="s">
        <v>8275</v>
      </c>
      <c r="C14" s="1615">
        <v>0.05122685185185185</v>
      </c>
      <c r="D14" s="1399" t="s">
        <v>10520</v>
      </c>
      <c r="E14" s="1622" t="s">
        <v>8336</v>
      </c>
      <c r="F14" s="1399" t="s">
        <v>10521</v>
      </c>
      <c r="G14" s="1399" t="s">
        <v>10522</v>
      </c>
      <c r="H14" s="1399" t="s">
        <v>10433</v>
      </c>
      <c r="I14" s="1399" t="s">
        <v>8280</v>
      </c>
      <c r="J14" s="1399" t="s">
        <v>10523</v>
      </c>
      <c r="K14" s="1399" t="s">
        <v>10524</v>
      </c>
      <c r="L14" s="1399" t="s">
        <v>10525</v>
      </c>
      <c r="M14" s="1620">
        <v>0.052037037037037034</v>
      </c>
      <c r="N14" s="1617" t="str">
        <f t="shared" si="1"/>
        <v>1:10</v>
      </c>
      <c r="O14" s="1399" t="s">
        <v>10458</v>
      </c>
    </row>
    <row r="15" ht="15.75" customHeight="1">
      <c r="A15" s="1561" t="s">
        <v>1635</v>
      </c>
      <c r="B15" s="1500" t="s">
        <v>8275</v>
      </c>
      <c r="C15" s="1615">
        <v>0.05122685185185185</v>
      </c>
      <c r="D15" s="1563" t="s">
        <v>10526</v>
      </c>
      <c r="E15" s="1407" t="s">
        <v>10527</v>
      </c>
      <c r="F15" s="1399" t="s">
        <v>10528</v>
      </c>
      <c r="G15" s="1399" t="s">
        <v>10529</v>
      </c>
      <c r="H15" s="1399" t="s">
        <v>10530</v>
      </c>
      <c r="I15" s="1399" t="s">
        <v>10531</v>
      </c>
      <c r="J15" s="1399" t="s">
        <v>10532</v>
      </c>
      <c r="K15" s="1399" t="s">
        <v>10533</v>
      </c>
      <c r="L15" s="1399" t="s">
        <v>5839</v>
      </c>
      <c r="M15" s="1620">
        <v>0.05224537037037037</v>
      </c>
      <c r="N15" s="1617" t="str">
        <f t="shared" si="1"/>
        <v>1:28</v>
      </c>
      <c r="O15" s="1399" t="s">
        <v>10534</v>
      </c>
    </row>
    <row r="16" ht="15.75" customHeight="1">
      <c r="A16" s="1561" t="s">
        <v>6260</v>
      </c>
      <c r="B16" s="1500" t="s">
        <v>8275</v>
      </c>
      <c r="C16" s="1615">
        <v>0.05133101851851852</v>
      </c>
      <c r="D16" s="1399" t="s">
        <v>10535</v>
      </c>
      <c r="E16" s="1407" t="s">
        <v>10536</v>
      </c>
      <c r="F16" s="1399" t="s">
        <v>10537</v>
      </c>
      <c r="G16" s="1409" t="s">
        <v>10538</v>
      </c>
      <c r="H16" s="1409" t="s">
        <v>10539</v>
      </c>
      <c r="I16" s="1399" t="s">
        <v>10540</v>
      </c>
      <c r="J16" s="1399" t="s">
        <v>10541</v>
      </c>
      <c r="K16" s="1399" t="s">
        <v>10542</v>
      </c>
      <c r="L16" s="1399" t="s">
        <v>10543</v>
      </c>
      <c r="M16" s="1620">
        <v>0.05197916666666667</v>
      </c>
      <c r="N16" s="1617" t="str">
        <f t="shared" si="1"/>
        <v>0:56</v>
      </c>
      <c r="O16" s="1399" t="s">
        <v>10544</v>
      </c>
    </row>
    <row r="17" ht="15.75" customHeight="1">
      <c r="A17" s="1584" t="s">
        <v>8662</v>
      </c>
      <c r="B17" s="1386" t="s">
        <v>8275</v>
      </c>
      <c r="C17" s="1621">
        <v>0.05144675925925926</v>
      </c>
      <c r="D17" s="1399" t="s">
        <v>10545</v>
      </c>
      <c r="E17" s="1622" t="s">
        <v>10546</v>
      </c>
      <c r="F17" s="1399" t="s">
        <v>10547</v>
      </c>
      <c r="G17" s="1399" t="s">
        <v>10548</v>
      </c>
      <c r="H17" s="1399" t="s">
        <v>10549</v>
      </c>
      <c r="I17" s="1399" t="s">
        <v>9486</v>
      </c>
      <c r="J17" s="1399" t="s">
        <v>10550</v>
      </c>
      <c r="K17" s="1399" t="s">
        <v>10551</v>
      </c>
      <c r="L17" s="1627" t="s">
        <v>8571</v>
      </c>
      <c r="M17" s="1620">
        <v>0.05258101851851852</v>
      </c>
      <c r="N17" s="1617" t="str">
        <f t="shared" si="1"/>
        <v>1:38</v>
      </c>
      <c r="O17" s="1399" t="s">
        <v>10458</v>
      </c>
    </row>
    <row r="18" ht="15.75" customHeight="1">
      <c r="A18" s="1561" t="s">
        <v>8829</v>
      </c>
      <c r="B18" s="1500" t="s">
        <v>8303</v>
      </c>
      <c r="C18" s="1615">
        <v>0.05146990740740741</v>
      </c>
      <c r="D18" s="1628" t="s">
        <v>10438</v>
      </c>
      <c r="E18" s="1407" t="s">
        <v>9827</v>
      </c>
      <c r="F18" s="1628" t="s">
        <v>10439</v>
      </c>
      <c r="G18" s="1628" t="s">
        <v>10440</v>
      </c>
      <c r="H18" s="1628" t="s">
        <v>10441</v>
      </c>
      <c r="I18" s="1399" t="s">
        <v>10552</v>
      </c>
      <c r="J18" s="1628" t="s">
        <v>10443</v>
      </c>
      <c r="K18" s="1628" t="s">
        <v>10444</v>
      </c>
      <c r="L18" s="1495" t="s">
        <v>8845</v>
      </c>
      <c r="M18" s="1629">
        <v>0.05236111111111111</v>
      </c>
      <c r="N18" s="1617" t="str">
        <f t="shared" si="1"/>
        <v>1:17</v>
      </c>
      <c r="O18" s="1399" t="s">
        <v>10458</v>
      </c>
    </row>
    <row r="19" ht="15.75" customHeight="1">
      <c r="A19" s="1614" t="s">
        <v>822</v>
      </c>
      <c r="B19" s="1386" t="s">
        <v>8275</v>
      </c>
      <c r="C19" s="1621">
        <v>0.051550925925925924</v>
      </c>
      <c r="D19" s="1399" t="s">
        <v>10553</v>
      </c>
      <c r="E19" s="1622" t="s">
        <v>9812</v>
      </c>
      <c r="F19" s="1399" t="s">
        <v>10554</v>
      </c>
      <c r="G19" s="1399" t="s">
        <v>10555</v>
      </c>
      <c r="H19" s="1399" t="s">
        <v>10556</v>
      </c>
      <c r="I19" s="1399" t="s">
        <v>10557</v>
      </c>
      <c r="J19" s="1399" t="s">
        <v>10558</v>
      </c>
      <c r="K19" s="1399" t="s">
        <v>10559</v>
      </c>
      <c r="L19" s="1627" t="s">
        <v>10560</v>
      </c>
      <c r="M19" s="1620">
        <v>0.05229166666666667</v>
      </c>
      <c r="N19" s="1617" t="str">
        <f t="shared" si="1"/>
        <v>1:04</v>
      </c>
      <c r="O19" s="1399" t="s">
        <v>10458</v>
      </c>
    </row>
    <row r="20" ht="15.75" customHeight="1">
      <c r="A20" s="1543" t="s">
        <v>1719</v>
      </c>
      <c r="B20" s="1330" t="s">
        <v>8275</v>
      </c>
      <c r="C20" s="1621">
        <v>0.0515625</v>
      </c>
      <c r="D20" s="1630" t="s">
        <v>10561</v>
      </c>
      <c r="E20" s="1631" t="s">
        <v>10562</v>
      </c>
      <c r="F20" s="1619" t="s">
        <v>10563</v>
      </c>
      <c r="G20" s="1619" t="s">
        <v>10564</v>
      </c>
      <c r="H20" s="1619" t="s">
        <v>10565</v>
      </c>
      <c r="I20" s="1619" t="s">
        <v>8280</v>
      </c>
      <c r="J20" s="1632" t="s">
        <v>10566</v>
      </c>
      <c r="K20" s="1619" t="s">
        <v>10567</v>
      </c>
      <c r="L20" s="1633" t="s">
        <v>10568</v>
      </c>
      <c r="M20" s="1620">
        <v>0.05269675925925926</v>
      </c>
      <c r="N20" s="1617" t="str">
        <f t="shared" si="1"/>
        <v>1:38</v>
      </c>
      <c r="O20" s="1399" t="s">
        <v>10569</v>
      </c>
    </row>
    <row r="21">
      <c r="A21" s="1634" t="s">
        <v>1936</v>
      </c>
      <c r="B21" s="1514" t="s">
        <v>8332</v>
      </c>
      <c r="C21" s="1615">
        <v>0.05158564814814815</v>
      </c>
      <c r="D21" s="1635" t="s">
        <v>10445</v>
      </c>
      <c r="E21" s="1636" t="s">
        <v>10446</v>
      </c>
      <c r="F21" s="1635" t="s">
        <v>10447</v>
      </c>
      <c r="G21" s="1635" t="s">
        <v>10448</v>
      </c>
      <c r="H21" s="1635" t="s">
        <v>10449</v>
      </c>
      <c r="I21" s="1635" t="s">
        <v>10450</v>
      </c>
      <c r="J21" s="1635" t="s">
        <v>10451</v>
      </c>
      <c r="K21" s="1635" t="s">
        <v>10452</v>
      </c>
      <c r="L21" s="1635" t="s">
        <v>8364</v>
      </c>
      <c r="M21" s="1637">
        <v>0.052141203703703703</v>
      </c>
      <c r="N21" s="1617" t="str">
        <f t="shared" si="1"/>
        <v>0:48</v>
      </c>
      <c r="O21" s="1399" t="s">
        <v>10570</v>
      </c>
    </row>
    <row r="22" ht="15.75" customHeight="1">
      <c r="A22" s="1543" t="s">
        <v>3016</v>
      </c>
      <c r="B22" s="1500" t="s">
        <v>8275</v>
      </c>
      <c r="C22" s="1621">
        <v>0.051706365740740744</v>
      </c>
      <c r="D22" s="1475" t="s">
        <v>10571</v>
      </c>
      <c r="E22" s="1407" t="s">
        <v>10572</v>
      </c>
      <c r="F22" s="1399" t="s">
        <v>10573</v>
      </c>
      <c r="G22" s="1399" t="s">
        <v>10574</v>
      </c>
      <c r="H22" s="1399" t="s">
        <v>10575</v>
      </c>
      <c r="I22" s="1399" t="s">
        <v>10576</v>
      </c>
      <c r="J22" s="1399" t="s">
        <v>10577</v>
      </c>
      <c r="K22" s="1399" t="s">
        <v>10578</v>
      </c>
      <c r="L22" s="1399" t="s">
        <v>9182</v>
      </c>
      <c r="M22" s="1620">
        <v>0.0525</v>
      </c>
      <c r="N22" s="1620" t="str">
        <f t="shared" si="1"/>
        <v>1:09</v>
      </c>
      <c r="O22" s="1399"/>
    </row>
    <row r="23" ht="15.75" customHeight="1">
      <c r="A23" s="1428" t="s">
        <v>2084</v>
      </c>
      <c r="B23" s="1505" t="s">
        <v>8275</v>
      </c>
      <c r="C23" s="1621">
        <v>0.05171296296296296</v>
      </c>
      <c r="D23" s="1638" t="s">
        <v>10579</v>
      </c>
      <c r="E23" s="1638" t="s">
        <v>10580</v>
      </c>
      <c r="F23" s="1638" t="s">
        <v>10581</v>
      </c>
      <c r="G23" s="1638" t="s">
        <v>10582</v>
      </c>
      <c r="H23" s="1475" t="s">
        <v>10583</v>
      </c>
      <c r="I23" s="1638" t="s">
        <v>10584</v>
      </c>
      <c r="J23" s="1475" t="s">
        <v>10585</v>
      </c>
      <c r="K23" s="1638" t="s">
        <v>10586</v>
      </c>
      <c r="L23" s="1475" t="s">
        <v>7750</v>
      </c>
      <c r="M23" s="1620">
        <v>0.054375</v>
      </c>
      <c r="N23" s="1617" t="str">
        <f t="shared" si="1"/>
        <v>3:50</v>
      </c>
      <c r="O23" s="1399" t="s">
        <v>10587</v>
      </c>
    </row>
    <row r="24" ht="15.75" customHeight="1">
      <c r="A24" s="1561" t="s">
        <v>2922</v>
      </c>
      <c r="B24" s="1500" t="s">
        <v>8275</v>
      </c>
      <c r="C24" s="1615">
        <v>0.05180160879629629</v>
      </c>
      <c r="D24" s="1475" t="s">
        <v>10588</v>
      </c>
      <c r="E24" s="1407" t="s">
        <v>10589</v>
      </c>
      <c r="F24" s="1399" t="s">
        <v>10590</v>
      </c>
      <c r="G24" s="1399" t="s">
        <v>10591</v>
      </c>
      <c r="H24" s="1399" t="s">
        <v>10592</v>
      </c>
      <c r="I24" s="1399" t="s">
        <v>10593</v>
      </c>
      <c r="J24" s="1399" t="s">
        <v>10594</v>
      </c>
      <c r="K24" s="1399" t="s">
        <v>10595</v>
      </c>
      <c r="L24" s="1399" t="s">
        <v>10596</v>
      </c>
      <c r="M24" s="1620">
        <v>0.05303240740740741</v>
      </c>
      <c r="N24" s="1617" t="str">
        <f t="shared" si="1"/>
        <v>1:46</v>
      </c>
      <c r="O24" s="1399"/>
    </row>
    <row r="25" ht="15.75" customHeight="1">
      <c r="A25" s="1543" t="s">
        <v>1340</v>
      </c>
      <c r="B25" s="1514" t="s">
        <v>8332</v>
      </c>
      <c r="C25" s="1621">
        <v>0.052088194444444444</v>
      </c>
      <c r="D25" s="1475" t="s">
        <v>10597</v>
      </c>
      <c r="E25" s="1407" t="s">
        <v>10598</v>
      </c>
      <c r="F25" s="1399" t="s">
        <v>10599</v>
      </c>
      <c r="G25" s="1399" t="s">
        <v>10600</v>
      </c>
      <c r="H25" s="1399" t="s">
        <v>10601</v>
      </c>
      <c r="I25" s="1399" t="s">
        <v>10602</v>
      </c>
      <c r="J25" s="1399" t="s">
        <v>10603</v>
      </c>
      <c r="K25" s="1399" t="s">
        <v>10604</v>
      </c>
      <c r="L25" s="1399" t="s">
        <v>9476</v>
      </c>
      <c r="M25" s="1620">
        <v>0.053043981481481484</v>
      </c>
      <c r="N25" s="1617" t="str">
        <f t="shared" si="1"/>
        <v>1:23</v>
      </c>
      <c r="O25" s="1399" t="s">
        <v>10458</v>
      </c>
    </row>
    <row r="26" ht="15.75" customHeight="1">
      <c r="A26" s="1543" t="s">
        <v>2525</v>
      </c>
      <c r="B26" s="1500" t="s">
        <v>8303</v>
      </c>
      <c r="C26" s="1621">
        <v>0.05215277777777778</v>
      </c>
      <c r="D26" s="1399" t="s">
        <v>10605</v>
      </c>
      <c r="E26" s="1628" t="s">
        <v>5762</v>
      </c>
      <c r="F26" s="1399" t="s">
        <v>10606</v>
      </c>
      <c r="G26" s="1399" t="s">
        <v>10607</v>
      </c>
      <c r="H26" s="1399" t="s">
        <v>10608</v>
      </c>
      <c r="I26" s="1399" t="s">
        <v>10609</v>
      </c>
      <c r="J26" s="1399" t="s">
        <v>10610</v>
      </c>
      <c r="K26" s="1399" t="s">
        <v>10611</v>
      </c>
      <c r="L26" s="1399" t="s">
        <v>9259</v>
      </c>
      <c r="M26" s="1620">
        <v>0.05399305555555556</v>
      </c>
      <c r="N26" s="1617" t="str">
        <f t="shared" si="1"/>
        <v>2:39</v>
      </c>
      <c r="O26" s="1399" t="s">
        <v>10612</v>
      </c>
    </row>
    <row r="27" ht="15.75" customHeight="1">
      <c r="A27" s="1561" t="s">
        <v>2812</v>
      </c>
      <c r="B27" s="1500" t="s">
        <v>8275</v>
      </c>
      <c r="C27" s="1639">
        <v>0.05216435185185185</v>
      </c>
      <c r="D27" s="1399" t="s">
        <v>10613</v>
      </c>
      <c r="E27" s="1407" t="s">
        <v>10614</v>
      </c>
      <c r="F27" s="1399" t="s">
        <v>10615</v>
      </c>
      <c r="G27" s="1399" t="s">
        <v>10616</v>
      </c>
      <c r="H27" s="1399" t="s">
        <v>10617</v>
      </c>
      <c r="I27" s="1399" t="s">
        <v>10618</v>
      </c>
      <c r="J27" s="1399" t="s">
        <v>10619</v>
      </c>
      <c r="K27" s="1399" t="s">
        <v>10620</v>
      </c>
      <c r="L27" s="1399" t="s">
        <v>10621</v>
      </c>
      <c r="M27" s="1640">
        <v>0.05337962962962963</v>
      </c>
      <c r="N27" s="1617" t="str">
        <f t="shared" si="1"/>
        <v>1:45</v>
      </c>
      <c r="O27" s="1399" t="s">
        <v>10622</v>
      </c>
    </row>
    <row r="28" ht="15.75" customHeight="1">
      <c r="A28" s="1543" t="s">
        <v>734</v>
      </c>
      <c r="B28" s="1500" t="s">
        <v>8303</v>
      </c>
      <c r="C28" s="1621">
        <v>0.05224537037037037</v>
      </c>
      <c r="D28" s="1399" t="s">
        <v>10623</v>
      </c>
      <c r="E28" s="1641" t="s">
        <v>10624</v>
      </c>
      <c r="F28" s="1399" t="s">
        <v>10625</v>
      </c>
      <c r="G28" s="1399" t="s">
        <v>10626</v>
      </c>
      <c r="H28" s="1399" t="s">
        <v>10627</v>
      </c>
      <c r="I28" s="1628" t="s">
        <v>10442</v>
      </c>
      <c r="J28" s="1399" t="s">
        <v>10628</v>
      </c>
      <c r="K28" s="1409" t="s">
        <v>10629</v>
      </c>
      <c r="L28" s="1399" t="s">
        <v>10630</v>
      </c>
      <c r="M28" s="1620">
        <v>0.053043981481481484</v>
      </c>
      <c r="N28" s="1617" t="str">
        <f t="shared" si="1"/>
        <v>1:09</v>
      </c>
      <c r="O28" s="1399" t="s">
        <v>10631</v>
      </c>
    </row>
    <row r="29" ht="15.75" customHeight="1">
      <c r="A29" s="1561" t="s">
        <v>2922</v>
      </c>
      <c r="B29" s="1514" t="s">
        <v>8303</v>
      </c>
      <c r="C29" s="1615">
        <v>0.052316898148148154</v>
      </c>
      <c r="D29" s="1475" t="s">
        <v>10632</v>
      </c>
      <c r="E29" s="1407" t="s">
        <v>10633</v>
      </c>
      <c r="F29" s="1399" t="s">
        <v>10634</v>
      </c>
      <c r="G29" s="1399" t="s">
        <v>10635</v>
      </c>
      <c r="H29" s="1399" t="s">
        <v>10636</v>
      </c>
      <c r="I29" s="1399" t="s">
        <v>10637</v>
      </c>
      <c r="J29" s="1399" t="s">
        <v>10638</v>
      </c>
      <c r="K29" s="1399" t="s">
        <v>10639</v>
      </c>
      <c r="L29" s="1399" t="s">
        <v>8924</v>
      </c>
      <c r="M29" s="1620">
        <v>0.0537625</v>
      </c>
      <c r="N29" s="1617" t="str">
        <f t="shared" si="1"/>
        <v>2:05</v>
      </c>
      <c r="O29" s="1399" t="s">
        <v>10458</v>
      </c>
    </row>
    <row r="30" ht="15.75" customHeight="1">
      <c r="A30" s="1543" t="s">
        <v>3788</v>
      </c>
      <c r="B30" s="1500" t="s">
        <v>8275</v>
      </c>
      <c r="C30" s="1621">
        <v>0.05238425925925926</v>
      </c>
      <c r="D30" s="1563" t="s">
        <v>10640</v>
      </c>
      <c r="E30" s="1407" t="s">
        <v>10614</v>
      </c>
      <c r="F30" s="1399" t="s">
        <v>10641</v>
      </c>
      <c r="G30" s="1633" t="s">
        <v>10642</v>
      </c>
      <c r="H30" s="1399" t="s">
        <v>10643</v>
      </c>
      <c r="I30" s="1399" t="s">
        <v>10644</v>
      </c>
      <c r="J30" s="1399" t="s">
        <v>10645</v>
      </c>
      <c r="K30" s="1399" t="s">
        <v>10646</v>
      </c>
      <c r="L30" s="1399" t="s">
        <v>9511</v>
      </c>
      <c r="M30" s="1620">
        <v>0.05340277777777778</v>
      </c>
      <c r="N30" s="1617" t="str">
        <f t="shared" si="1"/>
        <v>1:28</v>
      </c>
      <c r="O30" s="1399" t="s">
        <v>10647</v>
      </c>
    </row>
    <row r="31">
      <c r="A31" s="1634" t="s">
        <v>3937</v>
      </c>
      <c r="B31" s="1634" t="s">
        <v>8275</v>
      </c>
      <c r="C31" s="1615">
        <v>0.05253472222222222</v>
      </c>
      <c r="D31" s="1630" t="s">
        <v>10648</v>
      </c>
      <c r="E31" s="1631" t="s">
        <v>8960</v>
      </c>
      <c r="F31" s="1619" t="s">
        <v>10649</v>
      </c>
      <c r="G31" s="1619" t="s">
        <v>10650</v>
      </c>
      <c r="H31" s="1619" t="s">
        <v>10651</v>
      </c>
      <c r="I31" s="1619" t="s">
        <v>10652</v>
      </c>
      <c r="J31" s="1619" t="s">
        <v>10653</v>
      </c>
      <c r="K31" s="1619" t="s">
        <v>10654</v>
      </c>
      <c r="L31" s="1619" t="s">
        <v>10414</v>
      </c>
      <c r="M31" s="1620">
        <v>0.05365740740740741</v>
      </c>
      <c r="N31" s="1620" t="str">
        <f t="shared" si="1"/>
        <v>1:37</v>
      </c>
      <c r="O31" s="1399"/>
    </row>
    <row r="32" ht="15.75" customHeight="1">
      <c r="A32" s="1624" t="s">
        <v>7627</v>
      </c>
      <c r="B32" s="1500" t="s">
        <v>8275</v>
      </c>
      <c r="C32" s="1621">
        <v>0.05258101851851852</v>
      </c>
      <c r="D32" s="1399" t="s">
        <v>10655</v>
      </c>
      <c r="E32" s="1407" t="s">
        <v>10656</v>
      </c>
      <c r="F32" s="1399" t="s">
        <v>10657</v>
      </c>
      <c r="G32" s="1399" t="s">
        <v>10658</v>
      </c>
      <c r="H32" s="1399" t="s">
        <v>10659</v>
      </c>
      <c r="I32" s="1399" t="s">
        <v>10660</v>
      </c>
      <c r="J32" s="1399" t="s">
        <v>10661</v>
      </c>
      <c r="K32" s="1399" t="s">
        <v>10662</v>
      </c>
      <c r="L32" s="1399" t="s">
        <v>10663</v>
      </c>
      <c r="M32" s="1620">
        <v>0.05425925925925926</v>
      </c>
      <c r="N32" s="1617" t="str">
        <f t="shared" si="1"/>
        <v>2:25</v>
      </c>
      <c r="O32" s="1399" t="s">
        <v>10664</v>
      </c>
    </row>
    <row r="33" ht="15.75" customHeight="1">
      <c r="A33" s="1561" t="s">
        <v>9538</v>
      </c>
      <c r="B33" s="1500" t="s">
        <v>8275</v>
      </c>
      <c r="C33" s="1615">
        <v>0.05268518518518518</v>
      </c>
      <c r="D33" s="1475" t="s">
        <v>10665</v>
      </c>
      <c r="E33" s="1407" t="s">
        <v>10666</v>
      </c>
      <c r="F33" s="1399" t="s">
        <v>10667</v>
      </c>
      <c r="G33" s="1399" t="s">
        <v>10668</v>
      </c>
      <c r="H33" s="1399" t="s">
        <v>10669</v>
      </c>
      <c r="I33" s="1399" t="s">
        <v>10670</v>
      </c>
      <c r="J33" s="1399" t="s">
        <v>10671</v>
      </c>
      <c r="K33" s="1399" t="s">
        <v>10672</v>
      </c>
      <c r="L33" s="1399" t="s">
        <v>9555</v>
      </c>
      <c r="M33" s="1620">
        <v>0.05331018518518518</v>
      </c>
      <c r="N33" s="1617" t="str">
        <f t="shared" si="1"/>
        <v>0:54</v>
      </c>
      <c r="O33" s="1399" t="s">
        <v>10673</v>
      </c>
    </row>
    <row r="34" ht="15.75" customHeight="1">
      <c r="A34" s="1543" t="s">
        <v>982</v>
      </c>
      <c r="B34" s="1354" t="s">
        <v>8303</v>
      </c>
      <c r="C34" s="1621">
        <v>0.05378472222222222</v>
      </c>
      <c r="D34" s="1475" t="s">
        <v>10674</v>
      </c>
      <c r="E34" s="1407" t="s">
        <v>10675</v>
      </c>
      <c r="F34" s="1399" t="s">
        <v>10676</v>
      </c>
      <c r="G34" s="1399" t="s">
        <v>10677</v>
      </c>
      <c r="H34" s="1399" t="s">
        <v>10678</v>
      </c>
      <c r="I34" s="1399" t="s">
        <v>7864</v>
      </c>
      <c r="J34" s="1399" t="s">
        <v>10679</v>
      </c>
      <c r="K34" s="1399" t="s">
        <v>10680</v>
      </c>
      <c r="L34" s="1399" t="s">
        <v>9309</v>
      </c>
      <c r="M34" s="1620">
        <v>0.054560185185185184</v>
      </c>
      <c r="N34" s="1617" t="str">
        <f t="shared" si="1"/>
        <v>1:07</v>
      </c>
      <c r="O34" s="1399"/>
    </row>
    <row r="35" ht="15.75" customHeight="1">
      <c r="A35" s="1543" t="s">
        <v>4785</v>
      </c>
      <c r="B35" s="1514" t="s">
        <v>8303</v>
      </c>
      <c r="C35" s="1621">
        <v>0.05748842592592593</v>
      </c>
      <c r="D35" s="1475" t="s">
        <v>10681</v>
      </c>
      <c r="E35" s="1407" t="s">
        <v>10682</v>
      </c>
      <c r="F35" s="1399" t="s">
        <v>10683</v>
      </c>
      <c r="G35" s="1399" t="s">
        <v>10684</v>
      </c>
      <c r="H35" s="1399" t="s">
        <v>10685</v>
      </c>
      <c r="I35" s="1399" t="s">
        <v>10686</v>
      </c>
      <c r="J35" s="1399" t="s">
        <v>10687</v>
      </c>
      <c r="K35" s="1399" t="s">
        <v>10688</v>
      </c>
      <c r="L35" s="1399" t="s">
        <v>10343</v>
      </c>
      <c r="M35" s="1620">
        <v>0.06149305555555556</v>
      </c>
      <c r="N35" s="1617" t="str">
        <f t="shared" si="1"/>
        <v>5:46</v>
      </c>
      <c r="O35" s="1399" t="s">
        <v>10458</v>
      </c>
    </row>
    <row r="36" ht="15.75" customHeight="1">
      <c r="A36" s="1561" t="s">
        <v>2212</v>
      </c>
      <c r="B36" s="1500" t="s">
        <v>8275</v>
      </c>
      <c r="C36" s="1615">
        <v>0.0499537037037037</v>
      </c>
      <c r="D36" s="1475" t="s">
        <v>10689</v>
      </c>
      <c r="E36" s="1407" t="s">
        <v>10690</v>
      </c>
      <c r="F36" s="1399" t="s">
        <v>10691</v>
      </c>
      <c r="G36" s="1399" t="s">
        <v>10692</v>
      </c>
      <c r="H36" s="1399" t="s">
        <v>10693</v>
      </c>
      <c r="I36" s="1399" t="s">
        <v>10694</v>
      </c>
      <c r="J36" s="1399" t="s">
        <v>10695</v>
      </c>
      <c r="K36" s="1399" t="s">
        <v>10696</v>
      </c>
      <c r="L36" s="1399" t="s">
        <v>2946</v>
      </c>
      <c r="M36" s="1620">
        <v>0.05228009259259259</v>
      </c>
      <c r="N36" s="1617" t="str">
        <f t="shared" si="1"/>
        <v>3:21</v>
      </c>
      <c r="O36" s="1399" t="s">
        <v>10697</v>
      </c>
    </row>
    <row r="37" ht="15.75" customHeight="1">
      <c r="A37" s="1561"/>
      <c r="B37" s="1515"/>
      <c r="C37" s="1642"/>
      <c r="D37" s="1643"/>
      <c r="E37" s="1622"/>
      <c r="F37" s="1399"/>
      <c r="G37" s="1399"/>
      <c r="H37" s="1399"/>
      <c r="I37" s="1399"/>
      <c r="J37" s="1399"/>
      <c r="K37" s="1399"/>
      <c r="L37" s="1399"/>
      <c r="M37" s="1620"/>
      <c r="N37" s="1620"/>
      <c r="O37" s="1399"/>
    </row>
    <row r="38" ht="15.75" customHeight="1">
      <c r="A38" s="1543"/>
      <c r="B38" s="1448"/>
      <c r="C38" s="1644"/>
      <c r="D38" s="1467"/>
      <c r="E38" s="1622"/>
      <c r="F38" s="1399"/>
      <c r="G38" s="1399"/>
      <c r="H38" s="1399"/>
      <c r="I38" s="1399"/>
      <c r="J38" s="1399"/>
      <c r="K38" s="1399"/>
      <c r="L38" s="1399"/>
      <c r="M38" s="1620"/>
      <c r="N38" s="1620"/>
      <c r="O38" s="1399"/>
    </row>
    <row r="39">
      <c r="A39" s="1624"/>
      <c r="B39" s="1624"/>
      <c r="C39" s="1615"/>
      <c r="D39" s="1643"/>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61"/>
      <c r="B41" s="1561"/>
      <c r="C41" s="1615"/>
      <c r="D41" s="1643"/>
      <c r="E41" s="1622"/>
      <c r="F41" s="1399"/>
      <c r="G41" s="1399"/>
      <c r="H41" s="1399"/>
      <c r="I41" s="1399"/>
      <c r="J41" s="1399"/>
      <c r="K41" s="1399"/>
      <c r="L41" s="1399"/>
      <c r="M41" s="1620"/>
      <c r="N41" s="1620"/>
      <c r="O41" s="1399"/>
    </row>
    <row r="42" ht="15.75" customHeight="1">
      <c r="A42" s="1584"/>
      <c r="B42" s="1448"/>
      <c r="C42" s="1644"/>
      <c r="D42" s="1467"/>
      <c r="E42" s="1622"/>
      <c r="F42" s="1399"/>
      <c r="G42" s="1399"/>
      <c r="H42" s="1399"/>
      <c r="I42" s="1399"/>
      <c r="J42" s="1399"/>
      <c r="K42" s="1399"/>
      <c r="L42" s="1399"/>
      <c r="M42" s="1620"/>
      <c r="N42" s="1620"/>
      <c r="O42" s="1399"/>
    </row>
    <row r="43" ht="15.75" customHeight="1">
      <c r="A43" s="1572"/>
      <c r="B43" s="1386"/>
      <c r="C43" s="1642"/>
      <c r="D43" s="1643"/>
      <c r="E43" s="1622"/>
      <c r="F43" s="1399"/>
      <c r="G43" s="1399"/>
      <c r="H43" s="1399"/>
      <c r="I43" s="1399"/>
      <c r="J43" s="1399"/>
      <c r="K43" s="1399"/>
      <c r="L43" s="1399"/>
      <c r="M43" s="1620"/>
      <c r="N43" s="1620"/>
      <c r="O43" s="1399"/>
    </row>
    <row r="44">
      <c r="A44" s="1634"/>
      <c r="B44" s="1634"/>
      <c r="C44" s="1615"/>
      <c r="D44" s="1467"/>
      <c r="E44" s="1622"/>
      <c r="F44" s="1399"/>
      <c r="G44" s="1399"/>
      <c r="H44" s="1399"/>
      <c r="I44" s="1399"/>
      <c r="J44" s="1399"/>
      <c r="K44" s="1399"/>
      <c r="L44" s="1399"/>
      <c r="M44" s="1620"/>
      <c r="N44" s="1620"/>
      <c r="O44" s="1399"/>
    </row>
    <row r="45" ht="15.75" customHeight="1">
      <c r="A45" s="1561"/>
      <c r="B45" s="1500"/>
      <c r="C45" s="1615"/>
      <c r="D45" s="1643"/>
      <c r="E45" s="1622"/>
      <c r="F45" s="1399"/>
      <c r="G45" s="1399"/>
      <c r="H45" s="1399"/>
      <c r="I45" s="1399"/>
      <c r="J45" s="1399"/>
      <c r="K45" s="1399"/>
      <c r="L45" s="1399"/>
      <c r="M45" s="1620"/>
      <c r="N45" s="1620"/>
      <c r="O45" s="1399"/>
    </row>
    <row r="46" ht="15.75" customHeight="1">
      <c r="A46" s="1572"/>
      <c r="B46" s="1515"/>
      <c r="C46" s="1642"/>
      <c r="D46" s="1467"/>
      <c r="E46" s="1622"/>
      <c r="F46" s="1399"/>
      <c r="G46" s="1399"/>
      <c r="H46" s="1399"/>
      <c r="I46" s="1399"/>
      <c r="J46" s="1399"/>
      <c r="K46" s="1399"/>
      <c r="L46" s="1399"/>
      <c r="M46" s="1620"/>
      <c r="N46" s="1620"/>
      <c r="O46" s="1399"/>
    </row>
    <row r="47">
      <c r="A47" s="1624"/>
      <c r="B47" s="1624"/>
      <c r="C47" s="1645"/>
      <c r="D47" s="1643"/>
      <c r="E47" s="1622"/>
      <c r="F47" s="1399"/>
      <c r="G47" s="1399"/>
      <c r="H47" s="1399"/>
      <c r="I47" s="1399"/>
      <c r="J47" s="1399"/>
      <c r="K47" s="1399"/>
      <c r="L47" s="1399"/>
      <c r="M47" s="1620"/>
      <c r="N47" s="1620"/>
      <c r="O47" s="1399"/>
    </row>
    <row r="48" ht="15.75" customHeight="1">
      <c r="A48" s="1584"/>
      <c r="B48" s="1386"/>
      <c r="C48" s="1644"/>
      <c r="D48" s="1467"/>
      <c r="E48" s="1622"/>
      <c r="F48" s="1399"/>
      <c r="G48" s="1399"/>
      <c r="H48" s="1399"/>
      <c r="I48" s="1399"/>
      <c r="J48" s="1399"/>
      <c r="K48" s="1399"/>
      <c r="L48" s="1399"/>
      <c r="M48" s="1620"/>
      <c r="N48" s="1620"/>
      <c r="O48" s="1399"/>
    </row>
    <row r="49" ht="15.75" customHeight="1">
      <c r="A49" s="1572"/>
      <c r="B49" s="1386"/>
      <c r="C49" s="1642"/>
      <c r="D49" s="1643"/>
      <c r="E49" s="1622"/>
      <c r="F49" s="1399"/>
      <c r="G49" s="1399"/>
      <c r="H49" s="1399"/>
      <c r="I49" s="1399"/>
      <c r="J49" s="1399"/>
      <c r="K49" s="1399"/>
      <c r="L49" s="1399"/>
      <c r="M49" s="1620"/>
      <c r="N49" s="1620"/>
      <c r="O49" s="1399"/>
    </row>
    <row r="50" ht="15.75" customHeight="1">
      <c r="A50" s="1634"/>
      <c r="B50" s="1634"/>
      <c r="C50" s="1615"/>
      <c r="D50" s="1467"/>
      <c r="E50" s="1622"/>
      <c r="F50" s="1399"/>
      <c r="G50" s="1399"/>
      <c r="H50" s="1399"/>
      <c r="I50" s="1399"/>
      <c r="J50" s="1399"/>
      <c r="K50" s="1399"/>
      <c r="L50" s="1399"/>
      <c r="M50" s="1620"/>
      <c r="N50" s="1620"/>
      <c r="O50" s="1399"/>
    </row>
    <row r="51" ht="15.75" customHeight="1">
      <c r="A51" s="1584"/>
      <c r="B51" s="1448"/>
      <c r="C51" s="1644"/>
      <c r="D51" s="1643"/>
      <c r="E51" s="1622"/>
      <c r="F51" s="1399"/>
      <c r="G51" s="1399"/>
      <c r="H51" s="1399"/>
      <c r="I51" s="1399"/>
      <c r="J51" s="1399"/>
      <c r="K51" s="1399"/>
      <c r="L51" s="1399"/>
      <c r="M51" s="1620"/>
      <c r="N51" s="1620"/>
      <c r="O51" s="1399"/>
    </row>
    <row r="52" ht="15.75" customHeight="1">
      <c r="A52" s="1572"/>
      <c r="B52" s="1515"/>
      <c r="C52" s="1642"/>
      <c r="D52" s="1467"/>
      <c r="E52" s="1622"/>
      <c r="F52" s="1399"/>
      <c r="G52" s="1399"/>
      <c r="H52" s="1399"/>
      <c r="I52" s="1399"/>
      <c r="J52" s="1399"/>
      <c r="K52" s="1399"/>
      <c r="L52" s="1399"/>
      <c r="M52" s="1620"/>
      <c r="N52" s="1620"/>
      <c r="O52" s="1399"/>
    </row>
    <row r="53" ht="15.75" customHeight="1">
      <c r="A53" s="1634"/>
      <c r="B53" s="1500"/>
      <c r="C53" s="1615"/>
      <c r="D53" s="1643"/>
      <c r="E53" s="1622"/>
      <c r="F53" s="1399"/>
      <c r="G53" s="1399"/>
      <c r="H53" s="1399"/>
      <c r="I53" s="1399"/>
      <c r="J53" s="1399"/>
      <c r="K53" s="1399"/>
      <c r="L53" s="1399"/>
      <c r="M53" s="1620"/>
      <c r="N53" s="1620"/>
      <c r="O53" s="1399"/>
    </row>
    <row r="54" ht="15.75" customHeight="1">
      <c r="A54" s="1561"/>
      <c r="B54" s="1514"/>
      <c r="C54" s="1615"/>
      <c r="D54" s="1467"/>
      <c r="E54" s="1622"/>
      <c r="F54" s="1399"/>
      <c r="G54" s="1399"/>
      <c r="H54" s="1399"/>
      <c r="I54" s="1399"/>
      <c r="J54" s="1399"/>
      <c r="K54" s="1399"/>
      <c r="L54" s="1399"/>
      <c r="M54" s="1620"/>
      <c r="N54" s="1620"/>
      <c r="O54" s="1399"/>
    </row>
    <row r="55" ht="15.75" customHeight="1">
      <c r="A55" s="1634"/>
      <c r="B55" s="1634"/>
      <c r="C55" s="1615"/>
      <c r="D55" s="1643"/>
      <c r="E55" s="1622"/>
      <c r="F55" s="1399"/>
      <c r="G55" s="1399"/>
      <c r="H55" s="1399"/>
      <c r="I55" s="1399"/>
      <c r="J55" s="1399"/>
      <c r="K55" s="1399"/>
      <c r="L55" s="1399"/>
      <c r="M55" s="1620"/>
      <c r="N55" s="1620"/>
      <c r="O55" s="1399"/>
    </row>
    <row r="56" ht="15.75" customHeight="1">
      <c r="A56" s="1572"/>
      <c r="B56" s="1515"/>
      <c r="C56" s="1642"/>
      <c r="D56" s="1467"/>
      <c r="E56" s="1622"/>
      <c r="F56" s="1399"/>
      <c r="G56" s="1399"/>
      <c r="H56" s="1399"/>
      <c r="I56" s="1399"/>
      <c r="J56" s="1399"/>
      <c r="K56" s="1399"/>
      <c r="L56" s="1399"/>
      <c r="M56" s="1620"/>
      <c r="N56" s="1620"/>
      <c r="O56" s="1399"/>
    </row>
    <row r="57" ht="16.5" customHeight="1">
      <c r="A57" s="1584"/>
      <c r="B57" s="1515"/>
      <c r="C57" s="1644"/>
      <c r="D57" s="1643"/>
      <c r="E57" s="1622"/>
      <c r="F57" s="1399"/>
      <c r="G57" s="1399"/>
      <c r="H57" s="1399"/>
      <c r="I57" s="1399"/>
      <c r="J57" s="1399"/>
      <c r="K57" s="1399"/>
      <c r="L57" s="1399"/>
      <c r="M57" s="1620"/>
      <c r="N57" s="1620"/>
      <c r="O57" s="1399"/>
    </row>
    <row r="58">
      <c r="A58" s="1634"/>
      <c r="B58" s="1634"/>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4"/>
      <c r="B60" s="1634"/>
      <c r="C60" s="1615"/>
      <c r="D60" s="1399"/>
      <c r="E60" s="1622"/>
      <c r="F60" s="1399"/>
      <c r="G60" s="1399"/>
      <c r="H60" s="1399"/>
      <c r="I60" s="1399"/>
      <c r="J60" s="1399"/>
      <c r="K60" s="1399"/>
      <c r="L60" s="1399"/>
      <c r="M60" s="1620"/>
      <c r="N60" s="1620"/>
      <c r="O60" s="1399"/>
    </row>
    <row r="61">
      <c r="A61" s="1572"/>
      <c r="B61" s="1448"/>
      <c r="C61" s="1642"/>
      <c r="D61" s="1399"/>
      <c r="E61" s="1622"/>
      <c r="F61" s="1399"/>
      <c r="G61" s="1399"/>
      <c r="H61" s="1399"/>
      <c r="I61" s="1399"/>
      <c r="J61" s="1399"/>
      <c r="K61" s="1399"/>
      <c r="L61" s="1399"/>
      <c r="M61" s="1620"/>
      <c r="N61" s="1620"/>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8237</v>
      </c>
      <c r="C1" s="1664" t="s">
        <v>10428</v>
      </c>
      <c r="D1" s="1665" t="s">
        <v>6486</v>
      </c>
      <c r="E1" s="1666" t="s">
        <v>6752</v>
      </c>
      <c r="F1" s="1667" t="s">
        <v>38</v>
      </c>
      <c r="G1" s="1668" t="s">
        <v>36</v>
      </c>
      <c r="H1" s="1664" t="s">
        <v>10429</v>
      </c>
      <c r="I1" s="1669" t="s">
        <v>39</v>
      </c>
      <c r="J1" s="1670" t="s">
        <v>6700</v>
      </c>
      <c r="K1" s="1316" t="s">
        <v>8271</v>
      </c>
      <c r="L1" s="1316" t="s">
        <v>8273</v>
      </c>
    </row>
    <row r="2" ht="15.75" customHeight="1">
      <c r="A2" s="1329" t="s">
        <v>8274</v>
      </c>
      <c r="B2" s="1329" t="s">
        <v>8275</v>
      </c>
      <c r="C2" s="1332" t="s">
        <v>10430</v>
      </c>
      <c r="D2" s="1335" t="s">
        <v>10698</v>
      </c>
      <c r="E2" s="1671" t="s">
        <v>10699</v>
      </c>
      <c r="F2" s="1672" t="s">
        <v>10700</v>
      </c>
      <c r="G2" s="1673" t="s">
        <v>10701</v>
      </c>
      <c r="H2" s="1333" t="s">
        <v>10702</v>
      </c>
      <c r="I2" s="1346" t="s">
        <v>10703</v>
      </c>
      <c r="J2" s="1348" t="s">
        <v>10704</v>
      </c>
      <c r="K2" s="1352" t="s">
        <v>8486</v>
      </c>
      <c r="L2" s="1674"/>
    </row>
    <row r="3" ht="15.75" customHeight="1">
      <c r="A3" s="1354" t="s">
        <v>8302</v>
      </c>
      <c r="B3" s="1354" t="s">
        <v>8303</v>
      </c>
      <c r="C3" s="1357" t="s">
        <v>10605</v>
      </c>
      <c r="D3" s="1358" t="s">
        <v>10705</v>
      </c>
      <c r="E3" s="1359" t="s">
        <v>10706</v>
      </c>
      <c r="F3" s="1360" t="s">
        <v>10707</v>
      </c>
      <c r="G3" s="1363" t="s">
        <v>10708</v>
      </c>
      <c r="H3" s="1357" t="s">
        <v>10709</v>
      </c>
      <c r="I3" s="1365" t="s">
        <v>10710</v>
      </c>
      <c r="J3" s="1367" t="s">
        <v>10711</v>
      </c>
      <c r="K3" s="1609">
        <v>0.053043981481481484</v>
      </c>
    </row>
    <row r="4" ht="15.75" customHeight="1">
      <c r="A4" s="1370" t="s">
        <v>8331</v>
      </c>
      <c r="B4" s="1370" t="s">
        <v>8332</v>
      </c>
      <c r="C4" s="1373" t="s">
        <v>10597</v>
      </c>
      <c r="D4" s="1374" t="s">
        <v>10712</v>
      </c>
      <c r="E4" s="1375" t="s">
        <v>10713</v>
      </c>
      <c r="F4" s="1376" t="s">
        <v>10714</v>
      </c>
      <c r="G4" s="1377" t="s">
        <v>10715</v>
      </c>
      <c r="H4" s="1373" t="s">
        <v>10716</v>
      </c>
      <c r="I4" s="1379" t="s">
        <v>10717</v>
      </c>
      <c r="J4" s="1380" t="s">
        <v>10718</v>
      </c>
      <c r="K4" s="1675">
        <v>0.053043981481481484</v>
      </c>
    </row>
    <row r="5" ht="15.75" customHeight="1">
      <c r="A5" s="1561" t="s">
        <v>6155</v>
      </c>
      <c r="B5" s="1500" t="s">
        <v>8275</v>
      </c>
      <c r="C5" s="1546" t="s">
        <v>10474</v>
      </c>
      <c r="D5" s="1399" t="s">
        <v>10719</v>
      </c>
      <c r="E5" s="1399" t="s">
        <v>10720</v>
      </c>
      <c r="F5" s="1399" t="s">
        <v>10721</v>
      </c>
      <c r="G5" s="1399" t="s">
        <v>10722</v>
      </c>
      <c r="H5" s="1399" t="s">
        <v>10723</v>
      </c>
      <c r="I5" s="1399" t="s">
        <v>10724</v>
      </c>
      <c r="J5" s="1676" t="s">
        <v>10704</v>
      </c>
      <c r="K5" s="1677" t="s">
        <v>8486</v>
      </c>
      <c r="L5" s="1399"/>
    </row>
    <row r="6" ht="15.75" customHeight="1">
      <c r="A6" s="1584" t="s">
        <v>1936</v>
      </c>
      <c r="B6" s="1584" t="s">
        <v>8275</v>
      </c>
      <c r="C6" s="1399" t="s">
        <v>10466</v>
      </c>
      <c r="D6" s="1399" t="s">
        <v>10725</v>
      </c>
      <c r="E6" s="1633" t="s">
        <v>10726</v>
      </c>
      <c r="F6" s="1409" t="s">
        <v>10727</v>
      </c>
      <c r="G6" s="1678" t="s">
        <v>10728</v>
      </c>
      <c r="H6" s="1678" t="s">
        <v>10729</v>
      </c>
      <c r="I6" s="1399" t="s">
        <v>10730</v>
      </c>
      <c r="J6" s="1679" t="s">
        <v>10731</v>
      </c>
      <c r="K6" s="1679" t="s">
        <v>8441</v>
      </c>
      <c r="L6" s="1399" t="s">
        <v>10732</v>
      </c>
    </row>
    <row r="7" ht="15.75" customHeight="1">
      <c r="A7" s="1543" t="s">
        <v>1128</v>
      </c>
      <c r="B7" s="1500" t="s">
        <v>8275</v>
      </c>
      <c r="C7" s="1409" t="s">
        <v>10733</v>
      </c>
      <c r="D7" s="1409" t="s">
        <v>10734</v>
      </c>
      <c r="E7" s="1412" t="s">
        <v>10699</v>
      </c>
      <c r="F7" s="1412" t="s">
        <v>10700</v>
      </c>
      <c r="G7" s="1412" t="s">
        <v>10701</v>
      </c>
      <c r="H7" s="1412" t="s">
        <v>10702</v>
      </c>
      <c r="I7" s="1412" t="s">
        <v>10703</v>
      </c>
      <c r="J7" s="1680" t="s">
        <v>10735</v>
      </c>
      <c r="K7" s="1399" t="s">
        <v>8382</v>
      </c>
      <c r="L7" s="1399" t="s">
        <v>10736</v>
      </c>
    </row>
    <row r="8" ht="15.75" customHeight="1">
      <c r="A8" s="1614" t="s">
        <v>431</v>
      </c>
      <c r="B8" s="1386" t="s">
        <v>8275</v>
      </c>
      <c r="C8" s="1409" t="s">
        <v>10453</v>
      </c>
      <c r="D8" s="1399" t="s">
        <v>10698</v>
      </c>
      <c r="E8" s="1399" t="s">
        <v>10737</v>
      </c>
      <c r="F8" s="1399" t="s">
        <v>10738</v>
      </c>
      <c r="G8" s="1399" t="s">
        <v>10739</v>
      </c>
      <c r="H8" s="1399" t="s">
        <v>10740</v>
      </c>
      <c r="I8" s="1399" t="s">
        <v>10741</v>
      </c>
      <c r="J8" s="1399" t="s">
        <v>10742</v>
      </c>
      <c r="K8" s="1399" t="s">
        <v>8382</v>
      </c>
      <c r="L8" s="1399"/>
    </row>
    <row r="9" ht="15.75" customHeight="1">
      <c r="A9" s="1584" t="s">
        <v>6266</v>
      </c>
      <c r="B9" s="1386" t="s">
        <v>8275</v>
      </c>
      <c r="C9" s="1399" t="s">
        <v>10743</v>
      </c>
      <c r="D9" s="1399" t="s">
        <v>10744</v>
      </c>
      <c r="E9" s="1399" t="s">
        <v>10745</v>
      </c>
      <c r="F9" s="1409" t="s">
        <v>10746</v>
      </c>
      <c r="G9" s="1409" t="s">
        <v>10747</v>
      </c>
      <c r="H9" s="1681" t="s">
        <v>10748</v>
      </c>
      <c r="I9" s="1409" t="s">
        <v>10749</v>
      </c>
      <c r="J9" s="1409" t="s">
        <v>10750</v>
      </c>
      <c r="K9" s="1399" t="s">
        <v>8421</v>
      </c>
      <c r="L9" s="1399"/>
    </row>
    <row r="10" ht="15.75" customHeight="1">
      <c r="A10" s="1572" t="s">
        <v>2000</v>
      </c>
      <c r="B10" s="1386" t="s">
        <v>8275</v>
      </c>
      <c r="C10" s="1450" t="s">
        <v>10430</v>
      </c>
      <c r="D10" s="1399" t="s">
        <v>10751</v>
      </c>
      <c r="E10" s="1399" t="s">
        <v>10752</v>
      </c>
      <c r="F10" s="1399" t="s">
        <v>10753</v>
      </c>
      <c r="G10" s="1399" t="s">
        <v>10754</v>
      </c>
      <c r="H10" s="1399" t="s">
        <v>10755</v>
      </c>
      <c r="I10" s="1399" t="s">
        <v>10756</v>
      </c>
      <c r="J10" s="1399" t="s">
        <v>10757</v>
      </c>
      <c r="K10" s="1399" t="s">
        <v>8612</v>
      </c>
      <c r="L10" s="1399"/>
    </row>
    <row r="11" ht="15.75" customHeight="1">
      <c r="A11" s="1614" t="s">
        <v>327</v>
      </c>
      <c r="B11" s="1386" t="s">
        <v>8275</v>
      </c>
      <c r="C11" s="1399" t="s">
        <v>10758</v>
      </c>
      <c r="D11" s="1399" t="s">
        <v>10759</v>
      </c>
      <c r="E11" s="1399" t="s">
        <v>10760</v>
      </c>
      <c r="F11" s="1399" t="s">
        <v>10761</v>
      </c>
      <c r="G11" s="1399" t="s">
        <v>10762</v>
      </c>
      <c r="H11" s="1399" t="s">
        <v>10763</v>
      </c>
      <c r="I11" s="1399" t="s">
        <v>10764</v>
      </c>
      <c r="J11" s="1399" t="s">
        <v>10765</v>
      </c>
      <c r="K11" s="1399" t="s">
        <v>8465</v>
      </c>
      <c r="L11" s="1399"/>
    </row>
    <row r="12" ht="16.5" customHeight="1">
      <c r="A12" s="1625" t="s">
        <v>2633</v>
      </c>
      <c r="B12" s="1386" t="s">
        <v>8275</v>
      </c>
      <c r="C12" s="1399" t="s">
        <v>10512</v>
      </c>
      <c r="D12" s="1450" t="s">
        <v>10766</v>
      </c>
      <c r="E12" s="1399" t="s">
        <v>10767</v>
      </c>
      <c r="F12" s="1399" t="s">
        <v>10768</v>
      </c>
      <c r="G12" s="1399" t="s">
        <v>10769</v>
      </c>
      <c r="H12" s="1399" t="s">
        <v>10770</v>
      </c>
      <c r="I12" s="1399" t="s">
        <v>10771</v>
      </c>
      <c r="J12" s="1399" t="s">
        <v>10772</v>
      </c>
      <c r="K12" s="1399" t="s">
        <v>10773</v>
      </c>
      <c r="L12" s="1399" t="s">
        <v>10774</v>
      </c>
    </row>
    <row r="13" ht="15.0" customHeight="1">
      <c r="A13" s="1428" t="s">
        <v>1545</v>
      </c>
      <c r="B13" s="1505" t="s">
        <v>8275</v>
      </c>
      <c r="C13" s="1682" t="s">
        <v>10775</v>
      </c>
      <c r="D13" s="1399" t="s">
        <v>10776</v>
      </c>
      <c r="E13" s="1399" t="s">
        <v>10777</v>
      </c>
      <c r="F13" s="1399" t="s">
        <v>10778</v>
      </c>
      <c r="G13" s="1399" t="s">
        <v>10779</v>
      </c>
      <c r="H13" s="1399" t="s">
        <v>10780</v>
      </c>
      <c r="I13" s="1399" t="s">
        <v>10781</v>
      </c>
      <c r="J13" s="1399" t="s">
        <v>10782</v>
      </c>
      <c r="K13" s="1399" t="s">
        <v>8905</v>
      </c>
      <c r="L13" s="1399"/>
    </row>
    <row r="14" ht="15.75" customHeight="1">
      <c r="A14" s="1543" t="s">
        <v>6260</v>
      </c>
      <c r="B14" s="1386" t="s">
        <v>8275</v>
      </c>
      <c r="C14" s="1399" t="s">
        <v>10535</v>
      </c>
      <c r="D14" s="1399" t="s">
        <v>10783</v>
      </c>
      <c r="E14" s="1399" t="s">
        <v>10784</v>
      </c>
      <c r="F14" s="1399" t="s">
        <v>10785</v>
      </c>
      <c r="G14" s="1399" t="s">
        <v>10786</v>
      </c>
      <c r="H14" s="1399" t="s">
        <v>10787</v>
      </c>
      <c r="I14" s="1399" t="s">
        <v>10788</v>
      </c>
      <c r="J14" s="1399" t="s">
        <v>10789</v>
      </c>
      <c r="K14" s="1399" t="s">
        <v>8786</v>
      </c>
      <c r="L14" s="1399" t="s">
        <v>10790</v>
      </c>
    </row>
    <row r="15" ht="15.75" customHeight="1">
      <c r="A15" s="1614" t="s">
        <v>1411</v>
      </c>
      <c r="B15" s="1386" t="s">
        <v>8275</v>
      </c>
      <c r="C15" s="1399" t="s">
        <v>10791</v>
      </c>
      <c r="D15" s="1399" t="s">
        <v>10792</v>
      </c>
      <c r="E15" s="1399" t="s">
        <v>10793</v>
      </c>
      <c r="F15" s="1399" t="s">
        <v>10794</v>
      </c>
      <c r="G15" s="1399" t="s">
        <v>10795</v>
      </c>
      <c r="H15" s="1399" t="s">
        <v>10796</v>
      </c>
      <c r="I15" s="1399" t="s">
        <v>10797</v>
      </c>
      <c r="J15" s="1399" t="s">
        <v>10798</v>
      </c>
      <c r="K15" s="1399" t="s">
        <v>8762</v>
      </c>
      <c r="L15" s="1399"/>
    </row>
    <row r="16" ht="15.75" customHeight="1">
      <c r="A16" s="1543" t="s">
        <v>2212</v>
      </c>
      <c r="B16" s="1514" t="s">
        <v>8275</v>
      </c>
      <c r="C16" s="1682" t="s">
        <v>10689</v>
      </c>
      <c r="D16" s="1399" t="s">
        <v>10799</v>
      </c>
      <c r="E16" s="1399" t="s">
        <v>10800</v>
      </c>
      <c r="F16" s="1399" t="s">
        <v>10801</v>
      </c>
      <c r="G16" s="1399" t="s">
        <v>10802</v>
      </c>
      <c r="H16" s="1399" t="s">
        <v>10803</v>
      </c>
      <c r="I16" s="1399" t="s">
        <v>10804</v>
      </c>
      <c r="J16" s="1399" t="s">
        <v>10805</v>
      </c>
      <c r="K16" s="1399" t="s">
        <v>8660</v>
      </c>
      <c r="L16" s="1399" t="s">
        <v>10806</v>
      </c>
    </row>
    <row r="17" ht="15.75" customHeight="1">
      <c r="A17" s="1614" t="s">
        <v>822</v>
      </c>
      <c r="B17" s="1386" t="s">
        <v>8275</v>
      </c>
      <c r="C17" s="1399" t="s">
        <v>10807</v>
      </c>
      <c r="D17" s="1399" t="s">
        <v>10808</v>
      </c>
      <c r="E17" s="1399" t="s">
        <v>10809</v>
      </c>
      <c r="F17" s="1399" t="s">
        <v>10810</v>
      </c>
      <c r="G17" s="1399" t="s">
        <v>10811</v>
      </c>
      <c r="H17" s="1399" t="s">
        <v>10812</v>
      </c>
      <c r="I17" s="1399" t="s">
        <v>10813</v>
      </c>
      <c r="J17" s="1399" t="s">
        <v>10814</v>
      </c>
      <c r="K17" s="1399" t="s">
        <v>9086</v>
      </c>
      <c r="L17" s="1399"/>
    </row>
    <row r="18" ht="15.75" customHeight="1">
      <c r="A18" s="1543" t="s">
        <v>1635</v>
      </c>
      <c r="B18" s="1500" t="s">
        <v>8275</v>
      </c>
      <c r="C18" s="1399" t="s">
        <v>10815</v>
      </c>
      <c r="D18" s="1399" t="s">
        <v>10816</v>
      </c>
      <c r="E18" s="1633" t="s">
        <v>10817</v>
      </c>
      <c r="F18" s="1399" t="s">
        <v>10818</v>
      </c>
      <c r="G18" s="1399" t="s">
        <v>10819</v>
      </c>
      <c r="H18" s="1399" t="s">
        <v>10820</v>
      </c>
      <c r="I18" s="1399" t="s">
        <v>10821</v>
      </c>
      <c r="J18" s="1399" t="s">
        <v>10822</v>
      </c>
      <c r="K18" s="1399" t="s">
        <v>8811</v>
      </c>
      <c r="L18" s="1399"/>
    </row>
    <row r="19" ht="15.75" customHeight="1">
      <c r="A19" s="1584" t="s">
        <v>8662</v>
      </c>
      <c r="B19" s="1386" t="s">
        <v>8275</v>
      </c>
      <c r="C19" s="1399" t="s">
        <v>10545</v>
      </c>
      <c r="D19" s="1399" t="s">
        <v>10823</v>
      </c>
      <c r="E19" s="1399" t="s">
        <v>10824</v>
      </c>
      <c r="F19" s="1399" t="s">
        <v>10825</v>
      </c>
      <c r="G19" s="1399" t="s">
        <v>10826</v>
      </c>
      <c r="H19" s="1399" t="s">
        <v>10827</v>
      </c>
      <c r="I19" s="1399" t="s">
        <v>10828</v>
      </c>
      <c r="J19" s="1399" t="s">
        <v>10829</v>
      </c>
      <c r="K19" s="1399" t="s">
        <v>8678</v>
      </c>
      <c r="L19" s="1399"/>
    </row>
    <row r="20" ht="15.75" customHeight="1">
      <c r="A20" s="1543" t="s">
        <v>1719</v>
      </c>
      <c r="B20" s="1500" t="s">
        <v>8275</v>
      </c>
      <c r="C20" s="1682" t="s">
        <v>10830</v>
      </c>
      <c r="D20" s="1399" t="s">
        <v>10831</v>
      </c>
      <c r="E20" s="1399" t="s">
        <v>10832</v>
      </c>
      <c r="F20" s="1399" t="s">
        <v>10833</v>
      </c>
      <c r="G20" s="1399" t="s">
        <v>10834</v>
      </c>
      <c r="H20" s="1399" t="s">
        <v>10835</v>
      </c>
      <c r="I20" s="1399" t="s">
        <v>10836</v>
      </c>
      <c r="J20" s="1399" t="s">
        <v>10837</v>
      </c>
      <c r="K20" s="1399" t="s">
        <v>9065</v>
      </c>
      <c r="L20" s="1399"/>
    </row>
    <row r="21" ht="15.75" customHeight="1">
      <c r="A21" s="1543" t="s">
        <v>734</v>
      </c>
      <c r="B21" s="1500" t="s">
        <v>8303</v>
      </c>
      <c r="C21" s="1399" t="s">
        <v>10838</v>
      </c>
      <c r="D21" s="1628" t="s">
        <v>10705</v>
      </c>
      <c r="E21" s="1628" t="s">
        <v>10706</v>
      </c>
      <c r="F21" s="1628" t="s">
        <v>10707</v>
      </c>
      <c r="G21" s="1628" t="s">
        <v>10708</v>
      </c>
      <c r="H21" s="1628" t="s">
        <v>10709</v>
      </c>
      <c r="I21" s="1628" t="s">
        <v>10710</v>
      </c>
      <c r="J21" s="1628" t="s">
        <v>10711</v>
      </c>
      <c r="K21" s="1628" t="s">
        <v>8635</v>
      </c>
      <c r="L21" s="1399" t="s">
        <v>10839</v>
      </c>
    </row>
    <row r="22" ht="15.75" customHeight="1">
      <c r="A22" s="1561" t="s">
        <v>1340</v>
      </c>
      <c r="B22" s="1500" t="s">
        <v>8332</v>
      </c>
      <c r="C22" s="1507" t="s">
        <v>10597</v>
      </c>
      <c r="D22" s="1507" t="s">
        <v>10712</v>
      </c>
      <c r="E22" s="1507" t="s">
        <v>10713</v>
      </c>
      <c r="F22" s="1507" t="s">
        <v>10714</v>
      </c>
      <c r="G22" s="1507" t="s">
        <v>10715</v>
      </c>
      <c r="H22" s="1507" t="s">
        <v>10716</v>
      </c>
      <c r="I22" s="1507" t="s">
        <v>10717</v>
      </c>
      <c r="J22" s="1507" t="s">
        <v>10718</v>
      </c>
      <c r="K22" s="1507" t="s">
        <v>8635</v>
      </c>
      <c r="L22" s="1399"/>
    </row>
    <row r="23" ht="16.5" customHeight="1">
      <c r="A23" s="1561" t="s">
        <v>10840</v>
      </c>
      <c r="B23" s="1500" t="s">
        <v>8275</v>
      </c>
      <c r="C23" s="1638" t="s">
        <v>10579</v>
      </c>
      <c r="D23" s="1399" t="s">
        <v>10841</v>
      </c>
      <c r="E23" s="1399" t="s">
        <v>10842</v>
      </c>
      <c r="F23" s="1399" t="s">
        <v>10843</v>
      </c>
      <c r="G23" s="1399" t="s">
        <v>10826</v>
      </c>
      <c r="H23" s="1399" t="s">
        <v>10844</v>
      </c>
      <c r="I23" s="1399" t="s">
        <v>10845</v>
      </c>
      <c r="J23" s="1399" t="s">
        <v>10846</v>
      </c>
      <c r="K23" s="1399" t="s">
        <v>9284</v>
      </c>
      <c r="L23" s="1399"/>
    </row>
    <row r="24" ht="15.75" customHeight="1">
      <c r="A24" s="1561" t="s">
        <v>2812</v>
      </c>
      <c r="B24" s="1500" t="s">
        <v>8275</v>
      </c>
      <c r="C24" s="1399" t="s">
        <v>10847</v>
      </c>
      <c r="D24" s="1399" t="s">
        <v>10848</v>
      </c>
      <c r="E24" s="1399" t="s">
        <v>10849</v>
      </c>
      <c r="F24" s="1399" t="s">
        <v>10850</v>
      </c>
      <c r="G24" s="1399" t="s">
        <v>10851</v>
      </c>
      <c r="H24" s="1399" t="s">
        <v>10852</v>
      </c>
      <c r="I24" s="1399" t="s">
        <v>10853</v>
      </c>
      <c r="J24" s="1399" t="s">
        <v>10854</v>
      </c>
      <c r="K24" s="1399" t="s">
        <v>10855</v>
      </c>
      <c r="L24" s="1399" t="s">
        <v>10856</v>
      </c>
    </row>
    <row r="25">
      <c r="A25" s="1624" t="s">
        <v>2922</v>
      </c>
      <c r="B25" s="1624" t="s">
        <v>8303</v>
      </c>
      <c r="C25" s="1682" t="s">
        <v>10857</v>
      </c>
      <c r="D25" s="1399"/>
      <c r="E25" s="1399" t="s">
        <v>10858</v>
      </c>
      <c r="F25" s="1399" t="s">
        <v>10859</v>
      </c>
      <c r="G25" s="1399"/>
      <c r="H25" s="1399"/>
      <c r="I25" s="1399"/>
      <c r="J25" s="1399"/>
      <c r="K25" s="1399" t="s">
        <v>9370</v>
      </c>
      <c r="L25" s="1399"/>
    </row>
    <row r="26" ht="15.75" customHeight="1">
      <c r="A26" s="1543" t="s">
        <v>2525</v>
      </c>
      <c r="B26" s="1505" t="s">
        <v>8303</v>
      </c>
      <c r="C26" s="1628" t="s">
        <v>10605</v>
      </c>
      <c r="D26" s="1399" t="s">
        <v>10860</v>
      </c>
      <c r="E26" s="1399" t="s">
        <v>10861</v>
      </c>
      <c r="F26" s="1399" t="s">
        <v>10862</v>
      </c>
      <c r="G26" s="1399" t="s">
        <v>10863</v>
      </c>
      <c r="H26" s="1399" t="s">
        <v>10864</v>
      </c>
      <c r="I26" s="1399" t="s">
        <v>10865</v>
      </c>
      <c r="J26" s="1399" t="s">
        <v>10866</v>
      </c>
      <c r="K26" s="1399" t="s">
        <v>9260</v>
      </c>
      <c r="L26" s="1399"/>
    </row>
    <row r="27">
      <c r="A27" s="1634" t="s">
        <v>2491</v>
      </c>
      <c r="B27" s="1514" t="s">
        <v>8303</v>
      </c>
      <c r="C27" s="1399" t="s">
        <v>10867</v>
      </c>
      <c r="D27" s="1399" t="s">
        <v>10868</v>
      </c>
      <c r="E27" s="1399" t="s">
        <v>10869</v>
      </c>
      <c r="F27" s="1399" t="s">
        <v>10870</v>
      </c>
      <c r="G27" s="1399" t="s">
        <v>10871</v>
      </c>
      <c r="H27" s="1399" t="s">
        <v>10872</v>
      </c>
      <c r="I27" s="1399" t="s">
        <v>10873</v>
      </c>
      <c r="J27" s="1399" t="s">
        <v>10874</v>
      </c>
      <c r="K27" s="1399" t="s">
        <v>10092</v>
      </c>
      <c r="L27" s="1399" t="s">
        <v>10875</v>
      </c>
    </row>
    <row r="28" ht="15.75" customHeight="1">
      <c r="A28" s="1561" t="s">
        <v>5336</v>
      </c>
      <c r="B28" s="1500" t="s">
        <v>8275</v>
      </c>
      <c r="C28" s="1682" t="s">
        <v>10876</v>
      </c>
      <c r="D28" s="1399" t="s">
        <v>10877</v>
      </c>
      <c r="E28" s="1399" t="s">
        <v>10878</v>
      </c>
      <c r="F28" s="1399" t="s">
        <v>10879</v>
      </c>
      <c r="G28" s="1399" t="s">
        <v>10880</v>
      </c>
      <c r="H28" s="1399" t="s">
        <v>10881</v>
      </c>
      <c r="I28" s="1399" t="s">
        <v>10882</v>
      </c>
      <c r="J28" s="1399" t="s">
        <v>10883</v>
      </c>
      <c r="K28" s="1399" t="s">
        <v>10884</v>
      </c>
      <c r="L28" s="1399" t="s">
        <v>10885</v>
      </c>
    </row>
    <row r="29" ht="15.75" customHeight="1">
      <c r="A29" s="1561" t="s">
        <v>4785</v>
      </c>
      <c r="B29" s="1500" t="s">
        <v>8303</v>
      </c>
      <c r="C29" s="1682" t="s">
        <v>10681</v>
      </c>
      <c r="D29" s="1399" t="s">
        <v>10886</v>
      </c>
      <c r="E29" s="1399" t="s">
        <v>10887</v>
      </c>
      <c r="F29" s="1399" t="s">
        <v>10888</v>
      </c>
      <c r="G29" s="1399" t="s">
        <v>10889</v>
      </c>
      <c r="H29" s="1399" t="s">
        <v>10890</v>
      </c>
      <c r="I29" s="1399" t="s">
        <v>10891</v>
      </c>
      <c r="J29" s="1399" t="s">
        <v>10892</v>
      </c>
      <c r="K29" s="1399" t="s">
        <v>10344</v>
      </c>
      <c r="L29" s="1399" t="s">
        <v>10893</v>
      </c>
    </row>
    <row r="30" ht="15.75" customHeight="1">
      <c r="A30" s="1561"/>
      <c r="B30" s="1515"/>
      <c r="C30" s="1683"/>
      <c r="D30" s="1399"/>
      <c r="E30" s="1399"/>
      <c r="F30" s="1399"/>
      <c r="G30" s="1399"/>
      <c r="H30" s="1399"/>
      <c r="I30" s="1399"/>
      <c r="J30" s="1399"/>
      <c r="K30" s="1399"/>
      <c r="L30" s="1399"/>
    </row>
    <row r="31" ht="15.75" customHeight="1">
      <c r="A31" s="1584"/>
      <c r="B31" s="1386"/>
      <c r="C31" s="1683"/>
      <c r="D31" s="1399"/>
      <c r="E31" s="1399"/>
      <c r="F31" s="1399"/>
      <c r="G31" s="1399"/>
      <c r="H31" s="1399"/>
      <c r="I31" s="1399"/>
      <c r="J31" s="1399"/>
      <c r="K31" s="1399"/>
      <c r="L31" s="1399"/>
    </row>
    <row r="32" ht="15.75" customHeight="1">
      <c r="A32" s="1572"/>
      <c r="B32" s="1386"/>
      <c r="C32" s="1683"/>
      <c r="D32" s="1399"/>
      <c r="E32" s="1399"/>
      <c r="F32" s="1399"/>
      <c r="G32" s="1399"/>
      <c r="H32" s="1399"/>
      <c r="I32" s="1399"/>
      <c r="J32" s="1399"/>
      <c r="K32" s="1399"/>
      <c r="L32" s="1399"/>
    </row>
    <row r="33" ht="15.75" customHeight="1">
      <c r="A33" s="1584"/>
      <c r="B33" s="1386"/>
      <c r="C33" s="1683"/>
      <c r="D33" s="1399"/>
      <c r="E33" s="1399"/>
      <c r="F33" s="1399"/>
      <c r="G33" s="1399"/>
      <c r="H33" s="1399"/>
      <c r="I33" s="1399"/>
      <c r="J33" s="1399"/>
      <c r="K33" s="1399"/>
      <c r="L33" s="1399"/>
    </row>
    <row r="34" ht="15.75" customHeight="1">
      <c r="A34" s="1572"/>
      <c r="B34" s="1386"/>
      <c r="C34" s="1683"/>
      <c r="D34" s="1399"/>
      <c r="E34" s="1399"/>
      <c r="F34" s="1399"/>
      <c r="G34" s="1399"/>
      <c r="H34" s="1399"/>
      <c r="I34" s="1399"/>
      <c r="J34" s="1399"/>
      <c r="K34" s="1399"/>
      <c r="L34" s="1399"/>
    </row>
    <row r="35" ht="15.75" customHeight="1">
      <c r="A35" s="1584"/>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61"/>
      <c r="B37" s="1515"/>
      <c r="C37" s="1683"/>
      <c r="D37" s="1399"/>
      <c r="E37" s="1399"/>
      <c r="F37" s="1399"/>
      <c r="G37" s="1399"/>
      <c r="H37" s="1399"/>
      <c r="I37" s="1399"/>
      <c r="J37" s="1399"/>
      <c r="K37" s="1399"/>
      <c r="L37" s="1399"/>
    </row>
    <row r="38" ht="15.75" customHeight="1">
      <c r="A38" s="1543"/>
      <c r="B38" s="1448"/>
      <c r="C38" s="1683"/>
      <c r="D38" s="1399"/>
      <c r="E38" s="1399"/>
      <c r="F38" s="1399"/>
      <c r="G38" s="1399"/>
      <c r="H38" s="1399"/>
      <c r="I38" s="1399"/>
      <c r="J38" s="1399"/>
      <c r="K38" s="1399"/>
      <c r="L38" s="1399"/>
    </row>
    <row r="39">
      <c r="A39" s="1624"/>
      <c r="B39" s="1624"/>
      <c r="C39" s="1683"/>
      <c r="D39" s="1399"/>
      <c r="E39" s="1399"/>
      <c r="F39" s="1399"/>
      <c r="G39" s="1399"/>
      <c r="H39" s="1399"/>
      <c r="I39" s="1399"/>
      <c r="J39" s="1399"/>
      <c r="K39" s="1399"/>
      <c r="L39" s="1399"/>
    </row>
    <row r="40" ht="15.75" customHeight="1">
      <c r="A40" s="1572"/>
      <c r="B40" s="1448"/>
      <c r="C40" s="1683"/>
      <c r="D40" s="1399"/>
      <c r="E40" s="1399"/>
      <c r="F40" s="1399"/>
      <c r="G40" s="1399"/>
      <c r="H40" s="1399"/>
      <c r="I40" s="1399"/>
      <c r="J40" s="1399"/>
      <c r="K40" s="1399"/>
      <c r="L40" s="1399"/>
    </row>
    <row r="41">
      <c r="A41" s="1561"/>
      <c r="B41" s="1561"/>
      <c r="C41" s="1683"/>
      <c r="D41" s="1399"/>
      <c r="E41" s="1399"/>
      <c r="F41" s="1399"/>
      <c r="G41" s="1399"/>
      <c r="H41" s="1399"/>
      <c r="I41" s="1399"/>
      <c r="J41" s="1399"/>
      <c r="K41" s="1399"/>
      <c r="L41" s="1399"/>
    </row>
    <row r="42" ht="15.75" customHeight="1">
      <c r="A42" s="1584"/>
      <c r="B42" s="1448"/>
      <c r="C42" s="1683"/>
      <c r="D42" s="1399"/>
      <c r="E42" s="1399"/>
      <c r="F42" s="1399"/>
      <c r="G42" s="1399"/>
      <c r="H42" s="1399"/>
      <c r="I42" s="1399"/>
      <c r="J42" s="1399"/>
      <c r="K42" s="1399"/>
      <c r="L42" s="1399"/>
    </row>
    <row r="43" ht="15.75" customHeight="1">
      <c r="A43" s="1572"/>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2"/>
      <c r="B45" s="1386"/>
      <c r="C45" s="1683"/>
      <c r="D45" s="1399"/>
      <c r="E45" s="1399"/>
      <c r="F45" s="1399"/>
      <c r="G45" s="1399"/>
      <c r="H45" s="1399"/>
      <c r="I45" s="1399"/>
      <c r="J45" s="1399"/>
      <c r="K45" s="1399"/>
      <c r="L45" s="1399"/>
    </row>
    <row r="46" ht="15.75" customHeight="1">
      <c r="A46" s="1584"/>
      <c r="B46" s="1386"/>
      <c r="C46" s="1683"/>
      <c r="D46" s="1399"/>
      <c r="E46" s="1399"/>
      <c r="F46" s="1399"/>
      <c r="G46" s="1399"/>
      <c r="H46" s="1399"/>
      <c r="I46" s="1399"/>
      <c r="J46" s="1399"/>
      <c r="K46" s="1399"/>
      <c r="L46" s="1399"/>
    </row>
    <row r="47" ht="15.75" customHeight="1">
      <c r="A47" s="1572"/>
      <c r="B47" s="1448"/>
      <c r="C47" s="1683"/>
      <c r="D47" s="1399"/>
      <c r="E47" s="1399"/>
      <c r="F47" s="1399"/>
      <c r="G47" s="1399"/>
      <c r="H47" s="1399"/>
      <c r="I47" s="1399"/>
      <c r="J47" s="1399"/>
      <c r="K47" s="1399"/>
      <c r="L47" s="1399"/>
    </row>
    <row r="48" ht="15.0" customHeight="1">
      <c r="A48" s="1584"/>
      <c r="B48" s="1448"/>
      <c r="C48" s="1683"/>
      <c r="D48" s="1399"/>
      <c r="E48" s="1399"/>
      <c r="F48" s="1399"/>
      <c r="G48" s="1399"/>
      <c r="H48" s="1399"/>
      <c r="I48" s="1399"/>
      <c r="J48" s="1399"/>
      <c r="K48" s="1399"/>
      <c r="L48" s="1399"/>
    </row>
    <row r="49" ht="15.75" customHeight="1">
      <c r="A49" s="1561"/>
      <c r="B49" s="1500"/>
      <c r="C49" s="1683"/>
      <c r="D49" s="1399"/>
      <c r="E49" s="1399"/>
      <c r="F49" s="1399"/>
      <c r="G49" s="1399"/>
      <c r="H49" s="1399"/>
      <c r="I49" s="1399"/>
      <c r="J49" s="1399"/>
      <c r="K49" s="1399"/>
      <c r="L49" s="1399"/>
    </row>
    <row r="50" ht="15.75" customHeight="1">
      <c r="A50" s="1572"/>
      <c r="B50" s="1515"/>
      <c r="C50" s="1683"/>
      <c r="D50" s="1399"/>
      <c r="E50" s="1399"/>
      <c r="F50" s="1399"/>
      <c r="G50" s="1399"/>
      <c r="H50" s="1399"/>
      <c r="I50" s="1399"/>
      <c r="J50" s="1399"/>
      <c r="K50" s="1399"/>
      <c r="L50" s="1399"/>
    </row>
    <row r="51">
      <c r="A51" s="1624"/>
      <c r="B51" s="1624"/>
      <c r="C51" s="1683"/>
      <c r="D51" s="1399"/>
      <c r="E51" s="1399"/>
      <c r="F51" s="1399"/>
      <c r="G51" s="1399"/>
      <c r="H51" s="1399"/>
      <c r="I51" s="1399"/>
      <c r="J51" s="1399"/>
      <c r="K51" s="1399"/>
      <c r="L51" s="1399"/>
    </row>
    <row r="52" ht="15.75" customHeight="1">
      <c r="A52" s="1584"/>
      <c r="B52" s="1386"/>
      <c r="C52" s="1683"/>
      <c r="D52" s="1399"/>
      <c r="E52" s="1399"/>
      <c r="F52" s="1399"/>
      <c r="G52" s="1399"/>
      <c r="H52" s="1399"/>
      <c r="I52" s="1399"/>
      <c r="J52" s="1399"/>
      <c r="K52" s="1399"/>
      <c r="L52" s="1399"/>
    </row>
    <row r="53" ht="15.75" customHeight="1">
      <c r="A53" s="1572"/>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4"/>
      <c r="B55" s="1448"/>
      <c r="C55" s="1683"/>
      <c r="D55" s="1399"/>
      <c r="E55" s="1399"/>
      <c r="F55" s="1399"/>
      <c r="G55" s="1399"/>
      <c r="H55" s="1399"/>
      <c r="I55" s="1399"/>
      <c r="J55" s="1399"/>
      <c r="K55" s="1399"/>
      <c r="L55" s="1399"/>
    </row>
    <row r="56" ht="15.75" customHeight="1">
      <c r="A56" s="1572"/>
      <c r="B56" s="1515"/>
      <c r="C56" s="1683"/>
      <c r="D56" s="1399"/>
      <c r="E56" s="1399"/>
      <c r="F56" s="1399"/>
      <c r="G56" s="1399"/>
      <c r="H56" s="1399"/>
      <c r="I56" s="1399"/>
      <c r="J56" s="1399"/>
      <c r="K56" s="1399"/>
      <c r="L56" s="1399"/>
    </row>
    <row r="57" ht="15.75" customHeight="1">
      <c r="A57" s="1634"/>
      <c r="B57" s="1500"/>
      <c r="C57" s="1683"/>
      <c r="D57" s="1399"/>
      <c r="E57" s="1399"/>
      <c r="F57" s="1399"/>
      <c r="G57" s="1399"/>
      <c r="H57" s="1399"/>
      <c r="I57" s="1399"/>
      <c r="J57" s="1399"/>
      <c r="K57" s="1399"/>
      <c r="L57" s="1399"/>
    </row>
    <row r="58" ht="15.75" customHeight="1">
      <c r="A58" s="1561"/>
      <c r="B58" s="1514"/>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2"/>
      <c r="B60" s="1515"/>
      <c r="C60" s="1683"/>
      <c r="D60" s="1399"/>
      <c r="E60" s="1399"/>
      <c r="F60" s="1399"/>
      <c r="G60" s="1399"/>
      <c r="H60" s="1399"/>
      <c r="I60" s="1399"/>
      <c r="J60" s="1399"/>
      <c r="K60" s="1399"/>
      <c r="L60" s="1399"/>
    </row>
    <row r="61" ht="16.5" customHeight="1">
      <c r="A61" s="1584"/>
      <c r="B61" s="1515"/>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3"/>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61"/>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58"/>
      <c r="B69" s="1624"/>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10894</v>
      </c>
      <c r="C1" s="1687" t="s">
        <v>43</v>
      </c>
      <c r="D1" s="1688" t="s">
        <v>10895</v>
      </c>
      <c r="E1" s="1687" t="s">
        <v>10896</v>
      </c>
      <c r="F1" s="1689" t="s">
        <v>10897</v>
      </c>
    </row>
    <row r="2">
      <c r="A2" s="1690"/>
      <c r="B2" s="1691"/>
      <c r="C2" s="1691"/>
      <c r="D2" s="1691"/>
      <c r="E2" s="1691"/>
      <c r="F2" s="1691"/>
    </row>
    <row r="3">
      <c r="A3" s="1690"/>
      <c r="B3" s="1691"/>
      <c r="C3" s="1691"/>
      <c r="D3" s="1691"/>
      <c r="E3" s="1691"/>
      <c r="F3" s="1691"/>
    </row>
    <row r="4">
      <c r="A4" s="1692" t="s">
        <v>10898</v>
      </c>
      <c r="B4" s="1693" t="s">
        <v>10899</v>
      </c>
      <c r="C4" s="1694"/>
      <c r="D4" s="1694"/>
      <c r="E4" s="1694"/>
      <c r="F4" s="1695"/>
    </row>
    <row r="5">
      <c r="A5" s="1691"/>
      <c r="B5" s="1696"/>
      <c r="C5" s="1697"/>
      <c r="D5" s="1697"/>
      <c r="E5" s="1697"/>
      <c r="F5" s="1698"/>
    </row>
    <row r="6">
      <c r="A6" s="1699" t="s">
        <v>10899</v>
      </c>
      <c r="B6" s="1700" t="s">
        <v>10900</v>
      </c>
      <c r="C6" s="1701" t="s">
        <v>4103</v>
      </c>
      <c r="D6" s="1702" t="s">
        <v>10901</v>
      </c>
      <c r="E6" s="1701" t="s">
        <v>10902</v>
      </c>
      <c r="F6" s="1703">
        <v>44233.0</v>
      </c>
    </row>
    <row r="7">
      <c r="A7" s="1699" t="s">
        <v>10903</v>
      </c>
      <c r="B7" s="1704" t="s">
        <v>10904</v>
      </c>
      <c r="C7" s="1701" t="s">
        <v>822</v>
      </c>
      <c r="D7" s="1702" t="s">
        <v>10905</v>
      </c>
      <c r="E7" s="1701" t="s">
        <v>10902</v>
      </c>
      <c r="F7" s="1703">
        <v>43878.0</v>
      </c>
    </row>
    <row r="8">
      <c r="A8" s="1699" t="s">
        <v>10906</v>
      </c>
      <c r="B8" s="1705" t="s">
        <v>10907</v>
      </c>
      <c r="C8" s="1701" t="s">
        <v>327</v>
      </c>
      <c r="D8" s="1702" t="s">
        <v>10908</v>
      </c>
      <c r="E8" s="1701" t="s">
        <v>10902</v>
      </c>
      <c r="F8" s="1703">
        <v>43879.0</v>
      </c>
    </row>
    <row r="9">
      <c r="A9" s="1706" t="s">
        <v>10909</v>
      </c>
      <c r="B9" s="1707" t="s">
        <v>10910</v>
      </c>
      <c r="C9" s="1701" t="s">
        <v>3788</v>
      </c>
      <c r="D9" s="1702" t="s">
        <v>10911</v>
      </c>
      <c r="E9" s="1701" t="s">
        <v>10912</v>
      </c>
      <c r="F9" s="1703">
        <v>44084.0</v>
      </c>
    </row>
    <row r="10">
      <c r="A10" s="1706" t="s">
        <v>10913</v>
      </c>
      <c r="B10" s="1707" t="s">
        <v>10914</v>
      </c>
      <c r="C10" s="1708"/>
      <c r="D10" s="1709"/>
      <c r="E10" s="1708"/>
      <c r="F10" s="1708"/>
    </row>
    <row r="11">
      <c r="A11" s="1706" t="s">
        <v>10915</v>
      </c>
      <c r="B11" s="1707"/>
      <c r="C11" s="1708"/>
      <c r="D11" s="1709"/>
      <c r="E11" s="1708"/>
      <c r="F11" s="1708"/>
    </row>
    <row r="12">
      <c r="A12" s="1699" t="s">
        <v>10916</v>
      </c>
      <c r="B12" s="1707"/>
      <c r="C12" s="1708"/>
      <c r="D12" s="1709"/>
      <c r="E12" s="1708"/>
      <c r="F12" s="1708"/>
    </row>
    <row r="13">
      <c r="A13" s="1710" t="s">
        <v>10917</v>
      </c>
      <c r="B13" s="1707"/>
      <c r="C13" s="1708"/>
      <c r="D13" s="1709"/>
      <c r="E13" s="1708"/>
      <c r="F13" s="1708"/>
    </row>
    <row r="14" ht="15.75" customHeight="1">
      <c r="A14" s="1699" t="s">
        <v>10918</v>
      </c>
      <c r="B14" s="1693" t="s">
        <v>10903</v>
      </c>
      <c r="C14" s="1694"/>
      <c r="D14" s="1694"/>
      <c r="E14" s="1694"/>
      <c r="F14" s="1695"/>
    </row>
    <row r="15">
      <c r="A15" s="1699" t="s">
        <v>10919</v>
      </c>
      <c r="B15" s="1696"/>
      <c r="C15" s="1697"/>
      <c r="D15" s="1697"/>
      <c r="E15" s="1697"/>
      <c r="F15" s="1698"/>
    </row>
    <row r="16">
      <c r="A16" s="1699" t="s">
        <v>10920</v>
      </c>
      <c r="B16" s="1700" t="s">
        <v>10900</v>
      </c>
      <c r="C16" s="1701" t="s">
        <v>4103</v>
      </c>
      <c r="D16" s="1702" t="s">
        <v>10921</v>
      </c>
      <c r="E16" s="1701" t="s">
        <v>10902</v>
      </c>
      <c r="F16" s="1703">
        <v>44250.0</v>
      </c>
    </row>
    <row r="17">
      <c r="A17" s="1706" t="s">
        <v>10922</v>
      </c>
      <c r="B17" s="1704" t="s">
        <v>10904</v>
      </c>
      <c r="C17" s="1701" t="s">
        <v>4082</v>
      </c>
      <c r="D17" s="1702" t="s">
        <v>10923</v>
      </c>
      <c r="E17" s="1701" t="s">
        <v>10902</v>
      </c>
      <c r="F17" s="1703">
        <v>43364.0</v>
      </c>
    </row>
    <row r="18">
      <c r="A18" s="1706" t="s">
        <v>10924</v>
      </c>
      <c r="B18" s="1705" t="s">
        <v>10907</v>
      </c>
      <c r="C18" s="1701" t="s">
        <v>10925</v>
      </c>
      <c r="D18" s="1702" t="s">
        <v>10926</v>
      </c>
      <c r="E18" s="1701" t="s">
        <v>10912</v>
      </c>
      <c r="F18" s="1703">
        <v>43757.0</v>
      </c>
    </row>
    <row r="19">
      <c r="A19" s="1706" t="s">
        <v>10927</v>
      </c>
      <c r="B19" s="1707" t="s">
        <v>10910</v>
      </c>
      <c r="C19" s="1701" t="s">
        <v>10928</v>
      </c>
      <c r="D19" s="1702" t="s">
        <v>10929</v>
      </c>
      <c r="E19" s="1701" t="s">
        <v>10912</v>
      </c>
      <c r="F19" s="1703">
        <v>43438.0</v>
      </c>
    </row>
    <row r="20">
      <c r="A20" s="1710" t="s">
        <v>10930</v>
      </c>
      <c r="B20" s="1707" t="s">
        <v>10914</v>
      </c>
      <c r="C20" s="1708"/>
      <c r="D20" s="1709"/>
      <c r="E20" s="1708"/>
      <c r="F20" s="1708"/>
    </row>
    <row r="21">
      <c r="A21" s="1710" t="s">
        <v>10931</v>
      </c>
      <c r="B21" s="1711"/>
      <c r="C21" s="1708"/>
      <c r="D21" s="1709"/>
      <c r="E21" s="1708"/>
      <c r="F21" s="1708"/>
    </row>
    <row r="22">
      <c r="A22" s="1710" t="s">
        <v>10932</v>
      </c>
      <c r="B22" s="1711"/>
      <c r="C22" s="1708"/>
      <c r="D22" s="1709"/>
      <c r="E22" s="1708"/>
      <c r="F22" s="1708"/>
    </row>
    <row r="23">
      <c r="A23" s="1712" t="s">
        <v>10933</v>
      </c>
      <c r="B23" s="1711"/>
      <c r="C23" s="1708"/>
      <c r="D23" s="1709"/>
      <c r="E23" s="1708"/>
      <c r="F23" s="1708"/>
    </row>
    <row r="24">
      <c r="A24" s="1712" t="s">
        <v>10934</v>
      </c>
      <c r="B24" s="1713" t="s">
        <v>10906</v>
      </c>
      <c r="C24" s="1694"/>
      <c r="D24" s="1694"/>
      <c r="E24" s="1694"/>
      <c r="F24" s="1695"/>
    </row>
    <row r="25">
      <c r="A25" s="1714"/>
      <c r="B25" s="1697"/>
      <c r="C25" s="1697"/>
      <c r="D25" s="1697"/>
      <c r="E25" s="1697"/>
      <c r="F25" s="1698"/>
    </row>
    <row r="26">
      <c r="A26" s="1715"/>
      <c r="B26" s="1700" t="s">
        <v>10900</v>
      </c>
      <c r="C26" s="1701" t="s">
        <v>10935</v>
      </c>
      <c r="D26" s="1702" t="s">
        <v>10936</v>
      </c>
      <c r="E26" s="1701" t="s">
        <v>10902</v>
      </c>
      <c r="F26" s="1703">
        <v>44021.0</v>
      </c>
    </row>
    <row r="27">
      <c r="A27" s="1715"/>
      <c r="B27" s="1704" t="s">
        <v>10904</v>
      </c>
      <c r="C27" s="1701" t="s">
        <v>5132</v>
      </c>
      <c r="D27" s="1702" t="s">
        <v>10937</v>
      </c>
      <c r="E27" s="1701" t="s">
        <v>10912</v>
      </c>
      <c r="F27" s="1703">
        <v>44022.0</v>
      </c>
    </row>
    <row r="28">
      <c r="A28" s="1715"/>
      <c r="B28" s="1705" t="s">
        <v>10907</v>
      </c>
      <c r="C28" s="1701" t="s">
        <v>10938</v>
      </c>
      <c r="D28" s="1702" t="s">
        <v>10939</v>
      </c>
      <c r="E28" s="1701" t="s">
        <v>10940</v>
      </c>
      <c r="F28" s="1703">
        <v>43884.0</v>
      </c>
    </row>
    <row r="29">
      <c r="A29" s="1715"/>
      <c r="B29" s="1707" t="s">
        <v>10910</v>
      </c>
      <c r="C29" s="1701" t="s">
        <v>5336</v>
      </c>
      <c r="D29" s="1702" t="s">
        <v>10941</v>
      </c>
      <c r="E29" s="1701" t="s">
        <v>10902</v>
      </c>
      <c r="F29" s="1703">
        <v>43892.0</v>
      </c>
    </row>
    <row r="30">
      <c r="A30" s="1715"/>
      <c r="B30" s="1707" t="s">
        <v>10914</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10909</v>
      </c>
      <c r="C34" s="1694"/>
      <c r="D34" s="1694"/>
      <c r="E34" s="1694"/>
      <c r="F34" s="1695"/>
    </row>
    <row r="35">
      <c r="A35" s="1715"/>
      <c r="B35" s="1696"/>
      <c r="C35" s="1697"/>
      <c r="D35" s="1697"/>
      <c r="E35" s="1697"/>
      <c r="F35" s="1698"/>
    </row>
    <row r="36">
      <c r="A36" s="1715"/>
      <c r="B36" s="1716" t="s">
        <v>10942</v>
      </c>
      <c r="C36" s="1694"/>
      <c r="D36" s="1694"/>
      <c r="E36" s="1694"/>
      <c r="F36" s="1695"/>
    </row>
    <row r="37">
      <c r="A37" s="1715"/>
      <c r="B37" s="1696"/>
      <c r="C37" s="1697"/>
      <c r="D37" s="1697"/>
      <c r="E37" s="1697"/>
      <c r="F37" s="1698"/>
    </row>
    <row r="38">
      <c r="A38" s="1715"/>
      <c r="B38" s="1700" t="s">
        <v>10900</v>
      </c>
      <c r="C38" s="1717" t="s">
        <v>431</v>
      </c>
      <c r="D38" s="1702" t="s">
        <v>10943</v>
      </c>
      <c r="E38" s="1701" t="s">
        <v>10902</v>
      </c>
      <c r="F38" s="1703">
        <v>43659.0</v>
      </c>
    </row>
    <row r="39">
      <c r="A39" s="1715"/>
      <c r="B39" s="1704" t="s">
        <v>10904</v>
      </c>
      <c r="C39" s="1701" t="s">
        <v>1545</v>
      </c>
      <c r="D39" s="1702" t="s">
        <v>10944</v>
      </c>
      <c r="E39" s="1701" t="s">
        <v>10902</v>
      </c>
      <c r="F39" s="1703">
        <v>43228.0</v>
      </c>
    </row>
    <row r="40">
      <c r="A40" s="1715"/>
      <c r="B40" s="1705" t="s">
        <v>10907</v>
      </c>
      <c r="C40" s="1708"/>
      <c r="D40" s="1718"/>
      <c r="E40" s="1708"/>
      <c r="F40" s="1708"/>
    </row>
    <row r="41">
      <c r="A41" s="1715"/>
      <c r="B41" s="1707" t="s">
        <v>10910</v>
      </c>
      <c r="C41" s="1708"/>
      <c r="D41" s="1718"/>
      <c r="E41" s="1708"/>
      <c r="F41" s="1708"/>
    </row>
    <row r="42">
      <c r="A42" s="1715"/>
      <c r="B42" s="1707" t="s">
        <v>10914</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10945</v>
      </c>
      <c r="C46" s="1694"/>
      <c r="D46" s="1694"/>
      <c r="E46" s="1694"/>
      <c r="F46" s="1695"/>
    </row>
    <row r="47">
      <c r="A47" s="1715"/>
      <c r="B47" s="1696"/>
      <c r="C47" s="1697"/>
      <c r="D47" s="1697"/>
      <c r="E47" s="1697"/>
      <c r="F47" s="1698"/>
    </row>
    <row r="48">
      <c r="A48" s="1715"/>
      <c r="B48" s="1700" t="s">
        <v>10900</v>
      </c>
      <c r="C48" s="1701" t="s">
        <v>1545</v>
      </c>
      <c r="D48" s="1702" t="s">
        <v>10946</v>
      </c>
      <c r="E48" s="1701" t="s">
        <v>10902</v>
      </c>
      <c r="F48" s="1703">
        <v>43352.0</v>
      </c>
    </row>
    <row r="49">
      <c r="A49" s="1715"/>
      <c r="B49" s="1704" t="s">
        <v>10904</v>
      </c>
      <c r="C49" s="1701" t="s">
        <v>10947</v>
      </c>
      <c r="D49" s="1702" t="s">
        <v>10948</v>
      </c>
      <c r="E49" s="1701" t="s">
        <v>10902</v>
      </c>
      <c r="F49" s="1703">
        <v>43799.0</v>
      </c>
    </row>
    <row r="50">
      <c r="A50" s="1715"/>
      <c r="B50" s="1705" t="s">
        <v>10907</v>
      </c>
      <c r="C50" s="1708"/>
      <c r="D50" s="1709"/>
      <c r="E50" s="1708"/>
      <c r="F50" s="1708"/>
    </row>
    <row r="51">
      <c r="A51" s="1715"/>
      <c r="B51" s="1707" t="s">
        <v>10910</v>
      </c>
      <c r="C51" s="1708"/>
      <c r="D51" s="1709"/>
      <c r="E51" s="1708"/>
      <c r="F51" s="1708"/>
    </row>
    <row r="52">
      <c r="A52" s="1715"/>
      <c r="B52" s="1707" t="s">
        <v>10914</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10913</v>
      </c>
      <c r="C55" s="1694"/>
      <c r="D55" s="1694"/>
      <c r="E55" s="1694"/>
      <c r="F55" s="1695"/>
    </row>
    <row r="56">
      <c r="A56" s="1715"/>
      <c r="B56" s="1696"/>
      <c r="C56" s="1697"/>
      <c r="D56" s="1697"/>
      <c r="E56" s="1697"/>
      <c r="F56" s="1698"/>
    </row>
    <row r="57">
      <c r="A57" s="1715"/>
      <c r="B57" s="1700" t="s">
        <v>10900</v>
      </c>
      <c r="C57" s="1701" t="s">
        <v>6979</v>
      </c>
      <c r="D57" s="1719" t="s">
        <v>10949</v>
      </c>
      <c r="E57" s="1701" t="s">
        <v>10902</v>
      </c>
      <c r="F57" s="1720">
        <v>44511.0</v>
      </c>
    </row>
    <row r="58">
      <c r="A58" s="1715"/>
      <c r="B58" s="1704" t="s">
        <v>10904</v>
      </c>
      <c r="C58" s="1701" t="s">
        <v>10947</v>
      </c>
      <c r="D58" s="1719" t="s">
        <v>10950</v>
      </c>
      <c r="E58" s="1701" t="s">
        <v>10902</v>
      </c>
      <c r="F58" s="1720">
        <v>43740.0</v>
      </c>
    </row>
    <row r="59">
      <c r="A59" s="1715"/>
      <c r="B59" s="1705" t="s">
        <v>10907</v>
      </c>
      <c r="C59" s="1701" t="s">
        <v>9982</v>
      </c>
      <c r="D59" s="1719" t="s">
        <v>10951</v>
      </c>
      <c r="E59" s="1701" t="s">
        <v>10902</v>
      </c>
      <c r="F59" s="1720">
        <v>42098.0</v>
      </c>
    </row>
    <row r="60">
      <c r="A60" s="1715"/>
      <c r="B60" s="1707" t="s">
        <v>10910</v>
      </c>
      <c r="C60" s="1701"/>
      <c r="D60" s="1719"/>
      <c r="E60" s="1701"/>
      <c r="F60" s="1720"/>
    </row>
    <row r="61">
      <c r="A61" s="1715"/>
      <c r="B61" s="1707" t="s">
        <v>10914</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10915</v>
      </c>
      <c r="C64" s="1694"/>
      <c r="D64" s="1694"/>
      <c r="E64" s="1694"/>
      <c r="F64" s="1695"/>
    </row>
    <row r="65">
      <c r="A65" s="1715"/>
      <c r="B65" s="1696"/>
      <c r="C65" s="1697"/>
      <c r="D65" s="1697"/>
      <c r="E65" s="1697"/>
      <c r="F65" s="1698"/>
    </row>
    <row r="66">
      <c r="A66" s="1715"/>
      <c r="B66" s="1700" t="s">
        <v>10900</v>
      </c>
      <c r="C66" s="1701" t="s">
        <v>10952</v>
      </c>
      <c r="D66" s="1719" t="s">
        <v>10953</v>
      </c>
      <c r="E66" s="1701" t="s">
        <v>10954</v>
      </c>
      <c r="F66" s="1720">
        <v>43395.0</v>
      </c>
    </row>
    <row r="67">
      <c r="A67" s="1715"/>
      <c r="B67" s="1704" t="s">
        <v>10904</v>
      </c>
      <c r="C67" s="1701" t="s">
        <v>2212</v>
      </c>
      <c r="D67" s="1719" t="s">
        <v>10955</v>
      </c>
      <c r="E67" s="1701" t="s">
        <v>10912</v>
      </c>
      <c r="F67" s="1720">
        <v>43376.0</v>
      </c>
    </row>
    <row r="68">
      <c r="A68" s="1715"/>
      <c r="B68" s="1705" t="s">
        <v>10907</v>
      </c>
      <c r="C68" s="1708"/>
      <c r="D68" s="1721"/>
      <c r="E68" s="1708"/>
      <c r="F68" s="1715"/>
    </row>
    <row r="69">
      <c r="A69" s="1715"/>
      <c r="B69" s="1707" t="s">
        <v>10910</v>
      </c>
      <c r="C69" s="1708"/>
      <c r="D69" s="1721"/>
      <c r="E69" s="1708"/>
      <c r="F69" s="1715"/>
    </row>
    <row r="70">
      <c r="A70" s="1715"/>
      <c r="B70" s="1707" t="s">
        <v>10914</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10916</v>
      </c>
      <c r="C74" s="1694"/>
      <c r="D74" s="1694"/>
      <c r="E74" s="1694"/>
      <c r="F74" s="1695"/>
    </row>
    <row r="75">
      <c r="A75" s="1715"/>
      <c r="B75" s="1696"/>
      <c r="C75" s="1697"/>
      <c r="D75" s="1697"/>
      <c r="E75" s="1697"/>
      <c r="F75" s="1698"/>
    </row>
    <row r="76">
      <c r="A76" s="1715"/>
      <c r="B76" s="1723" t="s">
        <v>10956</v>
      </c>
      <c r="C76" s="1694"/>
      <c r="D76" s="1694"/>
      <c r="E76" s="1694"/>
      <c r="F76" s="1695"/>
    </row>
    <row r="77">
      <c r="A77" s="1715"/>
      <c r="B77" s="1696"/>
      <c r="C77" s="1697"/>
      <c r="D77" s="1697"/>
      <c r="E77" s="1697"/>
      <c r="F77" s="1698"/>
    </row>
    <row r="78">
      <c r="A78" s="1715"/>
      <c r="B78" s="1700" t="s">
        <v>10900</v>
      </c>
      <c r="C78" s="1724" t="s">
        <v>431</v>
      </c>
      <c r="D78" s="1719" t="s">
        <v>10957</v>
      </c>
      <c r="E78" s="1701" t="s">
        <v>10902</v>
      </c>
      <c r="F78" s="1720">
        <v>43758.0</v>
      </c>
    </row>
    <row r="79">
      <c r="A79" s="1715"/>
      <c r="B79" s="1704" t="s">
        <v>10904</v>
      </c>
      <c r="C79" s="1708"/>
      <c r="D79" s="1721"/>
      <c r="E79" s="1708"/>
      <c r="F79" s="1715"/>
    </row>
    <row r="80">
      <c r="A80" s="1715"/>
      <c r="B80" s="1705" t="s">
        <v>10907</v>
      </c>
      <c r="C80" s="1708"/>
      <c r="D80" s="1721"/>
      <c r="E80" s="1708"/>
      <c r="F80" s="1715"/>
    </row>
    <row r="81">
      <c r="A81" s="1715"/>
      <c r="B81" s="1707" t="s">
        <v>10910</v>
      </c>
      <c r="C81" s="1708"/>
      <c r="D81" s="1721"/>
      <c r="E81" s="1708"/>
      <c r="F81" s="1715"/>
    </row>
    <row r="82">
      <c r="A82" s="1715"/>
      <c r="B82" s="1707" t="s">
        <v>10914</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10945</v>
      </c>
      <c r="C86" s="1694"/>
      <c r="D86" s="1694"/>
      <c r="E86" s="1694"/>
      <c r="F86" s="1695"/>
    </row>
    <row r="87">
      <c r="A87" s="1715"/>
      <c r="B87" s="1696"/>
      <c r="C87" s="1697"/>
      <c r="D87" s="1697"/>
      <c r="E87" s="1697"/>
      <c r="F87" s="1698"/>
    </row>
    <row r="88">
      <c r="A88" s="1715"/>
      <c r="B88" s="1700" t="s">
        <v>10900</v>
      </c>
      <c r="C88" s="1701" t="s">
        <v>10958</v>
      </c>
      <c r="D88" s="1725" t="s">
        <v>10959</v>
      </c>
      <c r="E88" s="1701" t="s">
        <v>10902</v>
      </c>
      <c r="F88" s="1720">
        <v>44805.0</v>
      </c>
    </row>
    <row r="89">
      <c r="A89" s="1715"/>
      <c r="B89" s="1704" t="s">
        <v>10904</v>
      </c>
      <c r="C89" s="1701" t="s">
        <v>10960</v>
      </c>
      <c r="D89" s="1719" t="s">
        <v>10961</v>
      </c>
      <c r="E89" s="1701" t="s">
        <v>10902</v>
      </c>
      <c r="F89" s="1720">
        <v>43307.0</v>
      </c>
    </row>
    <row r="90">
      <c r="A90" s="1715"/>
      <c r="B90" s="1705" t="s">
        <v>10907</v>
      </c>
      <c r="C90" s="1708"/>
      <c r="D90" s="1721"/>
      <c r="E90" s="1708"/>
      <c r="F90" s="1715"/>
    </row>
    <row r="91">
      <c r="A91" s="1715"/>
      <c r="B91" s="1707" t="s">
        <v>10910</v>
      </c>
      <c r="C91" s="1708"/>
      <c r="D91" s="1721"/>
      <c r="E91" s="1708"/>
      <c r="F91" s="1715"/>
    </row>
    <row r="92">
      <c r="A92" s="1715"/>
      <c r="B92" s="1707" t="s">
        <v>10914</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10917</v>
      </c>
      <c r="C96" s="1694"/>
      <c r="D96" s="1694"/>
      <c r="E96" s="1694"/>
      <c r="F96" s="1695"/>
    </row>
    <row r="97">
      <c r="A97" s="1715"/>
      <c r="B97" s="1696"/>
      <c r="C97" s="1697"/>
      <c r="D97" s="1697"/>
      <c r="E97" s="1697"/>
      <c r="F97" s="1698"/>
    </row>
    <row r="98">
      <c r="A98" s="1715"/>
      <c r="B98" s="1723" t="s">
        <v>10945</v>
      </c>
      <c r="C98" s="1694"/>
      <c r="D98" s="1694"/>
      <c r="E98" s="1694"/>
      <c r="F98" s="1695"/>
    </row>
    <row r="99">
      <c r="A99" s="1715"/>
      <c r="B99" s="1696"/>
      <c r="C99" s="1697"/>
      <c r="D99" s="1697"/>
      <c r="E99" s="1697"/>
      <c r="F99" s="1698"/>
    </row>
    <row r="100">
      <c r="A100" s="1715"/>
      <c r="B100" s="1700" t="s">
        <v>10900</v>
      </c>
      <c r="C100" s="1701" t="s">
        <v>4963</v>
      </c>
      <c r="D100" s="1719" t="s">
        <v>10962</v>
      </c>
      <c r="E100" s="1701" t="s">
        <v>10902</v>
      </c>
      <c r="F100" s="1720">
        <v>43370.0</v>
      </c>
    </row>
    <row r="101">
      <c r="A101" s="1715"/>
      <c r="B101" s="1704" t="s">
        <v>10904</v>
      </c>
      <c r="C101" s="1708"/>
      <c r="D101" s="1721"/>
      <c r="E101" s="1708"/>
      <c r="F101" s="1715"/>
    </row>
    <row r="102">
      <c r="A102" s="1715"/>
      <c r="B102" s="1705" t="s">
        <v>10907</v>
      </c>
      <c r="C102" s="1708"/>
      <c r="D102" s="1721"/>
      <c r="E102" s="1708"/>
      <c r="F102" s="1715"/>
    </row>
    <row r="103">
      <c r="A103" s="1715"/>
      <c r="B103" s="1707" t="s">
        <v>10910</v>
      </c>
      <c r="C103" s="1708"/>
      <c r="D103" s="1721"/>
      <c r="E103" s="1708"/>
      <c r="F103" s="1715"/>
    </row>
    <row r="104">
      <c r="A104" s="1715"/>
      <c r="B104" s="1707" t="s">
        <v>10914</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10918</v>
      </c>
      <c r="C108" s="1694"/>
      <c r="D108" s="1694"/>
      <c r="E108" s="1694"/>
      <c r="F108" s="1695"/>
    </row>
    <row r="109">
      <c r="A109" s="1715"/>
      <c r="B109" s="1696"/>
      <c r="C109" s="1697"/>
      <c r="D109" s="1697"/>
      <c r="E109" s="1697"/>
      <c r="F109" s="1698"/>
    </row>
    <row r="110">
      <c r="A110" s="1715"/>
      <c r="B110" s="1723" t="s">
        <v>10963</v>
      </c>
      <c r="C110" s="1694"/>
      <c r="D110" s="1694"/>
      <c r="E110" s="1694"/>
      <c r="F110" s="1695"/>
    </row>
    <row r="111">
      <c r="A111" s="1715"/>
      <c r="B111" s="1696"/>
      <c r="C111" s="1697"/>
      <c r="D111" s="1697"/>
      <c r="E111" s="1697"/>
      <c r="F111" s="1698"/>
    </row>
    <row r="112">
      <c r="A112" s="1715"/>
      <c r="B112" s="1700" t="s">
        <v>10900</v>
      </c>
      <c r="C112" s="1701" t="s">
        <v>4103</v>
      </c>
      <c r="D112" s="1719" t="s">
        <v>10964</v>
      </c>
      <c r="E112" s="1701" t="s">
        <v>10902</v>
      </c>
      <c r="F112" s="1720">
        <v>44246.0</v>
      </c>
    </row>
    <row r="113">
      <c r="A113" s="1715"/>
      <c r="B113" s="1704" t="s">
        <v>10904</v>
      </c>
      <c r="C113" s="1701" t="s">
        <v>10952</v>
      </c>
      <c r="D113" s="1719" t="s">
        <v>10965</v>
      </c>
      <c r="E113" s="1701" t="s">
        <v>10954</v>
      </c>
      <c r="F113" s="1720">
        <v>43637.0</v>
      </c>
    </row>
    <row r="114">
      <c r="A114" s="1715"/>
      <c r="B114" s="1705" t="s">
        <v>10907</v>
      </c>
      <c r="C114" s="1708"/>
      <c r="D114" s="1721"/>
      <c r="E114" s="1708"/>
      <c r="F114" s="1715"/>
    </row>
    <row r="115">
      <c r="A115" s="1715"/>
      <c r="B115" s="1707" t="s">
        <v>10910</v>
      </c>
      <c r="C115" s="1708"/>
      <c r="D115" s="1721"/>
      <c r="E115" s="1708"/>
      <c r="F115" s="1715"/>
    </row>
    <row r="116">
      <c r="A116" s="1715"/>
      <c r="B116" s="1707" t="s">
        <v>10914</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10966</v>
      </c>
      <c r="C119" s="1694"/>
      <c r="D119" s="1694"/>
      <c r="E119" s="1694"/>
      <c r="F119" s="1695"/>
    </row>
    <row r="120">
      <c r="A120" s="1715"/>
      <c r="B120" s="1696"/>
      <c r="C120" s="1697"/>
      <c r="D120" s="1697"/>
      <c r="E120" s="1697"/>
      <c r="F120" s="1698"/>
    </row>
    <row r="121">
      <c r="A121" s="1715"/>
      <c r="B121" s="1700" t="s">
        <v>10900</v>
      </c>
      <c r="C121" s="1701" t="s">
        <v>6030</v>
      </c>
      <c r="D121" s="1719" t="s">
        <v>10967</v>
      </c>
      <c r="E121" s="1701" t="s">
        <v>10902</v>
      </c>
      <c r="F121" s="1720">
        <v>43592.0</v>
      </c>
    </row>
    <row r="122">
      <c r="A122" s="1715"/>
      <c r="B122" s="1704" t="s">
        <v>10904</v>
      </c>
      <c r="C122" s="1701" t="s">
        <v>10968</v>
      </c>
      <c r="D122" s="1719" t="s">
        <v>10969</v>
      </c>
      <c r="E122" s="1701" t="s">
        <v>10902</v>
      </c>
      <c r="F122" s="1720">
        <v>43396.0</v>
      </c>
    </row>
    <row r="123">
      <c r="A123" s="1715"/>
      <c r="B123" s="1705" t="s">
        <v>10907</v>
      </c>
      <c r="C123" s="1708"/>
      <c r="D123" s="1721"/>
      <c r="E123" s="1708"/>
      <c r="F123" s="1715"/>
    </row>
    <row r="124">
      <c r="A124" s="1715"/>
      <c r="B124" s="1707" t="s">
        <v>10910</v>
      </c>
      <c r="C124" s="1708"/>
      <c r="D124" s="1721"/>
      <c r="E124" s="1708"/>
      <c r="F124" s="1715"/>
    </row>
    <row r="125">
      <c r="A125" s="1715"/>
      <c r="B125" s="1707" t="s">
        <v>10914</v>
      </c>
      <c r="C125" s="1708"/>
      <c r="D125" s="1721"/>
      <c r="E125" s="1708"/>
      <c r="F125" s="1715"/>
    </row>
    <row r="126">
      <c r="A126" s="1715"/>
      <c r="B126" s="1722"/>
      <c r="C126" s="1708"/>
      <c r="D126" s="1721"/>
      <c r="E126" s="1708"/>
      <c r="F126" s="1715"/>
    </row>
    <row r="127">
      <c r="A127" s="1715"/>
      <c r="B127" s="1693" t="s">
        <v>10919</v>
      </c>
      <c r="C127" s="1694"/>
      <c r="D127" s="1694"/>
      <c r="E127" s="1694"/>
      <c r="F127" s="1695"/>
    </row>
    <row r="128">
      <c r="A128" s="1715"/>
      <c r="B128" s="1696"/>
      <c r="C128" s="1697"/>
      <c r="D128" s="1697"/>
      <c r="E128" s="1697"/>
      <c r="F128" s="1698"/>
    </row>
    <row r="129">
      <c r="A129" s="1715"/>
      <c r="B129" s="1700" t="s">
        <v>10900</v>
      </c>
      <c r="C129" s="1724" t="s">
        <v>431</v>
      </c>
      <c r="D129" s="1719" t="s">
        <v>10970</v>
      </c>
      <c r="E129" s="1701" t="s">
        <v>10902</v>
      </c>
      <c r="F129" s="1720">
        <v>43457.0</v>
      </c>
    </row>
    <row r="130">
      <c r="A130" s="1715"/>
      <c r="B130" s="1704" t="s">
        <v>10904</v>
      </c>
      <c r="C130" s="1701" t="s">
        <v>2409</v>
      </c>
      <c r="D130" s="1719" t="s">
        <v>10971</v>
      </c>
      <c r="E130" s="1701" t="s">
        <v>10902</v>
      </c>
      <c r="F130" s="1720">
        <v>43925.0</v>
      </c>
    </row>
    <row r="131">
      <c r="A131" s="1715"/>
      <c r="B131" s="1705" t="s">
        <v>10907</v>
      </c>
      <c r="C131" s="1701" t="s">
        <v>4632</v>
      </c>
      <c r="D131" s="1719" t="s">
        <v>10972</v>
      </c>
      <c r="E131" s="1701" t="s">
        <v>10940</v>
      </c>
      <c r="F131" s="1720">
        <v>43433.0</v>
      </c>
    </row>
    <row r="132">
      <c r="A132" s="1715"/>
      <c r="B132" s="1707" t="s">
        <v>10910</v>
      </c>
      <c r="C132" s="1708"/>
      <c r="D132" s="1721"/>
      <c r="E132" s="1708"/>
      <c r="F132" s="1715"/>
    </row>
    <row r="133">
      <c r="A133" s="1715"/>
      <c r="B133" s="1707" t="s">
        <v>10914</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10920</v>
      </c>
      <c r="C136" s="1694"/>
      <c r="D136" s="1694"/>
      <c r="E136" s="1694"/>
      <c r="F136" s="1695"/>
    </row>
    <row r="137">
      <c r="A137" s="1715"/>
      <c r="B137" s="1696"/>
      <c r="C137" s="1697"/>
      <c r="D137" s="1697"/>
      <c r="E137" s="1697"/>
      <c r="F137" s="1698"/>
    </row>
    <row r="138">
      <c r="A138" s="1715"/>
      <c r="B138" s="1723" t="s">
        <v>10973</v>
      </c>
      <c r="C138" s="1694"/>
      <c r="D138" s="1694"/>
      <c r="E138" s="1694"/>
      <c r="F138" s="1695"/>
    </row>
    <row r="139">
      <c r="A139" s="1715"/>
      <c r="B139" s="1696"/>
      <c r="C139" s="1697"/>
      <c r="D139" s="1697"/>
      <c r="E139" s="1697"/>
      <c r="F139" s="1698"/>
    </row>
    <row r="140">
      <c r="A140" s="1715"/>
      <c r="B140" s="1700" t="s">
        <v>10900</v>
      </c>
      <c r="C140" s="1701" t="s">
        <v>10947</v>
      </c>
      <c r="D140" s="1719" t="s">
        <v>10974</v>
      </c>
      <c r="E140" s="1701" t="s">
        <v>10902</v>
      </c>
      <c r="F140" s="1720">
        <v>43862.0</v>
      </c>
    </row>
    <row r="141">
      <c r="A141" s="1715"/>
      <c r="B141" s="1704" t="s">
        <v>10904</v>
      </c>
      <c r="C141" s="1708"/>
      <c r="D141" s="1721"/>
      <c r="E141" s="1708"/>
      <c r="F141" s="1715"/>
    </row>
    <row r="142">
      <c r="A142" s="1715"/>
      <c r="B142" s="1705" t="s">
        <v>10907</v>
      </c>
      <c r="C142" s="1708"/>
      <c r="D142" s="1721"/>
      <c r="E142" s="1708"/>
      <c r="F142" s="1715"/>
    </row>
    <row r="143">
      <c r="A143" s="1715"/>
      <c r="B143" s="1707" t="s">
        <v>10910</v>
      </c>
      <c r="C143" s="1708"/>
      <c r="D143" s="1721"/>
      <c r="E143" s="1708"/>
      <c r="F143" s="1715"/>
    </row>
    <row r="144">
      <c r="A144" s="1715"/>
      <c r="B144" s="1707" t="s">
        <v>10914</v>
      </c>
      <c r="C144" s="1708"/>
      <c r="D144" s="1721"/>
      <c r="E144" s="1708"/>
      <c r="F144" s="1715"/>
    </row>
    <row r="145">
      <c r="A145" s="1715"/>
      <c r="B145" s="1723" t="s">
        <v>10975</v>
      </c>
      <c r="C145" s="1694"/>
      <c r="D145" s="1694"/>
      <c r="E145" s="1694"/>
      <c r="F145" s="1695"/>
    </row>
    <row r="146">
      <c r="A146" s="1715"/>
      <c r="B146" s="1696"/>
      <c r="C146" s="1697"/>
      <c r="D146" s="1697"/>
      <c r="E146" s="1697"/>
      <c r="F146" s="1698"/>
    </row>
    <row r="147">
      <c r="A147" s="1715"/>
      <c r="B147" s="1700" t="s">
        <v>10900</v>
      </c>
      <c r="C147" s="1701" t="s">
        <v>10947</v>
      </c>
      <c r="D147" s="1719" t="s">
        <v>10976</v>
      </c>
      <c r="E147" s="1701" t="s">
        <v>10902</v>
      </c>
      <c r="F147" s="1720">
        <v>43862.0</v>
      </c>
    </row>
    <row r="148">
      <c r="A148" s="1715"/>
      <c r="B148" s="1704" t="s">
        <v>10904</v>
      </c>
      <c r="C148" s="1726" t="s">
        <v>5958</v>
      </c>
      <c r="D148" s="1719" t="s">
        <v>10977</v>
      </c>
      <c r="E148" s="1701" t="s">
        <v>10954</v>
      </c>
      <c r="F148" s="1720">
        <v>43630.0</v>
      </c>
    </row>
    <row r="149">
      <c r="A149" s="1715"/>
      <c r="B149" s="1705" t="s">
        <v>10907</v>
      </c>
      <c r="C149" s="1708"/>
      <c r="D149" s="1721"/>
      <c r="E149" s="1708"/>
      <c r="F149" s="1715"/>
    </row>
    <row r="150">
      <c r="A150" s="1715"/>
      <c r="B150" s="1707" t="s">
        <v>10910</v>
      </c>
      <c r="C150" s="1708"/>
      <c r="D150" s="1721"/>
      <c r="E150" s="1708"/>
      <c r="F150" s="1715"/>
    </row>
    <row r="151">
      <c r="A151" s="1715"/>
      <c r="B151" s="1707" t="s">
        <v>10914</v>
      </c>
      <c r="C151" s="1708"/>
      <c r="D151" s="1721"/>
      <c r="E151" s="1708"/>
      <c r="F151" s="1715"/>
    </row>
    <row r="152">
      <c r="A152" s="1715"/>
      <c r="B152" s="1722"/>
      <c r="C152" s="1708"/>
      <c r="D152" s="1721"/>
      <c r="E152" s="1708"/>
      <c r="F152" s="1715"/>
    </row>
    <row r="153">
      <c r="A153" s="1715"/>
      <c r="B153" s="1693" t="s">
        <v>10922</v>
      </c>
      <c r="C153" s="1694"/>
      <c r="D153" s="1694"/>
      <c r="E153" s="1694"/>
      <c r="F153" s="1695"/>
    </row>
    <row r="154">
      <c r="A154" s="1715"/>
      <c r="B154" s="1696"/>
      <c r="C154" s="1697"/>
      <c r="D154" s="1697"/>
      <c r="E154" s="1697"/>
      <c r="F154" s="1698"/>
    </row>
    <row r="155">
      <c r="A155" s="1715"/>
      <c r="B155" s="1723" t="s">
        <v>10978</v>
      </c>
      <c r="C155" s="1694"/>
      <c r="D155" s="1694"/>
      <c r="E155" s="1694"/>
      <c r="F155" s="1695"/>
    </row>
    <row r="156">
      <c r="A156" s="1715"/>
      <c r="B156" s="1696"/>
      <c r="C156" s="1697"/>
      <c r="D156" s="1697"/>
      <c r="E156" s="1697"/>
      <c r="F156" s="1698"/>
    </row>
    <row r="157">
      <c r="A157" s="1715"/>
      <c r="B157" s="1700" t="s">
        <v>10900</v>
      </c>
      <c r="C157" s="1701" t="s">
        <v>10935</v>
      </c>
      <c r="D157" s="1719" t="s">
        <v>10979</v>
      </c>
      <c r="E157" s="1701" t="s">
        <v>10912</v>
      </c>
      <c r="F157" s="1720">
        <v>43569.0</v>
      </c>
    </row>
    <row r="158">
      <c r="A158" s="1715"/>
      <c r="B158" s="1704" t="s">
        <v>10904</v>
      </c>
      <c r="C158" s="1708"/>
      <c r="D158" s="1721"/>
      <c r="E158" s="1708"/>
      <c r="F158" s="1715"/>
    </row>
    <row r="159">
      <c r="A159" s="1715"/>
      <c r="B159" s="1705" t="s">
        <v>10907</v>
      </c>
      <c r="C159" s="1708"/>
      <c r="D159" s="1721"/>
      <c r="E159" s="1708"/>
      <c r="F159" s="1715"/>
    </row>
    <row r="160">
      <c r="A160" s="1715"/>
      <c r="B160" s="1707" t="s">
        <v>10910</v>
      </c>
      <c r="C160" s="1708"/>
      <c r="D160" s="1721"/>
      <c r="E160" s="1708"/>
      <c r="F160" s="1715"/>
    </row>
    <row r="161">
      <c r="A161" s="1715"/>
      <c r="B161" s="1707" t="s">
        <v>10914</v>
      </c>
      <c r="C161" s="1708"/>
      <c r="D161" s="1721"/>
      <c r="E161" s="1708"/>
      <c r="F161" s="1715"/>
    </row>
    <row r="162">
      <c r="A162" s="1715"/>
      <c r="B162" s="1723" t="s">
        <v>10945</v>
      </c>
      <c r="C162" s="1694"/>
      <c r="D162" s="1694"/>
      <c r="E162" s="1694"/>
      <c r="F162" s="1695"/>
    </row>
    <row r="163">
      <c r="A163" s="1715"/>
      <c r="B163" s="1696"/>
      <c r="C163" s="1697"/>
      <c r="D163" s="1697"/>
      <c r="E163" s="1697"/>
      <c r="F163" s="1698"/>
    </row>
    <row r="164">
      <c r="A164" s="1715"/>
      <c r="B164" s="1700" t="s">
        <v>10900</v>
      </c>
      <c r="C164" s="1701" t="s">
        <v>10935</v>
      </c>
      <c r="D164" s="1719" t="s">
        <v>10980</v>
      </c>
      <c r="E164" s="1701" t="s">
        <v>10912</v>
      </c>
      <c r="F164" s="1720">
        <v>43835.0</v>
      </c>
    </row>
    <row r="165">
      <c r="A165" s="1715"/>
      <c r="B165" s="1704" t="s">
        <v>10904</v>
      </c>
      <c r="C165" s="1701" t="s">
        <v>10981</v>
      </c>
      <c r="D165" s="1719" t="s">
        <v>10982</v>
      </c>
      <c r="E165" s="1701" t="s">
        <v>10983</v>
      </c>
      <c r="F165" s="1720">
        <v>43003.0</v>
      </c>
    </row>
    <row r="166">
      <c r="A166" s="1715"/>
      <c r="B166" s="1705" t="s">
        <v>10907</v>
      </c>
      <c r="C166" s="1708"/>
      <c r="D166" s="1721"/>
      <c r="E166" s="1708"/>
      <c r="F166" s="1715"/>
    </row>
    <row r="167">
      <c r="A167" s="1715"/>
      <c r="B167" s="1707" t="s">
        <v>10910</v>
      </c>
      <c r="C167" s="1708"/>
      <c r="D167" s="1721"/>
      <c r="E167" s="1708"/>
      <c r="F167" s="1715"/>
    </row>
    <row r="168">
      <c r="A168" s="1715"/>
      <c r="B168" s="1707" t="s">
        <v>10914</v>
      </c>
      <c r="C168" s="1708"/>
      <c r="D168" s="1721"/>
      <c r="E168" s="1708"/>
      <c r="F168" s="1715"/>
    </row>
    <row r="169">
      <c r="A169" s="1715"/>
      <c r="B169" s="1722"/>
      <c r="C169" s="1708"/>
      <c r="D169" s="1721"/>
      <c r="E169" s="1708"/>
      <c r="F169" s="1715"/>
    </row>
    <row r="170">
      <c r="A170" s="1715"/>
      <c r="B170" s="1693" t="s">
        <v>10924</v>
      </c>
      <c r="C170" s="1694"/>
      <c r="D170" s="1694"/>
      <c r="E170" s="1694"/>
      <c r="F170" s="1695"/>
    </row>
    <row r="171">
      <c r="A171" s="1715"/>
      <c r="B171" s="1696"/>
      <c r="C171" s="1697"/>
      <c r="D171" s="1697"/>
      <c r="E171" s="1697"/>
      <c r="F171" s="1698"/>
    </row>
    <row r="172">
      <c r="A172" s="1715"/>
      <c r="B172" s="1700" t="s">
        <v>10900</v>
      </c>
      <c r="C172" s="1701" t="s">
        <v>5132</v>
      </c>
      <c r="D172" s="1719" t="s">
        <v>10984</v>
      </c>
      <c r="E172" s="1701" t="s">
        <v>10912</v>
      </c>
      <c r="F172" s="1720">
        <v>44132.0</v>
      </c>
    </row>
    <row r="173">
      <c r="A173" s="1715"/>
      <c r="B173" s="1704" t="s">
        <v>10904</v>
      </c>
      <c r="C173" s="1708"/>
      <c r="D173" s="1721"/>
      <c r="E173" s="1708"/>
      <c r="F173" s="1715"/>
    </row>
    <row r="174">
      <c r="A174" s="1715"/>
      <c r="B174" s="1705" t="s">
        <v>10907</v>
      </c>
      <c r="C174" s="1708"/>
      <c r="D174" s="1721"/>
      <c r="E174" s="1708"/>
      <c r="F174" s="1715"/>
    </row>
    <row r="175">
      <c r="A175" s="1715"/>
      <c r="B175" s="1707" t="s">
        <v>10910</v>
      </c>
      <c r="C175" s="1708"/>
      <c r="D175" s="1721"/>
      <c r="E175" s="1708"/>
      <c r="F175" s="1715"/>
    </row>
    <row r="176">
      <c r="A176" s="1715"/>
      <c r="B176" s="1707" t="s">
        <v>10914</v>
      </c>
      <c r="C176" s="1708"/>
      <c r="D176" s="1721"/>
      <c r="E176" s="1708"/>
      <c r="F176" s="1715"/>
    </row>
    <row r="177">
      <c r="A177" s="1715"/>
      <c r="B177" s="1693" t="s">
        <v>10927</v>
      </c>
      <c r="C177" s="1694"/>
      <c r="D177" s="1694"/>
      <c r="E177" s="1694"/>
      <c r="F177" s="1695"/>
    </row>
    <row r="178">
      <c r="A178" s="1715"/>
      <c r="B178" s="1696"/>
      <c r="C178" s="1697"/>
      <c r="D178" s="1697"/>
      <c r="E178" s="1697"/>
      <c r="F178" s="1698"/>
    </row>
    <row r="179">
      <c r="A179" s="1715"/>
      <c r="B179" s="1700" t="s">
        <v>10900</v>
      </c>
      <c r="C179" s="1701" t="s">
        <v>5988</v>
      </c>
      <c r="D179" s="1719" t="s">
        <v>10985</v>
      </c>
      <c r="E179" s="1701" t="s">
        <v>10902</v>
      </c>
      <c r="F179" s="1720">
        <v>43741.0</v>
      </c>
    </row>
    <row r="180">
      <c r="A180" s="1715"/>
      <c r="B180" s="1704" t="s">
        <v>10904</v>
      </c>
      <c r="C180" s="1701" t="s">
        <v>10986</v>
      </c>
      <c r="D180" s="1719" t="s">
        <v>10987</v>
      </c>
      <c r="E180" s="1701" t="s">
        <v>10940</v>
      </c>
      <c r="F180" s="1720">
        <v>43748.0</v>
      </c>
    </row>
    <row r="181">
      <c r="A181" s="1715"/>
      <c r="B181" s="1705" t="s">
        <v>10907</v>
      </c>
      <c r="C181" s="1701" t="s">
        <v>2130</v>
      </c>
      <c r="D181" s="1719" t="s">
        <v>10988</v>
      </c>
      <c r="E181" s="1701" t="s">
        <v>10954</v>
      </c>
      <c r="F181" s="1720">
        <v>43729.0</v>
      </c>
    </row>
    <row r="182">
      <c r="A182" s="1715"/>
      <c r="B182" s="1707" t="s">
        <v>10910</v>
      </c>
      <c r="C182" s="1724" t="s">
        <v>431</v>
      </c>
      <c r="D182" s="1719" t="s">
        <v>10989</v>
      </c>
      <c r="E182" s="1701" t="s">
        <v>10902</v>
      </c>
      <c r="F182" s="1720">
        <v>44470.0</v>
      </c>
    </row>
    <row r="183">
      <c r="A183" s="1715"/>
      <c r="B183" s="1707" t="s">
        <v>10914</v>
      </c>
      <c r="C183" s="1701" t="s">
        <v>5132</v>
      </c>
      <c r="D183" s="1719" t="s">
        <v>10990</v>
      </c>
      <c r="E183" s="1701" t="s">
        <v>10912</v>
      </c>
      <c r="F183" s="1720">
        <v>44020.0</v>
      </c>
    </row>
    <row r="184">
      <c r="A184" s="1715"/>
      <c r="B184" s="1722"/>
      <c r="C184" s="1708"/>
      <c r="D184" s="1721"/>
      <c r="E184" s="1708"/>
      <c r="F184" s="1715"/>
    </row>
    <row r="185">
      <c r="A185" s="1715"/>
      <c r="B185" s="1722"/>
      <c r="C185" s="1708"/>
      <c r="D185" s="1721"/>
      <c r="E185" s="1708"/>
      <c r="F185" s="1715"/>
    </row>
    <row r="186">
      <c r="A186" s="1715"/>
      <c r="B186" s="1693" t="s">
        <v>10930</v>
      </c>
      <c r="C186" s="1694"/>
      <c r="D186" s="1694"/>
      <c r="E186" s="1694"/>
      <c r="F186" s="1695"/>
    </row>
    <row r="187">
      <c r="A187" s="1715"/>
      <c r="B187" s="1696"/>
      <c r="C187" s="1697"/>
      <c r="D187" s="1697"/>
      <c r="E187" s="1697"/>
      <c r="F187" s="1698"/>
    </row>
    <row r="188">
      <c r="A188" s="1715"/>
      <c r="B188" s="1700" t="s">
        <v>10900</v>
      </c>
      <c r="C188" s="1724" t="s">
        <v>1411</v>
      </c>
      <c r="D188" s="1719" t="s">
        <v>10991</v>
      </c>
      <c r="E188" s="1701" t="s">
        <v>10912</v>
      </c>
      <c r="F188" s="1720">
        <v>43600.0</v>
      </c>
    </row>
    <row r="189">
      <c r="A189" s="1715"/>
      <c r="B189" s="1704" t="s">
        <v>10904</v>
      </c>
      <c r="C189" s="1701" t="s">
        <v>10992</v>
      </c>
      <c r="D189" s="1719" t="s">
        <v>10993</v>
      </c>
      <c r="E189" s="1701" t="s">
        <v>10902</v>
      </c>
      <c r="F189" s="1720">
        <v>43723.0</v>
      </c>
    </row>
    <row r="190">
      <c r="A190" s="1715"/>
      <c r="B190" s="1705" t="s">
        <v>10907</v>
      </c>
      <c r="C190" s="1701" t="s">
        <v>7627</v>
      </c>
      <c r="D190" s="1719" t="s">
        <v>10994</v>
      </c>
      <c r="E190" s="1701" t="s">
        <v>10902</v>
      </c>
      <c r="F190" s="1720">
        <v>43951.0</v>
      </c>
    </row>
    <row r="191">
      <c r="A191" s="1715"/>
      <c r="B191" s="1707" t="s">
        <v>10910</v>
      </c>
      <c r="C191" s="1708"/>
      <c r="D191" s="1721"/>
      <c r="E191" s="1708"/>
      <c r="F191" s="1715"/>
    </row>
    <row r="192">
      <c r="A192" s="1715"/>
      <c r="B192" s="1707" t="s">
        <v>10914</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10995</v>
      </c>
      <c r="C196" s="1694"/>
      <c r="D196" s="1694"/>
      <c r="E196" s="1694"/>
      <c r="F196" s="1695"/>
    </row>
    <row r="197">
      <c r="A197" s="1715"/>
      <c r="B197" s="1696"/>
      <c r="C197" s="1697"/>
      <c r="D197" s="1697"/>
      <c r="E197" s="1697"/>
      <c r="F197" s="1698"/>
    </row>
    <row r="198">
      <c r="A198" s="1715"/>
      <c r="B198" s="1723" t="s">
        <v>10996</v>
      </c>
      <c r="C198" s="1694"/>
      <c r="D198" s="1694"/>
      <c r="E198" s="1694"/>
      <c r="F198" s="1695"/>
    </row>
    <row r="199">
      <c r="A199" s="1715"/>
      <c r="B199" s="1696"/>
      <c r="C199" s="1697"/>
      <c r="D199" s="1697"/>
      <c r="E199" s="1697"/>
      <c r="F199" s="1698"/>
    </row>
    <row r="200">
      <c r="A200" s="1715"/>
      <c r="B200" s="1700" t="s">
        <v>10900</v>
      </c>
      <c r="C200" s="1701" t="s">
        <v>10997</v>
      </c>
      <c r="D200" s="1719" t="s">
        <v>10998</v>
      </c>
      <c r="E200" s="1701" t="s">
        <v>10902</v>
      </c>
      <c r="F200" s="1720">
        <v>44460.0</v>
      </c>
    </row>
    <row r="201">
      <c r="A201" s="1715"/>
      <c r="B201" s="1704" t="s">
        <v>10904</v>
      </c>
      <c r="C201" s="1701" t="s">
        <v>10986</v>
      </c>
      <c r="D201" s="1719" t="s">
        <v>10999</v>
      </c>
      <c r="E201" s="1701" t="s">
        <v>10940</v>
      </c>
      <c r="F201" s="1720">
        <v>44063.0</v>
      </c>
    </row>
    <row r="202">
      <c r="A202" s="1715"/>
      <c r="B202" s="1705" t="s">
        <v>10907</v>
      </c>
      <c r="C202" s="1708"/>
      <c r="D202" s="1721"/>
      <c r="E202" s="1708"/>
      <c r="F202" s="1715"/>
    </row>
    <row r="203">
      <c r="A203" s="1715"/>
      <c r="B203" s="1707" t="s">
        <v>10910</v>
      </c>
      <c r="C203" s="1708"/>
      <c r="D203" s="1721"/>
      <c r="E203" s="1708"/>
      <c r="F203" s="1715"/>
    </row>
    <row r="204">
      <c r="A204" s="1715"/>
      <c r="B204" s="1707" t="s">
        <v>10914</v>
      </c>
      <c r="C204" s="1708"/>
      <c r="D204" s="1721"/>
      <c r="E204" s="1708"/>
      <c r="F204" s="1715"/>
    </row>
    <row r="205">
      <c r="A205" s="1715"/>
      <c r="B205" s="1723" t="s">
        <v>10915</v>
      </c>
      <c r="C205" s="1694"/>
      <c r="D205" s="1694"/>
      <c r="E205" s="1694"/>
      <c r="F205" s="1695"/>
    </row>
    <row r="206">
      <c r="A206" s="1715"/>
      <c r="B206" s="1696"/>
      <c r="C206" s="1697"/>
      <c r="D206" s="1697"/>
      <c r="E206" s="1697"/>
      <c r="F206" s="1698"/>
    </row>
    <row r="207">
      <c r="A207" s="1715"/>
      <c r="B207" s="1700" t="s">
        <v>10900</v>
      </c>
      <c r="C207" s="1701" t="s">
        <v>8211</v>
      </c>
      <c r="D207" s="1719" t="s">
        <v>11000</v>
      </c>
      <c r="E207" s="1701" t="s">
        <v>10940</v>
      </c>
      <c r="F207" s="1720">
        <v>44069.0</v>
      </c>
    </row>
    <row r="208">
      <c r="A208" s="1715"/>
      <c r="B208" s="1704" t="s">
        <v>10904</v>
      </c>
      <c r="C208" s="1708"/>
      <c r="D208" s="1721"/>
      <c r="E208" s="1708"/>
      <c r="F208" s="1715"/>
    </row>
    <row r="209">
      <c r="A209" s="1715"/>
      <c r="B209" s="1705" t="s">
        <v>10907</v>
      </c>
      <c r="C209" s="1708"/>
      <c r="D209" s="1721"/>
      <c r="E209" s="1708"/>
      <c r="F209" s="1715"/>
    </row>
    <row r="210">
      <c r="A210" s="1715"/>
      <c r="B210" s="1707" t="s">
        <v>10910</v>
      </c>
      <c r="C210" s="1708"/>
      <c r="D210" s="1721"/>
      <c r="E210" s="1708"/>
      <c r="F210" s="1715"/>
    </row>
    <row r="211">
      <c r="A211" s="1715"/>
      <c r="B211" s="1707" t="s">
        <v>10914</v>
      </c>
      <c r="C211" s="1708"/>
      <c r="D211" s="1721"/>
      <c r="E211" s="1708"/>
      <c r="F211" s="1715"/>
    </row>
    <row r="212">
      <c r="A212" s="1715"/>
      <c r="B212" s="1722"/>
      <c r="C212" s="1708"/>
      <c r="D212" s="1721"/>
      <c r="E212" s="1708"/>
      <c r="F212" s="1715"/>
    </row>
    <row r="213">
      <c r="A213" s="1715"/>
      <c r="B213" s="1693" t="s">
        <v>10932</v>
      </c>
      <c r="C213" s="1694"/>
      <c r="D213" s="1694"/>
      <c r="E213" s="1694"/>
      <c r="F213" s="1695"/>
    </row>
    <row r="214">
      <c r="A214" s="1715"/>
      <c r="B214" s="1696"/>
      <c r="C214" s="1697"/>
      <c r="D214" s="1697"/>
      <c r="E214" s="1697"/>
      <c r="F214" s="1698"/>
    </row>
    <row r="215">
      <c r="A215" s="1715"/>
      <c r="B215" s="1700" t="s">
        <v>10900</v>
      </c>
      <c r="C215" s="1701" t="s">
        <v>4082</v>
      </c>
      <c r="D215" s="1719" t="s">
        <v>11001</v>
      </c>
      <c r="E215" s="1701" t="s">
        <v>10902</v>
      </c>
      <c r="F215" s="1720">
        <v>43514.0</v>
      </c>
    </row>
    <row r="216">
      <c r="A216" s="1715"/>
      <c r="B216" s="1704" t="s">
        <v>10904</v>
      </c>
      <c r="C216" s="1724" t="s">
        <v>431</v>
      </c>
      <c r="D216" s="1719" t="s">
        <v>11002</v>
      </c>
      <c r="E216" s="1701" t="s">
        <v>10902</v>
      </c>
      <c r="F216" s="1720">
        <v>43402.0</v>
      </c>
    </row>
    <row r="217">
      <c r="A217" s="1715"/>
      <c r="B217" s="1705" t="s">
        <v>10907</v>
      </c>
      <c r="C217" s="1701" t="s">
        <v>10986</v>
      </c>
      <c r="D217" s="1719" t="s">
        <v>11003</v>
      </c>
      <c r="E217" s="1701" t="s">
        <v>10940</v>
      </c>
      <c r="F217" s="1720">
        <v>43390.0</v>
      </c>
    </row>
    <row r="218">
      <c r="A218" s="1715"/>
      <c r="B218" s="1707" t="s">
        <v>10910</v>
      </c>
      <c r="C218" s="1701" t="s">
        <v>10928</v>
      </c>
      <c r="D218" s="1719" t="s">
        <v>11004</v>
      </c>
      <c r="E218" s="1701" t="s">
        <v>10912</v>
      </c>
      <c r="F218" s="1720">
        <v>44135.0</v>
      </c>
    </row>
    <row r="219">
      <c r="A219" s="1715"/>
      <c r="B219" s="1707" t="s">
        <v>10914</v>
      </c>
      <c r="C219" s="1708"/>
      <c r="D219" s="1721"/>
      <c r="E219" s="1708"/>
      <c r="F219" s="1715"/>
    </row>
    <row r="220">
      <c r="A220" s="1715"/>
      <c r="B220" s="1727"/>
      <c r="C220" s="1708"/>
      <c r="D220" s="1721"/>
      <c r="E220" s="1708"/>
      <c r="F220" s="1715"/>
    </row>
    <row r="221">
      <c r="A221" s="1715"/>
      <c r="B221" s="1693" t="s">
        <v>10933</v>
      </c>
      <c r="C221" s="1694"/>
      <c r="D221" s="1694"/>
      <c r="E221" s="1694"/>
      <c r="F221" s="1695"/>
    </row>
    <row r="222">
      <c r="A222" s="1728" t="s">
        <v>11005</v>
      </c>
      <c r="B222" s="1696"/>
      <c r="C222" s="1697"/>
      <c r="D222" s="1697"/>
      <c r="E222" s="1697"/>
      <c r="F222" s="1698"/>
    </row>
    <row r="223">
      <c r="A223" s="1728" t="s">
        <v>11006</v>
      </c>
      <c r="B223" s="1700" t="s">
        <v>10900</v>
      </c>
      <c r="C223" s="1701" t="s">
        <v>982</v>
      </c>
      <c r="D223" s="1729">
        <v>0.06525462962962963</v>
      </c>
      <c r="E223" s="1701" t="s">
        <v>10912</v>
      </c>
      <c r="F223" s="1703">
        <v>44652.0</v>
      </c>
    </row>
    <row r="224">
      <c r="A224" s="1730"/>
      <c r="B224" s="1704" t="s">
        <v>10904</v>
      </c>
      <c r="C224" s="1701" t="s">
        <v>3960</v>
      </c>
      <c r="D224" s="1729">
        <v>0.06892361111111112</v>
      </c>
      <c r="E224" s="1701" t="s">
        <v>10912</v>
      </c>
      <c r="F224" s="1703">
        <v>44652.0</v>
      </c>
    </row>
    <row r="225">
      <c r="A225" s="1730"/>
      <c r="B225" s="1705" t="s">
        <v>10907</v>
      </c>
      <c r="C225" s="1714" t="s">
        <v>5259</v>
      </c>
      <c r="D225" s="1731">
        <v>0.07195601851851852</v>
      </c>
      <c r="E225" s="1714" t="s">
        <v>10912</v>
      </c>
      <c r="F225" s="1720">
        <v>44652.0</v>
      </c>
    </row>
    <row r="226">
      <c r="A226" s="1730"/>
      <c r="B226" s="1707" t="s">
        <v>10910</v>
      </c>
      <c r="C226" s="1708" t="s">
        <v>11007</v>
      </c>
      <c r="D226" s="1732">
        <v>0.07211805555555556</v>
      </c>
      <c r="E226" s="1733" t="s">
        <v>11008</v>
      </c>
      <c r="F226" s="1720">
        <v>44652.0</v>
      </c>
    </row>
    <row r="227">
      <c r="A227" s="1730"/>
      <c r="B227" s="1707" t="s">
        <v>10914</v>
      </c>
      <c r="C227" s="1708"/>
      <c r="D227" s="1708"/>
      <c r="E227" s="1708"/>
      <c r="F227" s="1708"/>
    </row>
    <row r="228">
      <c r="A228" s="1730"/>
      <c r="B228" s="1734"/>
      <c r="C228" s="1708"/>
      <c r="D228" s="1708"/>
      <c r="E228" s="1708"/>
      <c r="F228" s="1708"/>
    </row>
    <row r="229">
      <c r="A229" s="1735" t="s">
        <v>10934</v>
      </c>
      <c r="B229" s="1693" t="s">
        <v>10934</v>
      </c>
      <c r="C229" s="1694"/>
      <c r="D229" s="1694"/>
      <c r="E229" s="1694"/>
      <c r="F229" s="1695"/>
    </row>
    <row r="230">
      <c r="A230" s="1730"/>
      <c r="B230" s="1696"/>
      <c r="C230" s="1697"/>
      <c r="D230" s="1697"/>
      <c r="E230" s="1697"/>
      <c r="F230" s="1698"/>
    </row>
    <row r="231">
      <c r="A231" s="1730"/>
      <c r="B231" s="1700" t="s">
        <v>10900</v>
      </c>
      <c r="C231" s="1701" t="s">
        <v>2409</v>
      </c>
      <c r="D231" s="1736" t="s">
        <v>11009</v>
      </c>
      <c r="E231" s="1701" t="s">
        <v>10902</v>
      </c>
      <c r="F231" s="1703">
        <v>45152.0</v>
      </c>
    </row>
    <row r="232">
      <c r="A232" s="1730"/>
      <c r="B232" s="1704" t="s">
        <v>10904</v>
      </c>
      <c r="C232" s="1701" t="s">
        <v>4082</v>
      </c>
      <c r="D232" s="1736" t="s">
        <v>11010</v>
      </c>
      <c r="E232" s="1701" t="s">
        <v>10902</v>
      </c>
      <c r="F232" s="1703">
        <v>44866.0</v>
      </c>
    </row>
    <row r="233">
      <c r="A233" s="1730"/>
      <c r="B233" s="1705" t="s">
        <v>10907</v>
      </c>
      <c r="C233" s="1708"/>
      <c r="D233" s="1732"/>
      <c r="E233" s="1733"/>
      <c r="F233" s="1720"/>
    </row>
    <row r="234">
      <c r="A234" s="1730"/>
      <c r="B234" s="1707" t="s">
        <v>10910</v>
      </c>
      <c r="C234" s="1708"/>
      <c r="D234" s="1732"/>
      <c r="E234" s="1733"/>
      <c r="F234" s="1720"/>
    </row>
    <row r="235">
      <c r="A235" s="1730"/>
      <c r="B235" s="1707" t="s">
        <v>10914</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