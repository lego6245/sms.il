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<sst xmlns="http://schemas.openxmlformats.org/spreadsheetml/2006/main" count="27190" uniqueCount="11240">
  <si>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</si>
  <si>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</si>
  <si>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</si>
  <si>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</si>
  <si>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</si>
  <si>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</si>
  <si>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</si>
  <si>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</si>
  <si>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</si>
  <si>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</si>
  <si>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</si>
  <si>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</si>
  <si>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</si>
  <si>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</si>
  <si>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</si>
  <si>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</si>
  <si>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</si>
  <si>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</si>
  <si>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</si>
  <si>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</si>
  <si>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</si>
  <si>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</si>
  <si>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</si>
  <si>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</si>
  <si>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</si>
  <si>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</si>
  <si>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</si>
  <si>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</si>
  <si>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</si>
  <si>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</si>
  <si>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</si>
  <si>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</si>
  <si>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</si>
  <si>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</si>
  <si>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</si>
  <si>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</si>
  <si>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</si>
  <si>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</si>
  <si>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</si>
  <si>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</si>
  <si>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</si>
  <si>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</si>
  <si>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</si>
  <si>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</si>
  <si>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</si>
  <si>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</si>
  <si>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</si>
  <si>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</si>
  <si>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</si>
  <si>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</si>
  <si>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</si>
  <si>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</si>
  <si>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</si>
  <si>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</si>
  <si>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</si>
  <si>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</si>
  <si>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</si>
  <si>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</si>
  <si>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</si>
  <si>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</si>
  <si>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</si>
  <si>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</si>
  <si>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</si>
  <si>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</si>
  <si>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</si>
  <si>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</si>
  <si>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</si>
  <si>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</si>
  <si>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</si>
  <si>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</si>
  <si>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</si>
  <si>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</si>
  <si>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</si>
  <si>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</si>
  <si>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</si>
  <si>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</si>
  <si>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</si>
  <si>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</si>
  <si>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</si>
  <si>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</si>
  <si>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</si>
  <si>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</si>
  <si>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</si>
  <si>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</si>
  <si>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</si>
  <si>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</si>
  <si>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</si>
  <si>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</si>
  <si>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</si>
  <si>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</si>
  <si>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</si>
  <si>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</si>
  <si>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</si>
  <si>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</si>
  <si>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</si>
  <si>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</si>
  <si>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</si>
  <si>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</si>
  <si>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</si>
  <si>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</si>
  <si>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</si>
  <si>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</si>
  <si>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</si>
  <si>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</si>
  <si>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</si>
  <si>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</si>
  <si>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</si>
  <si>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</si>
  <si>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</si>
  <si>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</si>
  <si>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</si>
  <si>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</si>
  <si>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</si>
  <si>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</si>
  <si>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</si>
  <si>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</si>
  <si>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</si>
  <si>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</si>
  <si>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</si>
  <si>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</si>
  <si>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</si>
  <si>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</si>
  <si>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</si>
  <si>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</si>
  <si>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</si>
  <si>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</si>
  <si>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</si>
  <si>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</si>
  <si>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</si>
  <si>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</si>
  <si>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</si>
  <si>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</si>
  <si>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</si>
  <si>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</si>
  <si>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</si>
  <si>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</si>
  <si>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</si>
  <si>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</si>
  <si>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</si>
  <si>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</si>
  <si>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</si>
  <si>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</si>
  <si>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</si>
  <si>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</si>
  <si>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</si>
  <si>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</si>
  <si>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</si>
  <si>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</si>
  <si>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</si>
  <si>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</si>
  <si>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</si>
  <si>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</si>
  <si>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</si>
  <si>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</si>
  <si>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</si>
  <si>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</si>
  <si>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</si>
  <si>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</si>
  <si>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</si>
  <si>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</si>
  <si>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</si>
  <si>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</si>
  <si>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</si>
  <si>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</si>
  <si>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</si>
  <si>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</si>
  <si>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</si>
  <si>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</si>
  <si>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</si>
  <si>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</si>
  <si>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</si>
  <si>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</si>
  <si>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</si>
  <si>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</si>
  <si>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</si>
  <si>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</si>
  <si>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</si>
  <si>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</si>
  <si>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</si>
  <si>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</si>
  <si>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</si>
  <si>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</si>
  <si>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</si>
  <si>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</si>
  <si>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</si>
  <si>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</si>
  <si>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</si>
  <si>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</si>
  <si>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</si>
  <si>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</si>
  <si>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</si>
  <si>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</si>
  <si>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</si>
  <si>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</si>
  <si>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</si>
  <si>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</si>
  <si>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</si>
  <si>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</si>
  <si>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</si>
  <si>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</si>
  <si>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</si>
  <si>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</si>
  <si>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</si>
  <si>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</si>
  <si>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</si>
  <si>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</si>
  <si>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</si>
  <si>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</si>
  <si>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</si>
  <si>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</si>
  <si>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</si>
  <si>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</si>
  <si>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</si>
  <si>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</si>
  <si>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</si>
  <si>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</si>
  <si>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</si>
  <si>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</si>
  <si>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</si>
  <si>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</si>
  <si>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</si>
  <si>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</si>
  <si>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</si>
  <si>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</si>
  <si>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</si>
  <si>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</si>
  <si>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</si>
  <si>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</si>
  <si>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</si>
  <si>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</si>
  <si>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</si>
  <si>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</si>
  <si>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</si>
  <si>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</si>
  <si>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</si>
  <si>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</si>
  <si>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</si>
  <si>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</si>
  <si>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</si>
  <si>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</si>
  <si>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</si>
  <si>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</si>
  <si>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</si>
  <si>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</si>
  <si>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</si>
  <si>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</si>
  <si>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</si>
  <si>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</si>
  <si>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</si>
  <si>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</si>
  <si>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</si>
  <si>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</si>
  <si>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</si>
  <si>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</si>
  <si>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</si>
  <si>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</si>
  <si>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</si>
  <si>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</si>
  <si>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</si>
  <si>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</si>
  <si>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</si>
  <si>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</si>
  <si>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</si>
  <si>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</si>
  <si>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</si>
  <si>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</si>
  <si>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</si>
  <si>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</si>
  <si>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</si>
  <si>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</si>
  <si>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</si>
  <si>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</si>
  <si>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</si>
  <si>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</si>
  <si>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</si>
  <si>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</si>
  <si>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</si>
  <si>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</si>
  <si>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</si>
  <si>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</si>
  <si>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</si>
  <si>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</si>
  <si>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</si>
  <si>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</si>
  <si>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</si>
  <si>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</si>
  <si>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</si>
  <si>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</si>
  <si>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</si>
  <si>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</si>
  <si>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</si>
  <si>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</si>
  <si>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</si>
  <si>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</si>
  <si>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</si>
  <si>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</si>
  <si>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</si>
  <si>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</si>
  <si>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</si>
  <si>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</si>
  <si>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</si>
  <si>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</si>
  <si>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</si>
  <si>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</si>
  <si>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</si>
  <si>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</si>
  <si>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</si>
  <si>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</si>
  <si>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</si>
  <si>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</si>
  <si>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</si>
  <si>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</si>
  <si>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</si>
  <si>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</si>
  <si>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</si>
  <si>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</si>
  <si>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</si>
  <si>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</si>
  <si>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</si>
  <si>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</si>
  <si>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</si>
  <si>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</si>
  <si>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</si>
  <si>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</si>
  <si>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</si>
  <si>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</si>
  <si>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</si>
  <si>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</si>
  <si>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</si>
  <si>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</si>
  <si>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</si>
  <si>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</si>
  <si>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</si>
  <si>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</si>
  <si>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</si>
  <si>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</si>
  <si>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</si>
  <si>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</si>
  <si>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</si>
  <si>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</si>
  <si>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</si>
  <si>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</si>
  <si>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</si>
  <si>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</si>
  <si>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</si>
  <si>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</si>
  <si>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</si>
  <si>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</si>
  <si>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</si>
  <si>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</si>
  <si>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</si>
  <si>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</si>
  <si>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</si>
  <si>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</si>
  <si>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</si>
  <si>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</si>
  <si>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</si>
  <si>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</si>
  <si>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</si>
  <si>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</si>
  <si>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</si>
  <si>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</si>
  <si>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</si>
  <si>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</si>
  <si>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</si>
  <si>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</si>
  <si>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</si>
  <si>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</si>
  <si>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</si>
  <si>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</si>
  <si>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</si>
  <si>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</si>
  <si>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</si>
  <si>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</si>
  <si>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</si>
  <si>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</si>
  <si>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</si>
  <si>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</si>
  <si>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</si>
  <si>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</si>
  <si>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</si>
  <si>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</si>
  <si>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</si>
  <si>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</si>
  <si>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</si>
  <si>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</si>
  <si>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</si>
  <si>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</si>
  <si>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</si>
  <si>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</si>
  <si>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</si>
  <si>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</si>
  <si>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</si>
  <si>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</si>
  <si>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</si>
  <si>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</si>
  <si>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</si>
  <si>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</si>
  <si>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</si>
  <si>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</si>
  <si>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</si>
  <si>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</si>
  <si>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</si>
  <si>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</si>
  <si>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</si>
  <si>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</si>
  <si>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</si>
  <si>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</si>
  <si>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</si>
  <si>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</si>
  <si>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</si>
  <si>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</si>
  <si>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</si>
  <si>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</si>
  <si>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</si>
  <si>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</si>
  <si>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</si>
  <si>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</si>
  <si>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</si>
  <si>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</si>
  <si>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</si>
  <si>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</si>
  <si>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</si>
  <si>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</si>
  <si>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</si>
  <si>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</si>
  <si>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</si>
  <si>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</si>
  <si>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</si>
  <si>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</si>
  <si>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</si>
  <si>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</si>
  <si>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</si>
  <si>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</si>
  <si>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</si>
  <si>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</si>
  <si>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</si>
  <si>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</si>
  <si>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</si>
  <si>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</si>
  <si>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</si>
  <si>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</si>
  <si>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</si>
  <si>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</si>
  <si>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</si>
  <si>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</si>
  <si>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</si>
  <si>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</si>
  <si>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</si>
  <si>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</si>
  <si>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</si>
  <si>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</si>
  <si>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</si>
  <si>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</si>
  <si>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</si>
  <si>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</si>
  <si>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</si>
  <si>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</si>
  <si>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</si>
  <si>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</si>
  <si>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</si>
  <si>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</si>
  <si>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</si>
  <si>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</si>
  <si>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</si>
  <si>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</si>
  <si>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</si>
  <si>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</si>
  <si>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</si>
  <si>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</si>
  <si>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</si>
  <si>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</si>
  <si>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</si>
  <si>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</si>
  <si>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</si>
  <si>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</si>
  <si>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</si>
  <si>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</si>
  <si>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</si>
  <si>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</si>
  <si>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</si>
  <si>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</si>
  <si>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</si>
  <si>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</si>
  <si>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</si>
  <si>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</si>
  <si>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</si>
  <si>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</si>
  <si>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</si>
  <si>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</si>
  <si>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</si>
  <si>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</si>
  <si>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</si>
  <si>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</si>
  <si>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</si>
  <si>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</si>
  <si>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</si>
  <si>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</si>
  <si>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</si>
  <si>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</si>
  <si>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</si>
  <si>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</si>
  <si>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</si>
  <si>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</si>
  <si>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</si>
  <si>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</si>
  <si>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</si>
  <si>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</si>
  <si>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</si>
  <si>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</si>
  <si>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</si>
  <si>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</si>
  <si>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</si>
  <si>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</si>
  <si>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</si>
  <si>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</si>
  <si>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</si>
  <si>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</si>
  <si>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</si>
  <si>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</si>
  <si>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</si>
  <si>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</si>
  <si>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</si>
  <si>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</si>
  <si>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</si>
  <si>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</si>
  <si>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</si>
  <si>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</si>
  <si>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</si>
  <si>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</si>
  <si>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</si>
  <si>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</si>
  <si>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</si>
  <si>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</si>
  <si>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</si>
  <si>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</si>
  <si>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</si>
  <si>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</si>
  <si>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</si>
  <si>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</si>
  <si>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</si>
  <si>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</si>
  <si>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</si>
  <si>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</si>
  <si>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</si>
  <si>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</si>
  <si>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</si>
  <si>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</si>
  <si>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</si>
  <si>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</si>
  <si>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</si>
  <si>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</si>
  <si>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</si>
  <si>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</si>
  <si>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</si>
  <si>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</si>
  <si>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</si>
  <si>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</si>
  <si>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</si>
  <si>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</si>
  <si>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</si>
  <si>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</si>
  <si>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</si>
  <si>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</si>
  <si>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</si>
  <si>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</si>
  <si>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</si>
  <si>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</si>
  <si>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</si>
  <si>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</si>
  <si>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</si>
  <si>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</si>
  <si>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</si>
  <si>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</si>
  <si>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</si>
  <si>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</si>
  <si>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</si>
  <si>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</si>
  <si>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</si>
  <si>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</si>
  <si>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</si>
  <si>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</si>
  <si>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</si>
  <si>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</si>
  <si>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</si>
  <si>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</si>
  <si>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</si>
  <si>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</si>
  <si>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</si>
  <si>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</si>
  <si>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</si>
  <si>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</si>
  <si>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</si>
  <si>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</si>
  <si>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</si>
  <si>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</si>
  <si>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</si>
  <si>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</si>
  <si>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</si>
  <si>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</si>
  <si>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</si>
  <si>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</si>
  <si>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</si>
  <si>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</si>
  <si>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</si>
  <si>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</si>
  <si>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</si>
  <si>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</si>
  <si>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</si>
  <si>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</si>
  <si>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</si>
  <si>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</si>
  <si>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</si>
  <si>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</si>
  <si>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</si>
  <si>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</si>
  <si>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</si>
  <si>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</si>
  <si>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</si>
  <si>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</si>
  <si>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</si>
  <si>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</si>
  <si>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</si>
  <si>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</si>
  <si>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</si>
  <si>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</si>
  <si>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</si>
  <si>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</si>
  <si>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</si>
  <si>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</si>
  <si>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</si>
  <si>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</si>
  <si>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</si>
  <si>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</si>
  <si>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</si>
  <si>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</si>
  <si>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</si>
  <si>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</si>
  <si>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</si>
  <si>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</si>
  <si>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</si>
  <si>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</si>
  <si>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</si>
  <si>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</si>
  <si>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</si>
  <si>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</si>
  <si>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</si>
  <si>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</si>
  <si>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</si>
  <si>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</si>
  <si>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</si>
  <si>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</si>
  <si>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</si>
  <si>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</si>
  <si>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</si>
  <si>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</si>
  <si>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</si>
  <si>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</si>
  <si>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</si>
  <si>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</si>
  <si>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</si>
  <si>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</si>
  <si>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</si>
  <si>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</si>
  <si>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</si>
  <si>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</si>
  <si>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</si>
  <si>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</si>
  <si>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</si>
  <si>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</si>
  <si>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</si>
  <si>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</si>
  <si>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</si>
  <si>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</si>
  <si>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</si>
  <si>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</si>
  <si>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</si>
  <si>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</si>
  <si>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</si>
  <si>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</si>
  <si>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</si>
  <si>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</si>
  <si>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</si>
  <si>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</si>
  <si>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</si>
  <si>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</si>
  <si>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</si>
  <si>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</si>
  <si>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</si>
  <si>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</si>
  <si>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</si>
  <si>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</si>
  <si>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</si>
  <si>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</si>
  <si>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</si>
  <si>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</si>
  <si>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</si>
  <si>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</si>
  <si>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</si>
  <si>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</si>
  <si>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</si>
  <si>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</si>
  <si>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</si>
  <si>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</si>
  <si>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</si>
  <si>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</si>
  <si>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</si>
  <si>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</si>
  <si>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</si>
  <si>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</si>
  <si>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</si>
  <si>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</si>
  <si>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</si>
  <si>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</si>
  <si>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</si>
  <si>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</si>
  <si>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</si>
  <si>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</si>
  <si>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</si>
  <si>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</si>
  <si>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</si>
  <si>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</si>
  <si>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</si>
  <si>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</si>
  <si>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</si>
  <si>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</si>
  <si>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</si>
  <si>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</si>
  <si>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</si>
  <si>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</si>
  <si>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</si>
  <si>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</si>
  <si>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</si>
  <si>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</si>
  <si>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</si>
  <si>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</si>
  <si>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</si>
  <si>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</si>
  <si>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</si>
  <si>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</si>
  <si>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</si>
  <si>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</si>
  <si>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</si>
  <si>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</si>
  <si>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</si>
  <si>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</si>
  <si>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</si>
  <si>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</si>
  <si>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</si>
  <si>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</si>
  <si>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</si>
  <si>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</si>
  <si>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</si>
  <si>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</si>
  <si>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</si>
  <si>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</si>
  <si>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</si>
  <si>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</si>
  <si>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</si>
  <si>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</si>
  <si>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</si>
  <si>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</si>
  <si>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</si>
  <si>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</si>
  <si>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</si>
  <si>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</si>
  <si>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</si>
  <si>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</si>
  <si>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</si>
  <si>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</si>
  <si>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</si>
  <si>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</si>
  <si>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</si>
  <si>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</si>
  <si>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</si>
  <si>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</si>
  <si>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</si>
  <si>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</si>
  <si>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</si>
  <si>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</si>
  <si>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</si>
  <si>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</si>
  <si>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</si>
  <si>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</si>
  <si>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</si>
  <si>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</si>
  <si>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</si>
  <si>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</si>
  <si>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</si>
  <si>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</si>
  <si>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</si>
  <si>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</si>
  <si>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</si>
  <si>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</si>
  <si>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</si>
  <si>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</si>
  <si>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</si>
  <si>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</si>
  <si>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</si>
  <si>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</si>
  <si>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</si>
  <si>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</si>
  <si>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</si>
  <si>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</si>
  <si>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</si>
  <si>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</si>
  <si>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</si>
  <si>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</si>
  <si>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</si>
  <si>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</si>
  <si>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</si>
  <si>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</si>
  <si>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</si>
  <si>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</si>
  <si>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</si>
  <si>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</si>
  <si>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</si>
  <si>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</si>
  <si>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</si>
  <si>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</si>
  <si>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</si>
  <si>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</si>
  <si>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</si>
  <si>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</si>
  <si>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</si>
  <si>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</si>
  <si>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</si>
  <si>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</si>
  <si>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</si>
  <si>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</si>
  <si>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</si>
  <si>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</si>
  <si>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</si>
  <si>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</si>
  <si>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</si>
  <si>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</si>
  <si>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</si>
  <si>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</si>
  <si>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</si>
  <si>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</si>
  <si>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</si>
  <si>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</si>
  <si>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</si>
  <si>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</si>
  <si>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</si>
  <si>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</si>
  <si>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</si>
  <si>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</si>
  <si>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</si>
  <si>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</si>
  <si>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</si>
  <si>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</si>
  <si>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</si>
  <si>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</si>
  <si>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</si>
  <si>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</si>
  <si>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</si>
  <si>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</si>
  <si>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</si>
  <si>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</si>
  <si>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</si>
  <si>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</si>
  <si>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</si>
  <si>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</si>
  <si>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</si>
  <si>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</si>
  <si>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</si>
  <si>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</si>
  <si>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</si>
  <si>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</si>
  <si>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</si>
  <si>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</si>
  <si>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</si>
  <si>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</si>
  <si>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</si>
  <si>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</si>
  <si>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</si>
  <si>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</si>
  <si>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</si>
  <si>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</si>
  <si>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</si>
  <si>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</si>
  <si>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</si>
  <si>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</si>
  <si>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</si>
  <si>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</si>
  <si>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</si>
  <si>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</si>
  <si>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</si>
  <si>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</si>
  <si>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</si>
  <si>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</si>
  <si>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</si>
  <si>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</si>
  <si>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</si>
  <si>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</si>
  <si>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</si>
  <si>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</si>
  <si>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</si>
  <si>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</si>
  <si>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</si>
  <si>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</si>
  <si>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</si>
  <si>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</si>
  <si>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</si>
  <si>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</si>
  <si>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</si>
  <si>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</si>
  <si>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</si>
  <si>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</si>
  <si>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</si>
  <si>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</si>
  <si>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</si>
  <si>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</si>
  <si>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</si>
  <si>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</si>
  <si>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</si>
  <si>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</si>
  <si>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</si>
  <si>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</si>
  <si>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</si>
  <si>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</si>
  <si>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</si>
  <si>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</si>
  <si>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</si>
  <si>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</si>
  <si>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</si>
  <si>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</si>
  <si>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</si>
  <si>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</si>
  <si>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</si>
  <si>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</si>
  <si>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</si>
  <si>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</si>
  <si>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</si>
  <si>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</si>
  <si>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</si>
  <si>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</si>
  <si>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</si>
  <si>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</si>
  <si>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</si>
  <si>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</si>
  <si>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</si>
  <si>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</si>
  <si>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</si>
  <si>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</si>
  <si>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</si>
  <si>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</si>
  <si>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</si>
  <si>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</si>
  <si>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</si>
  <si>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</si>
  <si>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</si>
  <si>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</si>
  <si>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</si>
  <si>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</si>
  <si>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</si>
  <si>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</si>
  <si>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</si>
  <si>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</si>
  <si>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</si>
  <si>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</si>
  <si>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</si>
  <si>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</si>
  <si>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</si>
  <si>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</si>
  <si>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</si>
  <si>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</si>
  <si>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</si>
  <si>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</si>
  <si>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</si>
  <si>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</si>
  <si>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</si>
  <si>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</si>
  <si>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</si>
  <si>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</si>
  <si>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</si>
  <si>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</si>
  <si>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</si>
  <si>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</si>
  <si>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</si>
  <si>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</si>
  <si>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</si>
  <si>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</si>
  <si>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</si>
  <si>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</si>
  <si>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</si>
  <si>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</si>
  <si>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</si>
  <si>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</si>
  <si>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</si>
  <si>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</si>
  <si>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</si>
  <si>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</si>
  <si>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</si>
  <si>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</si>
  <si>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</si>
  <si>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</si>
  <si>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</si>
  <si>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</si>
  <si>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</si>
  <si>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</si>
  <si>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</si>
  <si>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</si>
  <si>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</si>
  <si>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</si>
  <si>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</si>
  <si>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</si>
  <si>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</si>
  <si>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</si>
  <si>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</si>
  <si>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</si>
  <si>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</si>
  <si>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</si>
  <si>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</si>
  <si>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</si>
  <si>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</si>
  <si>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</si>
  <si>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</si>
  <si>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</si>
  <si>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</si>
  <si>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</si>
  <si>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</si>
  <si>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</si>
  <si>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</si>
  <si>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</si>
  <si>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</si>
  <si>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</si>
  <si>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</si>
  <si>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</si>
  <si>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</si>
  <si>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</si>
  <si>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</si>
  <si>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</si>
  <si>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</si>
  <si>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</si>
  <si>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</si>
  <si>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</si>
  <si>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</si>
  <si>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</si>
  <si>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</si>
  <si>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</si>
  <si>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</si>
  <si>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</si>
  <si>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</si>
  <si>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</si>
  <si>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</si>
  <si>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</si>
  <si>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</si>
  <si>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</si>
  <si>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</si>
  <si>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</si>
  <si>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</si>
  <si>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</si>
  <si>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</si>
  <si>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</si>
  <si>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</si>
  <si>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</si>
  <si>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</si>
  <si>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</si>
  <si>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</si>
  <si>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</si>
  <si>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</si>
  <si>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</si>
  <si>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</si>
  <si>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</si>
  <si>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</si>
  <si>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</si>
  <si>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</si>
  <si>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</si>
  <si>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</si>
  <si>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</si>
  <si>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</si>
  <si>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</si>
  <si>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</si>
  <si>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</si>
  <si>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</si>
  <si>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</si>
  <si>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</si>
  <si>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</si>
  <si>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</si>
  <si>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</si>
  <si>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</si>
  <si>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</si>
  <si>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</si>
  <si>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</si>
  <si>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</si>
  <si>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</si>
  <si>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</si>
  <si>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</si>
  <si>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</si>
  <si>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</si>
  <si>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</si>
  <si>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</si>
  <si>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</si>
  <si>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</si>
  <si>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</si>
  <si>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</si>
  <si>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</si>
  <si>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</si>
  <si>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</si>
  <si>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</si>
  <si>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</si>
  <si>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</si>
  <si>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</si>
  <si>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</si>
  <si>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</si>
  <si>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</si>
  <si>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</si>
  <si>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</si>
  <si>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</si>
  <si>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</si>
  <si>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</si>
  <si>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</si>
  <si>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</si>
  <si>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</si>
  <si>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</si>
  <si>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</si>
  <si>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</si>
  <si>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</si>
  <si>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</si>
  <si>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</si>
  <si>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</si>
  <si>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</si>
  <si>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</si>
  <si>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</si>
  <si>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</si>
  <si>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</si>
  <si>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</si>
  <si>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</si>
  <si>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</si>
  <si>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</si>
  <si>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</si>
  <si>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</si>
  <si>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</si>
  <si>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</si>
  <si>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</si>
  <si>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</si>
  <si>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</si>
  <si>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</si>
  <si>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</si>
  <si>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</si>
  <si>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</si>
  <si>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</si>
  <si>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</si>
  <si>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</si>
  <si>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</si>
  <si>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</si>
  <si>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</si>
  <si>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</si>
  <si>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</si>
  <si>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</si>
  <si>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</si>
  <si>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</si>
  <si>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</si>
  <si>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</si>
  <si>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</si>
  <si>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</si>
  <si>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</si>
  <si>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</si>
  <si>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</si>
  <si>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</si>
  <si>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</si>
  <si>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</si>
  <si>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</si>
  <si>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</si>
  <si>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</si>
  <si>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</si>
  <si>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</si>
  <si>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</si>
  <si>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</si>
  <si>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</si>
  <si>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</si>
  <si>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</si>
  <si>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</si>
  <si>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</si>
  <si>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</si>
  <si>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</si>
  <si>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</si>
  <si>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</si>
  <si>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</si>
  <si>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</si>
  <si>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</si>
  <si>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</si>
  <si>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</si>
  <si>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</si>
  <si>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</si>
  <si>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</si>
  <si>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</si>
  <si>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</si>
  <si>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</si>
  <si>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</si>
  <si>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</si>
  <si>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</si>
  <si>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</si>
  <si>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</si>
  <si>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</si>
  <si>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</si>
  <si>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</si>
  <si>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</si>
  <si>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</si>
  <si>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</si>
  <si>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</si>
  <si>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</si>
  <si>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</si>
  <si>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</si>
  <si>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</si>
  <si>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</si>
  <si>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</si>
  <si>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</si>
  <si>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</si>
  <si>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</si>
  <si>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</si>
  <si>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</si>
  <si>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</si>
  <si>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</si>
  <si>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</si>
  <si>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</si>
  <si>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</si>
  <si>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</si>
  <si>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</si>
  <si>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</si>
  <si>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</si>
  <si>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</si>
  <si>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</si>
  <si>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</si>
  <si>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</si>
  <si>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</si>
  <si>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</si>
  <si>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</si>
  <si>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</si>
  <si>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</si>
  <si>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</si>
  <si>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</si>
  <si>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</si>
  <si>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</si>
  <si>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</si>
  <si>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</si>
  <si>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</si>
  <si>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</si>
  <si>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</si>
  <si>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</si>
  <si>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</si>
  <si>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</si>
  <si>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</si>
  <si>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</si>
  <si>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</si>
  <si>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</si>
  <si>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</si>
  <si>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</si>
  <si>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</si>
  <si>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</si>
  <si>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</si>
  <si>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</si>
  <si>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</si>
  <si>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</si>
  <si>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</si>
  <si>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</si>
  <si>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</si>
  <si>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</si>
  <si>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</si>
  <si>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</si>
  <si>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</si>
  <si>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</si>
  <si>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</si>
  <si>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</si>
  <si>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</si>
  <si>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</si>
  <si>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</si>
  <si>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</si>
  <si>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</si>
  <si>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</si>
  <si>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</si>
  <si>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</si>
  <si>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</si>
  <si>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</si>
  <si>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</si>
  <si>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</si>
  <si>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</si>
  <si>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</si>
  <si>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</si>
  <si>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</si>
  <si>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</si>
  <si>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</si>
  <si>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</si>
  <si>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</si>
  <si>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</si>
  <si>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</si>
  <si>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</si>
  <si>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</si>
  <si>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</si>
  <si>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</si>
  <si>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</si>
  <si>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</si>
  <si>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</si>
  <si>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</si>
  <si>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</si>
  <si>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</si>
  <si>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</si>
  <si>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</si>
  <si>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</si>
  <si>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</si>
  <si>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</si>
  <si>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</si>
  <si>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</si>
  <si>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</si>
  <si>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</si>
  <si>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</si>
  <si>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</si>
  <si>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</si>
  <si>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</si>
  <si>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</si>
  <si>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</si>
  <si>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</si>
  <si>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</si>
  <si>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</si>
  <si>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</si>
  <si>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</si>
  <si>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</si>
  <si>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</si>
  <si>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</si>
  <si>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</si>
  <si>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</si>
  <si>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</si>
  <si>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</si>
  <si>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</si>
  <si>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</si>
  <si>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</si>
  <si>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</si>
  <si>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</si>
  <si>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</si>
  <si>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</si>
  <si>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</si>
  <si>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</si>
  <si>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</si>
  <si>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</si>
  <si>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</si>
  <si>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</si>
  <si>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</si>
  <si>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</si>
  <si>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</si>
  <si>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</si>
  <si>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</si>
  <si>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</si>
  <si>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</si>
  <si>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</si>
  <si>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</si>
  <si>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</si>
  <si>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</si>
  <si>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</si>
  <si>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</si>
  <si>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</si>
  <si>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</si>
  <si>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</si>
  <si>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</si>
  <si>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</si>
  <si>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</si>
  <si>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</si>
  <si>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</si>
  <si>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</si>
  <si>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</si>
  <si>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</si>
  <si>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</si>
  <si>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</si>
  <si>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</si>
  <si>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</si>
  <si>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</si>
  <si>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</si>
  <si>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</si>
  <si>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</si>
  <si>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</si>
  <si>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</si>
  <si>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</si>
  <si>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</si>
  <si>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</si>
  <si>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</si>
  <si>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</si>
  <si>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</si>
  <si>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</si>
  <si>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</si>
  <si>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</si>
  <si>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</si>
  <si>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</si>
  <si>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</si>
  <si>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</si>
  <si>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</si>
  <si>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</si>
  <si>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</si>
  <si>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</si>
  <si>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</si>
  <si>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</si>
  <si>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</si>
  <si>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</si>
  <si>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</si>
  <si>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</si>
  <si>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</si>
  <si>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</si>
  <si>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</si>
  <si>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</si>
  <si>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</si>
  <si>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</si>
  <si>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</si>
  <si>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</si>
  <si>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</si>
  <si>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</si>
  <si>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</si>
  <si>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</si>
  <si>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</si>
  <si>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</si>
  <si>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</si>
  <si>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</si>
  <si>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</si>
  <si>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</si>
  <si>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</si>
  <si>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</si>
  <si>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</si>
  <si>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</si>
  <si>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</si>
  <si>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</si>
  <si>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</si>
  <si>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</si>
  <si>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</si>
  <si>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</si>
  <si>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</si>
  <si>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</si>
  <si>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</si>
  <si>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</si>
  <si>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</si>
  <si>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</si>
  <si>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</si>
  <si>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</si>
  <si>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</si>
  <si>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</si>
  <si>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</si>
  <si>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</si>
  <si>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</si>
  <si>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</si>
  <si>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</si>
  <si>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</si>
  <si>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</si>
  <si>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</si>
  <si>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</si>
  <si>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</si>
  <si>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</si>
  <si>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</si>
  <si>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</si>
  <si>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</si>
  <si>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</si>
  <si>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</si>
  <si>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</si>
  <si>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</si>
  <si>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</si>
  <si>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</si>
  <si>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</si>
  <si>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</si>
  <si>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</si>
  <si>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</si>
  <si>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</si>
  <si>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</si>
  <si>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</si>
  <si>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</si>
  <si>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</si>
  <si>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</si>
  <si>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</si>
  <si>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</si>
  <si>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</si>
  <si>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</si>
  <si>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</si>
  <si>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</si>
  <si>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</si>
  <si>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</si>
  <si>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</si>
  <si>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</si>
  <si>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</si>
  <si>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</si>
  <si>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</si>
  <si>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</si>
  <si>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</si>
  <si>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</si>
  <si>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</si>
  <si>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</si>
  <si>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</si>
  <si>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</si>
  <si>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</si>
  <si>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</si>
  <si>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</si>
  <si>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</si>
  <si>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</si>
  <si>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</si>
  <si>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</si>
  <si>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</si>
  <si>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</si>
  <si>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</si>
  <si>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</si>
  <si>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</si>
  <si>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</si>
  <si>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</si>
  <si>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</si>
  <si>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</si>
  <si>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</si>
  <si>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</si>
  <si>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</si>
  <si>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</si>
  <si>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</si>
  <si>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</si>
  <si>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</si>
  <si>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</si>
  <si>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</si>
  <si>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</si>
  <si>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</si>
  <si>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</si>
  <si>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</si>
  <si>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</si>
  <si>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</si>
  <si>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</si>
  <si>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</si>
  <si>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</si>
  <si>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</si>
  <si>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</si>
  <si>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</si>
  <si>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</si>
  <si>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</si>
  <si>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</si>
  <si>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</si>
  <si>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</si>
  <si>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</si>
  <si>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</si>
  <si>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</si>
  <si>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</si>
  <si>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</si>
  <si>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</si>
  <si>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</si>
  <si>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</si>
  <si>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</si>
  <si>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</si>
  <si>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</si>
  <si>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</si>
  <si>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</si>
  <si>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</si>
  <si>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</si>
  <si>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</si>
  <si>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</si>
  <si>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</si>
  <si>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</si>
  <si>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</si>
  <si>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</si>
  <si>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</si>
  <si>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</si>
  <si>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</si>
  <si>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</si>
  <si>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</si>
  <si>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</si>
  <si>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</si>
  <si>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</si>
  <si>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</si>
  <si>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</si>
  <si>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</si>
  <si>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</si>
  <si>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</si>
  <si>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</si>
  <si>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</si>
  <si>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</si>
  <si>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</si>
  <si>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</si>
  <si>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</si>
  <si>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</si>
  <si>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</si>
  <si>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</si>
  <si>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</si>
  <si>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</si>
  <si>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</si>
  <si>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</si>
  <si>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</si>
  <si>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</si>
  <si>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</si>
  <si>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</si>
  <si>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</si>
  <si>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</si>
  <si>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</si>
  <si>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</si>
  <si>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</si>
  <si>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</si>
  <si>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</si>
  <si>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</si>
  <si>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</si>
  <si>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</si>
  <si>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</si>
  <si>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</si>
  <si>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</si>
  <si>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</si>
  <si>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</si>
  <si>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</si>
  <si>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</si>
  <si>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</si>
  <si>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</si>
  <si>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</si>
  <si>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</si>
  <si>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</si>
  <si>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</si>
  <si>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</si>
  <si>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</si>
  <si>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</si>
  <si>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</si>
  <si>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</si>
  <si>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</si>
  <si>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</si>
  <si>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</si>
  <si>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</si>
  <si>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</si>
  <si>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</si>
  <si>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</si>
  <si>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</si>
  <si>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</si>
  <si>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</si>
  <si>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</si>
  <si>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</si>
  <si>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</si>
  <si>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</si>
  <si>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</si>
  <si>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</si>
  <si>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</si>
  <si>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</si>
  <si>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</si>
  <si>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</si>
  <si>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</si>
  <si>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</si>
  <si>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</si>
  <si>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</si>
  <si>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</si>
  <si>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</si>
  <si>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</si>
  <si>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</si>
  <si>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</si>
  <si>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</si>
  <si>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</si>
  <si>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</si>
  <si>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</si>
  <si>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</si>
  <si>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</si>
  <si>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</si>
  <si>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</si>
  <si>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</si>
  <si>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</si>
  <si>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</si>
  <si>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</si>
  <si>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</si>
  <si>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</si>
  <si>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</si>
  <si>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</si>
  <si>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</si>
  <si>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</si>
  <si>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</si>
  <si>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</si>
  <si>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</si>
  <si>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</si>
  <si>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</si>
  <si>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</si>
  <si>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</si>
  <si>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</si>
  <si>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</si>
  <si>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</si>
  <si>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</si>
  <si>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</si>
  <si>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</si>
  <si>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</si>
  <si>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</si>
  <si>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</si>
  <si>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</si>
  <si>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</si>
  <si>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</si>
  <si>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</si>
  <si>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</si>
  <si>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</si>
  <si>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</si>
  <si>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</si>
  <si>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</si>
  <si>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</si>
  <si>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</si>
  <si>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</si>
  <si>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</si>
  <si>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</si>
  <si>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</si>
  <si>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</si>
  <si>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</si>
  <si>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</si>
  <si>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</si>
  <si>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</si>
  <si>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</si>
  <si>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</si>
  <si>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</si>
  <si>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</si>
  <si>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</si>
  <si>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</si>
  <si>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</si>
  <si>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</si>
  <si>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</si>
  <si>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</si>
  <si>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</si>
  <si>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</si>
  <si>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</si>
  <si>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</si>
  <si>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</si>
  <si>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</si>
  <si>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</si>
  <si>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</si>
  <si>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</si>
  <si>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</si>
  <si>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</si>
  <si>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</si>
  <si>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</si>
  <si>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</si>
  <si>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</si>
  <si>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</si>
  <si>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</si>
  <si>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</si>
  <si>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</si>
  <si>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</si>
  <si>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</si>
  <si>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</si>
  <si>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</si>
  <si>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</si>
  <si>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</si>
  <si>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</si>
  <si>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</si>
  <si>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</si>
  <si>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</si>
  <si>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</si>
  <si>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</si>
  <si>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</si>
  <si>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</si>
  <si>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</si>
  <si>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</si>
  <si>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</si>
  <si>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</si>
  <si>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</si>
  <si>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</si>
  <si>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</si>
  <si>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</si>
  <si>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</si>
  <si>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</si>
  <si>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</si>
  <si>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</si>
  <si>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</si>
  <si>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</si>
  <si>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</si>
  <si>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</si>
  <si>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</si>
  <si>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</si>
  <si>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</si>
  <si>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</si>
  <si>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</si>
  <si>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</si>
  <si>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</si>
  <si>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</si>
  <si>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</si>
  <si>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</si>
  <si>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</si>
  <si>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</si>
  <si>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</si>
  <si>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</si>
  <si>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</si>
  <si>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</si>
  <si>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</si>
  <si>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</si>
  <si>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</si>
  <si>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</si>
  <si>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</si>
  <si>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</si>
  <si>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</si>
  <si>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</si>
  <si>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</si>
  <si>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</si>
  <si>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</si>
  <si>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</si>
  <si>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</si>
  <si>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</si>
  <si>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</si>
  <si>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</si>
  <si>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</si>
  <si>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</si>
  <si>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</si>
  <si>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</si>
  <si>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</si>
  <si>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</si>
  <si>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</si>
  <si>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</si>
  <si>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</si>
  <si>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</si>
  <si>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</si>
  <si>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</si>
  <si>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</si>
  <si>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</si>
  <si>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</si>
  <si>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</si>
  <si>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</si>
  <si>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</si>
  <si>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</si>
  <si>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</si>
  <si>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</si>
  <si>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</si>
  <si>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</si>
  <si>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</si>
  <si>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</si>
  <si>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</si>
  <si>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</si>
  <si>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</si>
  <si>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</si>
  <si>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</si>
  <si>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</si>
  <si>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</si>
  <si>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</si>
  <si>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</si>
  <si>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</si>
  <si>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</si>
  <si>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</si>
  <si>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</si>
  <si>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</si>
  <si>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</si>
  <si>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</si>
  <si>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</si>
  <si>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</si>
  <si>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</si>
  <si>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</si>
  <si>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</si>
  <si>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</si>
  <si>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</si>
  <si>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</si>
  <si>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</si>
  <si>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</si>
  <si>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</si>
  <si>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</si>
  <si>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</si>
  <si>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</si>
  <si>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</si>
  <si>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</si>
  <si>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</si>
  <si>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</si>
  <si>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</si>
  <si>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</si>
  <si>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</si>
  <si>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</si>
  <si>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</si>
  <si>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</si>
  <si>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</si>
  <si>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</si>
  <si>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</si>
  <si>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</si>
  <si>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</si>
  <si>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</si>
  <si>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</si>
  <si>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</si>
  <si>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</si>
  <si>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</si>
  <si>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</si>
  <si>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</si>
  <si>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</si>
  <si>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</si>
  <si>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</si>
  <si>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</si>
  <si>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</si>
  <si>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</si>
  <si>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</si>
  <si>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</si>
  <si>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</si>
  <si>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</si>
  <si>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</si>
  <si>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</si>
  <si>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</si>
  <si>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</si>
  <si>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</si>
  <si>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</si>
  <si>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</si>
  <si>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</si>
  <si>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</si>
  <si>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</si>
  <si>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</si>
  <si>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</si>
  <si>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</si>
  <si>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</si>
  <si>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</si>
  <si>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</si>
  <si>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</si>
  <si>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</si>
  <si>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</si>
  <si>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</si>
  <si>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</si>
  <si>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</si>
  <si>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</si>
  <si>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</si>
  <si>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</si>
  <si>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</si>
  <si>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</si>
  <si>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</si>
  <si>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</si>
  <si>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</si>
  <si>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</si>
  <si>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</si>
  <si>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</si>
  <si>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</si>
  <si>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</si>
  <si>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</si>
  <si>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</si>
  <si>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</si>
  <si>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</si>
  <si>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</si>
  <si>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</si>
  <si>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</si>
  <si>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</si>
  <si>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</si>
  <si>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</si>
  <si>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</si>
  <si>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</si>
  <si>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</si>
  <si>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</si>
  <si>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</si>
  <si>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</si>
  <si>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</si>
  <si>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</si>
  <si>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</si>
  <si>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</si>
  <si>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</si>
  <si>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</si>
  <si>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</si>
  <si>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</si>
  <si>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</si>
  <si>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</si>
  <si>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</si>
  <si>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</si>
  <si>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</si>
  <si>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</si>
  <si>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</si>
  <si>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</si>
  <si>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</si>
  <si>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</si>
  <si>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</si>
  <si>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</si>
  <si>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</si>
  <si>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</si>
  <si>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</si>
  <si>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</si>
  <si>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</si>
  <si>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</si>
  <si>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</si>
  <si>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</si>
  <si>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</si>
  <si>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</si>
  <si>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</si>
  <si>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</si>
  <si>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</si>
  <si>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</si>
  <si>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</si>
  <si>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</si>
  <si>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</si>
  <si>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</si>
  <si>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</si>
  <si>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</si>
  <si>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</si>
  <si>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</si>
  <si>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</si>
  <si>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</si>
  <si>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</si>
  <si>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</si>
  <si>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</si>
  <si>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</si>
  <si>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</si>
  <si>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</si>
  <si>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</si>
  <si>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</si>
  <si>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</si>
  <si>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</si>
  <si>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</si>
  <si>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</si>
  <si>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</si>
  <si>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</si>
  <si>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</si>
  <si>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</si>
  <si>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</si>
  <si>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</si>
  <si>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</si>
  <si>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</si>
  <si>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</si>
  <si>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</si>
  <si>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</si>
  <si>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</si>
  <si>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</si>
  <si>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</si>
  <si>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</si>
  <si>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</si>
  <si>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</si>
  <si>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</si>
  <si>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</si>
  <si>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</si>
  <si>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</si>
  <si>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</si>
  <si>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</si>
  <si>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</si>
  <si>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</si>
  <si>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</si>
  <si>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</si>
  <si>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</si>
  <si>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</si>
  <si>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</si>
  <si>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</si>
  <si>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</si>
  <si>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</si>
  <si>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</si>
  <si>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</si>
  <si>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</si>
  <si>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</si>
  <si>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</si>
  <si>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</si>
  <si>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</si>
  <si>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</si>
  <si>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</si>
  <si>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</si>
  <si>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</si>
  <si>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</si>
  <si>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</si>
  <si>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</si>
  <si>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</si>
  <si>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</si>
  <si>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</si>
  <si>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</si>
  <si>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</si>
  <si>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</si>
  <si>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</si>
  <si>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</si>
  <si>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</si>
  <si>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</si>
  <si>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</si>
  <si>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</si>
  <si>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</si>
  <si>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</si>
  <si>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</si>
  <si>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</si>
  <si>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</si>
  <si>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</si>
  <si>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</si>
  <si>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</si>
  <si>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</si>
  <si>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</si>
  <si>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</si>
  <si>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</si>
  <si>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</si>
  <si>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</si>
  <si>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</si>
  <si>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</si>
  <si>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</si>
  <si>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</si>
  <si>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</si>
  <si>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</si>
  <si>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</si>
  <si>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</si>
  <si>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</si>
  <si>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</si>
  <si>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</si>
  <si>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</si>
  <si>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</si>
  <si>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</si>
  <si>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</si>
  <si>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</si>
  <si>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</si>
  <si>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</si>
  <si>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</si>
  <si>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</si>
  <si>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</si>
  <si>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</si>
  <si>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</si>
  <si>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</si>
  <si>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</si>
  <si>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</si>
  <si>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</si>
  <si>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</si>
  <si>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</si>
  <si>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</si>
  <si>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</si>
  <si>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</si>
  <si>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</si>
  <si>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</si>
  <si>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</si>
  <si>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</si>
  <si>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</si>
  <si>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</si>
  <si>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</si>
  <si>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</si>
  <si>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</si>
  <si>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</si>
  <si>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</si>
  <si>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</si>
  <si>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</si>
  <si>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</si>
  <si>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</si>
  <si>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</si>
  <si>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</si>
  <si>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</si>
  <si>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</si>
  <si>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</si>
  <si>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</si>
  <si>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</si>
  <si>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</si>
  <si>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</si>
  <si>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</si>
  <si>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</si>
  <si>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</si>
  <si>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</si>
  <si>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</si>
  <si>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</si>
  <si>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</si>
  <si>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</si>
  <si>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</si>
  <si>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</si>
  <si>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</si>
  <si>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</si>
  <si>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</si>
  <si>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</si>
  <si>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</si>
  <si>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</si>
  <si>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</si>
  <si>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</si>
  <si>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</si>
  <si>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</si>
  <si>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</si>
  <si>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</si>
  <si>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</si>
  <si>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</si>
  <si>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</si>
  <si>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</si>
  <si>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</si>
  <si>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</si>
  <si>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</si>
  <si>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</si>
  <si>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</si>
  <si>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</si>
  <si>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</si>
  <si>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</si>
  <si>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</si>
  <si>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</si>
  <si>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</si>
  <si>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</si>
  <si>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</si>
  <si>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</si>
  <si>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</si>
  <si>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</si>
  <si>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</si>
  <si>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</si>
  <si>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</si>
  <si>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</si>
  <si>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</si>
  <si>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</si>
  <si>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</si>
  <si>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</si>
  <si>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</si>
  <si>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</si>
  <si>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</si>
  <si>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</si>
  <si>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</si>
  <si>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</si>
  <si>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</si>
  <si>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</si>
  <si>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</si>
  <si>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</si>
  <si>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</si>
  <si>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</si>
  <si>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</si>
  <si>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</si>
  <si>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</si>
  <si>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</si>
  <si>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</si>
  <si>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</si>
  <si>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</si>
  <si>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</si>
  <si>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</si>
  <si>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</si>
  <si>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</si>
  <si>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</si>
  <si>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</si>
  <si>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</si>
  <si>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</si>
  <si>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</si>
  <si>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</si>
  <si>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</si>
  <si>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</si>
  <si>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</si>
  <si>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</si>
  <si>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</si>
  <si>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</si>
  <si>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</si>
  <si>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</si>
  <si>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</si>
  <si>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</si>
  <si>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</si>
  <si>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</si>
  <si>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</si>
  <si>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</si>
  <si>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</si>
  <si>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</si>
  <si>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</si>
  <si>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</si>
  <si>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</si>
  <si>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</si>
  <si>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</si>
  <si>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</si>
  <si>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</si>
  <si>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</si>
  <si>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</si>
  <si>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</si>
  <si>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</si>
  <si>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</si>
  <si>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</si>
  <si>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</si>
  <si>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</si>
  <si>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</si>
  <si>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</si>
  <si>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</si>
  <si>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</si>
  <si>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</si>
  <si>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</si>
  <si>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</si>
  <si>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</si>
  <si>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</si>
  <si>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</si>
  <si>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</si>
  <si>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</si>
  <si>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</si>
  <si>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</si>
  <si>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</si>
  <si>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</si>
  <si>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</si>
  <si>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</si>
  <si>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</si>
  <si>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</si>
  <si>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</si>
  <si>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</si>
  <si>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</si>
  <si>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</si>
  <si>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</si>
  <si>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</si>
  <si>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</si>
  <si>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</si>
  <si>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</si>
  <si>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</si>
  <si>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</si>
  <si>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</si>
  <si>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</si>
  <si>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</si>
  <si>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</si>
  <si>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</si>
  <si>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</si>
  <si>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</si>
  <si>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</si>
  <si>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</si>
  <si>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</si>
  <si>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</si>
  <si>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</si>
  <si>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</si>
  <si>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</si>
  <si>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</si>
  <si>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</si>
  <si>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</si>
  <si>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</si>
  <si>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</si>
  <si>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</si>
  <si>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</si>
  <si>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</si>
  <si>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</si>
  <si>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</si>
  <si>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</si>
  <si>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</si>
  <si>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</si>
  <si>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</si>
  <si>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</si>
  <si>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</si>
  <si>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</si>
  <si>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</si>
  <si>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</si>
  <si>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</si>
  <si>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</si>
  <si>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</si>
  <si>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</si>
  <si>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</si>
  <si>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</si>
  <si>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</si>
  <si>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</si>
  <si>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</si>
  <si>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</si>
  <si>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</si>
  <si>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</si>
  <si>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</si>
  <si>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</si>
  <si>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</si>
  <si>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</si>
  <si>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</si>
  <si>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</si>
  <si>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</si>
  <si>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</si>
  <si>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</si>
  <si>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</si>
  <si>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</si>
  <si>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</si>
  <si>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</si>
  <si>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</si>
  <si>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</si>
  <si>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</si>
  <si>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</si>
  <si>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</si>
  <si>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</si>
  <si>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</si>
  <si>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</si>
  <si>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</si>
  <si>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</si>
  <si>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</si>
  <si>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</si>
  <si>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</si>
  <si>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</si>
  <si>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</si>
  <si>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</si>
  <si>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</si>
  <si>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</si>
  <si>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</si>
  <si>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</si>
  <si>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</si>
  <si>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</si>
  <si>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</si>
  <si>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</si>
  <si>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</si>
  <si>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</si>
  <si>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</si>
  <si>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</si>
  <si>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</si>
  <si>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</si>
  <si>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</si>
  <si>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</si>
  <si>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</si>
  <si>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</si>
  <si>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</si>
  <si>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</si>
  <si>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</si>
  <si>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</si>
  <si>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</si>
  <si>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</si>
  <si>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</si>
  <si>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</si>
  <si>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</si>
  <si>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</si>
  <si>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</si>
  <si>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</si>
  <si>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</si>
  <si>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</si>
  <si>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</si>
  <si>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</si>
  <si>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</si>
  <si>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</si>
  <si>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</si>
  <si>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</si>
  <si>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</si>
  <si>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</si>
  <si>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</si>
  <si>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</si>
  <si>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</si>
  <si>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</si>
  <si>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</si>
  <si>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</si>
  <si>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</si>
  <si>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</si>
  <si>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</si>
  <si>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</si>
  <si>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</si>
  <si>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</si>
  <si>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</si>
  <si>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</si>
  <si>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</si>
  <si>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</si>
  <si>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</si>
  <si>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</si>
  <si>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</si>
  <si>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</si>
  <si>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</si>
  <si>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</si>
  <si>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</si>
  <si>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</si>
  <si>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</si>
  <si>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</si>
  <si>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</si>
  <si>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</si>
  <si>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</si>
  <si>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</si>
  <si>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</si>
  <si>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</si>
  <si>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</si>
  <si>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</si>
  <si>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</si>
  <si>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</si>
  <si>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</si>
  <si>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</si>
  <si>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</si>
  <si>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</si>
  <si>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</si>
  <si>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</si>
  <si>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</si>
  <si>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</si>
  <si>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</si>
  <si>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</si>
  <si>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</si>
  <si>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</si>
  <si>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</si>
  <si>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</si>
  <si>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</si>
  <si>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</si>
  <si>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</si>
  <si>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</si>
  <si>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</si>
  <si>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</si>
  <si>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</si>
  <si>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</si>
  <si>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</si>
  <si>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</si>
  <si>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</si>
  <si>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</si>
  <si>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</si>
  <si>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</si>
  <si>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</si>
  <si>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</si>
  <si>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</si>
  <si>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</si>
  <si>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</si>
  <si>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</si>
  <si>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</si>
  <si>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</si>
  <si>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</si>
  <si>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</si>
  <si>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</si>
  <si>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</si>
  <si>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</si>
  <si>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</si>
  <si>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</si>
  <si>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</si>
  <si>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</si>
  <si>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</si>
  <si>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</si>
  <si>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</si>
  <si>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</si>
  <si>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</si>
  <si>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</si>
  <si>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</si>
  <si>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</si>
  <si>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</si>
  <si>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</si>
  <si>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</si>
  <si>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</si>
  <si>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</si>
  <si>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</si>
  <si>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</si>
  <si>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</si>
  <si>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</si>
  <si>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</si>
  <si>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</si>
  <si>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</si>
  <si>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</si>
  <si>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</si>
  <si>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</si>
  <si>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</si>
  <si>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</si>
  <si>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</si>
  <si>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</si>
  <si>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</si>
  <si>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</si>
  <si>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</si>
  <si>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</si>
  <si>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</si>
  <si>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</si>
  <si>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</si>
  <si>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</si>
  <si>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</si>
  <si>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</si>
  <si>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</si>
  <si>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</si>
  <si>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</si>
  <si>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</si>
  <si>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</si>
  <si>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</si>
  <si>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</si>
  <si>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</si>
  <si>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</si>
  <si>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</si>
  <si>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</si>
  <si>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</si>
  <si>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</si>
  <si>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</si>
  <si>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</si>
  <si>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</si>
  <si>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</si>
  <si>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</si>
  <si>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</si>
  <si>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</si>
  <si>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</si>
  <si>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</si>
  <si>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</si>
  <si>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</si>
  <si>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</si>
  <si>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</si>
  <si>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</si>
  <si>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</si>
  <si>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</si>
  <si>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</si>
  <si>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</si>
  <si>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</si>
  <si>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</si>
  <si>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</si>
  <si>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</si>
  <si>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</si>
  <si>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</si>
  <si>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</si>
  <si>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</si>
  <si>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</si>
  <si>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</si>
  <si>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</si>
  <si>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</si>
  <si>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</si>
  <si>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</si>
  <si>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</si>
  <si>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</si>
  <si>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</si>
  <si>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</si>
  <si>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</si>
  <si>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</si>
  <si>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</si>
  <si>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</si>
  <si>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</si>
  <si>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</si>
  <si>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</si>
  <si>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</si>
  <si>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</si>
  <si>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</si>
  <si>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</si>
  <si>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</si>
  <si>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</si>
  <si>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</si>
  <si>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</si>
  <si>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</si>
  <si>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</si>
  <si>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</si>
  <si>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</si>
  <si>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</si>
  <si>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</si>
  <si>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</si>
  <si>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</si>
  <si>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</si>
  <si>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</si>
  <si>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</si>
  <si>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</si>
  <si>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</si>
  <si>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</si>
  <si>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</si>
  <si>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</si>
  <si>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</si>
  <si>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</si>
  <si>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</si>
  <si>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</si>
  <si>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</si>
  <si>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</si>
  <si>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</si>
  <si>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</si>
  <si>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</si>
  <si>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</si>
  <si>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</si>
  <si>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</si>
  <si>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</si>
  <si>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</si>
  <si>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</si>
  <si>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</si>
  <si>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</si>
  <si>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</si>
  <si>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</si>
  <si>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</si>
  <si>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</si>
  <si>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</si>
  <si>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</si>
  <si>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</si>
  <si>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</si>
  <si>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</si>
  <si>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</si>
  <si>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</si>
  <si>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</si>
  <si>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</si>
  <si>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</si>
  <si>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</si>
  <si>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</si>
  <si>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</si>
  <si>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</si>
  <si>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</si>
  <si>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</si>
  <si>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</si>
  <si>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</si>
  <si>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</si>
  <si>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</si>
  <si>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</si>
  <si>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</si>
  <si>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</si>
  <si>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</si>
  <si>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</si>
  <si>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</si>
  <si>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</si>
  <si>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</si>
  <si>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</si>
  <si>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</si>
  <si>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</si>
  <si>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</si>
  <si>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</si>
  <si>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</si>
  <si>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</si>
  <si>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</si>
  <si>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</si>
  <si>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</si>
  <si>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</si>
  <si>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</si>
  <si>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</si>
  <si>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</si>
  <si>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</si>
  <si>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</si>
  <si>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</si>
  <si>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</si>
  <si>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</si>
  <si>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</si>
  <si>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</si>
  <si>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</si>
  <si>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</si>
  <si>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</si>
  <si>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</si>
  <si>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</si>
  <si>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</si>
  <si>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</si>
  <si>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</si>
  <si>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</si>
  <si>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</si>
  <si>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</si>
  <si>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</si>
  <si>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</si>
  <si>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</si>
  <si>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</si>
  <si>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</si>
  <si>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</si>
  <si>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</si>
  <si>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</si>
  <si>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</si>
  <si>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</si>
  <si>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</si>
  <si>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</si>
  <si>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</si>
  <si>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</si>
  <si>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</si>
  <si>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</si>
  <si>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</si>
  <si>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</si>
  <si>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</si>
  <si>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</si>
  <si>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</si>
  <si>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</si>
  <si>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</si>
  <si>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</si>
  <si>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</si>
  <si>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</si>
  <si>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</si>
  <si>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</si>
  <si>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</si>
  <si>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</si>
  <si>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</si>
  <si>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</si>
  <si>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</si>
  <si>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</si>
  <si>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</si>
  <si>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</si>
  <si>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</si>
  <si>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</si>
  <si>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</si>
  <si>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</si>
  <si>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</si>
  <si>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</si>
  <si>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</si>
  <si>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</si>
  <si>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</si>
  <si>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</si>
  <si>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</si>
  <si>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</si>
  <si>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</si>
  <si>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</si>
  <si>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</si>
  <si>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</si>
  <si>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</si>
  <si>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</si>
  <si>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</si>
  <si>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</si>
  <si>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</si>
  <si>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</si>
  <si>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</si>
  <si>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</si>
  <si>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</si>
  <si>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</si>
  <si>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</si>
  <si>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</si>
  <si>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</si>
  <si>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</si>
  <si>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</si>
  <si>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</si>
  <si>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</si>
  <si>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</si>
  <si>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</si>
  <si>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</si>
  <si>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</si>
  <si>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</si>
  <si>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</si>
  <si>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</si>
  <si>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</si>
  <si>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</si>
  <si>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</si>
  <si>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</si>
  <si>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</si>
  <si>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</si>
  <si>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</si>
  <si>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</si>
  <si>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</si>
  <si>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</si>
  <si>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</si>
  <si>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</si>
  <si>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</si>
  <si>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</si>
  <si>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</si>
  <si>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</si>
  <si>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</si>
  <si>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</si>
  <si>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</si>
  <si>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</si>
  <si>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</si>
  <si>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</si>
  <si>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</si>
  <si>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</si>
  <si>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</si>
  <si>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</si>
  <si>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</si>
  <si>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</si>
  <si>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</si>
  <si>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</si>
  <si>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</si>
  <si>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</si>
  <si>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</si>
  <si>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</si>
  <si>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</si>
  <si>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</si>
  <si>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</si>
  <si>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</si>
  <si>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</si>
  <si>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</si>
  <si>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</si>
  <si>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</si>
  <si>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</si>
  <si>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</si>
  <si>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</si>
  <si>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</si>
  <si>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</si>
  <si>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</si>
  <si>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</si>
  <si>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</si>
  <si>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</si>
  <si>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</si>
  <si>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</si>
  <si>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</si>
  <si>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</si>
  <si>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</si>
  <si>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</si>
  <si>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</si>
  <si>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</si>
  <si>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</si>
  <si>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</si>
  <si>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</si>
  <si>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</si>
  <si>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</si>
  <si>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</si>
  <si>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</si>
  <si>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</si>
  <si>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</si>
  <si>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</si>
  <si>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</si>
  <si>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</si>
  <si>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</si>
  <si>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</si>
  <si>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</si>
  <si>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</si>
  <si>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</si>
  <si>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</si>
  <si>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</si>
  <si>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</si>
  <si>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</si>
  <si>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</si>
  <si>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</si>
  <si>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</si>
  <si>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</si>
  <si>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</si>
  <si>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</si>
  <si>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</si>
  <si>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</si>
  <si>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</si>
  <si>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</si>
  <si>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</si>
  <si>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</si>
  <si>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</si>
  <si>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</si>
  <si>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</si>
  <si>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</si>
  <si>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</si>
  <si>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</si>
  <si>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</si>
  <si>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</si>
  <si>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</si>
  <si>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</si>
  <si>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</si>
  <si>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</si>
  <si>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</si>
  <si>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</si>
  <si>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</si>
  <si>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</si>
  <si>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</si>
  <si>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</si>
  <si>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</si>
  <si>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</si>
  <si>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</si>
  <si>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</si>
  <si>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</si>
  <si>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</si>
  <si>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</si>
  <si>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</si>
  <si>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</si>
  <si>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</si>
  <si>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</si>
  <si>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</si>
  <si>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</si>
  <si>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</si>
  <si>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</si>
  <si>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</si>
  <si>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</si>
  <si>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</si>
  <si>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</si>
  <si>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</si>
  <si>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</si>
  <si>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</si>
  <si>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</si>
  <si>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</si>
  <si>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</si>
  <si>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</si>
  <si>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</si>
  <si>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</si>
  <si>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</si>
  <si>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</si>
  <si>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</si>
  <si>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</si>
  <si>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</si>
  <si>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</si>
  <si>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</si>
  <si>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</si>
  <si>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</si>
  <si>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</si>
  <si>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</si>
  <si>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</si>
  <si>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</si>
  <si>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</si>
  <si>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</si>
  <si>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</si>
  <si>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</si>
  <si>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</si>
  <si>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</si>
  <si>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</si>
  <si>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</si>
  <si>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</si>
  <si>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</si>
  <si>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</si>
  <si>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</si>
  <si>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</si>
  <si>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</si>
  <si>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</si>
  <si>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</si>
  <si>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</si>
  <si>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</si>
  <si>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</si>
  <si>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</si>
  <si>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</si>
  <si>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</si>
  <si>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</si>
  <si>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</si>
  <si>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</si>
  <si>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</si>
  <si>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</si>
  <si>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</si>
  <si>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</si>
  <si>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</si>
  <si>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</si>
  <si>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</si>
  <si>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</si>
  <si>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</si>
  <si>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</si>
  <si>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</si>
  <si>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</si>
  <si>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</si>
  <si>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</si>
  <si>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</si>
  <si>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</si>
  <si>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</si>
  <si>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</si>
  <si>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</si>
  <si>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</si>
  <si>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</si>
  <si>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</si>
  <si>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</si>
  <si>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</si>
  <si>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</si>
  <si>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</si>
  <si>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</si>
  <si>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</si>
  <si>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</si>
  <si>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</si>
  <si>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</si>
  <si>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</si>
  <si>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</si>
  <si>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</si>
  <si>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</si>
  <si>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</si>
  <si>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</si>
  <si>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</si>
  <si>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</si>
  <si>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</si>
  <si>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</si>
  <si>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</si>
  <si>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</si>
  <si>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</si>
  <si>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</si>
  <si>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</si>
  <si>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</si>
  <si>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</si>
  <si>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</si>
  <si>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</si>
  <si>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</si>
  <si>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</si>
  <si>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</si>
  <si>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</si>
  <si>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</si>
  <si>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</si>
  <si>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</si>
  <si>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</si>
  <si>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</si>
  <si>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</si>
  <si>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</si>
  <si>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</si>
  <si>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</si>
  <si>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</si>
  <si>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</si>
  <si>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</si>
  <si>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</si>
  <si>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</si>
  <si>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</si>
  <si>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</si>
  <si>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</si>
  <si>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</si>
  <si>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</si>
  <si>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</si>
  <si>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</si>
  <si>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</si>
  <si>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</si>
  <si>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</si>
  <si>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</si>
  <si>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</si>
  <si>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</si>
  <si>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</si>
  <si>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</si>
  <si>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</si>
  <si>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</si>
  <si>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</si>
  <si>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</si>
  <si>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</si>
  <si>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</si>
  <si>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</si>
  <si>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</si>
  <si>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</si>
  <si>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</si>
  <si>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</si>
  <si>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</si>
  <si>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</si>
  <si>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</si>
  <si>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</si>
  <si>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</si>
  <si>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</si>
  <si>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</si>
  <si>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</si>
  <si>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</si>
  <si>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</si>
  <si>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</si>
  <si>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</si>
  <si>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</si>
  <si>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</si>
  <si>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</si>
  <si>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</si>
  <si>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</si>
  <si>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</si>
  <si>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</si>
  <si>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</si>
  <si>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</si>
  <si>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</si>
  <si>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</si>
  <si>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</si>
  <si>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</si>
  <si>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</si>
  <si>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</si>
  <si>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</si>
  <si>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</si>
  <si>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</si>
  <si>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</si>
  <si>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</si>
  <si>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</si>
  <si>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</si>
  <si>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</si>
  <si>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</si>
  <si>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</si>
  <si>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</si>
  <si>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</si>
  <si>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</si>
  <si>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</si>
  <si>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</si>
  <si>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</si>
  <si>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</si>
  <si>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</si>
  <si>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</si>
  <si>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</si>
  <si>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</si>
  <si>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</si>
  <si>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</si>
  <si>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</si>
  <si>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</si>
  <si>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</si>
  <si>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</si>
  <si>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</si>
  <si>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</si>
  <si>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</si>
  <si>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</si>
  <si>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</si>
  <si>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</si>
  <si>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</si>
  <si>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</si>
  <si>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</si>
  <si>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</si>
  <si>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</si>
  <si>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</si>
  <si>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</si>
  <si>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</si>
  <si>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</si>
  <si>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</si>
  <si>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</si>
  <si>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</si>
  <si>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</si>
  <si>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</si>
  <si>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</si>
  <si>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</si>
  <si>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</si>
  <si>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</si>
  <si>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</si>
  <si>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</si>
  <si>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</si>
  <si>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</si>
  <si>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</si>
  <si>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</si>
  <si>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</si>
  <si>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</si>
  <si>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</si>
  <si>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</si>
  <si>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</si>
  <si>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</si>
  <si>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</si>
  <si>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</si>
  <si>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</si>
  <si>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</si>
  <si>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</si>
  <si>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</si>
  <si>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</si>
  <si>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</si>
  <si>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</si>
  <si>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</si>
  <si>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</si>
  <si>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</si>
  <si>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</si>
  <si>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</si>
  <si>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</si>
  <si>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</si>
  <si>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</si>
  <si>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</si>
  <si>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</si>
  <si>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</si>
  <si>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</si>
  <si>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</si>
  <si>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</si>
  <si>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</si>
  <si>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</si>
  <si>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</si>
  <si>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</si>
  <si>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</si>
  <si>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</si>
  <si>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</si>
  <si>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</si>
  <si>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</si>
  <si>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</si>
  <si>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</si>
  <si>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</si>
  <si>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</si>
  <si>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</si>
  <si>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</si>
  <si>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</si>
  <si>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</si>
  <si>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</si>
  <si>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</si>
  <si>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</si>
  <si>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</si>
  <si>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</si>
  <si>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</si>
  <si>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</si>
  <si>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</si>
  <si>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</si>
  <si>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</si>
  <si>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</si>
  <si>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</si>
  <si>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</si>
  <si>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</si>
  <si>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</si>
  <si>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</si>
  <si>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</si>
  <si>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</si>
  <si>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</si>
  <si>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</si>
  <si>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</si>
  <si>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</si>
  <si>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</si>
  <si>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</si>
  <si>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</si>
  <si>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</si>
  <si>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</si>
  <si>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</si>
  <si>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</si>
  <si>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</si>
  <si>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</si>
  <si>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</si>
  <si>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</si>
  <si>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</si>
  <si>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</si>
  <si>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</si>
  <si>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</si>
  <si>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</si>
  <si>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</si>
  <si>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</si>
  <si>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</si>
  <si>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</si>
  <si>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</si>
  <si>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</si>
  <si>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</si>
  <si>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</si>
  <si>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</si>
  <si>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</si>
  <si>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</si>
  <si>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</si>
  <si>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</si>
  <si>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</si>
  <si>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</si>
  <si>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</si>
  <si>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</si>
  <si>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</si>
  <si>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</si>
  <si>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</si>
  <si>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</si>
  <si>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</si>
  <si>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</si>
  <si>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</si>
  <si>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</si>
  <si>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</si>
  <si>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</si>
  <si>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</si>
  <si>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</si>
  <si>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</si>
  <si>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</si>
  <si>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</si>
  <si>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</si>
  <si>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</si>
  <si>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</si>
  <si>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</si>
  <si>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</si>
  <si>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</si>
  <si>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</si>
  <si>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</si>
  <si>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</si>
  <si>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</si>
  <si>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</si>
  <si>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</si>
  <si>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</si>
  <si>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</si>
  <si>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</si>
  <si>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</si>
  <si>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</si>
  <si>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</si>
  <si>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</si>
  <si>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</si>
  <si>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</si>
  <si>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</si>
  <si>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</si>
  <si>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</si>
  <si>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</si>
  <si>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</si>
  <si>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</si>
  <si>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</si>
  <si>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</si>
  <si>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</si>
  <si>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</si>
  <si>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</si>
  <si>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</si>
  <si>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</si>
  <si>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</si>
  <si>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</si>
  <si>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</si>
  <si>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</si>
  <si>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</si>
  <si>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</si>
  <si>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</si>
  <si>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</si>
  <si>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</si>
  <si>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</si>
  <si>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</si>
  <si>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</si>
  <si>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</si>
  <si>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</si>
  <si>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</si>
  <si>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</si>
  <si>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</si>
  <si>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</si>
  <si>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</si>
  <si>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</si>
  <si>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</si>
  <si>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</si>
  <si>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</si>
  <si>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</si>
  <si>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</si>
  <si>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</si>
  <si>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</si>
  <si>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</si>
  <si>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</si>
  <si>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</si>
  <si>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</si>
  <si>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</si>
  <si>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</si>
  <si>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</si>
  <si>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</si>
  <si>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</si>
  <si>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</si>
  <si>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</si>
  <si>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</si>
  <si>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</si>
  <si>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</si>
  <si>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</si>
  <si>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</si>
  <si>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</si>
  <si>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</si>
  <si>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</si>
  <si>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</si>
  <si>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</si>
  <si>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</si>
  <si>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</si>
  <si>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</si>
  <si>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</si>
  <si>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</si>
  <si>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</si>
  <si>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</si>
  <si>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</si>
  <si>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</si>
  <si>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</si>
  <si>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</si>
  <si>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</si>
  <si>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</si>
  <si>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</si>
  <si>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</si>
  <si>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</si>
  <si>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</si>
  <si>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</si>
  <si>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</si>
  <si>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</si>
  <si>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</si>
  <si>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</si>
  <si>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</si>
  <si>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</si>
  <si>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</si>
  <si>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</si>
  <si>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</si>
  <si>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</si>
  <si>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</si>
  <si>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</si>
  <si>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</si>
  <si>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</si>
  <si>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</si>
  <si>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</si>
  <si>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</si>
  <si>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</si>
  <si>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</si>
  <si>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</si>
  <si>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</si>
  <si>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</si>
  <si>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</si>
  <si>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</si>
  <si>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</si>
  <si>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</si>
  <si>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</si>
  <si>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</si>
  <si>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</si>
  <si>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</si>
  <si>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</si>
  <si>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</si>
  <si>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</si>
  <si>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</si>
  <si>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</si>
  <si>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</si>
  <si>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</si>
  <si>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</si>
  <si>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</si>
  <si>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</si>
  <si>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</si>
  <si>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</si>
  <si>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</si>
  <si>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</si>
  <si>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</si>
  <si>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</si>
  <si>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</si>
  <si>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</si>
  <si>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</si>
  <si>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</si>
  <si>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</si>
  <si>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</si>
  <si>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</si>
  <si>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</si>
  <si>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</si>
  <si>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</si>
  <si>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</si>
  <si>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</si>
  <si>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</si>
  <si>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</si>
  <si>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</si>
  <si>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</si>
  <si>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</si>
  <si>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</si>
  <si>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</si>
  <si>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</si>
  <si>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</si>
  <si>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</si>
  <si>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</si>
  <si>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</si>
  <si>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</si>
  <si>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</si>
  <si>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</si>
  <si>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</si>
  <si>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</si>
  <si>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</si>
  <si>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</si>
  <si>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</si>
  <si>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</si>
  <si>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</si>
  <si>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</si>
  <si>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</si>
  <si>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</si>
  <si>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</si>
  <si>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</si>
  <si>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</si>
  <si>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</si>
  <si>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</si>
  <si>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</si>
  <si>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</si>
  <si>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</si>
  <si>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</si>
  <si>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</si>
  <si>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</si>
  <si>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</si>
  <si>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</si>
  <si>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</si>
  <si>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</si>
  <si>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</si>
  <si>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</si>
  <si>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</si>
  <si>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</si>
  <si>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</si>
  <si>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</si>
  <si>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</si>
  <si>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</si>
  <si>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</si>
  <si>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</si>
  <si>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</si>
  <si>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</si>
  <si>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</si>
  <si>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</si>
  <si>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</si>
  <si>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</si>
  <si>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</si>
  <si>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</si>
  <si>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</si>
  <si>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</si>
  <si>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</si>
  <si>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</si>
  <si>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</si>
  <si>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</si>
  <si>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</si>
  <si>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</si>
  <si>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</si>
  <si>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</si>
  <si>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</si>
  <si>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</si>
  <si>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</si>
  <si>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</si>
  <si>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</si>
  <si>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</si>
  <si>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</si>
  <si>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</si>
  <si>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</si>
  <si>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</si>
  <si>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</si>
  <si>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</si>
  <si>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</si>
  <si>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</si>
  <si>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</si>
  <si>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</si>
  <si>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</si>
  <si>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</si>
  <si>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</si>
  <si>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</si>
  <si>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</si>
  <si>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</si>
  <si>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</si>
  <si>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</si>
  <si>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</si>
  <si>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</si>
  <si>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</si>
  <si>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</si>
  <si>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</si>
  <si>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</si>
  <si>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</si>
  <si>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</si>
  <si>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</si>
  <si>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</si>
  <si>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</si>
  <si>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</si>
  <si>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</si>
  <si>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</si>
  <si>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</si>
  <si>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</si>
  <si>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</si>
  <si>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</si>
  <si>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</si>
  <si>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</si>
  <si>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</si>
  <si>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</si>
  <si>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</si>
  <si>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</si>
  <si>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</si>
  <si>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</si>
  <si>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</si>
  <si>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</si>
  <si>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</si>
  <si>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</si>
  <si>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</si>
  <si>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</si>
  <si>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</si>
  <si>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</si>
  <si>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</si>
  <si>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</si>
  <si>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</si>
  <si>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</si>
  <si>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</si>
  <si>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</si>
  <si>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</si>
  <si>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</si>
  <si>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</si>
  <si>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</si>
  <si>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</si>
  <si>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</si>
  <si>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</si>
  <si>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</si>
  <si>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</si>
  <si>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</si>
  <si>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</si>
  <si>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</si>
  <si>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</si>
  <si>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</si>
  <si>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</si>
  <si>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</si>
  <si>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</si>
  <si>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</si>
  <si>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</si>
  <si>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</si>
  <si>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</si>
  <si>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</si>
  <si>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</si>
  <si>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</si>
  <si>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</si>
  <si>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</si>
  <si>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</si>
  <si>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</si>
  <si>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</si>
  <si>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</si>
  <si>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</si>
  <si>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</si>
  <si>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</si>
  <si>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</si>
  <si>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</si>
  <si>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</si>
  <si>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</si>
  <si>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</si>
  <si>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</si>
  <si>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</si>
  <si>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</si>
  <si>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</si>
  <si>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</si>
  <si>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</si>
  <si>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</si>
  <si>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</si>
  <si>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</si>
  <si>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</si>
  <si>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</si>
  <si>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</si>
  <si>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</si>
  <si>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</si>
  <si>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</si>
  <si>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</si>
  <si>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</si>
  <si>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</si>
  <si>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</si>
  <si>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</si>
  <si>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</si>
  <si>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</si>
  <si>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</si>
  <si>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</si>
  <si>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</si>
  <si>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</si>
  <si>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</si>
  <si>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</si>
  <si>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</si>
  <si>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</si>
  <si>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</si>
  <si>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</si>
  <si>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</si>
  <si>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</si>
  <si>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</si>
  <si>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</si>
  <si>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</si>
  <si>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</si>
  <si>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</si>
  <si>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</si>
  <si>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</si>
  <si>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</si>
  <si>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</si>
  <si>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</si>
  <si>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</si>
  <si>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</si>
  <si>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</si>
  <si>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</si>
  <si>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</si>
  <si>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</si>
  <si>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</si>
  <si>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</si>
  <si>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</si>
  <si>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</si>
  <si>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</si>
  <si>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</si>
  <si>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</si>
  <si>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</si>
  <si>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</si>
  <si>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</si>
  <si>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</si>
  <si>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</si>
  <si>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</si>
  <si>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</si>
  <si>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</si>
  <si>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</si>
  <si>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</si>
  <si>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</si>
  <si>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</si>
  <si>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</si>
  <si>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</si>
  <si>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</si>
  <si>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</si>
  <si>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</si>
  <si>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</si>
  <si>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</si>
  <si>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</si>
  <si>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</si>
  <si>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</si>
  <si>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</si>
  <si>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</si>
  <si>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</si>
  <si>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</si>
  <si>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</si>
  <si>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</si>
  <si>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</si>
  <si>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</si>
  <si>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</si>
  <si>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</si>
  <si>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</si>
  <si>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</si>
  <si>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</si>
  <si>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</si>
  <si>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</si>
  <si>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</si>
  <si>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</si>
  <si>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</si>
  <si>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</si>
  <si>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</si>
  <si>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</si>
  <si>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</si>
  <si>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</si>
  <si>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</si>
  <si>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</si>
  <si>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</si>
  <si>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</si>
  <si>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</si>
  <si>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</si>
  <si>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</si>
  <si>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</si>
  <si>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</si>
  <si>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</si>
  <si>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</si>
  <si>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</si>
  <si>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</si>
  <si>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</si>
  <si>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</si>
  <si>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</si>
  <si>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</si>
  <si>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</si>
  <si>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</si>
  <si>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</si>
  <si>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</si>
  <si>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</si>
  <si>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</si>
  <si>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</si>
  <si>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</si>
  <si>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</si>
  <si>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</si>
  <si>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</si>
  <si>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</si>
  <si>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</si>
  <si>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</si>
  <si>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</si>
  <si>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</si>
  <si>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</si>
  <si>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</si>
  <si>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</si>
  <si>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</si>
  <si>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</si>
  <si>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</si>
  <si>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</si>
  <si>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</si>
  <si>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</si>
  <si>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</si>
  <si>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</si>
  <si>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</si>
  <si>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</si>
  <si>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</si>
  <si>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</si>
  <si>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</si>
  <si>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</si>
  <si>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</si>
  <si>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</si>
  <si>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</si>
  <si>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</si>
  <si>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</si>
  <si>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</si>
  <si>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</si>
  <si>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</si>
  <si>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</si>
  <si>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</si>
  <si>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</si>
  <si>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</si>
  <si>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</si>
  <si>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</si>
  <si>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</si>
  <si>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</si>
  <si>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</si>
  <si>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</si>
  <si>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</si>
  <si>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</si>
  <si>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</si>
  <si>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</si>
  <si>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</si>
  <si>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</si>
  <si>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</si>
  <si>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</si>
  <si>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</si>
  <si>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</si>
  <si>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</si>
  <si>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</si>
  <si>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</si>
  <si>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</si>
  <si>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</si>
  <si>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</si>
  <si>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</si>
  <si>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</si>
  <si>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</si>
  <si>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</si>
  <si>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</si>
  <si>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</si>
  <si>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</si>
  <si>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</si>
  <si>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</si>
  <si>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</si>
  <si>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</si>
  <si>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</si>
  <si>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</si>
  <si>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</si>
  <si>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</si>
  <si>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</si>
  <si>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</si>
  <si>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</si>
  <si>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</si>
  <si>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</si>
  <si>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</si>
  <si>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</si>
  <si>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</si>
  <si>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</si>
  <si>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</si>
  <si>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</si>
  <si>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</si>
  <si>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</si>
  <si>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</si>
  <si>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</si>
  <si>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</si>
  <si>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</si>
  <si>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</si>
  <si>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</si>
  <si>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</si>
  <si>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</si>
  <si>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</si>
  <si>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</si>
  <si>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</si>
  <si>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</si>
  <si>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</si>
  <si>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</si>
  <si>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</si>
  <si>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</si>
  <si>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</si>
  <si>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</si>
  <si>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</si>
  <si>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</si>
  <si>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</si>
  <si>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</si>
  <si>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</si>
  <si>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</si>
  <si>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</si>
  <si>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</si>
  <si>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</si>
  <si>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</si>
  <si>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</si>
  <si>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</si>
  <si>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</si>
  <si>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</si>
  <si>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</si>
  <si>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</si>
  <si>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</si>
  <si>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</si>
  <si>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</si>
  <si>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</si>
  <si>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</si>
  <si>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</si>
  <si>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</si>
  <si>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</si>
  <si>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</si>
  <si>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</si>
  <si>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</si>
  <si>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</si>
  <si>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</si>
  <si>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</si>
  <si>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</si>
  <si>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</si>
  <si>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</si>
  <si>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</si>
  <si>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</si>
  <si>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</si>
  <si>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</si>
  <si>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</si>
  <si>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</si>
  <si>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</si>
  <si>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</si>
  <si>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</si>
  <si>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</si>
  <si>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</si>
  <si>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</si>
  <si>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</si>
  <si>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</si>
  <si>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</si>
  <si>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</si>
  <si>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</si>
  <si>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</si>
  <si>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</si>
  <si>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</si>
  <si>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</si>
  <si>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</si>
  <si>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</si>
  <si>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</si>
  <si>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</si>
  <si>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</si>
  <si>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</si>
  <si>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</si>
  <si>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</si>
  <si>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</si>
  <si>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</si>
  <si>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</si>
  <si>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</si>
  <si>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</si>
  <si>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</si>
  <si>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</si>
  <si>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</si>
  <si>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</si>
  <si>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</si>
  <si>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</si>
  <si>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</si>
  <si>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</si>
  <si>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</si>
  <si>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</si>
  <si>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</si>
  <si>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</si>
  <si>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</si>
  <si>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</si>
  <si>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</si>
  <si>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</si>
  <si>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</si>
  <si>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</si>
  <si>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</si>
  <si>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</si>
  <si>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</si>
  <si>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</si>
  <si>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</si>
  <si>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</si>
  <si>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</si>
  <si>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</si>
  <si>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</si>
  <si>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</si>
  <si>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</si>
  <si>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</si>
  <si>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</si>
  <si>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</si>
  <si>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</si>
  <si>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</si>
  <si>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</si>
  <si>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</si>
  <si>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</si>
  <si>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</si>
  <si>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</si>
  <si>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</si>
  <si>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</si>
  <si>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</si>
  <si>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</si>
  <si>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</si>
  <si>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</si>
  <si>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</si>
  <si>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</si>
  <si>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</si>
  <si>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</si>
  <si>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</si>
  <si>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</si>
  <si>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</si>
  <si>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</si>
  <si>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</si>
  <si>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</si>
  <si>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</si>
  <si>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</si>
  <si>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</si>
  <si>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</si>
  <si>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</si>
  <si>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</si>
  <si>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</si>
  <si>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</si>
  <si>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</si>
  <si>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</si>
  <si>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</si>
  <si>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</si>
  <si>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</si>
  <si>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</si>
  <si>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</si>
  <si>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</si>
  <si>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</si>
  <si>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</si>
  <si>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</si>
  <si>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</si>
  <si>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</si>
  <si>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</si>
  <si>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</si>
  <si>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</si>
  <si>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</si>
  <si>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</si>
  <si>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</si>
  <si>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</si>
  <si>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</si>
  <si>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</si>
  <si>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</si>
  <si>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</si>
  <si>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</si>
  <si>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</si>
  <si>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</si>
  <si>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</si>
  <si>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</si>
  <si>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</si>
  <si>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</si>
  <si>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</si>
  <si>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</si>
  <si>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</si>
  <si>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</si>
  <si>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</si>
  <si>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</si>
  <si>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</si>
  <si>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</si>
  <si>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</si>
  <si>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</si>
  <si>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</si>
  <si>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</si>
  <si>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</si>
  <si>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</si>
  <si>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</si>
  <si>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</si>
  <si>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</si>
  <si>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</si>
  <si>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</si>
  <si>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</si>
  <si>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</si>
  <si>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</si>
  <si>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</si>
  <si>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</si>
  <si>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</si>
  <si>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</si>
  <si>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</si>
  <si>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</si>
  <si>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</si>
  <si>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</si>
  <si>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</si>
  <si>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</si>
  <si>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</si>
  <si>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</si>
  <si>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</si>
  <si>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</si>
  <si>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</si>
  <si>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</si>
  <si>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</si>
  <si>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</si>
  <si>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</si>
  <si>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</si>
  <si>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</si>
  <si>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</si>
  <si>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</si>
  <si>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</si>
  <si>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</si>
  <si>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</si>
  <si>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</si>
  <si>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</si>
  <si>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</si>
  <si>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</si>
  <si>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</si>
  <si>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</si>
  <si>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</si>
  <si>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</si>
  <si>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</si>
  <si>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</si>
  <si>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</si>
  <si>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</si>
  <si>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</si>
  <si>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</si>
  <si>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</si>
  <si>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</si>
  <si>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</si>
  <si>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</si>
  <si>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</si>
  <si>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</si>
  <si>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</si>
  <si>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</si>
  <si>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</si>
  <si>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</si>
  <si>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</si>
  <si>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</si>
  <si>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</si>
  <si>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</si>
  <si>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</si>
  <si>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</si>
  <si>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</si>
  <si>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</si>
  <si>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</si>
  <si>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</si>
  <si>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</si>
  <si>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</si>
  <si>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</si>
  <si>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</si>
  <si>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</si>
  <si>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</si>
  <si>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</si>
  <si>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</si>
  <si>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</si>
  <si>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</si>
  <si>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</si>
  <si>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</si>
  <si>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</si>
  <si>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</si>
  <si>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</si>
  <si>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</si>
  <si>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</si>
  <si>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</si>
  <si>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</si>
  <si>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</si>
  <si>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</si>
  <si>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</si>
  <si>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</si>
  <si>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</si>
  <si>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</si>
  <si>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</si>
  <si>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</si>
  <si>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</si>
  <si>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</si>
  <si>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</si>
  <si>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</si>
  <si>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</si>
  <si>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</si>
  <si>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</si>
  <si>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</si>
  <si>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</si>
  <si>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</si>
  <si>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</si>
  <si>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</si>
  <si>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</si>
  <si>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</si>
  <si>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</si>
  <si>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</si>
  <si>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</si>
  <si>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</si>
  <si>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</si>
  <si>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</si>
  <si>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</si>
  <si>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</si>
  <si>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</si>
  <si>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</si>
  <si>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</si>
  <si>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</si>
  <si>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</si>
  <si>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</si>
  <si>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</si>
  <si>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</si>
  <si>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</si>
  <si>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</si>
  <si>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</si>
  <si>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</si>
  <si>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</si>
  <si>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</si>
  <si>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</si>
  <si>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</si>
  <si>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</si>
  <si>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</si>
  <si>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</si>
  <si>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</si>
  <si>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</si>
  <si>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</si>
  <si>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</si>
  <si>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</si>
  <si>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</si>
  <si>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</si>
  <si>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</si>
  <si>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</si>
  <si>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</si>
  <si>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</si>
  <si>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</si>
  <si>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</si>
  <si>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</si>
  <si>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</si>
  <si>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</si>
  <si>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</si>
  <si>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</si>
  <si>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</si>
  <si>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</si>
  <si>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</si>
  <si>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</si>
  <si>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</si>
  <si>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</si>
  <si>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</si>
  <si>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</si>
  <si>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</si>
  <si>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</si>
  <si>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</si>
  <si>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</si>
  <si>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</si>
  <si>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</si>
  <si>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</si>
  <si>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</si>
  <si>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</si>
  <si>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</si>
  <si>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</si>
  <si>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</si>
  <si>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</si>
  <si>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</si>
  <si>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</si>
  <si>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</si>
  <si>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</si>
  <si>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</si>
  <si>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</si>
  <si>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</si>
  <si>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</si>
  <si>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</si>
  <si>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</si>
  <si>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</si>
  <si>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</si>
  <si>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</si>
  <si>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</si>
  <si>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</si>
  <si>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</si>
  <si>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</si>
  <si>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</si>
  <si>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</si>
  <si>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</si>
  <si>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</si>
  <si>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</si>
  <si>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</si>
  <si>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</si>
  <si>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</si>
  <si>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</si>
  <si>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</si>
  <si>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</si>
  <si>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</si>
  <si>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</si>
  <si>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</si>
  <si>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</si>
  <si>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</si>
  <si>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</si>
  <si>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</si>
  <si>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</si>
  <si>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</si>
  <si>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</si>
  <si>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</si>
  <si>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</si>
  <si>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</si>
  <si>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</si>
  <si>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</si>
  <si>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</si>
  <si>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</si>
  <si>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</si>
  <si>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</si>
  <si>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</si>
  <si>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</si>
  <si>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</si>
  <si>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</si>
  <si>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</si>
  <si>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</si>
  <si>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</si>
  <si>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</si>
  <si>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</si>
  <si>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</si>
  <si>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</si>
  <si>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</si>
  <si>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</si>
  <si>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</si>
  <si>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</si>
  <si>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</si>
  <si>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</si>
  <si>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</si>
  <si>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</si>
  <si>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</si>
  <si>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</si>
  <si>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</si>
  <si>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</si>
  <si>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</si>
  <si>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</si>
  <si>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</si>
  <si>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</si>
  <si>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</si>
  <si>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</si>
  <si>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</si>
  <si>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</si>
  <si>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</si>
  <si>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</si>
  <si>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</si>
  <si>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</si>
  <si>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</si>
  <si>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</si>
  <si>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</si>
  <si>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</si>
  <si>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</si>
  <si>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</si>
  <si>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</si>
  <si>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</si>
  <si>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</si>
  <si>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</si>
  <si>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</si>
  <si>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</si>
  <si>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</si>
  <si>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</si>
  <si>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</si>
  <si>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</si>
  <si>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</si>
  <si>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</si>
  <si>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</si>
  <si>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</si>
  <si>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</si>
  <si>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</si>
  <si>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</si>
  <si>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</si>
  <si>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</si>
  <si>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</si>
  <si>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</si>
  <si>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</si>
  <si>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</si>
  <si>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</si>
  <si>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</si>
  <si>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</si>
  <si>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</si>
  <si>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</si>
  <si>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</si>
  <si>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</si>
  <si>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</si>
  <si>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</si>
  <si>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</si>
  <si>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</si>
  <si>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</si>
  <si>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</si>
  <si>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</si>
  <si>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</si>
  <si>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</si>
  <si>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</si>
  <si>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</si>
  <si>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</si>
  <si>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</si>
  <si>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</si>
  <si>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</si>
  <si>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</si>
  <si>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</si>
  <si>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</si>
  <si>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</si>
  <si>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</si>
  <si>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</si>
  <si>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</si>
  <si>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</si>
  <si>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</si>
  <si>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</si>
  <si>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</si>
  <si>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</si>
  <si>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</si>
  <si>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</si>
  <si>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</si>
  <si>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</si>
  <si>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</si>
  <si>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</si>
  <si>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</si>
  <si>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</si>
  <si>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</si>
  <si>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</si>
  <si>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</si>
  <si>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</si>
  <si>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</si>
  <si>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</si>
  <si>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</si>
  <si>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</si>
  <si>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</si>
  <si>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</si>
  <si>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</si>
  <si>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</si>
  <si>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</si>
  <si>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</si>
  <si>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</si>
  <si>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</si>
  <si>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</si>
  <si>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</si>
  <si>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</si>
  <si>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</si>
  <si>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</si>
  <si>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</si>
  <si>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</si>
  <si>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</si>
  <si>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</si>
  <si>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</si>
  <si>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</si>
  <si>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</si>
  <si>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</si>
  <si>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</si>
  <si>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</si>
  <si>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</si>
  <si>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</si>
  <si>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</si>
  <si>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</si>
  <si>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</si>
  <si>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</si>
  <si>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</si>
  <si>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</si>
  <si>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</si>
  <si>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</si>
  <si>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</si>
  <si>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</si>
  <si>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</si>
  <si>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</si>
  <si>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</si>
  <si>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</si>
  <si>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</si>
  <si>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</si>
  <si>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</si>
  <si>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</si>
  <si>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</si>
  <si>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</si>
  <si>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</si>
  <si>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</si>
  <si>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</si>
  <si>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</si>
  <si>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</si>
  <si>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</si>
  <si>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</si>
  <si>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</si>
  <si>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</si>
  <si>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</si>
  <si>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</si>
  <si>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</si>
  <si>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</si>
  <si>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</si>
  <si>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</si>
  <si>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</si>
  <si>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</si>
  <si>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</si>
  <si>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</si>
  <si>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</si>
  <si>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</si>
  <si>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</si>
  <si>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</si>
  <si>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</si>
  <si>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</si>
  <si>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</si>
  <si>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</si>
  <si>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</si>
  <si>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</si>
  <si>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</si>
  <si>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</si>
  <si>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</si>
  <si>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</si>
  <si>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</si>
  <si>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</si>
  <si>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</si>
  <si>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</si>
  <si>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</si>
  <si>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</si>
  <si>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</si>
  <si>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</si>
  <si>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</si>
  <si>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</si>
  <si>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</si>
  <si>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</si>
  <si>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</si>
  <si>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</si>
  <si>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</si>
  <si>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</si>
  <si>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</si>
  <si>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</si>
  <si>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</si>
  <si>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</si>
  <si>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</si>
  <si>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</si>
  <si>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</si>
  <si>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</si>
  <si>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</si>
  <si>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</si>
  <si>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</si>
  <si>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</si>
  <si>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</si>
  <si>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</si>
  <si>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</si>
  <si>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</si>
  <si>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</si>
  <si>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</si>
  <si>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</si>
  <si>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</si>
  <si>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</si>
  <si>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</si>
  <si>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</si>
  <si>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</si>
  <si>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</si>
  <si>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</si>
  <si>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</si>
  <si>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</si>
  <si>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</si>
  <si>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</si>
  <si>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</si>
  <si>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</si>
  <si>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</si>
  <si>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</si>
  <si>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</si>
  <si>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</si>
  <si>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</si>
  <si>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</si>
  <si>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</si>
  <si>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</si>
  <si>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</si>
  <si>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</si>
  <si>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</si>
  <si>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</si>
  <si>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</si>
  <si>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</si>
  <si>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</si>
  <si>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</si>
  <si>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</si>
  <si>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</si>
  <si>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</si>
  <si>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</si>
  <si>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</si>
  <si>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</si>
  <si>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</si>
  <si>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</si>
  <si>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</si>
  <si>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</si>
  <si>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</si>
  <si>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</si>
  <si>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</si>
  <si>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</si>
  <si>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</si>
  <si>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</si>
  <si>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</si>
  <si>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</si>
  <si>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</si>
  <si>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</si>
  <si>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</si>
  <si>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</si>
  <si>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</si>
  <si>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</si>
  <si>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</si>
  <si>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</si>
  <si>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</si>
  <si>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</si>
  <si>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</si>
  <si>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</si>
  <si>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</si>
  <si>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</si>
  <si>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</si>
  <si>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</si>
  <si>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</si>
  <si>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</si>
  <si>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</si>
  <si>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</si>
  <si>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</si>
  <si>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</si>
  <si>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</si>
  <si>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</si>
  <si>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</si>
  <si>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</si>
  <si>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</si>
  <si>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</si>
  <si>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</si>
  <si>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</si>
  <si>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</si>
  <si>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</si>
  <si>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</si>
  <si>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</si>
  <si>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</si>
  <si>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</si>
  <si>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</si>
  <si>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</si>
  <si>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</si>
  <si>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</si>
  <si>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</si>
  <si>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</si>
  <si>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</si>
  <si>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</si>
  <si>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</si>
  <si>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</si>
  <si>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</si>
  <si>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</si>
  <si>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</si>
  <si>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</si>
  <si>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</si>
  <si>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</si>
  <si>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</si>
  <si>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</si>
  <si>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</si>
  <si>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</si>
  <si>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</si>
  <si>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</si>
  <si>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</si>
  <si>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</si>
  <si>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</si>
  <si>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</si>
  <si>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</si>
  <si>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</si>
  <si>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</si>
  <si>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</si>
  <si>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</si>
  <si>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</si>
  <si>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</si>
  <si>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</si>
  <si>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</si>
  <si>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</si>
  <si>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</si>
  <si>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</si>
  <si>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</si>
  <si>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</si>
  <si>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</si>
  <si>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</si>
  <si>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</si>
  <si>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</si>
  <si>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</si>
  <si>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</si>
  <si>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</si>
  <si>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</si>
  <si>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</si>
  <si>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</si>
  <si>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</si>
  <si>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</si>
  <si>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</si>
  <si>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</si>
  <si>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</si>
  <si>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</si>
  <si>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</si>
  <si>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</si>
  <si>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</si>
  <si>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</si>
  <si>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</si>
  <si>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</si>
  <si>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</si>
  <si>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</si>
  <si>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</si>
  <si>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</si>
  <si>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</si>
  <si>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</si>
  <si>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</si>
  <si>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</si>
  <si>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</si>
  <si>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</si>
  <si>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</si>
  <si>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</si>
  <si>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</si>
  <si>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</si>
  <si>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</si>
  <si>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</si>
  <si>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</si>
  <si>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</si>
  <si>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</si>
  <si>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</si>
  <si>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</si>
  <si>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</si>
  <si>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</si>
  <si>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</si>
  <si>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</si>
  <si>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</si>
  <si>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</si>
  <si>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</si>
  <si>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</si>
  <si>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</si>
  <si>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</si>
  <si>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</si>
  <si>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</si>
  <si>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</si>
  <si>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</si>
  <si>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</si>
  <si>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</si>
  <si>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</si>
  <si>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</si>
  <si>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</si>
  <si>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</si>
  <si>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</si>
  <si>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</si>
  <si>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</si>
  <si>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</si>
  <si>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</si>
  <si>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</si>
  <si>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</si>
  <si>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</si>
  <si>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</si>
  <si>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</si>
  <si>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</si>
  <si>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</si>
  <si>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</si>
  <si>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</si>
  <si>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</si>
  <si>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</si>
  <si>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</si>
  <si>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</si>
  <si>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</si>
  <si>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</si>
  <si>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</si>
  <si>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</si>
  <si>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</si>
  <si>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</si>
  <si>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</si>
  <si>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</si>
  <si>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</si>
  <si>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</si>
  <si>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</si>
  <si>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</si>
  <si>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</si>
  <si>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</si>
  <si>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</si>
  <si>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</si>
  <si>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</si>
  <si>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</si>
  <si>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</si>
  <si>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</si>
  <si>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</si>
  <si>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</si>
  <si>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</si>
  <si>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</si>
  <si>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</si>
  <si>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</si>
  <si>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</si>
  <si>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</si>
  <si>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</si>
  <si>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</si>
  <si>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</si>
  <si>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</si>
  <si>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</si>
  <si>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</si>
  <si>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</si>
  <si>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</si>
  <si>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</si>
  <si>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</si>
  <si>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</si>
  <si>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</si>
  <si>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</si>
  <si>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</si>
  <si>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</si>
  <si>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</si>
  <si>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</si>
  <si>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</si>
  <si>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</si>
  <si>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</si>
  <si>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</si>
  <si>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</si>
  <si>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</si>
  <si>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</si>
  <si>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</si>
  <si>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</si>
  <si>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</si>
  <si>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</si>
  <si>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</si>
  <si>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</si>
  <si>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</si>
  <si>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</si>
  <si>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</si>
  <si>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</si>
  <si>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</si>
  <si>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</si>
  <si>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</si>
  <si>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</si>
  <si>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</si>
  <si>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</si>
  <si>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</si>
  <si>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</si>
  <si>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</si>
  <si>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</si>
  <si>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</si>
  <si>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</si>
  <si>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</si>
  <si>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</si>
  <si>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</si>
  <si>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</si>
  <si>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</si>
  <si>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</si>
  <si>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</si>
  <si>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</si>
  <si>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</si>
  <si>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</si>
  <si>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</si>
  <si>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</si>
  <si>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</si>
  <si>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</si>
  <si>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</si>
  <si>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</si>
  <si>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</si>
  <si>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</si>
  <si>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</si>
  <si>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</si>
  <si>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</si>
  <si>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</si>
  <si>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</si>
  <si>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</si>
  <si>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</si>
  <si>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</si>
  <si>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</si>
  <si>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</si>
  <si>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</si>
  <si>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</si>
  <si>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</si>
  <si>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</si>
  <si>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</si>
  <si>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</si>
  <si>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</si>
  <si>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</si>
  <si>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</si>
  <si>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</si>
  <si>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</si>
  <si>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</si>
  <si>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</si>
  <si>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</si>
  <si>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</si>
  <si>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</si>
  <si>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</si>
  <si>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</si>
  <si>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</si>
  <si>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</si>
  <si>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</si>
  <si>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</si>
  <si>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</si>
  <si>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</si>
  <si>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</si>
  <si>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</si>
  <si>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</si>
  <si>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</si>
  <si>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</si>
  <si>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</si>
  <si>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</si>
  <si>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</si>
  <si>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</si>
  <si>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</si>
  <si>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</si>
  <si>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</si>
  <si>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</si>
  <si>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</si>
  <si>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</si>
  <si>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</si>
  <si>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</si>
  <si>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</si>
  <si>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</si>
  <si>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</si>
  <si>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</si>
  <si>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</si>
  <si>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</si>
  <si>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</si>
  <si>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</si>
  <si>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</si>
  <si>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</si>
  <si>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</si>
  <si>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</si>
  <si>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</si>
  <si>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</si>
  <si>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</si>
  <si>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</si>
  <si>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</si>
  <si>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</si>
  <si>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</si>
  <si>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</si>
  <si>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</si>
  <si>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</si>
  <si>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</si>
  <si>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</si>
  <si>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</si>
  <si>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</si>
  <si>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</si>
  <si>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</si>
  <si>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</si>
  <si>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</si>
  <si>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</si>
  <si>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</si>
  <si>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</si>
  <si>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</si>
  <si>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</si>
  <si>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</si>
  <si>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</si>
  <si>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</si>
  <si>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</si>
  <si>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</si>
  <si>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</si>
  <si>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</si>
  <si>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</si>
  <si>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</si>
  <si>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</si>
  <si>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</si>
  <si>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</si>
  <si>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</si>
  <si>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</si>
  <si>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</si>
  <si>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</si>
  <si>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</si>
  <si>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</si>
  <si>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</si>
  <si>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</si>
  <si>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</si>
  <si>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</si>
  <si>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</si>
  <si>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</si>
  <si>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</si>
  <si>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</si>
  <si>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</si>
  <si>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</si>
  <si>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</si>
  <si>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</si>
  <si>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</si>
  <si>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</si>
  <si>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</si>
  <si>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</si>
  <si>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</si>
  <si>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</si>
  <si>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</si>
  <si>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</si>
  <si>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</si>
  <si>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</si>
  <si>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</si>
  <si>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</si>
  <si>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</si>
  <si>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</si>
  <si>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</si>
  <si>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</si>
  <si>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</si>
  <si>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</si>
  <si>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</si>
  <si>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</si>
  <si>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</si>
  <si>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</si>
  <si>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</si>
  <si>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</si>
  <si>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</si>
  <si>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</si>
  <si>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</si>
  <si>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</si>
  <si>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</si>
  <si>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</si>
  <si>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</si>
  <si>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</si>
  <si>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</si>
  <si>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</si>
  <si>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</si>
  <si>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</si>
  <si>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</si>
  <si>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</si>
  <si>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</si>
  <si>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</si>
  <si>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</si>
  <si>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</si>
  <si>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</si>
  <si>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</si>
  <si>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</si>
  <si>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</si>
  <si>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</si>
  <si>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</si>
  <si>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</si>
  <si>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</si>
  <si>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</si>
  <si>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</si>
  <si>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</si>
  <si>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</si>
  <si>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</si>
  <si>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</si>
  <si>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</si>
  <si>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</si>
  <si>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</si>
  <si>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</si>
  <si>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</si>
  <si>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</si>
  <si>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</si>
  <si>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</si>
  <si>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</si>
  <si>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</si>
  <si>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</si>
  <si>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</si>
  <si>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</si>
  <si>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</si>
  <si>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</si>
  <si>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</si>
  <si>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</si>
  <si>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</si>
  <si>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</si>
  <si>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</si>
  <si>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</si>
  <si>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</si>
  <si>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</si>
  <si>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</si>
  <si>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</si>
  <si>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</si>
  <si>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</si>
  <si>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</si>
  <si>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</si>
  <si>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</si>
  <si>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</si>
  <si>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</si>
  <si>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</si>
  <si>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</si>
  <si>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</si>
  <si>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</si>
  <si>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</si>
  <si>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</si>
  <si>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</si>
  <si>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</si>
  <si>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</si>
  <si>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</si>
  <si>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</si>
  <si>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</si>
  <si>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</si>
  <si>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</si>
  <si>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</si>
  <si>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</si>
  <si>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</si>
  <si>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</si>
  <si>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</si>
  <si>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</si>
  <si>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</si>
  <si>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</si>
  <si>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</si>
  <si>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</si>
  <si>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</si>
  <si>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</si>
  <si>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</si>
  <si>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</si>
  <si>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</si>
  <si>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</si>
  <si>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</si>
  <si>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</si>
  <si>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</si>
  <si>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</si>
  <si>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</si>
  <si>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</si>
  <si>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</si>
  <si>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</si>
  <si>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</si>
  <si>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</si>
  <si>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</si>
  <si>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</si>
  <si>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</si>
  <si>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</si>
  <si>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</si>
  <si>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</si>
  <si>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</si>
  <si>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</si>
  <si>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</si>
  <si>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</si>
  <si>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</si>
  <si>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</si>
  <si>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</si>
  <si>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</si>
  <si>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</si>
  <si>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</si>
  <si>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</si>
  <si>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</si>
  <si>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</si>
  <si>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</si>
  <si>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</si>
  <si>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</si>
  <si>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</si>
  <si>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</si>
  <si>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</si>
  <si>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</si>
  <si>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</si>
  <si>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</si>
  <si>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</si>
  <si>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</si>
  <si>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</si>
  <si>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</si>
  <si>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</si>
  <si>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</si>
  <si>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</si>
  <si>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</si>
  <si>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</si>
  <si>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</si>
  <si>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</si>
  <si>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</si>
  <si>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</si>
  <si>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</si>
  <si>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</si>
  <si>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</si>
  <si>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</si>
  <si>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</si>
  <si>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</si>
  <si>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</si>
  <si>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</si>
  <si>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</si>
  <si>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</si>
  <si>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</si>
  <si>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</si>
  <si>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</si>
  <si>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</si>
  <si>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</si>
  <si>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</si>
  <si>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</si>
  <si>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</si>
  <si>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</si>
  <si>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</si>
  <si>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</si>
  <si>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</si>
  <si>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</si>
  <si>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</si>
  <si>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</si>
  <si>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</si>
  <si>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</si>
  <si>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</si>
  <si>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</si>
  <si>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</si>
  <si>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</si>
  <si>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</si>
  <si>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</si>
  <si>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</si>
  <si>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</si>
  <si>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</si>
  <si>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</si>
  <si>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</si>
  <si>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</si>
  <si>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</si>
  <si>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</si>
  <si>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</si>
  <si>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</si>
  <si>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</si>
  <si>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</si>
  <si>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</si>
  <si>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</si>
  <si>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</si>
  <si>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</si>
  <si>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</si>
  <si>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</si>
  <si>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</si>
  <si>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</si>
  <si>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</si>
  <si>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</si>
  <si>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</si>
  <si>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</si>
  <si>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</si>
  <si>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</si>
  <si>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</si>
  <si>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</si>
  <si>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</si>
  <si>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</si>
  <si>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</si>
  <si>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</si>
  <si>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</si>
  <si>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</si>
  <si>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</si>
  <si>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</si>
  <si>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</si>
  <si>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</si>
  <si>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</si>
  <si>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</si>
  <si>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</si>
  <si>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</si>
  <si>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</si>
  <si>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</si>
  <si>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</si>
  <si>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</si>
  <si>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</si>
  <si>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</si>
  <si>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</si>
  <si>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</si>
  <si>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</si>
  <si>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</si>
  <si>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</si>
  <si>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</si>
  <si>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</si>
  <si>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</si>
  <si>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</si>
  <si>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</si>
  <si>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</si>
  <si>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</si>
  <si>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</si>
  <si>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</si>
  <si>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</si>
  <si>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</si>
  <si>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</si>
  <si>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</si>
  <si>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</si>
  <si>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</si>
  <si>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</si>
  <si>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</si>
  <si>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</si>
  <si>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</si>
  <si>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</si>
  <si>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</si>
  <si>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</si>
  <si>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</si>
  <si>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</si>
  <si>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</si>
  <si>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</si>
  <si>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</si>
  <si>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</si>
  <si>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</si>
  <si>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</si>
  <si>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</si>
  <si>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</si>
  <si>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</si>
  <si>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</si>
  <si>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</si>
  <si>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</si>
  <si>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</si>
  <si>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</si>
  <si>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</si>
  <si>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</si>
  <si>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</si>
  <si>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</si>
  <si>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</si>
  <si>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</si>
  <si>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</si>
  <si>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</si>
  <si>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</si>
  <si>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</si>
  <si>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</si>
  <si>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</si>
  <si>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</si>
  <si>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</si>
  <si>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</si>
  <si>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</si>
  <si>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</si>
  <si>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</si>
  <si>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</si>
  <si>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</si>
  <si>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</si>
  <si>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</si>
  <si>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</si>
  <si>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</si>
  <si>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</si>
  <si>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</si>
  <si>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2199</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</si>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</sst>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youtu.be/86a8fv-ljhw"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gDXznlVPmok"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6maFSYyONMI"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youtu.be/ZBw8HgqmYE4"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SyQIUMhk3NQ"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www.twitch.tv/videos/1564290677"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2V-E1Ry_EdM"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HPS5N1Vmy6Q"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IOuZLjDgZX0"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youtu.be/o3BJ9s8uUxw"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youtu.be/WH0jcgZhuSk"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www.twitch.tv/videos/1221315070"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yBPrzGu9iR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b5xLagqBHMs"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f3IKwizBUj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Y0Oq8wetDt4"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WdO1DE0MY8"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edbcwsAJJdQ" TargetMode="External"/><Relationship Id="rId1048" Type="http://schemas.openxmlformats.org/officeDocument/2006/relationships/hyperlink" Target="https://youtu.be/J989sH4gWmM" TargetMode="External"/><Relationship Id="rId2379" Type="http://schemas.openxmlformats.org/officeDocument/2006/relationships/hyperlink" Target="https://youtu.be/AInY62IAQTE"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youtu.be/BtDU7IHZw84" TargetMode="External"/><Relationship Id="rId2372" Type="http://schemas.openxmlformats.org/officeDocument/2006/relationships/hyperlink" Target="https://youtu.be/62chYrizJq0" TargetMode="External"/><Relationship Id="rId1042" Type="http://schemas.openxmlformats.org/officeDocument/2006/relationships/hyperlink" Target="https://youtu.be/6qN0IeLH_hY" TargetMode="External"/><Relationship Id="rId2373" Type="http://schemas.openxmlformats.org/officeDocument/2006/relationships/hyperlink" Target="https://youtu.be/dfKRUsUrT5k" TargetMode="External"/><Relationship Id="rId1043" Type="http://schemas.openxmlformats.org/officeDocument/2006/relationships/hyperlink" Target="https://youtu.be/atGNpdUJS8U"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rPuytD0LZNY" TargetMode="External"/><Relationship Id="rId1061" Type="http://schemas.openxmlformats.org/officeDocument/2006/relationships/hyperlink" Target="https://youtu.be/QS2WODoBUiE"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KA4asInrEt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4piPovOx8O4" TargetMode="External"/><Relationship Id="rId1064" Type="http://schemas.openxmlformats.org/officeDocument/2006/relationships/hyperlink" Target="https://youtu.be/kBIHINSXADo" TargetMode="External"/><Relationship Id="rId2395" Type="http://schemas.openxmlformats.org/officeDocument/2006/relationships/hyperlink" Target="https://youtu.be/7PV_sbgZrbk" TargetMode="External"/><Relationship Id="rId1065" Type="http://schemas.openxmlformats.org/officeDocument/2006/relationships/hyperlink" Target="https://youtu.be/rdCcIUbvyBg" TargetMode="External"/><Relationship Id="rId2396" Type="http://schemas.openxmlformats.org/officeDocument/2006/relationships/hyperlink" Target="https://youtu.be/Lun8aJPbx0M"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tQd6-gbOy0"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www.twitch.tv/videos/1543830443"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VKdpuTD0_0I"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Ur30oJz5fLg" TargetMode="External"/><Relationship Id="rId2347" Type="http://schemas.openxmlformats.org/officeDocument/2006/relationships/hyperlink" Target="https://youtu.be/gSWUegi2i4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XMhkera1ZFY" TargetMode="External"/><Relationship Id="rId2348" Type="http://schemas.openxmlformats.org/officeDocument/2006/relationships/hyperlink" Target="https://youtu.be/215aVHsFEaI" TargetMode="External"/><Relationship Id="rId1018" Type="http://schemas.openxmlformats.org/officeDocument/2006/relationships/hyperlink" Target="https://youtu.be/MlhTMA8jRhY" TargetMode="External"/><Relationship Id="rId2349" Type="http://schemas.openxmlformats.org/officeDocument/2006/relationships/hyperlink" Target="https://youtu.be/Dtt-mo-Aifw"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rlO0H0vRoVk"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o7lHABnxHgI"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FjmZk1UdpnA"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L5ZxQdfVpWM" TargetMode="External"/><Relationship Id="rId2344" Type="http://schemas.openxmlformats.org/officeDocument/2006/relationships/hyperlink" Target="https://youtu.be/PgjsZLiin5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S0sk26Pw7D4" TargetMode="External"/><Relationship Id="rId2345" Type="http://schemas.openxmlformats.org/officeDocument/2006/relationships/hyperlink" Target="https://youtu.be/l59acLrnqG0"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tHKISoTDxf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Y2cUppv-m-M"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vf7LO_ZZhjw"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wutk4BplKqE"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Zmj42FKDL5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youtu.be/bINNm5Aceek"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KV14OoM4Dw4"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d9DyDRTKOU8" TargetMode="External"/><Relationship Id="rId1002" Type="http://schemas.openxmlformats.org/officeDocument/2006/relationships/hyperlink" Target="https://youtu.be/-eTS2GXL6yA"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PVGqyyWrnS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BTFIMcWwNGc" TargetMode="External"/><Relationship Id="rId1037" Type="http://schemas.openxmlformats.org/officeDocument/2006/relationships/hyperlink" Target="https://youtu.be/__uMNe34lEA" TargetMode="External"/><Relationship Id="rId2368" Type="http://schemas.openxmlformats.org/officeDocument/2006/relationships/hyperlink" Target="https://youtu.be/OHAOK210HI0" TargetMode="External"/><Relationship Id="rId1038" Type="http://schemas.openxmlformats.org/officeDocument/2006/relationships/hyperlink" Target="https://youtu.be/xwQVuGezGdY" TargetMode="External"/><Relationship Id="rId2369" Type="http://schemas.openxmlformats.org/officeDocument/2006/relationships/hyperlink" Target="https://youtu.be/ezRLGDMPXGw"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nQy_jg9yEw4"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8lQ-ZQlB5qI"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youtu.be/5jM0EgimauY"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TE0ZMUEmeI"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PI55eewc68w"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bddloJuRMa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k5XnERuF7jo" TargetMode="External"/><Relationship Id="rId2355" Type="http://schemas.openxmlformats.org/officeDocument/2006/relationships/hyperlink" Target="https://youtu.be/C-bm3K3aU-I"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77Bxvngg3oY" TargetMode="External"/><Relationship Id="rId3755" Type="http://schemas.openxmlformats.org/officeDocument/2006/relationships/hyperlink" Target="https://youtu.be/P1zYoS5W0-o" TargetMode="External"/><Relationship Id="rId2424" Type="http://schemas.openxmlformats.org/officeDocument/2006/relationships/hyperlink" Target="https://youtu.be/U-Y7rFlhjrs" TargetMode="External"/><Relationship Id="rId3754" Type="http://schemas.openxmlformats.org/officeDocument/2006/relationships/hyperlink" Target="https://youtu.be/0cqSvG8RrCo" TargetMode="External"/><Relationship Id="rId2425" Type="http://schemas.openxmlformats.org/officeDocument/2006/relationships/hyperlink" Target="https://youtu.be/xHwGHlDLeVQ" TargetMode="External"/><Relationship Id="rId3757" Type="http://schemas.openxmlformats.org/officeDocument/2006/relationships/hyperlink" Target="https://youtu.be/I7ZgVTZnK5E" TargetMode="External"/><Relationship Id="rId2426" Type="http://schemas.openxmlformats.org/officeDocument/2006/relationships/hyperlink" Target="https://youtu.be/_JtFC5kdmvA" TargetMode="External"/><Relationship Id="rId3756" Type="http://schemas.openxmlformats.org/officeDocument/2006/relationships/hyperlink" Target="https://youtu.be/nggxOuqniqE" TargetMode="External"/><Relationship Id="rId2427" Type="http://schemas.openxmlformats.org/officeDocument/2006/relationships/hyperlink" Target="https://youtu.be/do6X5dQR_Zs" TargetMode="External"/><Relationship Id="rId3759" Type="http://schemas.openxmlformats.org/officeDocument/2006/relationships/hyperlink" Target="https://youtu.be/L3JP_GvYE7c" TargetMode="External"/><Relationship Id="rId2428" Type="http://schemas.openxmlformats.org/officeDocument/2006/relationships/hyperlink" Target="https://youtu.be/r1KAG19-pdY" TargetMode="External"/><Relationship Id="rId3758" Type="http://schemas.openxmlformats.org/officeDocument/2006/relationships/hyperlink" Target="https://youtu.be/is_vY-GrcvA" TargetMode="External"/><Relationship Id="rId2429" Type="http://schemas.openxmlformats.org/officeDocument/2006/relationships/hyperlink" Target="https://youtu.be/lTLV2YNvtk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GuinuQXuAeE" TargetMode="External"/><Relationship Id="rId3750" Type="http://schemas.openxmlformats.org/officeDocument/2006/relationships/hyperlink" Target="https://youtu.be/Fwi1P8hhbEM" TargetMode="External"/><Relationship Id="rId2421" Type="http://schemas.openxmlformats.org/officeDocument/2006/relationships/hyperlink" Target="https://youtu.be/734zia0C1oc" TargetMode="External"/><Relationship Id="rId3753" Type="http://schemas.openxmlformats.org/officeDocument/2006/relationships/hyperlink" Target="https://youtu.be/q-qecF2b-PI" TargetMode="External"/><Relationship Id="rId2422" Type="http://schemas.openxmlformats.org/officeDocument/2006/relationships/hyperlink" Target="https://youtu.be/cpjM9d2bBow" TargetMode="External"/><Relationship Id="rId3752" Type="http://schemas.openxmlformats.org/officeDocument/2006/relationships/hyperlink" Target="https://youtu.be/79vpdi3lud8" TargetMode="External"/><Relationship Id="rId2412" Type="http://schemas.openxmlformats.org/officeDocument/2006/relationships/hyperlink" Target="https://youtu.be/okwGTTwcW4w"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F5NfRzs9WmY"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zZ4xsh3x0VA" TargetMode="External"/><Relationship Id="rId3746" Type="http://schemas.openxmlformats.org/officeDocument/2006/relationships/hyperlink" Target="https://youtu.be/NqCh1AR43cg" TargetMode="External"/><Relationship Id="rId2415" Type="http://schemas.openxmlformats.org/officeDocument/2006/relationships/hyperlink" Target="https://youtu.be/m_ZBiqY_Nho" TargetMode="External"/><Relationship Id="rId3745" Type="http://schemas.openxmlformats.org/officeDocument/2006/relationships/hyperlink" Target="https://youtu.be/zlsxUCl28VA" TargetMode="External"/><Relationship Id="rId2416" Type="http://schemas.openxmlformats.org/officeDocument/2006/relationships/hyperlink" Target="https://youtu.be/abhI8pfN-HM" TargetMode="External"/><Relationship Id="rId3748" Type="http://schemas.openxmlformats.org/officeDocument/2006/relationships/hyperlink" Target="https://youtu.be/ixBwATUne_8" TargetMode="External"/><Relationship Id="rId2417" Type="http://schemas.openxmlformats.org/officeDocument/2006/relationships/hyperlink" Target="https://youtu.be/5o3N19-vMCQ" TargetMode="External"/><Relationship Id="rId3747" Type="http://schemas.openxmlformats.org/officeDocument/2006/relationships/hyperlink" Target="https://youtu.be/74H20Y0ruuk" TargetMode="External"/><Relationship Id="rId2418" Type="http://schemas.openxmlformats.org/officeDocument/2006/relationships/hyperlink" Target="https://youtu.be/P-JOJi5CDwo" TargetMode="External"/><Relationship Id="rId2419" Type="http://schemas.openxmlformats.org/officeDocument/2006/relationships/hyperlink" Target="https://youtu.be/xzSnHTv-h9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0Ad-hocDWwg" TargetMode="External"/><Relationship Id="rId3742" Type="http://schemas.openxmlformats.org/officeDocument/2006/relationships/hyperlink" Target="https://youtu.be/fNVSKf4AXPg" TargetMode="External"/><Relationship Id="rId2411" Type="http://schemas.openxmlformats.org/officeDocument/2006/relationships/hyperlink" Target="https://youtu.be/aoIG8OwyKNU" TargetMode="External"/><Relationship Id="rId3741" Type="http://schemas.openxmlformats.org/officeDocument/2006/relationships/hyperlink" Target="https://youtu.be/S2yDCubR2o4" TargetMode="External"/><Relationship Id="rId1114" Type="http://schemas.openxmlformats.org/officeDocument/2006/relationships/hyperlink" Target="https://youtu.be/_8xsXsOvODo" TargetMode="External"/><Relationship Id="rId2445" Type="http://schemas.openxmlformats.org/officeDocument/2006/relationships/hyperlink" Target="https://youtu.be/2F5RYgd9xUo" TargetMode="External"/><Relationship Id="rId3777" Type="http://schemas.openxmlformats.org/officeDocument/2006/relationships/hyperlink" Target="https://youtu.be/_5EE7piEfd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292140825"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194562278"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uauwVLCDgKQ" TargetMode="External"/><Relationship Id="rId2448" Type="http://schemas.openxmlformats.org/officeDocument/2006/relationships/hyperlink" Target="https://www.twitch.tv/videos/121651340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B3nzsJTZgr8"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Xyz85UM81Z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TKK51XFEscs" TargetMode="External"/><Relationship Id="rId3772" Type="http://schemas.openxmlformats.org/officeDocument/2006/relationships/hyperlink" Target="https://youtu.be/HhrXXa3_6QQ" TargetMode="External"/><Relationship Id="rId1112" Type="http://schemas.openxmlformats.org/officeDocument/2006/relationships/hyperlink" Target="https://youtu.be/DRwYLicFcTs" TargetMode="External"/><Relationship Id="rId2443" Type="http://schemas.openxmlformats.org/officeDocument/2006/relationships/hyperlink" Target="https://youtu.be/iHqTUgA610c" TargetMode="External"/><Relationship Id="rId3775" Type="http://schemas.openxmlformats.org/officeDocument/2006/relationships/hyperlink" Target="https://youtu.be/gl9c1qhsTT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htEb-RMccmU" TargetMode="External"/><Relationship Id="rId3774" Type="http://schemas.openxmlformats.org/officeDocument/2006/relationships/hyperlink" Target="https://youtu.be/vc2vKpA4W0o" TargetMode="External"/><Relationship Id="rId1103" Type="http://schemas.openxmlformats.org/officeDocument/2006/relationships/hyperlink" Target="https://youtu.be/FWmD6dRGGzk" TargetMode="External"/><Relationship Id="rId2434" Type="http://schemas.openxmlformats.org/officeDocument/2006/relationships/hyperlink" Target="https://youtu.be/mWq4iiECe0I" TargetMode="External"/><Relationship Id="rId3766" Type="http://schemas.openxmlformats.org/officeDocument/2006/relationships/hyperlink" Target="https://youtu.be/5awgm4vADLQ"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www.twitch.tv/videos/1543834972" TargetMode="External"/><Relationship Id="rId3765" Type="http://schemas.openxmlformats.org/officeDocument/2006/relationships/hyperlink" Target="https://youtu.be/Oc0mzisGZgM" TargetMode="External"/><Relationship Id="rId1105" Type="http://schemas.openxmlformats.org/officeDocument/2006/relationships/hyperlink" Target="https://youtu.be/bAkiYOQU9Yc" TargetMode="External"/><Relationship Id="rId2436" Type="http://schemas.openxmlformats.org/officeDocument/2006/relationships/hyperlink" Target="https://youtu.be/zp2dCbaFloM" TargetMode="External"/><Relationship Id="rId3768" Type="http://schemas.openxmlformats.org/officeDocument/2006/relationships/hyperlink" Target="https://youtu.be/K9g9bFufOgE"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9ZLF3U9S0ek" TargetMode="External"/><Relationship Id="rId3767" Type="http://schemas.openxmlformats.org/officeDocument/2006/relationships/hyperlink" Target="https://youtu.be/_yyE2bJP2Bk" TargetMode="External"/><Relationship Id="rId1107" Type="http://schemas.openxmlformats.org/officeDocument/2006/relationships/hyperlink" Target="https://youtu.be/G2KgkWqXWgg" TargetMode="External"/><Relationship Id="rId2438" Type="http://schemas.openxmlformats.org/officeDocument/2006/relationships/hyperlink" Target="https://youtu.be/Fd8XN26vOFE" TargetMode="External"/><Relationship Id="rId1108" Type="http://schemas.openxmlformats.org/officeDocument/2006/relationships/hyperlink" Target="https://youtu.be/7L8VKHyjpd0" TargetMode="External"/><Relationship Id="rId2439" Type="http://schemas.openxmlformats.org/officeDocument/2006/relationships/hyperlink" Target="https://youtu.be/poDJMF6bwDc" TargetMode="External"/><Relationship Id="rId3769" Type="http://schemas.openxmlformats.org/officeDocument/2006/relationships/hyperlink" Target="https://youtu.be/6in2eMbJ0o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Ny503NUaaA" TargetMode="External"/><Relationship Id="rId3762" Type="http://schemas.openxmlformats.org/officeDocument/2006/relationships/hyperlink" Target="https://youtu.be/UbE6nG94rbc" TargetMode="External"/><Relationship Id="rId1100" Type="http://schemas.openxmlformats.org/officeDocument/2006/relationships/hyperlink" Target="https://youtu.be/61Gj8-ihc9g" TargetMode="External"/><Relationship Id="rId2431" Type="http://schemas.openxmlformats.org/officeDocument/2006/relationships/hyperlink" Target="https://youtu.be/mUlsoL1veGc" TargetMode="External"/><Relationship Id="rId3761" Type="http://schemas.openxmlformats.org/officeDocument/2006/relationships/hyperlink" Target="https://youtu.be/S2-pKof3drs" TargetMode="External"/><Relationship Id="rId1101" Type="http://schemas.openxmlformats.org/officeDocument/2006/relationships/hyperlink" Target="https://youtu.be/mi1XX7sCw9U" TargetMode="External"/><Relationship Id="rId2432" Type="http://schemas.openxmlformats.org/officeDocument/2006/relationships/hyperlink" Target="https://youtu.be/-Y-wPWqxIEI" TargetMode="External"/><Relationship Id="rId3764" Type="http://schemas.openxmlformats.org/officeDocument/2006/relationships/hyperlink" Target="https://youtu.be/qKz5kBAucjo" TargetMode="External"/><Relationship Id="rId1102" Type="http://schemas.openxmlformats.org/officeDocument/2006/relationships/hyperlink" Target="https://youtu.be/2jNctxwEAUU" TargetMode="External"/><Relationship Id="rId2433" Type="http://schemas.openxmlformats.org/officeDocument/2006/relationships/hyperlink" Target="https://youtu.be/hktn9dkT3hE"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KXI5m0Ayd5U"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bVIluirGDYk" TargetMode="External"/><Relationship Id="rId3732" Type="http://schemas.openxmlformats.org/officeDocument/2006/relationships/hyperlink" Target="https://www.twitch.tv/videos/681697534" TargetMode="External"/><Relationship Id="rId2403" Type="http://schemas.openxmlformats.org/officeDocument/2006/relationships/hyperlink" Target="https://youtu.be/giKr74OQdto"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00710huXVl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bdYt6dzOOCU" TargetMode="External"/><Relationship Id="rId3737" Type="http://schemas.openxmlformats.org/officeDocument/2006/relationships/hyperlink" Target="https://youtu.be/HW54mM9GIV0" TargetMode="External"/><Relationship Id="rId2406" Type="http://schemas.openxmlformats.org/officeDocument/2006/relationships/hyperlink" Target="https://youtu.be/oOnV-NlfnIE" TargetMode="External"/><Relationship Id="rId3736" Type="http://schemas.openxmlformats.org/officeDocument/2006/relationships/hyperlink" Target="https://youtu.be/oDxj7CTWpxg" TargetMode="External"/><Relationship Id="rId2407" Type="http://schemas.openxmlformats.org/officeDocument/2006/relationships/hyperlink" Target="https://youtu.be/yAHDhaOU8Q8"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VnNU1Ms6HXw" TargetMode="External"/><Relationship Id="rId3738" Type="http://schemas.openxmlformats.org/officeDocument/2006/relationships/hyperlink" Target="https://youtu.be/aI2boBx2egA" TargetMode="External"/><Relationship Id="rId2409" Type="http://schemas.openxmlformats.org/officeDocument/2006/relationships/hyperlink" Target="https://youtu.be/TLVlIuyOwrI"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bJMASdX424E"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3KpOjhdYNjU"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syuy89sCWM"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videos/2247616068"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kR8P16XaaF4" TargetMode="External"/><Relationship Id="rId3790" Type="http://schemas.openxmlformats.org/officeDocument/2006/relationships/hyperlink" Target="https://youtu.be/hfxXpN4iAks" TargetMode="External"/><Relationship Id="rId1130" Type="http://schemas.openxmlformats.org/officeDocument/2006/relationships/hyperlink" Target="https://youtu.be/dMdy2STqilE" TargetMode="External"/><Relationship Id="rId2461" Type="http://schemas.openxmlformats.org/officeDocument/2006/relationships/hyperlink" Target="https://youtu.be/wgg2t0Fl-bU" TargetMode="External"/><Relationship Id="rId3793" Type="http://schemas.openxmlformats.org/officeDocument/2006/relationships/hyperlink" Target="https://youtu.be/YAMDglE01Tg" TargetMode="External"/><Relationship Id="rId1131" Type="http://schemas.openxmlformats.org/officeDocument/2006/relationships/hyperlink" Target="https://youtu.be/S_WK4O6bGOg" TargetMode="External"/><Relationship Id="rId2462" Type="http://schemas.openxmlformats.org/officeDocument/2006/relationships/hyperlink" Target="https://www.twitch.tv/videos/667384709"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k776xWFq-Z4"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6PYm6pc9vUY"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ZnQpK53Njtw"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inom6is5Aw" TargetMode="External"/><Relationship Id="rId2456" Type="http://schemas.openxmlformats.org/officeDocument/2006/relationships/hyperlink" Target="https://youtu.be/SxyxZgz-Y4w" TargetMode="External"/><Relationship Id="rId3788" Type="http://schemas.openxmlformats.org/officeDocument/2006/relationships/hyperlink" Target="https://youtu.be/ewGQiYOg6F4" TargetMode="External"/><Relationship Id="rId1126" Type="http://schemas.openxmlformats.org/officeDocument/2006/relationships/hyperlink" Target="https://youtu.be/0aRmRV5PEJ4" TargetMode="External"/><Relationship Id="rId2457" Type="http://schemas.openxmlformats.org/officeDocument/2006/relationships/hyperlink" Target="https://youtu.be/8O0jAGPIf9k" TargetMode="External"/><Relationship Id="rId3787" Type="http://schemas.openxmlformats.org/officeDocument/2006/relationships/hyperlink" Target="https://youtu.be/BzPxFP5PIps" TargetMode="External"/><Relationship Id="rId1127" Type="http://schemas.openxmlformats.org/officeDocument/2006/relationships/hyperlink" Target="https://youtu.be/qP9MZ3i_4SU" TargetMode="External"/><Relationship Id="rId2458" Type="http://schemas.openxmlformats.org/officeDocument/2006/relationships/hyperlink" Target="https://youtu.be/Pr0Iy0M8Ic0" TargetMode="External"/><Relationship Id="rId1128" Type="http://schemas.openxmlformats.org/officeDocument/2006/relationships/hyperlink" Target="https://youtu.be/4AgwHmlbsTI" TargetMode="External"/><Relationship Id="rId2459" Type="http://schemas.openxmlformats.org/officeDocument/2006/relationships/hyperlink" Target="https://clips.twitch.tv/TangentialAltruisticEagleNomNom-0sj8M7WUlpAzrPfP" TargetMode="External"/><Relationship Id="rId3789" Type="http://schemas.openxmlformats.org/officeDocument/2006/relationships/hyperlink" Target="https://youtu.be/x4wUe8VzFL4"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XUCpNqfcQkI?t=19" TargetMode="External"/><Relationship Id="rId3782" Type="http://schemas.openxmlformats.org/officeDocument/2006/relationships/hyperlink" Target="https://youtu.be/3Ovu89Qc6hc" TargetMode="External"/><Relationship Id="rId1120" Type="http://schemas.openxmlformats.org/officeDocument/2006/relationships/hyperlink" Target="https://youtu.be/UA6s24Tjs9w" TargetMode="External"/><Relationship Id="rId2451" Type="http://schemas.openxmlformats.org/officeDocument/2006/relationships/hyperlink" Target="https://youtu.be/xaL55tZD_aM"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wpHr2p9GLB4"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www.youtube.com/watch?v=d3bQM4Czq-0"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cuxp4og-e9I" TargetMode="External"/><Relationship Id="rId3786" Type="http://schemas.openxmlformats.org/officeDocument/2006/relationships/hyperlink" Target="https://youtu.be/MMo3ZBMPIrU" TargetMode="External"/><Relationship Id="rId1124" Type="http://schemas.openxmlformats.org/officeDocument/2006/relationships/hyperlink" Target="https://youtu.be/xhTLKvcK4ss" TargetMode="External"/><Relationship Id="rId2455" Type="http://schemas.openxmlformats.org/officeDocument/2006/relationships/hyperlink" Target="https://www.twitch.tv/videos/1497668451" TargetMode="External"/><Relationship Id="rId3785" Type="http://schemas.openxmlformats.org/officeDocument/2006/relationships/hyperlink" Target="https://youtu.be/mEmDaTtNmiw"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RKreuzlk03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Q_MyVwQo4yM"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twitch.tv/videos/2126277596" TargetMode="External"/><Relationship Id="rId1147" Type="http://schemas.openxmlformats.org/officeDocument/2006/relationships/hyperlink" Target="https://youtu.be/DJW-OBKhrUI"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MUHD8m5rvM"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youtu.be/MpHdG2rZYIU" TargetMode="External"/><Relationship Id="rId3817" Type="http://schemas.openxmlformats.org/officeDocument/2006/relationships/hyperlink" Target="https://youtu.be/-EuPHAugnvU" TargetMode="External"/><Relationship Id="rId3819" Type="http://schemas.openxmlformats.org/officeDocument/2006/relationships/hyperlink" Target="https://youtu.be/3VT120o91Mg"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W7VZLhWhTy0"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ib-P1DOL8Uo" TargetMode="External"/><Relationship Id="rId2545" Type="http://schemas.openxmlformats.org/officeDocument/2006/relationships/hyperlink" Target="https://youtu.be/FYOsFHCjsT8"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p-YGDvU-3ZM" TargetMode="External"/><Relationship Id="rId2546" Type="http://schemas.openxmlformats.org/officeDocument/2006/relationships/hyperlink" Target="https://youtu.be/mTxJrOFB-dw" TargetMode="External"/><Relationship Id="rId3878" Type="http://schemas.openxmlformats.org/officeDocument/2006/relationships/hyperlink" Target="https://youtu.be/sY5sBSU2oXc" TargetMode="External"/><Relationship Id="rId1216" Type="http://schemas.openxmlformats.org/officeDocument/2006/relationships/hyperlink" Target="https://youtu.be/hJQ5RHVM3J0" TargetMode="External"/><Relationship Id="rId2547" Type="http://schemas.openxmlformats.org/officeDocument/2006/relationships/hyperlink" Target="https://youtu.be/Lpwrbxu1YXU" TargetMode="External"/><Relationship Id="rId3877" Type="http://schemas.openxmlformats.org/officeDocument/2006/relationships/hyperlink" Target="https://youtu.be/o57m9Wl80TA" TargetMode="External"/><Relationship Id="rId1217" Type="http://schemas.openxmlformats.org/officeDocument/2006/relationships/hyperlink" Target="https://youtu.be/Rxq9Laa02sM" TargetMode="External"/><Relationship Id="rId2548" Type="http://schemas.openxmlformats.org/officeDocument/2006/relationships/hyperlink" Target="https://www.youtube.com/watch?v=6lJoisIyH60" TargetMode="External"/><Relationship Id="rId1218" Type="http://schemas.openxmlformats.org/officeDocument/2006/relationships/hyperlink" Target="https://youtu.be/tAAvzoOfUkg" TargetMode="External"/><Relationship Id="rId2549" Type="http://schemas.openxmlformats.org/officeDocument/2006/relationships/hyperlink" Target="https://youtu.be/EI61oVT9V2Q" TargetMode="External"/><Relationship Id="rId3879" Type="http://schemas.openxmlformats.org/officeDocument/2006/relationships/hyperlink" Target="https://youtu.be/hNY2YLYWw0A"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jEPmfzafuis"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XTt9Vf88slg"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m62tB20oA_g" TargetMode="External"/><Relationship Id="rId2542" Type="http://schemas.openxmlformats.org/officeDocument/2006/relationships/hyperlink" Target="https://youtu.be/kUORjvVr6AI" TargetMode="External"/><Relationship Id="rId3874" Type="http://schemas.openxmlformats.org/officeDocument/2006/relationships/hyperlink" Target="https://youtu.be/LUwqtTI4T1k" TargetMode="External"/><Relationship Id="rId1212" Type="http://schemas.openxmlformats.org/officeDocument/2006/relationships/hyperlink" Target="https://youtu.be/fPaVpR5NAlE"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moFnwT-luBE" TargetMode="External"/><Relationship Id="rId2533" Type="http://schemas.openxmlformats.org/officeDocument/2006/relationships/hyperlink" Target="https://youtu.be/Q3Ehm55nvik" TargetMode="External"/><Relationship Id="rId3865" Type="http://schemas.openxmlformats.org/officeDocument/2006/relationships/hyperlink" Target="https://youtu.be/4rPxyleozvM" TargetMode="External"/><Relationship Id="rId1203" Type="http://schemas.openxmlformats.org/officeDocument/2006/relationships/hyperlink" Target="https://youtu.be/pXkmcZIsCgA" TargetMode="External"/><Relationship Id="rId2534" Type="http://schemas.openxmlformats.org/officeDocument/2006/relationships/hyperlink" Target="https://youtu.be/fKJtOX5VTVs" TargetMode="External"/><Relationship Id="rId3864" Type="http://schemas.openxmlformats.org/officeDocument/2006/relationships/hyperlink" Target="https://youtu.be/4MSMADxISLE" TargetMode="External"/><Relationship Id="rId1204" Type="http://schemas.openxmlformats.org/officeDocument/2006/relationships/hyperlink" Target="https://youtu.be/xhMkjpPpaXI"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Qym3rnWucfc" TargetMode="External"/><Relationship Id="rId1205" Type="http://schemas.openxmlformats.org/officeDocument/2006/relationships/hyperlink" Target="https://youtu.be/dpYU8IDFLKY" TargetMode="External"/><Relationship Id="rId2536" Type="http://schemas.openxmlformats.org/officeDocument/2006/relationships/hyperlink" Target="https://youtu.be/HiHXN6lvgTc" TargetMode="External"/><Relationship Id="rId3866" Type="http://schemas.openxmlformats.org/officeDocument/2006/relationships/hyperlink" Target="https://youtu.be/HtBNhb-7Umg"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Bz_l6_86h-Q"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youtu.be/BnHhD0LrPMw" TargetMode="External"/><Relationship Id="rId2538" Type="http://schemas.openxmlformats.org/officeDocument/2006/relationships/hyperlink" Target="https://youtu.be/DpbmS4DrZ0s" TargetMode="External"/><Relationship Id="rId3868" Type="http://schemas.openxmlformats.org/officeDocument/2006/relationships/hyperlink" Target="https://youtu.be/HZnBxf4JU_E" TargetMode="External"/><Relationship Id="rId1208" Type="http://schemas.openxmlformats.org/officeDocument/2006/relationships/hyperlink" Target="https://youtu.be/WpmrZiHdUmg" TargetMode="External"/><Relationship Id="rId2539" Type="http://schemas.openxmlformats.org/officeDocument/2006/relationships/hyperlink" Target="https://youtu.be/0DuI0wesCj4" TargetMode="External"/><Relationship Id="rId1209" Type="http://schemas.openxmlformats.org/officeDocument/2006/relationships/hyperlink" Target="https://youtu.be/UGMz5zXortQ" TargetMode="External"/><Relationship Id="rId3861" Type="http://schemas.openxmlformats.org/officeDocument/2006/relationships/hyperlink" Target="https://youtu.be/5DZ8BfAN4cI" TargetMode="External"/><Relationship Id="rId2530" Type="http://schemas.openxmlformats.org/officeDocument/2006/relationships/hyperlink" Target="https://youtu.be/nhppQav2wck" TargetMode="External"/><Relationship Id="rId3860" Type="http://schemas.openxmlformats.org/officeDocument/2006/relationships/hyperlink" Target="https://youtu.be/wrHqU3R3n8s" TargetMode="External"/><Relationship Id="rId1200" Type="http://schemas.openxmlformats.org/officeDocument/2006/relationships/hyperlink" Target="https://youtu.be/vhC33um_174" TargetMode="External"/><Relationship Id="rId2531" Type="http://schemas.openxmlformats.org/officeDocument/2006/relationships/hyperlink" Target="https://youtu.be/E5XzeYWCq6E" TargetMode="External"/><Relationship Id="rId3863" Type="http://schemas.openxmlformats.org/officeDocument/2006/relationships/hyperlink" Target="https://youtu.be/SlWniPyjlmc" TargetMode="External"/><Relationship Id="rId1201" Type="http://schemas.openxmlformats.org/officeDocument/2006/relationships/hyperlink" Target="https://youtu.be/NdyFOs0CNzA" TargetMode="External"/><Relationship Id="rId2532" Type="http://schemas.openxmlformats.org/officeDocument/2006/relationships/hyperlink" Target="https://youtu.be/zOqbOMmR9u4"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wXNk5xmg6kg"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pHhJIhtpLLk"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F8xItJ0i2OQ"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CkaxWZ7Wezw"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youtu.be/yXmPcOAAQU8"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3XLFv6q2_Yo" TargetMode="External"/><Relationship Id="rId2561" Type="http://schemas.openxmlformats.org/officeDocument/2006/relationships/hyperlink" Target="https://youtu.be/63n1YG_RNtI"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3YtmQbkiTVg"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www.twitch.tv/videos/1555345196"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bZfdJB_tYQ"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T_knGg5IcRY"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6p3VF8pRF70"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jV2GwKOrfC4" TargetMode="External"/><Relationship Id="rId2556" Type="http://schemas.openxmlformats.org/officeDocument/2006/relationships/hyperlink" Target="https://youtu.be/FOSANZ3-euo" TargetMode="External"/><Relationship Id="rId3886" Type="http://schemas.openxmlformats.org/officeDocument/2006/relationships/hyperlink" Target="https://youtu.be/_JChUmIMzx8" TargetMode="External"/><Relationship Id="rId1226" Type="http://schemas.openxmlformats.org/officeDocument/2006/relationships/hyperlink" Target="https://youtu.be/WuI-DcOKtsM" TargetMode="External"/><Relationship Id="rId2557" Type="http://schemas.openxmlformats.org/officeDocument/2006/relationships/hyperlink" Target="https://youtu.be/1hiTwu9EL3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ExWs_nsjiyE" TargetMode="External"/><Relationship Id="rId3888" Type="http://schemas.openxmlformats.org/officeDocument/2006/relationships/hyperlink" Target="https://youtu.be/5H6ttD7tFYo" TargetMode="External"/><Relationship Id="rId1228" Type="http://schemas.openxmlformats.org/officeDocument/2006/relationships/hyperlink" Target="https://youtu.be/kFzU1c-L21g" TargetMode="External"/><Relationship Id="rId2559" Type="http://schemas.openxmlformats.org/officeDocument/2006/relationships/hyperlink" Target="https://youtu.be/IZtnv1QUIi0"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vkYXMQMUqQI" TargetMode="External"/><Relationship Id="rId3880" Type="http://schemas.openxmlformats.org/officeDocument/2006/relationships/hyperlink" Target="https://youtu.be/U6dEEcEm8Kg" TargetMode="External"/><Relationship Id="rId1220" Type="http://schemas.openxmlformats.org/officeDocument/2006/relationships/hyperlink" Target="https://youtu.be/PrSxiEeu_Lg" TargetMode="External"/><Relationship Id="rId2551" Type="http://schemas.openxmlformats.org/officeDocument/2006/relationships/hyperlink" Target="https://youtu.be/KINanq0aHtM"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149boANUIhE"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youtu.be/CTRzm_ygkeA" TargetMode="External"/><Relationship Id="rId2553" Type="http://schemas.openxmlformats.org/officeDocument/2006/relationships/hyperlink" Target="https://youtu.be/CMor1vJAChU"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pzPQ10JiQLA" TargetMode="External"/><Relationship Id="rId2554" Type="http://schemas.openxmlformats.org/officeDocument/2006/relationships/hyperlink" Target="https://youtu.be/n463LInD2Yg" TargetMode="External"/><Relationship Id="rId3884" Type="http://schemas.openxmlformats.org/officeDocument/2006/relationships/hyperlink" Target="https://youtu.be/ulLGhaW70TY" TargetMode="External"/><Relationship Id="rId2500" Type="http://schemas.openxmlformats.org/officeDocument/2006/relationships/hyperlink" Target="https://youtu.be/9AyTZSvuPrE" TargetMode="External"/><Relationship Id="rId3832" Type="http://schemas.openxmlformats.org/officeDocument/2006/relationships/hyperlink" Target="https://youtu.be/v_H6xRBJa_g" TargetMode="External"/><Relationship Id="rId2501" Type="http://schemas.openxmlformats.org/officeDocument/2006/relationships/hyperlink" Target="https://youtu.be/AWbXQ-OvZSo" TargetMode="External"/><Relationship Id="rId3831" Type="http://schemas.openxmlformats.org/officeDocument/2006/relationships/hyperlink" Target="https://youtu.be/_iXBKQwq-Ys" TargetMode="External"/><Relationship Id="rId2502" Type="http://schemas.openxmlformats.org/officeDocument/2006/relationships/hyperlink" Target="https://youtu.be/szWsI47Y8hY" TargetMode="External"/><Relationship Id="rId3834" Type="http://schemas.openxmlformats.org/officeDocument/2006/relationships/hyperlink" Target="https://youtu.be/qhvHHeJ6c_8" TargetMode="External"/><Relationship Id="rId2503" Type="http://schemas.openxmlformats.org/officeDocument/2006/relationships/hyperlink" Target="https://youtu.be/V6gNDjItdW8" TargetMode="External"/><Relationship Id="rId3833" Type="http://schemas.openxmlformats.org/officeDocument/2006/relationships/hyperlink" Target="https://youtu.be/qo_9Tt8brsI" TargetMode="External"/><Relationship Id="rId2504" Type="http://schemas.openxmlformats.org/officeDocument/2006/relationships/hyperlink" Target="https://youtu.be/U5KmgSgoDdI" TargetMode="External"/><Relationship Id="rId3836" Type="http://schemas.openxmlformats.org/officeDocument/2006/relationships/hyperlink" Target="https://youtu.be/WEi5En16ras" TargetMode="External"/><Relationship Id="rId2505" Type="http://schemas.openxmlformats.org/officeDocument/2006/relationships/hyperlink" Target="https://youtu.be/TkDvOMK9hNQ" TargetMode="External"/><Relationship Id="rId3835" Type="http://schemas.openxmlformats.org/officeDocument/2006/relationships/hyperlink" Target="https://youtu.be/1dW06SPmkiU" TargetMode="External"/><Relationship Id="rId2506" Type="http://schemas.openxmlformats.org/officeDocument/2006/relationships/hyperlink" Target="https://youtu.be/l4mBbm8ur1s" TargetMode="External"/><Relationship Id="rId3838" Type="http://schemas.openxmlformats.org/officeDocument/2006/relationships/hyperlink" Target="https://youtu.be/P9VWSfZRdZ8" TargetMode="External"/><Relationship Id="rId2507" Type="http://schemas.openxmlformats.org/officeDocument/2006/relationships/hyperlink" Target="https://youtu.be/QsvQk0xADQ8" TargetMode="External"/><Relationship Id="rId3837" Type="http://schemas.openxmlformats.org/officeDocument/2006/relationships/hyperlink" Target="https://youtu.be/aROk5J96rU0"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QE1MXNcBJD4" TargetMode="External"/><Relationship Id="rId3854" Type="http://schemas.openxmlformats.org/officeDocument/2006/relationships/hyperlink" Target="https://youtu.be/CfDEkDG5HFI" TargetMode="External"/><Relationship Id="rId2523" Type="http://schemas.openxmlformats.org/officeDocument/2006/relationships/hyperlink" Target="https://youtu.be/Rzv2gd5JAB4" TargetMode="External"/><Relationship Id="rId3853" Type="http://schemas.openxmlformats.org/officeDocument/2006/relationships/hyperlink" Target="https://youtu.be/dOp5piQQYqg" TargetMode="External"/><Relationship Id="rId2524" Type="http://schemas.openxmlformats.org/officeDocument/2006/relationships/hyperlink" Target="https://youtu.be/aJGijbUbd54" TargetMode="External"/><Relationship Id="rId3856" Type="http://schemas.openxmlformats.org/officeDocument/2006/relationships/hyperlink" Target="https://youtu.be/RqUNHa6gnVg" TargetMode="External"/><Relationship Id="rId2525" Type="http://schemas.openxmlformats.org/officeDocument/2006/relationships/hyperlink" Target="https://youtu.be/gNJLECLDVjk" TargetMode="External"/><Relationship Id="rId3855" Type="http://schemas.openxmlformats.org/officeDocument/2006/relationships/hyperlink" Target="https://youtu.be/YkHffV7svTc" TargetMode="External"/><Relationship Id="rId2526" Type="http://schemas.openxmlformats.org/officeDocument/2006/relationships/hyperlink" Target="https://youtu.be/dnDmz1u2LYE" TargetMode="External"/><Relationship Id="rId3858" Type="http://schemas.openxmlformats.org/officeDocument/2006/relationships/hyperlink" Target="https://youtu.be/v8KAMn60AmI" TargetMode="External"/><Relationship Id="rId2527" Type="http://schemas.openxmlformats.org/officeDocument/2006/relationships/hyperlink" Target="https://youtu.be/_NBS1W67eMY" TargetMode="External"/><Relationship Id="rId3857" Type="http://schemas.openxmlformats.org/officeDocument/2006/relationships/hyperlink" Target="https://youtu.be/JNGeEHSpy7M" TargetMode="External"/><Relationship Id="rId2528" Type="http://schemas.openxmlformats.org/officeDocument/2006/relationships/hyperlink" Target="https://youtu.be/uj0RoVs3QKs" TargetMode="External"/><Relationship Id="rId2529" Type="http://schemas.openxmlformats.org/officeDocument/2006/relationships/hyperlink" Target="https://youtu.be/POYw2vVA-vY"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vr1swYWXvk8" TargetMode="External"/><Relationship Id="rId3852" Type="http://schemas.openxmlformats.org/officeDocument/2006/relationships/hyperlink" Target="https://youtu.be/X-ta1hc2wpQ" TargetMode="External"/><Relationship Id="rId2521" Type="http://schemas.openxmlformats.org/officeDocument/2006/relationships/hyperlink" Target="https://youtu.be/Q6JTs1bKpa8" TargetMode="External"/><Relationship Id="rId3851" Type="http://schemas.openxmlformats.org/officeDocument/2006/relationships/hyperlink" Target="https://youtu.be/BZgjhNOo-go" TargetMode="External"/><Relationship Id="rId2511" Type="http://schemas.openxmlformats.org/officeDocument/2006/relationships/hyperlink" Target="https://youtu.be/0-HI7a6tNPI" TargetMode="External"/><Relationship Id="rId3843" Type="http://schemas.openxmlformats.org/officeDocument/2006/relationships/hyperlink" Target="https://youtu.be/7DKS_xqCH8A" TargetMode="External"/><Relationship Id="rId2512" Type="http://schemas.openxmlformats.org/officeDocument/2006/relationships/hyperlink" Target="https://youtu.be/4SFPJQOfmYE" TargetMode="External"/><Relationship Id="rId3842" Type="http://schemas.openxmlformats.org/officeDocument/2006/relationships/hyperlink" Target="https://youtu.be/XECoTk_c05M" TargetMode="External"/><Relationship Id="rId2513" Type="http://schemas.openxmlformats.org/officeDocument/2006/relationships/hyperlink" Target="https://youtu.be/2ED26P-b1Nw" TargetMode="External"/><Relationship Id="rId3845" Type="http://schemas.openxmlformats.org/officeDocument/2006/relationships/hyperlink" Target="https://youtu.be/IH-4uKm6isI" TargetMode="External"/><Relationship Id="rId2514" Type="http://schemas.openxmlformats.org/officeDocument/2006/relationships/hyperlink" Target="https://youtu.be/NxQd1sOvgPg" TargetMode="External"/><Relationship Id="rId3844" Type="http://schemas.openxmlformats.org/officeDocument/2006/relationships/hyperlink" Target="https://youtu.be/umgWlwQvLlg" TargetMode="External"/><Relationship Id="rId2515" Type="http://schemas.openxmlformats.org/officeDocument/2006/relationships/hyperlink" Target="https://youtu.be/TS0U7Mhv004" TargetMode="External"/><Relationship Id="rId3847" Type="http://schemas.openxmlformats.org/officeDocument/2006/relationships/hyperlink" Target="https://youtu.be/HZezdHtroIM" TargetMode="External"/><Relationship Id="rId2516" Type="http://schemas.openxmlformats.org/officeDocument/2006/relationships/hyperlink" Target="https://youtu.be/VM8_lqlADB0"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BrYWarX8tuI"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J1J56aATSTk" TargetMode="External"/><Relationship Id="rId3848" Type="http://schemas.openxmlformats.org/officeDocument/2006/relationships/hyperlink" Target="https://youtu.be/3UNx_t8T6EY" TargetMode="External"/><Relationship Id="rId2519" Type="http://schemas.openxmlformats.org/officeDocument/2006/relationships/hyperlink" Target="https://youtu.be/CcVDWThATUM" TargetMode="External"/><Relationship Id="rId3841" Type="http://schemas.openxmlformats.org/officeDocument/2006/relationships/hyperlink" Target="https://youtu.be/2pdrTGGpy2s" TargetMode="External"/><Relationship Id="rId2510" Type="http://schemas.openxmlformats.org/officeDocument/2006/relationships/hyperlink" Target="https://youtu.be/YcJpUsoYMk8"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clips.twitch.tv/NiceKindCoffeePrimeMe-Vz1GgZlWIpDJSy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r_t9k5DrB0c"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6UWwsVT2_g"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1bYjGQdaTQ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clips.twitch.tv/HotBadHornetSMOrc-t1Ay2e8ytR447XE-"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Bn7k3tpxw3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GehcU0SiNI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SuperZanyPieKeepo-Ebg6fn6EX7ykQnDV"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TriangularObliviousMonitorBatChest-eqBHvfKfQfrebKfL"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ShortUnsightlyPistachioChefFrank-IfQ-BytSOfBolo4o"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StdVPvFpuLM"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GiiCAj_mvOA"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AyHBkIG0MSY"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pdtVeVUsH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Ohqisa88zk"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8pgc62ldBt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gA3Sy_9pfM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eHK33N7Slqo"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VKv-IpsEzRA"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TyQ7-3gowf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f1sS4UiBaw"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CheerfulFantasticTermiteLeeroyJenkins-_NqtQfUNLcCYlSba"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FragileSmoggyEaglePeteZarollTie-EahUmDAbRKOeXQPe"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GeniusDignifiedFrogPhilosoraptor-QBL8guokQfmf4voo"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PopularConfidentOilPermaSmug-fwtuyLN51a5V-UHg"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ffluentFlirtyCasetteChefFrank-RBIiiGQ1ss5ucRk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AgilePolishedSandpiperPanicVis-hpDyLscw0z6nWIp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clips.twitch.tv/SuperSnappyNewtSSSsss-hXI7Oc-7fKR2TiKN"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www.twitch.tv/videos/1615516252"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5Oz9i6mgu6w"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clips.twitch.tv/ProudDeafWallabyTakeNRG-tfE4zNXqRc1xKP_K" TargetMode="External"/><Relationship Id="rId3930" Type="http://schemas.openxmlformats.org/officeDocument/2006/relationships/hyperlink" Target="https://youtu.be/q-NdD4rXL5M" TargetMode="External"/><Relationship Id="rId2601" Type="http://schemas.openxmlformats.org/officeDocument/2006/relationships/hyperlink" Target="https://clips.twitch.tv/HappyKathishArugulaBIRB-K2GZKAGmdJYAloW9"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clips.twitch.tv/AntsyTameSoybeanArsonNoSexy-vpEo3NKSJxXoNw99" TargetMode="External"/><Relationship Id="rId3932" Type="http://schemas.openxmlformats.org/officeDocument/2006/relationships/hyperlink" Target="https://youtu.be/yZc7PHqxROY" TargetMode="External"/><Relationship Id="rId2603" Type="http://schemas.openxmlformats.org/officeDocument/2006/relationships/hyperlink" Target="https://clips.twitch.tv/PricklyColdThymeCorgiDerp-SUTqk3NQDKfAmSOz" TargetMode="External"/><Relationship Id="rId3935" Type="http://schemas.openxmlformats.org/officeDocument/2006/relationships/hyperlink" Target="https://youtu.be/iZi92oX7OFc" TargetMode="External"/><Relationship Id="rId2604" Type="http://schemas.openxmlformats.org/officeDocument/2006/relationships/hyperlink" Target="https://clips.twitch.tv/InquisitiveCrypticClipsdadRickroll-pHeKwbvj7KGD3ZQ4"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clips.twitch.tv/InspiringTrustworthyAlmondSwiftRage-48RK218yc4lPYK8e"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clips.twitch.tv/WanderingWealthyTigerSSSsss-jux4zciScDnZdVbV" TargetMode="External"/><Relationship Id="rId3936" Type="http://schemas.openxmlformats.org/officeDocument/2006/relationships/hyperlink" Target="https://youtu.be/LR7-pLYq8ms" TargetMode="External"/><Relationship Id="rId808" Type="http://schemas.openxmlformats.org/officeDocument/2006/relationships/hyperlink" Target="https://youtu.be/J-7K943NxUc" TargetMode="External"/><Relationship Id="rId2607" Type="http://schemas.openxmlformats.org/officeDocument/2006/relationships/hyperlink" Target="https://youtu.be/6dZGaGMo8gE"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dt0nPEhw_28" TargetMode="External"/><Relationship Id="rId2608" Type="http://schemas.openxmlformats.org/officeDocument/2006/relationships/hyperlink" Target="https://youtu.be/RoXi6F89gdI"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8ptLDQFudnE" TargetMode="External"/><Relationship Id="rId2609" Type="http://schemas.openxmlformats.org/officeDocument/2006/relationships/hyperlink" Target="https://youtu.be/koYfQLra6H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1HDBaMUS5Dw"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youtu.be/7fwDH3Vvug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eztA53CG6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www.youtube.com/watch?v=JVJuFsqyJ7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3di6ACAgl4"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NSaW590zATs"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NQ8m5uFiV18"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youtu.be/Q4I-4UZ0FjU"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_4WwknFBwRE"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youtu.be/aiSjwlSaB1I"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FApLoSp6n4A"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youtu.be/mSxlnpIew64"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PTdZnFYMoLI"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youtu.be/jsL6meqg_bk" TargetMode="External"/><Relationship Id="rId2610" Type="http://schemas.openxmlformats.org/officeDocument/2006/relationships/hyperlink" Target="https://clips.twitch.tv/SweetExpensiveDiscKlappa-rjyO0L4ThHLZFmy-"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iMt-wdR0Ubg"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www.youtube.com/watch?v=F7hcihsAc7k"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clips.twitch.tv/CaringCorrectJamPeteZarollTie-SesxGbMXkYUtp2vk"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urHh8oG1Jfo" TargetMode="External"/><Relationship Id="rId3946" Type="http://schemas.openxmlformats.org/officeDocument/2006/relationships/hyperlink" Target="https://www.twitch.tv/videos/924471122" TargetMode="External"/><Relationship Id="rId2615" Type="http://schemas.openxmlformats.org/officeDocument/2006/relationships/hyperlink" Target="https://clips.twitch.tv/ObedientSavagePicklesDxCat-PXYV7wE6gbM1tmzG"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twitch.tv/videos/1693240640"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eS00EfXv8nc"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MT9EJFRcn0I"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7r31kGgJA3U" TargetMode="External"/><Relationship Id="rId3961" Type="http://schemas.openxmlformats.org/officeDocument/2006/relationships/hyperlink" Target="https://youtu.be/11T2RxMR4c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xCnkiXxbmqo"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_KdZV3Yq2g0"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qOGRg7jwEbU" TargetMode="External"/><Relationship Id="rId2786" Type="http://schemas.openxmlformats.org/officeDocument/2006/relationships/hyperlink" Target="https://youtu.be/0pX-41NbyEo" TargetMode="External"/><Relationship Id="rId1456" Type="http://schemas.openxmlformats.org/officeDocument/2006/relationships/hyperlink" Target="https://youtu.be/ODIkTLwT8Jk" TargetMode="External"/><Relationship Id="rId2787" Type="http://schemas.openxmlformats.org/officeDocument/2006/relationships/hyperlink" Target="https://youtu.be/7IzSZLsf5TI" TargetMode="External"/><Relationship Id="rId1457" Type="http://schemas.openxmlformats.org/officeDocument/2006/relationships/hyperlink" Target="https://youtu.be/CixX2Xv4Qqw" TargetMode="External"/><Relationship Id="rId2788" Type="http://schemas.openxmlformats.org/officeDocument/2006/relationships/hyperlink" Target="https://youtu.be/ejAD7XyDiS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6MOiAslVHMw" TargetMode="External"/><Relationship Id="rId1452" Type="http://schemas.openxmlformats.org/officeDocument/2006/relationships/hyperlink" Target="https://youtu.be/jUoN6om1PxE" TargetMode="External"/><Relationship Id="rId2783" Type="http://schemas.openxmlformats.org/officeDocument/2006/relationships/hyperlink" Target="https://youtu.be/wzGIZS_G-kg" TargetMode="External"/><Relationship Id="rId1453" Type="http://schemas.openxmlformats.org/officeDocument/2006/relationships/hyperlink" Target="https://youtu.be/m45SeeT15mk" TargetMode="External"/><Relationship Id="rId2784" Type="http://schemas.openxmlformats.org/officeDocument/2006/relationships/hyperlink" Target="https://youtu.be/YBDWO0cjlEo" TargetMode="External"/><Relationship Id="rId1454" Type="http://schemas.openxmlformats.org/officeDocument/2006/relationships/hyperlink" Target="https://youtu.be/t9YQYIfgXoE" TargetMode="External"/><Relationship Id="rId2785" Type="http://schemas.openxmlformats.org/officeDocument/2006/relationships/hyperlink" Target="https://youtu.be/b8CKxMG-vfg" TargetMode="External"/><Relationship Id="rId1444" Type="http://schemas.openxmlformats.org/officeDocument/2006/relationships/hyperlink" Target="https://youtu.be/hgxqNrMqpxU"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BBL9pD0D864" TargetMode="External"/><Relationship Id="rId1467" Type="http://schemas.openxmlformats.org/officeDocument/2006/relationships/hyperlink" Target="https://youtu.be/XMGmoWpoTVg" TargetMode="External"/><Relationship Id="rId2798" Type="http://schemas.openxmlformats.org/officeDocument/2006/relationships/hyperlink" Target="https://youtu.be/O4qFXg4PBR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5dMNpk8GIXE" TargetMode="External"/><Relationship Id="rId2791" Type="http://schemas.openxmlformats.org/officeDocument/2006/relationships/hyperlink" Target="https://youtu.be/LuRZ0G12E-k"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lKWhqixgpOI"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InN6JrMrD1Y"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youtu.be/ejmykwrwKM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2BymxhYd6-Y" TargetMode="External"/><Relationship Id="rId2762" Type="http://schemas.openxmlformats.org/officeDocument/2006/relationships/hyperlink" Target="https://youtu.be/oXBFmXLK0To"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youtu.be/j28XGO4YMtY"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X--ZqeRpwpk"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51"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030220263"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0"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 TargetMode="External"/><Relationship Id="rId1508" Type="http://schemas.openxmlformats.org/officeDocument/2006/relationships/hyperlink" Target="https://youtu.be/n9Pgok3_gLk"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XTQSEPesUK8" TargetMode="External"/><Relationship Id="rId2857" Type="http://schemas.openxmlformats.org/officeDocument/2006/relationships/hyperlink" Target="https://youtu.be/5pEbV8f4Eyg"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Db9MT50RlTw" TargetMode="External"/><Relationship Id="rId2859" Type="http://schemas.openxmlformats.org/officeDocument/2006/relationships/hyperlink" Target="https://youtu.be/m8uNFFWGXs8"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2dcoUbjAoTM" TargetMode="External"/><Relationship Id="rId2851" Type="http://schemas.openxmlformats.org/officeDocument/2006/relationships/hyperlink" Target="https://youtu.be/CBwzmfxQE4I"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2fVmzCJ9Y90"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u5kwser_j2g"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2S9HwDAe1mo"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p6taesLvQnI" TargetMode="External"/><Relationship Id="rId2033" Type="http://schemas.openxmlformats.org/officeDocument/2006/relationships/hyperlink" Target="https://youtu.be/Wh1RcERZztc"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youtu.be/UvWYrs7a1P8"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LD5cXx40AIs"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_ay0-XMIuGI" TargetMode="External"/><Relationship Id="rId3394" Type="http://schemas.openxmlformats.org/officeDocument/2006/relationships/hyperlink" Target="https://youtu.be/RDsRdHr1gAQ" TargetMode="External"/><Relationship Id="rId2065" Type="http://schemas.openxmlformats.org/officeDocument/2006/relationships/hyperlink" Target="https://youtu.be/E7duJnxjEgk"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oIuzjQeQ2A4"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www.twitch.tv/videos/1176327079"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G_2PNqonhiE?t=7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1562073537"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7M6KJaNmgj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394xFxpvkYw" TargetMode="External"/><Relationship Id="rId870" Type="http://schemas.openxmlformats.org/officeDocument/2006/relationships/hyperlink" Target="https://youtu.be/-svqIJeAEj4" TargetMode="External"/><Relationship Id="rId3400" Type="http://schemas.openxmlformats.org/officeDocument/2006/relationships/hyperlink" Target="https://youtu.be/w__8xHsdb0c"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Wfq4ZAr7ero" TargetMode="External"/><Relationship Id="rId1657" Type="http://schemas.openxmlformats.org/officeDocument/2006/relationships/hyperlink" Target="https://youtu.be/WZPtWcc1y_Q" TargetMode="External"/><Relationship Id="rId2988" Type="http://schemas.openxmlformats.org/officeDocument/2006/relationships/hyperlink" Target="https://youtu.be/gzdnV0_HfsY" TargetMode="External"/><Relationship Id="rId1658" Type="http://schemas.openxmlformats.org/officeDocument/2006/relationships/hyperlink" Target="https://youtu.be/XFDg8CGpYlg" TargetMode="External"/><Relationship Id="rId2989" Type="http://schemas.openxmlformats.org/officeDocument/2006/relationships/hyperlink" Target="https://youtu.be/ZZg3OSmQkz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qr647GdRJBc" TargetMode="External"/><Relationship Id="rId1666" Type="http://schemas.openxmlformats.org/officeDocument/2006/relationships/hyperlink" Target="https://youtu.be/mPrS2dBqP3U" TargetMode="External"/><Relationship Id="rId2997" Type="http://schemas.openxmlformats.org/officeDocument/2006/relationships/hyperlink" Target="https://youtu.be/hjwdmmdBQQ0" TargetMode="External"/><Relationship Id="rId1667" Type="http://schemas.openxmlformats.org/officeDocument/2006/relationships/hyperlink" Target="https://youtu.be/Pk6P6JQlZwI" TargetMode="External"/><Relationship Id="rId2998" Type="http://schemas.openxmlformats.org/officeDocument/2006/relationships/hyperlink" Target="https://youtu.be/ubHiXNrq-OM" TargetMode="External"/><Relationship Id="rId1668" Type="http://schemas.openxmlformats.org/officeDocument/2006/relationships/hyperlink" Target="https://youtu.be/TjnzW4JE2kA" TargetMode="External"/><Relationship Id="rId2999" Type="http://schemas.openxmlformats.org/officeDocument/2006/relationships/hyperlink" Target="https://youtu.be/jUYJKy7kPJM"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oQWDuOmghs" TargetMode="External"/><Relationship Id="rId1660" Type="http://schemas.openxmlformats.org/officeDocument/2006/relationships/hyperlink" Target="https://youtu.be/JxaktrK2KTM" TargetMode="External"/><Relationship Id="rId2991" Type="http://schemas.openxmlformats.org/officeDocument/2006/relationships/hyperlink" Target="https://youtu.be/TmQAiow0Rnw"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ETwbMGnjhUs" TargetMode="External"/><Relationship Id="rId1663" Type="http://schemas.openxmlformats.org/officeDocument/2006/relationships/hyperlink" Target="https://youtu.be/LCowgF1NuuI"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Fv0GlUdCWL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rw0W3BpcbK0" TargetMode="External"/><Relationship Id="rId2146" Type="http://schemas.openxmlformats.org/officeDocument/2006/relationships/hyperlink" Target="https://youtu.be/rpHwfObx6Jo" TargetMode="External"/><Relationship Id="rId3478" Type="http://schemas.openxmlformats.org/officeDocument/2006/relationships/hyperlink" Target="https://youtu.be/L8KC10KJkS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_26rl5qmXvE" TargetMode="External"/><Relationship Id="rId2139" Type="http://schemas.openxmlformats.org/officeDocument/2006/relationships/hyperlink" Target="https://youtu.be/ihXMMfy8ZMU" TargetMode="External"/><Relationship Id="rId3461" Type="http://schemas.openxmlformats.org/officeDocument/2006/relationships/hyperlink" Target="https://youtu.be/bdjwNG4SOD4" TargetMode="External"/><Relationship Id="rId2130" Type="http://schemas.openxmlformats.org/officeDocument/2006/relationships/hyperlink" Target="https://youtu.be/wo547-VAnMg" TargetMode="External"/><Relationship Id="rId3460" Type="http://schemas.openxmlformats.org/officeDocument/2006/relationships/hyperlink" Target="https://youtu.be/Ogs8AESDOGI"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PuOsxOKZETM" TargetMode="External"/><Relationship Id="rId2132" Type="http://schemas.openxmlformats.org/officeDocument/2006/relationships/hyperlink" Target="https://youtu.be/PRKrY0u5g_M" TargetMode="External"/><Relationship Id="rId3462" Type="http://schemas.openxmlformats.org/officeDocument/2006/relationships/hyperlink" Target="https://youtu.be/a-ov8VvP0fA"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GKSb0XVXlTs"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mCCIXSfa0k" TargetMode="External"/><Relationship Id="rId2136" Type="http://schemas.openxmlformats.org/officeDocument/2006/relationships/hyperlink" Target="https://youtu.be/fPB7VtZ1cY8"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youtu.be/heIYVyxaiZY"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Gz_glAduMU"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PMkwmdFwsWY" TargetMode="External"/><Relationship Id="rId2153" Type="http://schemas.openxmlformats.org/officeDocument/2006/relationships/hyperlink" Target="https://youtu.be/3xXcJ2B6gHc" TargetMode="External"/><Relationship Id="rId3485" Type="http://schemas.openxmlformats.org/officeDocument/2006/relationships/hyperlink" Target="https://youtu.be/eK_oyFP-B7c" TargetMode="External"/><Relationship Id="rId2154" Type="http://schemas.openxmlformats.org/officeDocument/2006/relationships/hyperlink" Target="https://youtu.be/4Gb9BGszgds" TargetMode="External"/><Relationship Id="rId3484" Type="http://schemas.openxmlformats.org/officeDocument/2006/relationships/hyperlink" Target="https://youtu.be/qGbyJi5bkJE"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jY1qlyQPmEQ" TargetMode="External"/><Relationship Id="rId2156" Type="http://schemas.openxmlformats.org/officeDocument/2006/relationships/hyperlink" Target="https://youtu.be/tdGWS97d3l8" TargetMode="External"/><Relationship Id="rId3486" Type="http://schemas.openxmlformats.org/officeDocument/2006/relationships/hyperlink" Target="https://youtu.be/79U8vkFMLFw"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zw7IMG-cM2U"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1DaDpONiHIE" TargetMode="External"/><Relationship Id="rId2105" Type="http://schemas.openxmlformats.org/officeDocument/2006/relationships/hyperlink" Target="https://youtu.be/-NhnIxEsuDI" TargetMode="External"/><Relationship Id="rId3435" Type="http://schemas.openxmlformats.org/officeDocument/2006/relationships/hyperlink" Target="https://youtu.be/xuC6ejNPnCo?t=1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EvC-eEXii60"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wP71syAMx4g" TargetMode="External"/><Relationship Id="rId2103" Type="http://schemas.openxmlformats.org/officeDocument/2006/relationships/hyperlink" Target="https://youtu.be/KmL-3iPAzN0"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youtu.be/6a5CR-Xmpio"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www.twitch.tv/videos/1651903544"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youtu.be/G3WjUrEsVKg"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OkpJ8_cW35c"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1143</v>
      </c>
      <c r="Z22" s="114" t="s">
        <v>1363</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1181</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718</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1209</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697</v>
      </c>
      <c r="EA22" s="142" t="s">
        <v>1723</v>
      </c>
      <c r="EB22" s="139" t="s">
        <v>1350</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652</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1139</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1360</v>
      </c>
      <c r="AX23" s="93" t="s">
        <v>1756</v>
      </c>
      <c r="AY23" s="93" t="s">
        <v>1757</v>
      </c>
      <c r="AZ23" s="93"/>
      <c r="BA23" s="93" t="s">
        <v>1758</v>
      </c>
      <c r="BB23" s="88" t="s">
        <v>1670</v>
      </c>
      <c r="BC23" s="93" t="s">
        <v>711</v>
      </c>
      <c r="BD23" s="88" t="s">
        <v>1759</v>
      </c>
      <c r="BE23" s="88" t="s">
        <v>1374</v>
      </c>
      <c r="BF23" s="88" t="s">
        <v>689</v>
      </c>
      <c r="BG23" s="93" t="s">
        <v>372</v>
      </c>
      <c r="BH23" s="97" t="s">
        <v>1760</v>
      </c>
      <c r="BI23" s="93" t="s">
        <v>1761</v>
      </c>
      <c r="BJ23" s="97" t="s">
        <v>1423</v>
      </c>
      <c r="BK23" s="88" t="s">
        <v>1762</v>
      </c>
      <c r="BL23" s="93" t="s">
        <v>1763</v>
      </c>
      <c r="BM23" s="93" t="s">
        <v>1068</v>
      </c>
      <c r="BN23" s="93" t="s">
        <v>1764</v>
      </c>
      <c r="BO23" s="93" t="s">
        <v>1765</v>
      </c>
      <c r="BP23" s="99"/>
      <c r="BQ23" s="88" t="s">
        <v>156</v>
      </c>
      <c r="BR23" s="93" t="s">
        <v>1766</v>
      </c>
      <c r="BS23" s="88" t="s">
        <v>1767</v>
      </c>
      <c r="BT23" s="88" t="s">
        <v>1768</v>
      </c>
      <c r="BU23" s="292" t="s">
        <v>1414</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1131</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1821</v>
      </c>
      <c r="AB24" s="114" t="s">
        <v>1822</v>
      </c>
      <c r="AC24" s="114" t="s">
        <v>849</v>
      </c>
      <c r="AD24" s="193"/>
      <c r="AE24" s="114" t="s">
        <v>1823</v>
      </c>
      <c r="AF24" s="323" t="s">
        <v>1824</v>
      </c>
      <c r="AG24" s="265"/>
      <c r="AH24" s="193"/>
      <c r="AI24" s="193" t="s">
        <v>1825</v>
      </c>
      <c r="AJ24" s="193" t="s">
        <v>1826</v>
      </c>
      <c r="AK24" s="96"/>
      <c r="AL24" s="266"/>
      <c r="AM24" s="164" t="s">
        <v>1827</v>
      </c>
      <c r="AN24" s="119" t="s">
        <v>1828</v>
      </c>
      <c r="AO24" s="164" t="s">
        <v>1829</v>
      </c>
      <c r="AP24" s="164" t="s">
        <v>1830</v>
      </c>
      <c r="AQ24" s="164" t="s">
        <v>1831</v>
      </c>
      <c r="AR24" s="266"/>
      <c r="AS24" s="266"/>
      <c r="AT24" s="118" t="s">
        <v>1547</v>
      </c>
      <c r="AU24" s="166" t="s">
        <v>1832</v>
      </c>
      <c r="AV24" s="164" t="s">
        <v>1097</v>
      </c>
      <c r="AW24" s="266"/>
      <c r="AX24" s="266"/>
      <c r="AY24" s="164" t="s">
        <v>1833</v>
      </c>
      <c r="AZ24" s="164"/>
      <c r="BA24" s="170" t="s">
        <v>1834</v>
      </c>
      <c r="BB24" s="170" t="s">
        <v>1670</v>
      </c>
      <c r="BC24" s="197" t="s">
        <v>1452</v>
      </c>
      <c r="BD24" s="324" t="s">
        <v>776</v>
      </c>
      <c r="BE24" s="325" t="s">
        <v>1835</v>
      </c>
      <c r="BF24" s="170" t="s">
        <v>1836</v>
      </c>
      <c r="BG24" s="169"/>
      <c r="BH24" s="170" t="s">
        <v>1289</v>
      </c>
      <c r="BI24" s="170" t="s">
        <v>1837</v>
      </c>
      <c r="BJ24" s="170" t="s">
        <v>1838</v>
      </c>
      <c r="BK24" s="170" t="s">
        <v>1839</v>
      </c>
      <c r="BL24" s="169"/>
      <c r="BM24" s="124" t="s">
        <v>1219</v>
      </c>
      <c r="BN24" s="170" t="s">
        <v>1840</v>
      </c>
      <c r="BO24" s="325" t="s">
        <v>1841</v>
      </c>
      <c r="BP24" s="268"/>
      <c r="BQ24" s="305" t="s">
        <v>1842</v>
      </c>
      <c r="BR24" s="127" t="s">
        <v>1843</v>
      </c>
      <c r="BS24" s="127" t="s">
        <v>158</v>
      </c>
      <c r="BT24" s="326" t="s">
        <v>159</v>
      </c>
      <c r="BU24" s="127" t="s">
        <v>1844</v>
      </c>
      <c r="BV24" s="172" t="s">
        <v>1492</v>
      </c>
      <c r="BW24" s="271"/>
      <c r="BX24" s="271"/>
      <c r="BY24" s="327" t="s">
        <v>1845</v>
      </c>
      <c r="BZ24" s="171" t="s">
        <v>1712</v>
      </c>
      <c r="CA24" s="171" t="s">
        <v>1846</v>
      </c>
      <c r="CB24" s="127" t="s">
        <v>1847</v>
      </c>
      <c r="CC24" s="127" t="s">
        <v>1848</v>
      </c>
      <c r="CD24" s="171" t="s">
        <v>1205</v>
      </c>
      <c r="CE24" s="318"/>
      <c r="CF24" s="132" t="s">
        <v>1158</v>
      </c>
      <c r="CG24" s="132" t="s">
        <v>1849</v>
      </c>
      <c r="CH24" s="173" t="s">
        <v>1850</v>
      </c>
      <c r="CI24" s="132" t="s">
        <v>1851</v>
      </c>
      <c r="CJ24" s="306"/>
      <c r="CK24" s="173" t="s">
        <v>175</v>
      </c>
      <c r="CL24" s="291" t="s">
        <v>408</v>
      </c>
      <c r="CM24" s="173" t="s">
        <v>1852</v>
      </c>
      <c r="CN24" s="275"/>
      <c r="CO24" s="173" t="s">
        <v>633</v>
      </c>
      <c r="CP24" s="173"/>
      <c r="CQ24" s="173" t="s">
        <v>1853</v>
      </c>
      <c r="CR24" s="273" t="s">
        <v>1232</v>
      </c>
      <c r="CS24" s="92"/>
      <c r="CT24" s="137" t="s">
        <v>1854</v>
      </c>
      <c r="CU24" s="201" t="s">
        <v>1855</v>
      </c>
      <c r="CV24" s="328" t="s">
        <v>1182</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1002</v>
      </c>
      <c r="DS24" s="284"/>
      <c r="DT24" s="278"/>
      <c r="DU24" s="202" t="s">
        <v>1868</v>
      </c>
      <c r="DV24" s="278"/>
      <c r="DW24" s="202" t="s">
        <v>1720</v>
      </c>
      <c r="DX24" s="202" t="s">
        <v>1869</v>
      </c>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724</v>
      </c>
      <c r="K25" s="93" t="s">
        <v>1880</v>
      </c>
      <c r="L25" s="88" t="s">
        <v>1642</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1182</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931</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1122</v>
      </c>
      <c r="BU26" s="352" t="s">
        <v>1985</v>
      </c>
      <c r="BV26" s="353" t="str">
        <f>HYPERLINK("https://youtu.be/n7zdK3H7Bag","22.27")</f>
        <v>22.27</v>
      </c>
      <c r="BW26" s="352"/>
      <c r="BX26" s="352" t="s">
        <v>1986</v>
      </c>
      <c r="BY26" s="353" t="s">
        <v>1238</v>
      </c>
      <c r="BZ26" s="354" t="s">
        <v>954</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1104</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545</v>
      </c>
      <c r="F27" s="86" t="s">
        <v>2016</v>
      </c>
      <c r="G27" s="82" t="s">
        <v>1353</v>
      </c>
      <c r="H27" s="88" t="s">
        <v>1810</v>
      </c>
      <c r="I27" s="88" t="s">
        <v>2017</v>
      </c>
      <c r="J27" s="88" t="s">
        <v>2018</v>
      </c>
      <c r="K27" s="88" t="s">
        <v>550</v>
      </c>
      <c r="L27" s="88" t="s">
        <v>2019</v>
      </c>
      <c r="M27" s="89" t="s">
        <v>1069</v>
      </c>
      <c r="N27" s="88" t="s">
        <v>105</v>
      </c>
      <c r="O27" s="93" t="s">
        <v>1790</v>
      </c>
      <c r="P27" s="286" t="s">
        <v>1569</v>
      </c>
      <c r="Q27" s="93" t="s">
        <v>2020</v>
      </c>
      <c r="R27" s="98"/>
      <c r="S27" s="88" t="s">
        <v>2021</v>
      </c>
      <c r="T27" s="98"/>
      <c r="U27" s="93" t="s">
        <v>1545</v>
      </c>
      <c r="V27" s="98"/>
      <c r="W27" s="92"/>
      <c r="X27" s="88" t="s">
        <v>2022</v>
      </c>
      <c r="Y27" s="93" t="s">
        <v>2023</v>
      </c>
      <c r="Z27" s="286" t="s">
        <v>2024</v>
      </c>
      <c r="AA27" s="88" t="s">
        <v>2025</v>
      </c>
      <c r="AB27" s="286" t="s">
        <v>1739</v>
      </c>
      <c r="AC27" s="88" t="s">
        <v>2026</v>
      </c>
      <c r="AD27" s="88" t="s">
        <v>2027</v>
      </c>
      <c r="AE27" s="93" t="s">
        <v>897</v>
      </c>
      <c r="AF27" s="93" t="s">
        <v>2028</v>
      </c>
      <c r="AG27" s="93" t="s">
        <v>1985</v>
      </c>
      <c r="AH27" s="93"/>
      <c r="AI27" s="93" t="s">
        <v>1646</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1451</v>
      </c>
      <c r="BC27" s="93" t="s">
        <v>2038</v>
      </c>
      <c r="BD27" s="93" t="s">
        <v>2039</v>
      </c>
      <c r="BE27" s="88" t="s">
        <v>2040</v>
      </c>
      <c r="BF27" s="93" t="s">
        <v>2041</v>
      </c>
      <c r="BG27" s="98"/>
      <c r="BH27" s="93" t="s">
        <v>1178</v>
      </c>
      <c r="BI27" s="98"/>
      <c r="BJ27" s="93" t="s">
        <v>2042</v>
      </c>
      <c r="BK27" s="88" t="s">
        <v>317</v>
      </c>
      <c r="BL27" s="98"/>
      <c r="BM27" s="98"/>
      <c r="BN27" s="88" t="s">
        <v>1302</v>
      </c>
      <c r="BO27" s="98"/>
      <c r="BP27" s="256"/>
      <c r="BQ27" s="286" t="s">
        <v>2043</v>
      </c>
      <c r="BR27" s="88" t="s">
        <v>2044</v>
      </c>
      <c r="BS27" s="93" t="s">
        <v>2045</v>
      </c>
      <c r="BT27" s="88" t="s">
        <v>1711</v>
      </c>
      <c r="BU27" s="88" t="s">
        <v>2046</v>
      </c>
      <c r="BV27" s="93" t="s">
        <v>161</v>
      </c>
      <c r="BW27" s="286" t="s">
        <v>2047</v>
      </c>
      <c r="BX27" s="98"/>
      <c r="BY27" s="88" t="s">
        <v>2048</v>
      </c>
      <c r="BZ27" s="93" t="s">
        <v>2049</v>
      </c>
      <c r="CA27" s="93" t="s">
        <v>2050</v>
      </c>
      <c r="CB27" s="93" t="s">
        <v>2051</v>
      </c>
      <c r="CC27" s="88" t="s">
        <v>1785</v>
      </c>
      <c r="CD27" s="88" t="s">
        <v>2052</v>
      </c>
      <c r="CE27" s="256"/>
      <c r="CF27" s="88" t="s">
        <v>1158</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1787</v>
      </c>
      <c r="DB27" s="88" t="s">
        <v>2063</v>
      </c>
      <c r="DC27" s="98"/>
      <c r="DD27" s="93" t="s">
        <v>2064</v>
      </c>
      <c r="DE27" s="98"/>
      <c r="DF27" s="256"/>
      <c r="DG27" s="93" t="s">
        <v>2065</v>
      </c>
      <c r="DH27" s="93"/>
      <c r="DI27" s="93" t="s">
        <v>2066</v>
      </c>
      <c r="DJ27" s="93" t="s">
        <v>2067</v>
      </c>
      <c r="DK27" s="93" t="s">
        <v>510</v>
      </c>
      <c r="DL27" s="88" t="s">
        <v>1033</v>
      </c>
      <c r="DM27" s="98"/>
      <c r="DN27" s="98"/>
      <c r="DO27" s="98"/>
      <c r="DP27" s="88" t="s">
        <v>2068</v>
      </c>
      <c r="DQ27" s="88" t="s">
        <v>2069</v>
      </c>
      <c r="DR27" s="88" t="s">
        <v>2070</v>
      </c>
      <c r="DS27" s="88" t="s">
        <v>205</v>
      </c>
      <c r="DT27" s="88" t="s">
        <v>1513</v>
      </c>
      <c r="DU27" s="88" t="s">
        <v>1718</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1191</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1260</v>
      </c>
      <c r="D29" s="84" t="s">
        <v>330</v>
      </c>
      <c r="E29" s="85" t="s">
        <v>1260</v>
      </c>
      <c r="F29" s="86" t="s">
        <v>2097</v>
      </c>
      <c r="G29" s="82" t="s">
        <v>2098</v>
      </c>
      <c r="H29" s="374" t="s">
        <v>1810</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897</v>
      </c>
      <c r="AF29" s="375" t="s">
        <v>1280</v>
      </c>
      <c r="AG29" s="378" t="s">
        <v>2109</v>
      </c>
      <c r="AH29" s="377"/>
      <c r="AI29" s="377"/>
      <c r="AJ29" s="377"/>
      <c r="AK29" s="155"/>
      <c r="AL29" s="375" t="s">
        <v>1224</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1157</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1038</v>
      </c>
      <c r="CI29" s="374" t="s">
        <v>2131</v>
      </c>
      <c r="CJ29" s="380" t="s">
        <v>2132</v>
      </c>
      <c r="CK29" s="374" t="s">
        <v>1927</v>
      </c>
      <c r="CL29" s="374" t="s">
        <v>1146</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1750</v>
      </c>
      <c r="DR29" s="377"/>
      <c r="DS29" s="375" t="s">
        <v>1020</v>
      </c>
      <c r="DT29" s="377"/>
      <c r="DU29" s="375" t="s">
        <v>638</v>
      </c>
      <c r="DV29" s="377"/>
      <c r="DW29" s="377"/>
      <c r="DX29" s="377"/>
      <c r="DY29" s="377"/>
      <c r="DZ29" s="377"/>
      <c r="EA29" s="377"/>
      <c r="EB29" s="152" t="s">
        <v>2141</v>
      </c>
    </row>
    <row r="30">
      <c r="A30" s="381" t="s">
        <v>2142</v>
      </c>
      <c r="B30" s="103" t="s">
        <v>2143</v>
      </c>
      <c r="C30" s="104" t="s">
        <v>1260</v>
      </c>
      <c r="D30" s="105" t="s">
        <v>1260</v>
      </c>
      <c r="E30" s="106" t="s">
        <v>1260</v>
      </c>
      <c r="F30" s="107" t="s">
        <v>2144</v>
      </c>
      <c r="G30" s="103" t="s">
        <v>440</v>
      </c>
      <c r="H30" s="111" t="s">
        <v>860</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1220</v>
      </c>
      <c r="V30" s="111" t="s">
        <v>2155</v>
      </c>
      <c r="W30" s="112"/>
      <c r="X30" s="114" t="s">
        <v>1778</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1665</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1819</v>
      </c>
      <c r="BB30" s="124" t="s">
        <v>2175</v>
      </c>
      <c r="BC30" s="124" t="s">
        <v>2176</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1160</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1143</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1185</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919</v>
      </c>
      <c r="BC32" s="170" t="s">
        <v>1452</v>
      </c>
      <c r="BD32" s="170" t="s">
        <v>2292</v>
      </c>
      <c r="BE32" s="170" t="s">
        <v>2293</v>
      </c>
      <c r="BF32" s="170" t="s">
        <v>2294</v>
      </c>
      <c r="BG32" s="170" t="s">
        <v>2295</v>
      </c>
      <c r="BH32" s="124" t="s">
        <v>1585</v>
      </c>
      <c r="BI32" s="169"/>
      <c r="BJ32" s="124" t="s">
        <v>150</v>
      </c>
      <c r="BK32" s="170" t="s">
        <v>1981</v>
      </c>
      <c r="BL32" s="169"/>
      <c r="BM32" s="170" t="s">
        <v>2021</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1139</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1193</v>
      </c>
      <c r="DP32" s="202" t="s">
        <v>2327</v>
      </c>
      <c r="DQ32" s="202" t="s">
        <v>2085</v>
      </c>
      <c r="DR32" s="202" t="s">
        <v>2328</v>
      </c>
      <c r="DS32" s="202" t="s">
        <v>2329</v>
      </c>
      <c r="DT32" s="278"/>
      <c r="DU32" s="202" t="s">
        <v>1713</v>
      </c>
      <c r="DV32" s="202" t="s">
        <v>2330</v>
      </c>
      <c r="DW32" s="202" t="s">
        <v>2331</v>
      </c>
      <c r="DX32" s="202" t="s">
        <v>2332</v>
      </c>
      <c r="DY32" s="202" t="s">
        <v>1178</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1408</v>
      </c>
      <c r="M33" s="88" t="s">
        <v>2341</v>
      </c>
      <c r="N33" s="88" t="s">
        <v>2342</v>
      </c>
      <c r="O33" s="88" t="s">
        <v>2037</v>
      </c>
      <c r="P33" s="88" t="s">
        <v>107</v>
      </c>
      <c r="Q33" s="88" t="s">
        <v>2343</v>
      </c>
      <c r="R33" s="98"/>
      <c r="S33" s="88" t="s">
        <v>2105</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674</v>
      </c>
      <c r="AU33" s="88" t="s">
        <v>1105</v>
      </c>
      <c r="AV33" s="98"/>
      <c r="AW33" s="98"/>
      <c r="AX33" s="88" t="s">
        <v>2348</v>
      </c>
      <c r="AY33" s="98"/>
      <c r="AZ33" s="98"/>
      <c r="BA33" s="88" t="s">
        <v>1545</v>
      </c>
      <c r="BB33" s="88" t="s">
        <v>680</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2040</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1831</v>
      </c>
      <c r="DZ33" s="98"/>
      <c r="EA33" s="98"/>
      <c r="EB33" s="393"/>
    </row>
    <row r="34">
      <c r="A34" s="162" t="s">
        <v>2367</v>
      </c>
      <c r="B34" s="103" t="s">
        <v>2368</v>
      </c>
      <c r="C34" s="104" t="s">
        <v>1260</v>
      </c>
      <c r="D34" s="105" t="s">
        <v>436</v>
      </c>
      <c r="E34" s="106" t="s">
        <v>1260</v>
      </c>
      <c r="F34" s="107" t="s">
        <v>2016</v>
      </c>
      <c r="G34" s="103" t="s">
        <v>915</v>
      </c>
      <c r="H34" s="163" t="s">
        <v>2369</v>
      </c>
      <c r="I34" s="163" t="s">
        <v>2370</v>
      </c>
      <c r="J34" s="111" t="s">
        <v>2371</v>
      </c>
      <c r="K34" s="111" t="s">
        <v>2372</v>
      </c>
      <c r="L34" s="111" t="s">
        <v>2373</v>
      </c>
      <c r="M34" s="111" t="s">
        <v>2374</v>
      </c>
      <c r="N34" s="163" t="s">
        <v>2375</v>
      </c>
      <c r="O34" s="163" t="s">
        <v>2037</v>
      </c>
      <c r="P34" s="111" t="s">
        <v>652</v>
      </c>
      <c r="Q34" s="218"/>
      <c r="R34" s="218"/>
      <c r="S34" s="111" t="s">
        <v>1207</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1452</v>
      </c>
      <c r="AV34" s="164" t="s">
        <v>1088</v>
      </c>
      <c r="AW34" s="266"/>
      <c r="AX34" s="266"/>
      <c r="AY34" s="266"/>
      <c r="AZ34" s="266"/>
      <c r="BA34" s="124" t="s">
        <v>2390</v>
      </c>
      <c r="BB34" s="170" t="s">
        <v>2391</v>
      </c>
      <c r="BC34" s="124" t="s">
        <v>2319</v>
      </c>
      <c r="BD34" s="170" t="s">
        <v>1914</v>
      </c>
      <c r="BE34" s="170" t="s">
        <v>241</v>
      </c>
      <c r="BF34" s="170" t="s">
        <v>1328</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2123</v>
      </c>
      <c r="BT34" s="127" t="s">
        <v>208</v>
      </c>
      <c r="BU34" s="127" t="s">
        <v>2400</v>
      </c>
      <c r="BV34" s="127" t="s">
        <v>1311</v>
      </c>
      <c r="BW34" s="171" t="s">
        <v>2401</v>
      </c>
      <c r="BX34" s="171" t="s">
        <v>2402</v>
      </c>
      <c r="BY34" s="171" t="s">
        <v>2403</v>
      </c>
      <c r="BZ34" s="127" t="s">
        <v>1712</v>
      </c>
      <c r="CA34" s="171" t="s">
        <v>2404</v>
      </c>
      <c r="CB34" s="171" t="s">
        <v>2405</v>
      </c>
      <c r="CC34" s="127" t="s">
        <v>1448</v>
      </c>
      <c r="CD34" s="271"/>
      <c r="CE34" s="272"/>
      <c r="CF34" s="173" t="s">
        <v>2026</v>
      </c>
      <c r="CG34" s="173" t="s">
        <v>2311</v>
      </c>
      <c r="CH34" s="132" t="s">
        <v>1243</v>
      </c>
      <c r="CI34" s="132" t="s">
        <v>2406</v>
      </c>
      <c r="CJ34" s="306"/>
      <c r="CK34" s="132" t="s">
        <v>134</v>
      </c>
      <c r="CL34" s="132" t="s">
        <v>2407</v>
      </c>
      <c r="CM34" s="132" t="s">
        <v>2196</v>
      </c>
      <c r="CN34" s="275"/>
      <c r="CO34" s="132" t="s">
        <v>633</v>
      </c>
      <c r="CP34" s="275"/>
      <c r="CQ34" s="275"/>
      <c r="CR34" s="275"/>
      <c r="CS34" s="92"/>
      <c r="CT34" s="137" t="s">
        <v>449</v>
      </c>
      <c r="CU34" s="201" t="s">
        <v>1609</v>
      </c>
      <c r="CV34" s="276"/>
      <c r="CW34" s="201" t="s">
        <v>2408</v>
      </c>
      <c r="CX34" s="201" t="s">
        <v>1624</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1627</v>
      </c>
      <c r="DR34" s="142" t="s">
        <v>2416</v>
      </c>
      <c r="DS34" s="142" t="s">
        <v>2417</v>
      </c>
      <c r="DT34" s="142" t="s">
        <v>2418</v>
      </c>
      <c r="DU34" s="142" t="s">
        <v>200</v>
      </c>
      <c r="DV34" s="278"/>
      <c r="DW34" s="278"/>
      <c r="DX34" s="142" t="s">
        <v>1020</v>
      </c>
      <c r="DY34" s="202" t="s">
        <v>1980</v>
      </c>
      <c r="DZ34" s="142" t="s">
        <v>2419</v>
      </c>
      <c r="EA34" s="142" t="s">
        <v>2420</v>
      </c>
      <c r="EB34" s="139" t="s">
        <v>1806</v>
      </c>
    </row>
    <row r="35">
      <c r="A35" s="394" t="s">
        <v>2421</v>
      </c>
      <c r="B35" s="82" t="s">
        <v>2422</v>
      </c>
      <c r="C35" s="83" t="s">
        <v>1260</v>
      </c>
      <c r="D35" s="84" t="s">
        <v>1260</v>
      </c>
      <c r="E35" s="85" t="s">
        <v>1260</v>
      </c>
      <c r="F35" s="86" t="s">
        <v>2423</v>
      </c>
      <c r="G35" s="82" t="s">
        <v>2338</v>
      </c>
      <c r="H35" s="88" t="s">
        <v>2424</v>
      </c>
      <c r="I35" s="88" t="s">
        <v>2425</v>
      </c>
      <c r="J35" s="88" t="s">
        <v>1812</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1143</v>
      </c>
      <c r="Z35" s="88" t="s">
        <v>563</v>
      </c>
      <c r="AA35" s="88" t="s">
        <v>117</v>
      </c>
      <c r="AB35" s="88" t="s">
        <v>1900</v>
      </c>
      <c r="AC35" s="88" t="s">
        <v>2430</v>
      </c>
      <c r="AD35" s="93" t="s">
        <v>2431</v>
      </c>
      <c r="AE35" s="88" t="s">
        <v>1077</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1329</v>
      </c>
      <c r="BF35" s="98"/>
      <c r="BG35" s="98"/>
      <c r="BH35" s="88" t="s">
        <v>148</v>
      </c>
      <c r="BI35" s="98"/>
      <c r="BJ35" s="93" t="s">
        <v>2434</v>
      </c>
      <c r="BK35" s="88" t="s">
        <v>2435</v>
      </c>
      <c r="BL35" s="98"/>
      <c r="BM35" s="98"/>
      <c r="BN35" s="98"/>
      <c r="BO35" s="98"/>
      <c r="BP35" s="256"/>
      <c r="BQ35" s="93" t="s">
        <v>2436</v>
      </c>
      <c r="BR35" s="88" t="s">
        <v>2437</v>
      </c>
      <c r="BS35" s="88" t="s">
        <v>1389</v>
      </c>
      <c r="BT35" s="88" t="s">
        <v>2184</v>
      </c>
      <c r="BU35" s="88" t="s">
        <v>2438</v>
      </c>
      <c r="BV35" s="88" t="s">
        <v>2439</v>
      </c>
      <c r="BW35" s="93" t="s">
        <v>2440</v>
      </c>
      <c r="BX35" s="93" t="s">
        <v>2441</v>
      </c>
      <c r="BY35" s="88" t="s">
        <v>2442</v>
      </c>
      <c r="BZ35" s="88" t="s">
        <v>165</v>
      </c>
      <c r="CA35" s="98"/>
      <c r="CB35" s="98"/>
      <c r="CC35" s="98"/>
      <c r="CD35" s="98"/>
      <c r="CE35" s="256"/>
      <c r="CF35" s="88" t="s">
        <v>565</v>
      </c>
      <c r="CG35" s="88" t="s">
        <v>1849</v>
      </c>
      <c r="CH35" s="88" t="s">
        <v>2443</v>
      </c>
      <c r="CI35" s="93" t="s">
        <v>2444</v>
      </c>
      <c r="CJ35" s="93" t="s">
        <v>1326</v>
      </c>
      <c r="CK35" s="88" t="s">
        <v>850</v>
      </c>
      <c r="CL35" s="88" t="s">
        <v>2445</v>
      </c>
      <c r="CM35" s="88" t="s">
        <v>1539</v>
      </c>
      <c r="CN35" s="98"/>
      <c r="CO35" s="98"/>
      <c r="CP35" s="98"/>
      <c r="CQ35" s="98"/>
      <c r="CR35" s="98"/>
      <c r="CS35" s="92"/>
      <c r="CT35" s="88" t="s">
        <v>1738</v>
      </c>
      <c r="CU35" s="88" t="s">
        <v>2446</v>
      </c>
      <c r="CV35" s="88" t="s">
        <v>967</v>
      </c>
      <c r="CW35" s="88" t="s">
        <v>568</v>
      </c>
      <c r="CX35" s="88" t="s">
        <v>1185</v>
      </c>
      <c r="CY35" s="88" t="s">
        <v>2447</v>
      </c>
      <c r="CZ35" s="88" t="s">
        <v>2448</v>
      </c>
      <c r="DA35" s="88" t="s">
        <v>2449</v>
      </c>
      <c r="DB35" s="98"/>
      <c r="DC35" s="98"/>
      <c r="DD35" s="98"/>
      <c r="DE35" s="98"/>
      <c r="DF35" s="256"/>
      <c r="DG35" s="88" t="s">
        <v>1336</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2338</v>
      </c>
      <c r="G36" s="103" t="s">
        <v>1638</v>
      </c>
      <c r="H36" s="111" t="s">
        <v>2453</v>
      </c>
      <c r="I36" s="297" t="s">
        <v>2454</v>
      </c>
      <c r="J36" s="111" t="s">
        <v>2455</v>
      </c>
      <c r="K36" s="111" t="s">
        <v>1880</v>
      </c>
      <c r="L36" s="111" t="s">
        <v>2294</v>
      </c>
      <c r="M36" s="111" t="s">
        <v>2456</v>
      </c>
      <c r="N36" s="111" t="s">
        <v>2457</v>
      </c>
      <c r="O36" s="109" t="s">
        <v>2228</v>
      </c>
      <c r="P36" s="295" t="s">
        <v>555</v>
      </c>
      <c r="Q36" s="396" t="s">
        <v>2458</v>
      </c>
      <c r="R36" s="111" t="s">
        <v>2459</v>
      </c>
      <c r="S36" s="396" t="s">
        <v>997</v>
      </c>
      <c r="T36" s="111" t="s">
        <v>2460</v>
      </c>
      <c r="U36" s="109" t="s">
        <v>2461</v>
      </c>
      <c r="V36" s="297" t="s">
        <v>2462</v>
      </c>
      <c r="W36" s="206"/>
      <c r="X36" s="299" t="s">
        <v>1927</v>
      </c>
      <c r="Y36" s="113" t="s">
        <v>1573</v>
      </c>
      <c r="Z36" s="192" t="s">
        <v>2463</v>
      </c>
      <c r="AA36" s="114" t="s">
        <v>1671</v>
      </c>
      <c r="AB36" s="114" t="s">
        <v>2464</v>
      </c>
      <c r="AC36" s="114" t="s">
        <v>2465</v>
      </c>
      <c r="AD36" s="114" t="s">
        <v>2466</v>
      </c>
      <c r="AE36" s="193" t="s">
        <v>2321</v>
      </c>
      <c r="AF36" s="114" t="s">
        <v>2467</v>
      </c>
      <c r="AG36" s="397" t="s">
        <v>2468</v>
      </c>
      <c r="AH36" s="113" t="s">
        <v>2469</v>
      </c>
      <c r="AI36" s="397" t="s">
        <v>2470</v>
      </c>
      <c r="AJ36" s="299"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1993</v>
      </c>
      <c r="CK36" s="132" t="s">
        <v>2507</v>
      </c>
      <c r="CL36" s="132" t="s">
        <v>1611</v>
      </c>
      <c r="CM36" s="132" t="s">
        <v>1995</v>
      </c>
      <c r="CN36" s="307" t="s">
        <v>2508</v>
      </c>
      <c r="CO36" s="130" t="s">
        <v>1055</v>
      </c>
      <c r="CP36" s="132" t="s">
        <v>2509</v>
      </c>
      <c r="CQ36" s="132" t="s">
        <v>2510</v>
      </c>
      <c r="CR36" s="173" t="s">
        <v>2511</v>
      </c>
      <c r="CS36" s="92"/>
      <c r="CT36" s="328" t="s">
        <v>2512</v>
      </c>
      <c r="CU36" s="201" t="s">
        <v>1993</v>
      </c>
      <c r="CV36" s="134" t="s">
        <v>2513</v>
      </c>
      <c r="CW36" s="328" t="s">
        <v>2514</v>
      </c>
      <c r="CX36" s="328" t="s">
        <v>2515</v>
      </c>
      <c r="CY36" s="137" t="s">
        <v>2516</v>
      </c>
      <c r="CZ36" s="328" t="s">
        <v>787</v>
      </c>
      <c r="DA36" s="134" t="s">
        <v>1787</v>
      </c>
      <c r="DB36" s="309" t="s">
        <v>2517</v>
      </c>
      <c r="DC36" s="400" t="s">
        <v>2518</v>
      </c>
      <c r="DD36" s="134" t="s">
        <v>2443</v>
      </c>
      <c r="DE36" s="134" t="str">
        <f>HYPERLINK("https://www.twitch.tv/videos/445329616","1:59.77")</f>
        <v>1:59.77</v>
      </c>
      <c r="DF36" s="134"/>
      <c r="DG36" s="202" t="s">
        <v>2519</v>
      </c>
      <c r="DH36" s="142" t="s">
        <v>2520</v>
      </c>
      <c r="DI36" s="202" t="s">
        <v>1764</v>
      </c>
      <c r="DJ36" s="142" t="s">
        <v>2521</v>
      </c>
      <c r="DK36" s="142" t="s">
        <v>1693</v>
      </c>
      <c r="DL36" s="204" t="s">
        <v>2522</v>
      </c>
      <c r="DM36" s="204" t="s">
        <v>494</v>
      </c>
      <c r="DN36" s="142" t="s">
        <v>2523</v>
      </c>
      <c r="DO36" s="142" t="s">
        <v>1255</v>
      </c>
      <c r="DP36" s="202" t="s">
        <v>2524</v>
      </c>
      <c r="DQ36" s="142" t="s">
        <v>2525</v>
      </c>
      <c r="DR36" s="142" t="s">
        <v>2526</v>
      </c>
      <c r="DS36" s="142" t="s">
        <v>2527</v>
      </c>
      <c r="DT36" s="142" t="s">
        <v>2528</v>
      </c>
      <c r="DU36" s="142" t="s">
        <v>1713</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1260</v>
      </c>
      <c r="F37" s="86" t="s">
        <v>2536</v>
      </c>
      <c r="G37" s="82" t="s">
        <v>1132</v>
      </c>
      <c r="H37" s="88" t="s">
        <v>1717</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2196</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1084</v>
      </c>
      <c r="BD37" s="88" t="s">
        <v>2561</v>
      </c>
      <c r="BE37" s="88" t="s">
        <v>565</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56"/>
      <c r="CF37" s="88" t="s">
        <v>2578</v>
      </c>
      <c r="CG37" s="88" t="s">
        <v>2036</v>
      </c>
      <c r="CH37" s="93" t="s">
        <v>2579</v>
      </c>
      <c r="CI37" s="88" t="s">
        <v>2580</v>
      </c>
      <c r="CJ37" s="88" t="s">
        <v>2581</v>
      </c>
      <c r="CK37" s="88" t="s">
        <v>2110</v>
      </c>
      <c r="CL37" s="88" t="s">
        <v>2582</v>
      </c>
      <c r="CM37" s="88" t="s">
        <v>1871</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81" t="s">
        <v>1799</v>
      </c>
      <c r="DR37" s="403" t="str">
        <f>HYPERLINK("https://twitter.com/Qbe_Root/status/1241798344797798402","11.27")</f>
        <v>11.27</v>
      </c>
      <c r="DS37" s="93" t="s">
        <v>2598</v>
      </c>
      <c r="DT37" s="88" t="s">
        <v>2599</v>
      </c>
      <c r="DU37" s="98"/>
      <c r="DV37" s="88" t="s">
        <v>1768</v>
      </c>
      <c r="DW37" s="93" t="s">
        <v>1849</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1564</v>
      </c>
      <c r="L38" s="163" t="s">
        <v>2609</v>
      </c>
      <c r="M38" s="111" t="s">
        <v>2610</v>
      </c>
      <c r="N38" s="163" t="s">
        <v>2611</v>
      </c>
      <c r="O38" s="163" t="s">
        <v>2612</v>
      </c>
      <c r="P38" s="111" t="s">
        <v>107</v>
      </c>
      <c r="Q38" s="218"/>
      <c r="R38" s="218"/>
      <c r="S38" s="218"/>
      <c r="T38" s="218"/>
      <c r="U38" s="218"/>
      <c r="V38" s="218"/>
      <c r="W38" s="92"/>
      <c r="X38" s="193" t="s">
        <v>2613</v>
      </c>
      <c r="Y38" s="193" t="s">
        <v>2378</v>
      </c>
      <c r="Z38" s="114" t="s">
        <v>754</v>
      </c>
      <c r="AA38" s="193" t="s">
        <v>251</v>
      </c>
      <c r="AB38" s="193" t="s">
        <v>2330</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1168</v>
      </c>
      <c r="BW38" s="127" t="s">
        <v>2627</v>
      </c>
      <c r="BX38" s="171" t="s">
        <v>2628</v>
      </c>
      <c r="BY38" s="271"/>
      <c r="BZ38" s="171" t="s">
        <v>2629</v>
      </c>
      <c r="CA38" s="271"/>
      <c r="CB38" s="271"/>
      <c r="CC38" s="271"/>
      <c r="CD38" s="271"/>
      <c r="CE38" s="272"/>
      <c r="CF38" s="173" t="s">
        <v>2484</v>
      </c>
      <c r="CG38" s="173" t="s">
        <v>2630</v>
      </c>
      <c r="CH38" s="173" t="s">
        <v>2631</v>
      </c>
      <c r="CI38" s="132" t="s">
        <v>2632</v>
      </c>
      <c r="CJ38" s="133" t="s">
        <v>1855</v>
      </c>
      <c r="CK38" s="173" t="s">
        <v>858</v>
      </c>
      <c r="CL38" s="173" t="s">
        <v>2318</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1109</v>
      </c>
      <c r="Y39" s="93" t="s">
        <v>2649</v>
      </c>
      <c r="Z39" s="93" t="s">
        <v>2157</v>
      </c>
      <c r="AA39" s="93" t="s">
        <v>718</v>
      </c>
      <c r="AB39" s="93" t="s">
        <v>458</v>
      </c>
      <c r="AC39" s="88" t="s">
        <v>2650</v>
      </c>
      <c r="AD39" s="98"/>
      <c r="AE39" s="88" t="s">
        <v>2651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2167</v>
      </c>
      <c r="BS39" s="93" t="s">
        <v>2669</v>
      </c>
      <c r="BT39" s="88" t="s">
        <v>728</v>
      </c>
      <c r="BU39" s="98"/>
      <c r="BV39" s="93" t="s">
        <v>2670</v>
      </c>
      <c r="BW39" s="98"/>
      <c r="BX39" s="93" t="s">
        <v>2671</v>
      </c>
      <c r="BY39" s="93" t="s">
        <v>2672</v>
      </c>
      <c r="BZ39" s="93" t="s">
        <v>2596</v>
      </c>
      <c r="CA39" s="98"/>
      <c r="CB39" s="93" t="s">
        <v>167</v>
      </c>
      <c r="CC39" s="93" t="s">
        <v>195</v>
      </c>
      <c r="CD39" s="205" t="s">
        <v>2673</v>
      </c>
      <c r="CE39" s="404"/>
      <c r="CF39" s="88" t="s">
        <v>792</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2056</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2582</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1013</v>
      </c>
      <c r="AS40" s="415" t="s">
        <v>749</v>
      </c>
      <c r="AT40" s="164" t="s">
        <v>1215</v>
      </c>
      <c r="AU40" s="417" t="str">
        <f>HYPERLINK("https://www.youtube.com/watch?v=I53jRzHVHbs","25.78")</f>
        <v>25.78</v>
      </c>
      <c r="AV40" s="416" t="s">
        <v>979</v>
      </c>
      <c r="AW40" s="345"/>
      <c r="AX40" s="416" t="s">
        <v>2717</v>
      </c>
      <c r="AY40" s="418" t="s">
        <v>2718</v>
      </c>
      <c r="AZ40" s="419"/>
      <c r="BA40" s="170" t="s">
        <v>2719</v>
      </c>
      <c r="BB40" s="420" t="s">
        <v>2720</v>
      </c>
      <c r="BC40" s="420" t="s">
        <v>1290</v>
      </c>
      <c r="BD40" s="421" t="s">
        <v>2527</v>
      </c>
      <c r="BE40" s="422" t="s">
        <v>2721</v>
      </c>
      <c r="BF40" s="420" t="s">
        <v>1785</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1094</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2425</v>
      </c>
      <c r="DQ40" s="443"/>
      <c r="DR40" s="443" t="s">
        <v>1943</v>
      </c>
      <c r="DS40" s="442" t="s">
        <v>2752</v>
      </c>
      <c r="DT40" s="443" t="s">
        <v>2753</v>
      </c>
      <c r="DU40" s="443" t="s">
        <v>2754</v>
      </c>
      <c r="DV40" s="364"/>
      <c r="DW40" s="442" t="s">
        <v>2755</v>
      </c>
      <c r="DX40" s="442" t="s">
        <v>2756</v>
      </c>
      <c r="DY40" s="442" t="s">
        <v>2757</v>
      </c>
      <c r="DZ40" s="442" t="s">
        <v>1864</v>
      </c>
      <c r="EA40" s="442" t="s">
        <v>1498</v>
      </c>
      <c r="EB40" s="312" t="s">
        <v>2758</v>
      </c>
    </row>
    <row r="41">
      <c r="A41" s="444" t="s">
        <v>2759</v>
      </c>
      <c r="B41" s="82" t="s">
        <v>2760</v>
      </c>
      <c r="C41" s="83" t="s">
        <v>1260</v>
      </c>
      <c r="D41" s="84" t="s">
        <v>1260</v>
      </c>
      <c r="E41" s="85" t="s">
        <v>1260</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2529</v>
      </c>
      <c r="AC41" s="88" t="s">
        <v>2026</v>
      </c>
      <c r="AD41" s="98"/>
      <c r="AE41" s="88" t="s">
        <v>2710</v>
      </c>
      <c r="AF41" s="88" t="s">
        <v>2711</v>
      </c>
      <c r="AG41" s="98"/>
      <c r="AH41" s="98"/>
      <c r="AI41" s="93" t="s">
        <v>1705</v>
      </c>
      <c r="AJ41" s="88" t="s">
        <v>2776</v>
      </c>
      <c r="AK41" s="96"/>
      <c r="AL41" s="98"/>
      <c r="AM41" s="88" t="s">
        <v>2777</v>
      </c>
      <c r="AN41" s="98"/>
      <c r="AO41" s="98"/>
      <c r="AP41" s="98"/>
      <c r="AQ41" s="98"/>
      <c r="AR41" s="98"/>
      <c r="AS41" s="98"/>
      <c r="AT41" s="88" t="s">
        <v>361</v>
      </c>
      <c r="AU41" s="88" t="s">
        <v>2778</v>
      </c>
      <c r="AV41" s="88" t="s">
        <v>2113</v>
      </c>
      <c r="AW41" s="98"/>
      <c r="AX41" s="88" t="s">
        <v>1429</v>
      </c>
      <c r="AY41" s="98"/>
      <c r="AZ41" s="98"/>
      <c r="BA41" s="88" t="s">
        <v>2779</v>
      </c>
      <c r="BB41" s="88" t="s">
        <v>2391</v>
      </c>
      <c r="BC41" s="88" t="s">
        <v>2780</v>
      </c>
      <c r="BD41" s="88" t="s">
        <v>1166</v>
      </c>
      <c r="BE41" s="88" t="s">
        <v>2781</v>
      </c>
      <c r="BF41" s="88" t="s">
        <v>257</v>
      </c>
      <c r="BG41" s="98"/>
      <c r="BH41" s="93" t="s">
        <v>2244</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2331</v>
      </c>
      <c r="CH41" s="88" t="s">
        <v>2621</v>
      </c>
      <c r="CI41" s="88" t="s">
        <v>2795</v>
      </c>
      <c r="CJ41" s="88" t="s">
        <v>2796</v>
      </c>
      <c r="CK41" s="88" t="s">
        <v>1688</v>
      </c>
      <c r="CL41" s="88" t="s">
        <v>2797</v>
      </c>
      <c r="CM41" s="88" t="s">
        <v>2798</v>
      </c>
      <c r="CN41" s="98"/>
      <c r="CO41" s="88" t="s">
        <v>2450</v>
      </c>
      <c r="CP41" s="98"/>
      <c r="CQ41" s="88" t="s">
        <v>2799</v>
      </c>
      <c r="CR41" s="98"/>
      <c r="CS41" s="92"/>
      <c r="CT41" s="88" t="s">
        <v>2800</v>
      </c>
      <c r="CU41" s="88" t="s">
        <v>184</v>
      </c>
      <c r="CV41" s="292" t="s">
        <v>609</v>
      </c>
      <c r="CW41" s="88" t="s">
        <v>1325</v>
      </c>
      <c r="CX41" s="88" t="s">
        <v>2091</v>
      </c>
      <c r="CY41" s="88" t="s">
        <v>2331</v>
      </c>
      <c r="CZ41" s="88" t="s">
        <v>2801</v>
      </c>
      <c r="DA41" s="88" t="s">
        <v>1215</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2334</v>
      </c>
      <c r="EB41" s="281"/>
    </row>
    <row r="42">
      <c r="A42" s="445" t="s">
        <v>2807</v>
      </c>
      <c r="B42" s="103" t="s">
        <v>2808</v>
      </c>
      <c r="C42" s="104" t="s">
        <v>1260</v>
      </c>
      <c r="D42" s="105" t="s">
        <v>330</v>
      </c>
      <c r="E42" s="106" t="s">
        <v>332</v>
      </c>
      <c r="F42" s="107" t="s">
        <v>2809</v>
      </c>
      <c r="G42" s="103" t="s">
        <v>1353</v>
      </c>
      <c r="H42" s="163" t="s">
        <v>2080</v>
      </c>
      <c r="I42" s="163" t="s">
        <v>2810</v>
      </c>
      <c r="J42" s="163" t="s">
        <v>2811</v>
      </c>
      <c r="K42" s="163" t="s">
        <v>2229</v>
      </c>
      <c r="L42" s="297" t="s">
        <v>1848</v>
      </c>
      <c r="M42" s="218"/>
      <c r="N42" s="218"/>
      <c r="O42" s="297" t="s">
        <v>2812</v>
      </c>
      <c r="P42" s="163" t="s">
        <v>2813</v>
      </c>
      <c r="Q42" s="259" t="s">
        <v>2614</v>
      </c>
      <c r="R42" s="163"/>
      <c r="S42" s="163" t="s">
        <v>997</v>
      </c>
      <c r="T42" s="297"/>
      <c r="U42" s="297" t="s">
        <v>2814</v>
      </c>
      <c r="V42" s="282" t="s">
        <v>2815</v>
      </c>
      <c r="W42" s="206"/>
      <c r="X42" s="193" t="s">
        <v>2816</v>
      </c>
      <c r="Y42" s="193" t="s">
        <v>2817</v>
      </c>
      <c r="Z42" s="193" t="s">
        <v>1966</v>
      </c>
      <c r="AA42" s="193" t="s">
        <v>2818</v>
      </c>
      <c r="AB42" s="193" t="s">
        <v>2819</v>
      </c>
      <c r="AC42" s="193" t="s">
        <v>2820</v>
      </c>
      <c r="AD42" s="193"/>
      <c r="AE42" s="193" t="s">
        <v>810</v>
      </c>
      <c r="AF42" s="193" t="s">
        <v>2821</v>
      </c>
      <c r="AG42" s="193" t="s">
        <v>2822</v>
      </c>
      <c r="AH42" s="193"/>
      <c r="AI42" s="193" t="s">
        <v>2163</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1871</v>
      </c>
      <c r="AU42" s="164" t="s">
        <v>963</v>
      </c>
      <c r="AV42" s="164" t="s">
        <v>2829</v>
      </c>
      <c r="AW42" s="119" t="s">
        <v>1191</v>
      </c>
      <c r="AX42" s="119" t="s">
        <v>2830</v>
      </c>
      <c r="AY42" s="118" t="s">
        <v>2831</v>
      </c>
      <c r="AZ42" s="44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1686</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1400</v>
      </c>
      <c r="CP42" s="133"/>
      <c r="CQ42" s="273" t="s">
        <v>2853</v>
      </c>
      <c r="CR42" s="130" t="s">
        <v>2854</v>
      </c>
      <c r="CS42" s="92"/>
      <c r="CT42" s="276"/>
      <c r="CU42" s="201" t="s">
        <v>2736</v>
      </c>
      <c r="CV42" s="328" t="s">
        <v>1146</v>
      </c>
      <c r="CW42" s="201" t="s">
        <v>2855</v>
      </c>
      <c r="CX42" s="201" t="s">
        <v>2856</v>
      </c>
      <c r="CY42" s="201" t="s">
        <v>736</v>
      </c>
      <c r="CZ42" s="201" t="s">
        <v>2857</v>
      </c>
      <c r="DA42" s="201" t="s">
        <v>2389</v>
      </c>
      <c r="DB42" s="134" t="str">
        <f>HYPERLINK("https://youtu.be/BJNJgSLnXTM","1:18.10")</f>
        <v>1:18.10</v>
      </c>
      <c r="DC42" s="201" t="s">
        <v>2858</v>
      </c>
      <c r="DD42" s="328" t="s">
        <v>2752</v>
      </c>
      <c r="DE42" s="134" t="s">
        <v>1911</v>
      </c>
      <c r="DF42" s="330"/>
      <c r="DG42" s="278"/>
      <c r="DH42" s="202" t="s">
        <v>2859</v>
      </c>
      <c r="DI42" s="278"/>
      <c r="DJ42" s="176" t="s">
        <v>2860</v>
      </c>
      <c r="DK42" s="202" t="s">
        <v>2595</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1260</v>
      </c>
      <c r="D43" s="84" t="s">
        <v>1260</v>
      </c>
      <c r="E43" s="85" t="s">
        <v>1260</v>
      </c>
      <c r="F43" s="86" t="s">
        <v>1062</v>
      </c>
      <c r="G43" s="82" t="s">
        <v>2423</v>
      </c>
      <c r="H43" s="98"/>
      <c r="I43" s="93" t="s">
        <v>1203</v>
      </c>
      <c r="J43" s="88" t="s">
        <v>2867</v>
      </c>
      <c r="K43" s="286" t="s">
        <v>1730</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2317</v>
      </c>
      <c r="AB43" s="88" t="s">
        <v>2071</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1162</v>
      </c>
      <c r="BC43" s="93" t="s">
        <v>711</v>
      </c>
      <c r="BD43" s="88" t="s">
        <v>2875</v>
      </c>
      <c r="BE43" s="88" t="s">
        <v>145</v>
      </c>
      <c r="BF43" s="98"/>
      <c r="BG43" s="98"/>
      <c r="BH43" s="88" t="s">
        <v>1805</v>
      </c>
      <c r="BI43" s="88" t="s">
        <v>2876</v>
      </c>
      <c r="BJ43" s="98"/>
      <c r="BK43" s="88" t="s">
        <v>2877</v>
      </c>
      <c r="BL43" s="98"/>
      <c r="BM43" s="98"/>
      <c r="BN43" s="98"/>
      <c r="BO43" s="98"/>
      <c r="BP43" s="256"/>
      <c r="BQ43" s="93" t="s">
        <v>2878</v>
      </c>
      <c r="BR43" s="93" t="s">
        <v>2879</v>
      </c>
      <c r="BS43" s="93" t="s">
        <v>2880</v>
      </c>
      <c r="BT43" s="93" t="s">
        <v>2881</v>
      </c>
      <c r="BU43" s="93" t="s">
        <v>696</v>
      </c>
      <c r="BV43" s="93" t="s">
        <v>1916</v>
      </c>
      <c r="BW43" s="88" t="s">
        <v>2882</v>
      </c>
      <c r="BX43" s="88" t="s">
        <v>2883</v>
      </c>
      <c r="BY43" s="98"/>
      <c r="BZ43" s="93" t="s">
        <v>1031</v>
      </c>
      <c r="CA43" s="98"/>
      <c r="CB43" s="98"/>
      <c r="CC43" s="98"/>
      <c r="CD43" s="98"/>
      <c r="CE43" s="256"/>
      <c r="CF43" s="88" t="s">
        <v>170</v>
      </c>
      <c r="CG43" s="286" t="s">
        <v>937</v>
      </c>
      <c r="CH43" s="88" t="s">
        <v>2884</v>
      </c>
      <c r="CI43" s="88" t="s">
        <v>2885</v>
      </c>
      <c r="CJ43" s="205"/>
      <c r="CK43" s="158" t="s">
        <v>2886</v>
      </c>
      <c r="CL43" s="88" t="s">
        <v>2318</v>
      </c>
      <c r="CM43" s="93" t="s">
        <v>2887</v>
      </c>
      <c r="CN43" s="98"/>
      <c r="CO43" s="98"/>
      <c r="CP43" s="98"/>
      <c r="CQ43" s="98"/>
      <c r="CR43" s="449" t="s">
        <v>2888</v>
      </c>
      <c r="CS43" s="92"/>
      <c r="CT43" s="88" t="s">
        <v>2889</v>
      </c>
      <c r="CU43" s="98"/>
      <c r="CV43" s="88" t="s">
        <v>771</v>
      </c>
      <c r="CW43" s="88" t="s">
        <v>2890</v>
      </c>
      <c r="CX43" s="88" t="s">
        <v>658</v>
      </c>
      <c r="CY43" s="93" t="s">
        <v>1382</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1260</v>
      </c>
      <c r="D44" s="105" t="s">
        <v>1260</v>
      </c>
      <c r="E44" s="106" t="s">
        <v>1260</v>
      </c>
      <c r="F44" s="107" t="s">
        <v>2423</v>
      </c>
      <c r="G44" s="103" t="s">
        <v>2423</v>
      </c>
      <c r="H44" s="451"/>
      <c r="I44" s="335" t="s">
        <v>1593</v>
      </c>
      <c r="J44" s="452" t="s">
        <v>2895</v>
      </c>
      <c r="K44" s="452" t="s">
        <v>1564</v>
      </c>
      <c r="L44" s="335" t="s">
        <v>1848</v>
      </c>
      <c r="M44" s="452" t="s">
        <v>2896</v>
      </c>
      <c r="N44" s="452" t="s">
        <v>2897</v>
      </c>
      <c r="O44" s="452" t="s">
        <v>2701</v>
      </c>
      <c r="P44" s="452" t="s">
        <v>2769</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2034</v>
      </c>
      <c r="AU44" s="344" t="s">
        <v>1980</v>
      </c>
      <c r="AV44" s="457"/>
      <c r="AW44" s="457"/>
      <c r="AX44" s="457"/>
      <c r="AY44" s="457"/>
      <c r="AZ44" s="457"/>
      <c r="BA44" s="349" t="s">
        <v>1185</v>
      </c>
      <c r="BB44" s="349" t="s">
        <v>1903</v>
      </c>
      <c r="BC44" s="349" t="s">
        <v>2319</v>
      </c>
      <c r="BD44" s="349" t="s">
        <v>2903</v>
      </c>
      <c r="BE44" s="458" t="s">
        <v>145</v>
      </c>
      <c r="BF44" s="459"/>
      <c r="BG44" s="459"/>
      <c r="BH44" s="349" t="s">
        <v>148</v>
      </c>
      <c r="BI44" s="459"/>
      <c r="BJ44" s="349" t="s">
        <v>2876</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2318</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1260</v>
      </c>
      <c r="E45" s="85" t="s">
        <v>1260</v>
      </c>
      <c r="F45" s="86" t="s">
        <v>2923</v>
      </c>
      <c r="G45" s="82" t="s">
        <v>2924</v>
      </c>
      <c r="H45" s="93" t="s">
        <v>2925</v>
      </c>
      <c r="I45" s="93" t="s">
        <v>2926</v>
      </c>
      <c r="J45" s="93" t="s">
        <v>2927</v>
      </c>
      <c r="K45" s="88" t="s">
        <v>1880</v>
      </c>
      <c r="L45" s="286" t="s">
        <v>343</v>
      </c>
      <c r="M45" s="88" t="s">
        <v>874</v>
      </c>
      <c r="N45" s="88" t="s">
        <v>2928</v>
      </c>
      <c r="O45" s="88" t="s">
        <v>2612</v>
      </c>
      <c r="P45" s="88" t="s">
        <v>1569</v>
      </c>
      <c r="Q45" s="471" t="s">
        <v>2929</v>
      </c>
      <c r="R45" s="472" t="s">
        <v>1306</v>
      </c>
      <c r="S45" s="88" t="s">
        <v>139</v>
      </c>
      <c r="T45" s="286" t="s">
        <v>1656</v>
      </c>
      <c r="U45" s="93" t="s">
        <v>1234</v>
      </c>
      <c r="V45" s="93" t="s">
        <v>2930</v>
      </c>
      <c r="W45" s="92"/>
      <c r="X45" s="88" t="s">
        <v>1422</v>
      </c>
      <c r="Y45" s="93" t="s">
        <v>721</v>
      </c>
      <c r="Z45" s="286" t="s">
        <v>2931</v>
      </c>
      <c r="AA45" s="286" t="s">
        <v>2932</v>
      </c>
      <c r="AB45" s="93" t="s">
        <v>1588</v>
      </c>
      <c r="AC45" s="88" t="s">
        <v>2933</v>
      </c>
      <c r="AD45" s="93" t="s">
        <v>2934</v>
      </c>
      <c r="AE45" s="93" t="s">
        <v>2935</v>
      </c>
      <c r="AF45" s="88" t="s">
        <v>2467</v>
      </c>
      <c r="AG45" s="93" t="s">
        <v>1567</v>
      </c>
      <c r="AH45" s="93" t="s">
        <v>2936</v>
      </c>
      <c r="AI45" s="93" t="s">
        <v>2702</v>
      </c>
      <c r="AJ45" s="93" t="s">
        <v>2471</v>
      </c>
      <c r="AK45" s="96"/>
      <c r="AL45" s="93" t="s">
        <v>936</v>
      </c>
      <c r="AM45" s="88" t="s">
        <v>2739</v>
      </c>
      <c r="AN45" s="93" t="s">
        <v>2937</v>
      </c>
      <c r="AO45" s="93" t="s">
        <v>2938</v>
      </c>
      <c r="AP45" s="93" t="s">
        <v>2939</v>
      </c>
      <c r="AQ45" s="471" t="s">
        <v>2940</v>
      </c>
      <c r="AR45" s="93" t="s">
        <v>2941</v>
      </c>
      <c r="AS45" s="88" t="s">
        <v>1315</v>
      </c>
      <c r="AT45" s="93" t="s">
        <v>1582</v>
      </c>
      <c r="AU45" s="93" t="s">
        <v>1055</v>
      </c>
      <c r="AV45" s="93" t="s">
        <v>2942</v>
      </c>
      <c r="AW45" s="93" t="s">
        <v>1528</v>
      </c>
      <c r="AX45" s="93" t="s">
        <v>997</v>
      </c>
      <c r="AY45" s="471" t="s">
        <v>2943</v>
      </c>
      <c r="AZ45" s="471"/>
      <c r="BA45" s="88" t="s">
        <v>2772</v>
      </c>
      <c r="BB45" s="93" t="s">
        <v>1481</v>
      </c>
      <c r="BC45" s="88" t="s">
        <v>2944</v>
      </c>
      <c r="BD45" s="88" t="s">
        <v>2945</v>
      </c>
      <c r="BE45" s="93" t="s">
        <v>1213</v>
      </c>
      <c r="BF45" s="93" t="s">
        <v>2946</v>
      </c>
      <c r="BG45" s="98"/>
      <c r="BH45" s="88" t="s">
        <v>430</v>
      </c>
      <c r="BI45" s="93"/>
      <c r="BJ45" s="93" t="s">
        <v>2947</v>
      </c>
      <c r="BK45" s="88" t="s">
        <v>2948</v>
      </c>
      <c r="BL45" s="93" t="s">
        <v>2949</v>
      </c>
      <c r="BM45" s="93" t="s">
        <v>2950</v>
      </c>
      <c r="BN45" s="93" t="s">
        <v>2951</v>
      </c>
      <c r="BO45" s="93" t="s">
        <v>2952</v>
      </c>
      <c r="BP45" s="93"/>
      <c r="BQ45" s="88" t="s">
        <v>2953</v>
      </c>
      <c r="BR45" s="88" t="s">
        <v>1619</v>
      </c>
      <c r="BS45" s="88" t="s">
        <v>2495</v>
      </c>
      <c r="BT45" s="88" t="s">
        <v>982</v>
      </c>
      <c r="BU45" s="88" t="s">
        <v>2954</v>
      </c>
      <c r="BV45" s="88" t="s">
        <v>2212</v>
      </c>
      <c r="BW45" s="98"/>
      <c r="BX45" s="93" t="s">
        <v>1919</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1695</v>
      </c>
      <c r="CM45" s="93" t="s">
        <v>2966</v>
      </c>
      <c r="CN45" s="93" t="s">
        <v>2967</v>
      </c>
      <c r="CO45" s="88" t="s">
        <v>2968</v>
      </c>
      <c r="CP45" s="98"/>
      <c r="CQ45" s="93" t="s">
        <v>2969</v>
      </c>
      <c r="CR45" s="93" t="s">
        <v>2970</v>
      </c>
      <c r="CS45" s="92"/>
      <c r="CT45" s="93" t="s">
        <v>2971</v>
      </c>
      <c r="CU45" s="93" t="s">
        <v>2202</v>
      </c>
      <c r="CV45" s="93" t="s">
        <v>901</v>
      </c>
      <c r="CW45" s="88" t="s">
        <v>602</v>
      </c>
      <c r="CX45" s="93" t="s">
        <v>2972</v>
      </c>
      <c r="CY45" s="93" t="s">
        <v>1046</v>
      </c>
      <c r="CZ45" s="88" t="s">
        <v>2973</v>
      </c>
      <c r="DA45" s="93" t="s">
        <v>2974</v>
      </c>
      <c r="DB45" s="93" t="s">
        <v>1690</v>
      </c>
      <c r="DC45" s="93" t="s">
        <v>1664</v>
      </c>
      <c r="DD45" s="93" t="s">
        <v>2975</v>
      </c>
      <c r="DE45" s="93" t="s">
        <v>2976</v>
      </c>
      <c r="DF45" s="93"/>
      <c r="DG45" s="93" t="s">
        <v>1003</v>
      </c>
      <c r="DH45" s="98"/>
      <c r="DI45" s="98"/>
      <c r="DJ45" s="93"/>
      <c r="DK45" s="88" t="s">
        <v>2977</v>
      </c>
      <c r="DL45" s="93" t="s">
        <v>2978</v>
      </c>
      <c r="DM45" s="93" t="s">
        <v>2979</v>
      </c>
      <c r="DN45" s="93" t="s">
        <v>2980</v>
      </c>
      <c r="DO45" s="93" t="s">
        <v>2981</v>
      </c>
      <c r="DP45" s="93" t="s">
        <v>1356</v>
      </c>
      <c r="DQ45" s="88" t="s">
        <v>2982</v>
      </c>
      <c r="DR45" s="93" t="s">
        <v>2983</v>
      </c>
      <c r="DS45" s="93" t="s">
        <v>2598</v>
      </c>
      <c r="DT45" s="93" t="s">
        <v>2984</v>
      </c>
      <c r="DU45" s="93" t="s">
        <v>2985</v>
      </c>
      <c r="DV45" s="93" t="s">
        <v>2986</v>
      </c>
      <c r="DW45" s="93" t="s">
        <v>1084</v>
      </c>
      <c r="DX45" s="88" t="s">
        <v>2987</v>
      </c>
      <c r="DY45" s="93" t="s">
        <v>2319</v>
      </c>
      <c r="DZ45" s="93" t="s">
        <v>1521</v>
      </c>
      <c r="EA45" s="93" t="s">
        <v>861</v>
      </c>
      <c r="EB45" s="281" t="s">
        <v>2988</v>
      </c>
    </row>
    <row r="46">
      <c r="A46" s="473" t="s">
        <v>2989</v>
      </c>
      <c r="B46" s="103" t="s">
        <v>2990</v>
      </c>
      <c r="C46" s="104" t="s">
        <v>1260</v>
      </c>
      <c r="D46" s="105" t="s">
        <v>545</v>
      </c>
      <c r="E46" s="106" t="s">
        <v>545</v>
      </c>
      <c r="F46" s="107" t="s">
        <v>2991</v>
      </c>
      <c r="G46" s="103" t="s">
        <v>2423</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1967</v>
      </c>
      <c r="AB46" s="474" t="s">
        <v>3001</v>
      </c>
      <c r="AC46" s="299" t="s">
        <v>3002</v>
      </c>
      <c r="AD46" s="265"/>
      <c r="AE46" s="299" t="s">
        <v>3003</v>
      </c>
      <c r="AF46" s="114" t="s">
        <v>1435</v>
      </c>
      <c r="AG46" s="265"/>
      <c r="AH46" s="265"/>
      <c r="AI46" s="265"/>
      <c r="AJ46" s="265"/>
      <c r="AK46" s="96"/>
      <c r="AL46" s="266"/>
      <c r="AM46" s="119" t="s">
        <v>3004</v>
      </c>
      <c r="AN46" s="266"/>
      <c r="AO46" s="266"/>
      <c r="AP46" s="266"/>
      <c r="AQ46" s="266"/>
      <c r="AR46" s="266"/>
      <c r="AS46" s="266"/>
      <c r="AT46" s="164" t="s">
        <v>1871</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1639</v>
      </c>
      <c r="BS46" s="127" t="s">
        <v>123</v>
      </c>
      <c r="BT46" s="327" t="s">
        <v>1680</v>
      </c>
      <c r="BU46" s="172" t="s">
        <v>3013</v>
      </c>
      <c r="BV46" s="127" t="s">
        <v>1793</v>
      </c>
      <c r="BW46" s="271"/>
      <c r="BX46" s="127" t="s">
        <v>3014</v>
      </c>
      <c r="BY46" s="127" t="s">
        <v>3015</v>
      </c>
      <c r="BZ46" s="127" t="s">
        <v>3016</v>
      </c>
      <c r="CA46" s="271"/>
      <c r="CB46" s="271"/>
      <c r="CC46" s="271"/>
      <c r="CD46" s="271"/>
      <c r="CE46" s="272"/>
      <c r="CF46" s="476" t="s">
        <v>2051</v>
      </c>
      <c r="CG46" s="132" t="s">
        <v>1849</v>
      </c>
      <c r="CH46" s="132" t="s">
        <v>3017</v>
      </c>
      <c r="CI46" s="291" t="s">
        <v>3018</v>
      </c>
      <c r="CJ46" s="133"/>
      <c r="CK46" s="132" t="s">
        <v>1181</v>
      </c>
      <c r="CL46" s="132" t="s">
        <v>3019</v>
      </c>
      <c r="CM46" s="132" t="s">
        <v>796</v>
      </c>
      <c r="CN46" s="275"/>
      <c r="CO46" s="275"/>
      <c r="CP46" s="275"/>
      <c r="CQ46" s="275"/>
      <c r="CR46" s="275"/>
      <c r="CS46" s="92"/>
      <c r="CT46" s="137" t="s">
        <v>3020</v>
      </c>
      <c r="CU46" s="276"/>
      <c r="CV46" s="137" t="s">
        <v>1097</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1260</v>
      </c>
      <c r="D47" s="84" t="s">
        <v>545</v>
      </c>
      <c r="E47" s="85" t="s">
        <v>545</v>
      </c>
      <c r="F47" s="86" t="s">
        <v>1202</v>
      </c>
      <c r="G47" s="82" t="s">
        <v>1421</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1885</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1703</v>
      </c>
      <c r="AU47" s="375" t="s">
        <v>256</v>
      </c>
      <c r="AV47" s="377"/>
      <c r="AW47" s="377"/>
      <c r="AX47" s="377" t="s">
        <v>3037</v>
      </c>
      <c r="AY47" s="377"/>
      <c r="AZ47" s="377"/>
      <c r="BA47" s="377" t="s">
        <v>1197</v>
      </c>
      <c r="BB47" s="377" t="s">
        <v>3038</v>
      </c>
      <c r="BC47" s="375" t="s">
        <v>143</v>
      </c>
      <c r="BD47" s="375" t="s">
        <v>3039</v>
      </c>
      <c r="BE47" s="377" t="s">
        <v>1213</v>
      </c>
      <c r="BF47" s="377" t="s">
        <v>2021</v>
      </c>
      <c r="BG47" s="377"/>
      <c r="BH47" s="377" t="s">
        <v>1592</v>
      </c>
      <c r="BI47" s="377"/>
      <c r="BJ47" s="377" t="s">
        <v>3040</v>
      </c>
      <c r="BK47" s="377" t="s">
        <v>3041</v>
      </c>
      <c r="BL47" s="377"/>
      <c r="BM47" s="286" t="s">
        <v>3042</v>
      </c>
      <c r="BN47" s="377"/>
      <c r="BO47" s="377"/>
      <c r="BP47" s="478"/>
      <c r="BQ47" s="377"/>
      <c r="BR47" s="377" t="s">
        <v>2722</v>
      </c>
      <c r="BS47" s="377" t="s">
        <v>3043</v>
      </c>
      <c r="BT47" s="377" t="s">
        <v>3044</v>
      </c>
      <c r="BU47" s="377" t="s">
        <v>1907</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1703</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1880</v>
      </c>
      <c r="L48" s="297" t="s">
        <v>3066</v>
      </c>
      <c r="M48" s="163" t="s">
        <v>3067</v>
      </c>
      <c r="N48" s="163" t="s">
        <v>3068</v>
      </c>
      <c r="O48" s="163" t="s">
        <v>1746</v>
      </c>
      <c r="P48" s="163" t="s">
        <v>2997</v>
      </c>
      <c r="Q48" s="218"/>
      <c r="R48" s="218"/>
      <c r="S48" s="163" t="s">
        <v>3069</v>
      </c>
      <c r="T48" s="163" t="s">
        <v>3070</v>
      </c>
      <c r="U48" s="218"/>
      <c r="V48" s="218"/>
      <c r="W48" s="92"/>
      <c r="X48" s="193" t="s">
        <v>3071</v>
      </c>
      <c r="Y48" s="193" t="s">
        <v>3072</v>
      </c>
      <c r="Z48" s="193" t="s">
        <v>3073</v>
      </c>
      <c r="AA48" s="299" t="s">
        <v>704</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1042</v>
      </c>
      <c r="BI48" s="170" t="s">
        <v>3093</v>
      </c>
      <c r="BJ48" s="170"/>
      <c r="BK48" s="170" t="s">
        <v>3094</v>
      </c>
      <c r="BL48" s="169"/>
      <c r="BM48" s="170" t="s">
        <v>258</v>
      </c>
      <c r="BN48" s="170" t="s">
        <v>2491</v>
      </c>
      <c r="BO48" s="169"/>
      <c r="BP48" s="268"/>
      <c r="BQ48" s="171"/>
      <c r="BR48" s="171" t="s">
        <v>1692</v>
      </c>
      <c r="BS48" s="171" t="s">
        <v>2631</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2464</v>
      </c>
      <c r="CM48" s="173" t="s">
        <v>2139</v>
      </c>
      <c r="CN48" s="275"/>
      <c r="CO48" s="173" t="s">
        <v>1695</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2961</v>
      </c>
      <c r="DW48" s="202" t="s">
        <v>3120</v>
      </c>
      <c r="DX48" s="278"/>
      <c r="DY48" s="202" t="s">
        <v>3121</v>
      </c>
      <c r="DZ48" s="202" t="s">
        <v>3122</v>
      </c>
      <c r="EA48" s="202" t="s">
        <v>1160</v>
      </c>
      <c r="EB48" s="312" t="s">
        <v>3123</v>
      </c>
    </row>
    <row r="49">
      <c r="A49" s="481" t="s">
        <v>3124</v>
      </c>
      <c r="B49" s="482" t="s">
        <v>3125</v>
      </c>
      <c r="C49" s="83" t="s">
        <v>1260</v>
      </c>
      <c r="D49" s="84" t="s">
        <v>1260</v>
      </c>
      <c r="E49" s="85" t="s">
        <v>1260</v>
      </c>
      <c r="F49" s="86" t="s">
        <v>3126</v>
      </c>
      <c r="G49" s="82" t="s">
        <v>3126</v>
      </c>
      <c r="H49" s="483" t="s">
        <v>838</v>
      </c>
      <c r="I49" s="483" t="s">
        <v>2042</v>
      </c>
      <c r="J49" s="483" t="s">
        <v>651</v>
      </c>
      <c r="K49" s="483" t="s">
        <v>1880</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1217</v>
      </c>
      <c r="AS49" s="88" t="s">
        <v>3145</v>
      </c>
      <c r="AT49" s="483" t="s">
        <v>2745</v>
      </c>
      <c r="AU49" s="483" t="s">
        <v>3146</v>
      </c>
      <c r="AV49" s="485" t="s">
        <v>3147</v>
      </c>
      <c r="AW49" s="484"/>
      <c r="AX49" s="484"/>
      <c r="AY49" s="88" t="s">
        <v>3148</v>
      </c>
      <c r="AZ49" s="187"/>
      <c r="BA49" s="483" t="s">
        <v>3149</v>
      </c>
      <c r="BB49" s="483" t="s">
        <v>1191</v>
      </c>
      <c r="BC49" s="483" t="s">
        <v>2780</v>
      </c>
      <c r="BD49" s="483" t="s">
        <v>3150</v>
      </c>
      <c r="BE49" s="483" t="s">
        <v>2232</v>
      </c>
      <c r="BF49" s="484"/>
      <c r="BG49" s="484"/>
      <c r="BH49" s="483" t="s">
        <v>2053</v>
      </c>
      <c r="BI49" s="484"/>
      <c r="BJ49" s="483" t="s">
        <v>3151</v>
      </c>
      <c r="BK49" s="485" t="s">
        <v>2724</v>
      </c>
      <c r="BL49" s="88" t="s">
        <v>3152</v>
      </c>
      <c r="BM49" s="483" t="s">
        <v>2481</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2864</v>
      </c>
      <c r="CA49" s="88" t="s">
        <v>3161</v>
      </c>
      <c r="CB49" s="88" t="s">
        <v>3162</v>
      </c>
      <c r="CC49" s="88" t="s">
        <v>3163</v>
      </c>
      <c r="CD49" s="88" t="s">
        <v>3164</v>
      </c>
      <c r="CE49" s="188"/>
      <c r="CF49" s="483" t="s">
        <v>2872</v>
      </c>
      <c r="CG49" s="483" t="s">
        <v>3165</v>
      </c>
      <c r="CH49" s="483" t="s">
        <v>1295</v>
      </c>
      <c r="CI49" s="483" t="s">
        <v>3166</v>
      </c>
      <c r="CJ49" s="485" t="s">
        <v>3167</v>
      </c>
      <c r="CK49" s="483" t="s">
        <v>3168</v>
      </c>
      <c r="CL49" s="483" t="s">
        <v>1611</v>
      </c>
      <c r="CM49" s="483" t="s">
        <v>3169</v>
      </c>
      <c r="CN49" s="484"/>
      <c r="CO49" s="484"/>
      <c r="CP49" s="484"/>
      <c r="CQ49" s="88" t="s">
        <v>3170</v>
      </c>
      <c r="CR49" s="88" t="s">
        <v>3171</v>
      </c>
      <c r="CS49" s="183"/>
      <c r="CT49" s="483" t="s">
        <v>183</v>
      </c>
      <c r="CU49" s="485" t="s">
        <v>2539</v>
      </c>
      <c r="CV49" s="483" t="s">
        <v>1928</v>
      </c>
      <c r="CW49" s="483" t="s">
        <v>1116</v>
      </c>
      <c r="CX49" s="483" t="s">
        <v>3172</v>
      </c>
      <c r="CY49" s="483" t="s">
        <v>2251</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1984</v>
      </c>
      <c r="DT49" s="484"/>
      <c r="DU49" s="88" t="s">
        <v>1629</v>
      </c>
      <c r="DV49" s="484"/>
      <c r="DW49" s="484"/>
      <c r="DX49" s="484"/>
      <c r="DY49" s="483" t="s">
        <v>3182</v>
      </c>
      <c r="DZ49" s="88" t="s">
        <v>2419</v>
      </c>
      <c r="EA49" s="88" t="s">
        <v>1125</v>
      </c>
      <c r="EB49" s="88" t="s">
        <v>214</v>
      </c>
    </row>
    <row r="50">
      <c r="A50" s="445" t="s">
        <v>3183</v>
      </c>
      <c r="B50" s="103" t="s">
        <v>3184</v>
      </c>
      <c r="C50" s="104" t="s">
        <v>1260</v>
      </c>
      <c r="D50" s="105" t="s">
        <v>1260</v>
      </c>
      <c r="E50" s="106" t="s">
        <v>545</v>
      </c>
      <c r="F50" s="107" t="s">
        <v>219</v>
      </c>
      <c r="G50" s="103" t="s">
        <v>2079</v>
      </c>
      <c r="H50" s="163" t="s">
        <v>1766</v>
      </c>
      <c r="I50" s="295" t="s">
        <v>3185</v>
      </c>
      <c r="J50" s="295" t="s">
        <v>3186</v>
      </c>
      <c r="K50" s="111" t="s">
        <v>3187</v>
      </c>
      <c r="L50" s="295" t="s">
        <v>1848</v>
      </c>
      <c r="M50" s="163" t="s">
        <v>3188</v>
      </c>
      <c r="N50" s="111" t="s">
        <v>3189</v>
      </c>
      <c r="O50" s="111" t="s">
        <v>3190</v>
      </c>
      <c r="P50" s="111" t="s">
        <v>3191</v>
      </c>
      <c r="Q50" s="218"/>
      <c r="R50" s="218"/>
      <c r="S50" s="218"/>
      <c r="T50" s="218"/>
      <c r="U50" s="218"/>
      <c r="V50" s="218"/>
      <c r="W50" s="92"/>
      <c r="X50" s="323" t="s">
        <v>1619</v>
      </c>
      <c r="Y50" s="193" t="s">
        <v>3192</v>
      </c>
      <c r="Z50" s="192" t="s">
        <v>3193</v>
      </c>
      <c r="AA50" s="193" t="s">
        <v>3194</v>
      </c>
      <c r="AB50" s="193" t="s">
        <v>2464</v>
      </c>
      <c r="AC50" s="114" t="s">
        <v>3195</v>
      </c>
      <c r="AD50" s="193" t="s">
        <v>3196</v>
      </c>
      <c r="AE50" s="382" t="s">
        <v>2275</v>
      </c>
      <c r="AF50" s="192" t="s">
        <v>1824</v>
      </c>
      <c r="AG50" s="265"/>
      <c r="AH50" s="265"/>
      <c r="AI50" s="265"/>
      <c r="AJ50" s="265"/>
      <c r="AK50" s="96"/>
      <c r="AL50" s="266"/>
      <c r="AM50" s="164" t="s">
        <v>1665</v>
      </c>
      <c r="AN50" s="266"/>
      <c r="AO50" s="266"/>
      <c r="AP50" s="266"/>
      <c r="AQ50" s="266"/>
      <c r="AR50" s="266"/>
      <c r="AS50" s="266"/>
      <c r="AT50" s="164" t="s">
        <v>1215</v>
      </c>
      <c r="AU50" s="164" t="s">
        <v>118</v>
      </c>
      <c r="AV50" s="164" t="s">
        <v>3197</v>
      </c>
      <c r="AW50" s="266"/>
      <c r="AX50" s="266"/>
      <c r="AY50" s="266"/>
      <c r="AZ50" s="266"/>
      <c r="BA50" s="170" t="s">
        <v>2901</v>
      </c>
      <c r="BB50" s="170" t="s">
        <v>1381</v>
      </c>
      <c r="BC50" s="170" t="s">
        <v>1290</v>
      </c>
      <c r="BD50" s="168" t="s">
        <v>3198</v>
      </c>
      <c r="BE50" s="170" t="s">
        <v>3199</v>
      </c>
      <c r="BF50" s="170" t="s">
        <v>3200</v>
      </c>
      <c r="BG50" s="169"/>
      <c r="BH50" s="123" t="s">
        <v>1256</v>
      </c>
      <c r="BI50" s="170" t="s">
        <v>3201</v>
      </c>
      <c r="BJ50" s="170" t="s">
        <v>1190</v>
      </c>
      <c r="BK50" s="170" t="s">
        <v>2489</v>
      </c>
      <c r="BL50" s="169"/>
      <c r="BM50" s="169"/>
      <c r="BN50" s="169"/>
      <c r="BO50" s="169"/>
      <c r="BP50" s="268"/>
      <c r="BQ50" s="171" t="s">
        <v>3202</v>
      </c>
      <c r="BR50" s="171" t="s">
        <v>777</v>
      </c>
      <c r="BS50" s="127" t="s">
        <v>3203</v>
      </c>
      <c r="BT50" s="127" t="s">
        <v>1711</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1454</v>
      </c>
      <c r="CL50" s="132" t="s">
        <v>2311</v>
      </c>
      <c r="CM50" s="173" t="s">
        <v>2931</v>
      </c>
      <c r="CN50" s="275"/>
      <c r="CO50" s="275"/>
      <c r="CP50" s="275"/>
      <c r="CQ50" s="275"/>
      <c r="CR50" s="275"/>
      <c r="CS50" s="92"/>
      <c r="CT50" s="201" t="s">
        <v>3211</v>
      </c>
      <c r="CU50" s="387" t="s">
        <v>1542</v>
      </c>
      <c r="CV50" s="201" t="s">
        <v>609</v>
      </c>
      <c r="CW50" s="387" t="s">
        <v>3212</v>
      </c>
      <c r="CX50" s="201" t="s">
        <v>2486</v>
      </c>
      <c r="CY50" s="201" t="s">
        <v>1079</v>
      </c>
      <c r="CZ50" s="387" t="s">
        <v>2263</v>
      </c>
      <c r="DA50" s="137" t="s">
        <v>1405</v>
      </c>
      <c r="DB50" s="276"/>
      <c r="DC50" s="276"/>
      <c r="DD50" s="276"/>
      <c r="DE50" s="276"/>
      <c r="DF50" s="277"/>
      <c r="DG50" s="202" t="s">
        <v>1291</v>
      </c>
      <c r="DH50" s="202" t="s">
        <v>526</v>
      </c>
      <c r="DI50" s="278"/>
      <c r="DJ50" s="278"/>
      <c r="DK50" s="142" t="s">
        <v>3213</v>
      </c>
      <c r="DL50" s="202" t="s">
        <v>1121</v>
      </c>
      <c r="DM50" s="202" t="s">
        <v>2326</v>
      </c>
      <c r="DN50" s="142" t="s">
        <v>630</v>
      </c>
      <c r="DO50" s="278"/>
      <c r="DP50" s="142" t="s">
        <v>686</v>
      </c>
      <c r="DQ50" s="489" t="s">
        <v>3214</v>
      </c>
      <c r="DR50" s="278"/>
      <c r="DS50" s="202" t="s">
        <v>593</v>
      </c>
      <c r="DT50" s="278"/>
      <c r="DU50" s="202" t="s">
        <v>207</v>
      </c>
      <c r="DV50" s="278"/>
      <c r="DW50" s="278"/>
      <c r="DX50" s="278"/>
      <c r="DY50" s="278"/>
      <c r="DZ50" s="202" t="s">
        <v>728</v>
      </c>
      <c r="EA50" s="202" t="s">
        <v>1198</v>
      </c>
      <c r="EB50" s="144" t="s">
        <v>3215</v>
      </c>
    </row>
    <row r="51">
      <c r="A51" s="490" t="s">
        <v>3216</v>
      </c>
      <c r="B51" s="82" t="s">
        <v>3217</v>
      </c>
      <c r="C51" s="83" t="s">
        <v>1260</v>
      </c>
      <c r="D51" s="84" t="s">
        <v>1260</v>
      </c>
      <c r="E51" s="85" t="s">
        <v>1260</v>
      </c>
      <c r="F51" s="86" t="s">
        <v>3218</v>
      </c>
      <c r="G51" s="82" t="s">
        <v>3219</v>
      </c>
      <c r="H51" s="88" t="s">
        <v>3220</v>
      </c>
      <c r="I51" s="281" t="s">
        <v>2296</v>
      </c>
      <c r="J51" s="88" t="s">
        <v>997</v>
      </c>
      <c r="K51" s="286" t="s">
        <v>3221</v>
      </c>
      <c r="L51" s="286" t="s">
        <v>2519</v>
      </c>
      <c r="M51" s="88" t="s">
        <v>3222</v>
      </c>
      <c r="N51" s="101" t="s">
        <v>3223</v>
      </c>
      <c r="O51" s="286" t="s">
        <v>3224</v>
      </c>
      <c r="P51" s="88" t="s">
        <v>2769</v>
      </c>
      <c r="Q51" s="286" t="s">
        <v>3225</v>
      </c>
      <c r="R51" s="98"/>
      <c r="S51" s="93" t="s">
        <v>557</v>
      </c>
      <c r="T51" s="98"/>
      <c r="U51" s="286" t="s">
        <v>1220</v>
      </c>
      <c r="V51" s="286" t="s">
        <v>3226</v>
      </c>
      <c r="W51" s="92"/>
      <c r="X51" s="88" t="s">
        <v>1619</v>
      </c>
      <c r="Y51" s="88" t="s">
        <v>3227</v>
      </c>
      <c r="Z51" s="286" t="s">
        <v>403</v>
      </c>
      <c r="AA51" s="88" t="s">
        <v>3228</v>
      </c>
      <c r="AB51" s="88" t="s">
        <v>424</v>
      </c>
      <c r="AC51" s="88" t="s">
        <v>3229</v>
      </c>
      <c r="AD51" s="98"/>
      <c r="AE51" s="88" t="s">
        <v>121</v>
      </c>
      <c r="AF51" s="88" t="s">
        <v>2467</v>
      </c>
      <c r="AG51" s="98"/>
      <c r="AH51" s="98"/>
      <c r="AI51" s="88" t="s">
        <v>2972</v>
      </c>
      <c r="AJ51" s="205" t="s">
        <v>2672</v>
      </c>
      <c r="AK51" s="96"/>
      <c r="AL51" s="286" t="s">
        <v>1449</v>
      </c>
      <c r="AM51" s="88" t="s">
        <v>2556</v>
      </c>
      <c r="AN51" s="286" t="s">
        <v>3230</v>
      </c>
      <c r="AO51" s="88" t="s">
        <v>3231</v>
      </c>
      <c r="AP51" s="93" t="s">
        <v>3232</v>
      </c>
      <c r="AQ51" s="93" t="s">
        <v>2045</v>
      </c>
      <c r="AR51" s="93" t="s">
        <v>3233</v>
      </c>
      <c r="AS51" s="98"/>
      <c r="AT51" s="88" t="s">
        <v>3234</v>
      </c>
      <c r="AU51" s="286" t="s">
        <v>2445</v>
      </c>
      <c r="AV51" s="286" t="s">
        <v>2968</v>
      </c>
      <c r="AW51" s="98"/>
      <c r="AX51" s="88" t="s">
        <v>1334</v>
      </c>
      <c r="AY51" s="88" t="s">
        <v>3235</v>
      </c>
      <c r="AZ51" s="98"/>
      <c r="BA51" s="101" t="s">
        <v>2377</v>
      </c>
      <c r="BB51" s="88" t="s">
        <v>2644</v>
      </c>
      <c r="BC51" s="101" t="s">
        <v>3165</v>
      </c>
      <c r="BD51" s="101" t="s">
        <v>3236</v>
      </c>
      <c r="BE51" s="88" t="s">
        <v>2494</v>
      </c>
      <c r="BF51" s="101" t="s">
        <v>3237</v>
      </c>
      <c r="BG51" s="98"/>
      <c r="BH51" s="101" t="s">
        <v>3055</v>
      </c>
      <c r="BI51" s="88" t="s">
        <v>273</v>
      </c>
      <c r="BJ51" s="101"/>
      <c r="BK51" s="88" t="s">
        <v>2948</v>
      </c>
      <c r="BL51" s="93" t="s">
        <v>3238</v>
      </c>
      <c r="BM51" s="93" t="s">
        <v>2123</v>
      </c>
      <c r="BN51" s="101" t="s">
        <v>1911</v>
      </c>
      <c r="BO51" s="88" t="s">
        <v>3239</v>
      </c>
      <c r="BP51" s="256"/>
      <c r="BQ51" s="101" t="s">
        <v>2902</v>
      </c>
      <c r="BR51" s="101" t="s">
        <v>3240</v>
      </c>
      <c r="BS51" s="101" t="s">
        <v>3241</v>
      </c>
      <c r="BT51" s="88" t="s">
        <v>378</v>
      </c>
      <c r="BU51" s="101" t="s">
        <v>3172</v>
      </c>
      <c r="BV51" s="88" t="s">
        <v>3242</v>
      </c>
      <c r="BW51" s="88" t="s">
        <v>3243</v>
      </c>
      <c r="BX51" s="88" t="s">
        <v>3244</v>
      </c>
      <c r="BY51" s="101"/>
      <c r="BZ51" s="88" t="s">
        <v>1710</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2410</v>
      </c>
      <c r="DA51" s="88" t="s">
        <v>2682</v>
      </c>
      <c r="DB51" s="93" t="s">
        <v>3263</v>
      </c>
      <c r="DC51" s="93" t="s">
        <v>1041</v>
      </c>
      <c r="DD51" s="93" t="s">
        <v>3264</v>
      </c>
      <c r="DE51" s="93" t="s">
        <v>3265</v>
      </c>
      <c r="DF51" s="256"/>
      <c r="DG51" s="101" t="s">
        <v>3266</v>
      </c>
      <c r="DH51" s="98"/>
      <c r="DI51" s="98"/>
      <c r="DJ51" s="101"/>
      <c r="DK51" s="101" t="s">
        <v>1995</v>
      </c>
      <c r="DL51" s="101" t="s">
        <v>3267</v>
      </c>
      <c r="DM51" s="93" t="s">
        <v>3268</v>
      </c>
      <c r="DN51" s="93" t="s">
        <v>3269</v>
      </c>
      <c r="DO51" s="98"/>
      <c r="DP51" s="88" t="s">
        <v>3270</v>
      </c>
      <c r="DQ51" s="101" t="s">
        <v>3271</v>
      </c>
      <c r="DR51" s="93" t="s">
        <v>3272</v>
      </c>
      <c r="DS51" s="286" t="s">
        <v>1367</v>
      </c>
      <c r="DT51" s="88" t="s">
        <v>3273</v>
      </c>
      <c r="DU51" s="93" t="s">
        <v>2754</v>
      </c>
      <c r="DV51" s="93" t="s">
        <v>2417</v>
      </c>
      <c r="DW51" s="93" t="s">
        <v>3274</v>
      </c>
      <c r="DX51" s="93" t="s">
        <v>3275</v>
      </c>
      <c r="DY51" s="286" t="s">
        <v>3276</v>
      </c>
      <c r="DZ51" s="93" t="s">
        <v>1194</v>
      </c>
      <c r="EA51" s="88" t="s">
        <v>1500</v>
      </c>
      <c r="EB51" s="281" t="s">
        <v>3277</v>
      </c>
    </row>
    <row r="52">
      <c r="A52" s="162" t="s">
        <v>3278</v>
      </c>
      <c r="B52" s="103" t="s">
        <v>3279</v>
      </c>
      <c r="C52" s="104" t="s">
        <v>1260</v>
      </c>
      <c r="D52" s="105" t="s">
        <v>1260</v>
      </c>
      <c r="E52" s="106" t="s">
        <v>545</v>
      </c>
      <c r="F52" s="107" t="s">
        <v>3280</v>
      </c>
      <c r="G52" s="103" t="s">
        <v>2338</v>
      </c>
      <c r="H52" s="163" t="s">
        <v>3281</v>
      </c>
      <c r="I52" s="163" t="s">
        <v>3282</v>
      </c>
      <c r="J52" s="111" t="s">
        <v>3283</v>
      </c>
      <c r="K52" s="111" t="s">
        <v>3284</v>
      </c>
      <c r="L52" s="111" t="s">
        <v>2135</v>
      </c>
      <c r="M52" s="163" t="s">
        <v>3285</v>
      </c>
      <c r="N52" s="111" t="s">
        <v>3286</v>
      </c>
      <c r="O52" s="111" t="s">
        <v>3287</v>
      </c>
      <c r="P52" s="111" t="s">
        <v>1569</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1665</v>
      </c>
      <c r="AU52" s="119" t="s">
        <v>2743</v>
      </c>
      <c r="AV52" s="266"/>
      <c r="AW52" s="266"/>
      <c r="AX52" s="266"/>
      <c r="AY52" s="266"/>
      <c r="AZ52" s="266"/>
      <c r="BA52" s="124" t="s">
        <v>1362</v>
      </c>
      <c r="BB52" s="124" t="s">
        <v>680</v>
      </c>
      <c r="BC52" s="124" t="s">
        <v>933</v>
      </c>
      <c r="BD52" s="325" t="s">
        <v>3294</v>
      </c>
      <c r="BE52" s="170" t="s">
        <v>3295</v>
      </c>
      <c r="BF52" s="169"/>
      <c r="BG52" s="169"/>
      <c r="BH52" s="124" t="s">
        <v>1416</v>
      </c>
      <c r="BI52" s="169"/>
      <c r="BJ52" s="124" t="s">
        <v>2524</v>
      </c>
      <c r="BK52" s="170" t="s">
        <v>3296</v>
      </c>
      <c r="BL52" s="169"/>
      <c r="BM52" s="169"/>
      <c r="BN52" s="169"/>
      <c r="BO52" s="169"/>
      <c r="BP52" s="268"/>
      <c r="BQ52" s="171" t="s">
        <v>3297</v>
      </c>
      <c r="BR52" s="127" t="s">
        <v>2248</v>
      </c>
      <c r="BS52" s="127" t="s">
        <v>3298</v>
      </c>
      <c r="BT52" s="171" t="s">
        <v>3299</v>
      </c>
      <c r="BU52" s="127" t="s">
        <v>3300</v>
      </c>
      <c r="BV52" s="127" t="s">
        <v>1916</v>
      </c>
      <c r="BW52" s="271"/>
      <c r="BX52" s="171" t="s">
        <v>3301</v>
      </c>
      <c r="BY52" s="171" t="s">
        <v>3302</v>
      </c>
      <c r="BZ52" s="127" t="s">
        <v>2881</v>
      </c>
      <c r="CA52" s="271"/>
      <c r="CB52" s="271"/>
      <c r="CC52" s="271"/>
      <c r="CD52" s="271"/>
      <c r="CE52" s="272"/>
      <c r="CF52" s="132" t="s">
        <v>1005</v>
      </c>
      <c r="CG52" s="173" t="s">
        <v>1452</v>
      </c>
      <c r="CH52" s="132" t="s">
        <v>605</v>
      </c>
      <c r="CI52" s="173" t="s">
        <v>3303</v>
      </c>
      <c r="CJ52" s="173" t="s">
        <v>2202</v>
      </c>
      <c r="CK52" s="173" t="s">
        <v>3304</v>
      </c>
      <c r="CL52" s="132" t="s">
        <v>203</v>
      </c>
      <c r="CM52" s="173" t="s">
        <v>1582</v>
      </c>
      <c r="CN52" s="275"/>
      <c r="CO52" s="275"/>
      <c r="CP52" s="275"/>
      <c r="CQ52" s="275"/>
      <c r="CR52" s="275"/>
      <c r="CS52" s="92"/>
      <c r="CT52" s="174" t="s">
        <v>2029</v>
      </c>
      <c r="CU52" s="201" t="s">
        <v>2964</v>
      </c>
      <c r="CV52" s="137" t="s">
        <v>1079</v>
      </c>
      <c r="CW52" s="137" t="s">
        <v>718</v>
      </c>
      <c r="CX52" s="137" t="s">
        <v>2390</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1487</v>
      </c>
      <c r="DR52" s="278"/>
      <c r="DS52" s="278"/>
      <c r="DT52" s="278"/>
      <c r="DU52" s="278"/>
      <c r="DV52" s="278"/>
      <c r="DW52" s="278"/>
      <c r="DX52" s="278"/>
      <c r="DY52" s="278"/>
      <c r="DZ52" s="278"/>
      <c r="EA52" s="278"/>
      <c r="EB52" s="312"/>
    </row>
    <row r="53">
      <c r="A53" s="491" t="s">
        <v>3312</v>
      </c>
      <c r="B53" s="82" t="s">
        <v>3313</v>
      </c>
      <c r="C53" s="83" t="s">
        <v>1260</v>
      </c>
      <c r="D53" s="84" t="s">
        <v>1260</v>
      </c>
      <c r="E53" s="85" t="s">
        <v>545</v>
      </c>
      <c r="F53" s="86" t="s">
        <v>3314</v>
      </c>
      <c r="G53" s="82" t="s">
        <v>3315</v>
      </c>
      <c r="H53" s="93" t="s">
        <v>3316</v>
      </c>
      <c r="I53" s="93" t="s">
        <v>3317</v>
      </c>
      <c r="J53" s="93" t="s">
        <v>1666</v>
      </c>
      <c r="K53" s="93" t="s">
        <v>1880</v>
      </c>
      <c r="L53" s="93" t="s">
        <v>3318</v>
      </c>
      <c r="M53" s="93" t="s">
        <v>3319</v>
      </c>
      <c r="N53" s="93" t="s">
        <v>3320</v>
      </c>
      <c r="O53" s="205" t="s">
        <v>558</v>
      </c>
      <c r="P53" s="93" t="s">
        <v>3321</v>
      </c>
      <c r="Q53" s="93" t="s">
        <v>3322</v>
      </c>
      <c r="R53" s="88" t="s">
        <v>1733</v>
      </c>
      <c r="S53" s="97" t="str">
        <f>HYPERLINK("https://www.youtube.com/watch?v=LyUwSuOy_jk","39.79")</f>
        <v>39.79</v>
      </c>
      <c r="T53" s="93" t="s">
        <v>3323</v>
      </c>
      <c r="U53" s="93" t="s">
        <v>3006</v>
      </c>
      <c r="V53" s="93" t="s">
        <v>3324</v>
      </c>
      <c r="W53" s="92"/>
      <c r="X53" s="93" t="s">
        <v>3325</v>
      </c>
      <c r="Y53" s="93" t="s">
        <v>3326</v>
      </c>
      <c r="Z53" s="93" t="s">
        <v>2276</v>
      </c>
      <c r="AA53" s="93" t="s">
        <v>2741</v>
      </c>
      <c r="AB53" s="93" t="s">
        <v>1891</v>
      </c>
      <c r="AC53" s="93" t="s">
        <v>569</v>
      </c>
      <c r="AD53" s="88" t="s">
        <v>3327</v>
      </c>
      <c r="AE53" s="93" t="s">
        <v>3328</v>
      </c>
      <c r="AF53" s="93" t="s">
        <v>3329</v>
      </c>
      <c r="AG53" s="88" t="s">
        <v>1632</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2113</v>
      </c>
      <c r="AV53" s="93" t="s">
        <v>1182</v>
      </c>
      <c r="AW53" s="93" t="s">
        <v>856</v>
      </c>
      <c r="AX53" s="93" t="s">
        <v>2812</v>
      </c>
      <c r="AY53" s="93" t="s">
        <v>3339</v>
      </c>
      <c r="AZ53" s="98"/>
      <c r="BA53" s="93" t="s">
        <v>3340</v>
      </c>
      <c r="BB53" s="93" t="s">
        <v>1162</v>
      </c>
      <c r="BC53" s="93" t="s">
        <v>1017</v>
      </c>
      <c r="BD53" s="93" t="s">
        <v>3341</v>
      </c>
      <c r="BE53" s="93" t="s">
        <v>3342</v>
      </c>
      <c r="BF53" s="93" t="s">
        <v>3343</v>
      </c>
      <c r="BG53" s="93" t="s">
        <v>157</v>
      </c>
      <c r="BH53" s="93" t="s">
        <v>1178</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1680</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1196</v>
      </c>
      <c r="CW53" s="93" t="s">
        <v>3362</v>
      </c>
      <c r="CX53" s="93" t="s">
        <v>3363</v>
      </c>
      <c r="CY53" s="93" t="s">
        <v>2330</v>
      </c>
      <c r="CZ53" s="205" t="s">
        <v>2204</v>
      </c>
      <c r="DA53" s="93" t="s">
        <v>3364</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2423</v>
      </c>
      <c r="H54" s="111" t="s">
        <v>492</v>
      </c>
      <c r="I54" s="111" t="s">
        <v>3368</v>
      </c>
      <c r="J54" s="111" t="s">
        <v>3369</v>
      </c>
      <c r="K54" s="109" t="s">
        <v>2101</v>
      </c>
      <c r="L54" s="297" t="s">
        <v>1408</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1435</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1290</v>
      </c>
      <c r="BD54" s="197" t="s">
        <v>947</v>
      </c>
      <c r="BE54" s="267" t="s">
        <v>3378</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2183</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1084</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1260</v>
      </c>
      <c r="D55" s="84" t="s">
        <v>1260</v>
      </c>
      <c r="E55" s="85" t="s">
        <v>1260</v>
      </c>
      <c r="F55" s="86" t="s">
        <v>1876</v>
      </c>
      <c r="G55" s="82" t="s">
        <v>2761</v>
      </c>
      <c r="H55" s="88" t="s">
        <v>2570</v>
      </c>
      <c r="I55" s="88" t="s">
        <v>3391</v>
      </c>
      <c r="J55" s="93" t="s">
        <v>3392</v>
      </c>
      <c r="K55" s="93" t="s">
        <v>3393</v>
      </c>
      <c r="L55" s="493" t="str">
        <f>hyperlink("https://www.twitch.tv/videos/642998947","44.64")</f>
        <v>44.64</v>
      </c>
      <c r="M55" s="88" t="s">
        <v>3394</v>
      </c>
      <c r="N55" s="493" t="str">
        <f>hyperlink("https://www.twitch.tv/videos/642995088","1:11.81")</f>
        <v>1:11.81</v>
      </c>
      <c r="O55" s="88" t="s">
        <v>1756</v>
      </c>
      <c r="P55" s="93" t="s">
        <v>1569</v>
      </c>
      <c r="Q55" s="93" t="s">
        <v>3395</v>
      </c>
      <c r="R55" s="98"/>
      <c r="S55" s="93" t="s">
        <v>2153</v>
      </c>
      <c r="T55" s="93" t="s">
        <v>2469</v>
      </c>
      <c r="U55" s="93" t="s">
        <v>2344</v>
      </c>
      <c r="V55" s="93" t="s">
        <v>3396</v>
      </c>
      <c r="W55" s="92"/>
      <c r="X55" s="93" t="s">
        <v>2437</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1017</v>
      </c>
      <c r="AV55" s="98"/>
      <c r="AW55" s="98"/>
      <c r="AX55" s="158" t="s">
        <v>3102</v>
      </c>
      <c r="AY55" s="98"/>
      <c r="AZ55" s="98"/>
      <c r="BA55" s="93" t="s">
        <v>3407</v>
      </c>
      <c r="BB55" s="93" t="s">
        <v>1162</v>
      </c>
      <c r="BC55" s="93" t="s">
        <v>2319</v>
      </c>
      <c r="BD55" s="88" t="s">
        <v>1306</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2250</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1260</v>
      </c>
      <c r="D56" s="105" t="s">
        <v>545</v>
      </c>
      <c r="E56" s="106" t="s">
        <v>1260</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1669</v>
      </c>
      <c r="V56" s="218"/>
      <c r="W56" s="92"/>
      <c r="X56" s="115" t="s">
        <v>3433</v>
      </c>
      <c r="Y56" s="193" t="s">
        <v>3434</v>
      </c>
      <c r="Z56" s="193" t="s">
        <v>1539</v>
      </c>
      <c r="AA56" s="193" t="s">
        <v>3435</v>
      </c>
      <c r="AB56" s="114" t="s">
        <v>2407</v>
      </c>
      <c r="AC56" s="193" t="s">
        <v>3436</v>
      </c>
      <c r="AD56" s="193" t="s">
        <v>2934</v>
      </c>
      <c r="AE56" s="193" t="s">
        <v>3328</v>
      </c>
      <c r="AF56" s="323" t="s">
        <v>567</v>
      </c>
      <c r="AG56" s="323" t="s">
        <v>2248</v>
      </c>
      <c r="AH56" s="265"/>
      <c r="AI56" s="193" t="s">
        <v>1743</v>
      </c>
      <c r="AJ56" s="265"/>
      <c r="AK56" s="96"/>
      <c r="AL56" s="164" t="s">
        <v>3266</v>
      </c>
      <c r="AM56" s="164" t="s">
        <v>1235</v>
      </c>
      <c r="AN56" s="266"/>
      <c r="AO56" s="266"/>
      <c r="AP56" s="266"/>
      <c r="AQ56" s="164" t="s">
        <v>3437</v>
      </c>
      <c r="AR56" s="164" t="s">
        <v>1699</v>
      </c>
      <c r="AS56" s="266"/>
      <c r="AT56" s="495" t="s">
        <v>3438</v>
      </c>
      <c r="AU56" s="164" t="s">
        <v>3439</v>
      </c>
      <c r="AV56" s="164" t="s">
        <v>1869</v>
      </c>
      <c r="AW56" s="266"/>
      <c r="AX56" s="495" t="s">
        <v>1666</v>
      </c>
      <c r="AY56" s="266"/>
      <c r="AZ56" s="266"/>
      <c r="BA56" s="170" t="s">
        <v>3440</v>
      </c>
      <c r="BB56" s="170" t="s">
        <v>3038</v>
      </c>
      <c r="BC56" s="170" t="s">
        <v>3355</v>
      </c>
      <c r="BD56" s="170" t="s">
        <v>3441</v>
      </c>
      <c r="BE56" s="124" t="s">
        <v>3442</v>
      </c>
      <c r="BF56" s="124" t="s">
        <v>3443</v>
      </c>
      <c r="BG56" s="169"/>
      <c r="BH56" s="170" t="s">
        <v>3444</v>
      </c>
      <c r="BI56" s="169"/>
      <c r="BJ56" s="170" t="s">
        <v>3445</v>
      </c>
      <c r="BK56" s="170" t="s">
        <v>2565</v>
      </c>
      <c r="BL56" s="169"/>
      <c r="BM56" s="170" t="s">
        <v>3446</v>
      </c>
      <c r="BN56" s="170" t="s">
        <v>973</v>
      </c>
      <c r="BO56" s="170" t="s">
        <v>3447</v>
      </c>
      <c r="BP56" s="268"/>
      <c r="BQ56" s="171" t="s">
        <v>3448</v>
      </c>
      <c r="BR56" s="171" t="s">
        <v>1905</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1812</v>
      </c>
      <c r="CI56" s="173" t="s">
        <v>3455</v>
      </c>
      <c r="CJ56" s="173" t="s">
        <v>1326</v>
      </c>
      <c r="CK56" s="173" t="s">
        <v>2965</v>
      </c>
      <c r="CL56" s="173" t="s">
        <v>3456</v>
      </c>
      <c r="CM56" s="173" t="s">
        <v>3457</v>
      </c>
      <c r="CN56" s="275"/>
      <c r="CO56" s="173" t="s">
        <v>3458</v>
      </c>
      <c r="CP56" s="275"/>
      <c r="CQ56" s="173" t="s">
        <v>3459</v>
      </c>
      <c r="CR56" s="275"/>
      <c r="CS56" s="92"/>
      <c r="CT56" s="201" t="s">
        <v>3460</v>
      </c>
      <c r="CU56" s="201" t="s">
        <v>1784</v>
      </c>
      <c r="CV56" s="201" t="s">
        <v>1628</v>
      </c>
      <c r="CW56" s="201" t="s">
        <v>3461</v>
      </c>
      <c r="CX56" s="201" t="s">
        <v>3462</v>
      </c>
      <c r="CY56" s="137" t="s">
        <v>1097</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2596</v>
      </c>
      <c r="DX56" s="142" t="s">
        <v>881</v>
      </c>
      <c r="DY56" s="278"/>
      <c r="DZ56" s="202" t="s">
        <v>3178</v>
      </c>
      <c r="EA56" s="202" t="s">
        <v>685</v>
      </c>
      <c r="EB56" s="140" t="s">
        <v>3471</v>
      </c>
    </row>
    <row r="57">
      <c r="A57" s="497" t="s">
        <v>3472</v>
      </c>
      <c r="B57" s="82" t="s">
        <v>3473</v>
      </c>
      <c r="C57" s="83" t="s">
        <v>1260</v>
      </c>
      <c r="D57" s="84" t="s">
        <v>1260</v>
      </c>
      <c r="E57" s="85" t="s">
        <v>1260</v>
      </c>
      <c r="F57" s="86" t="s">
        <v>646</v>
      </c>
      <c r="G57" s="82" t="s">
        <v>3315</v>
      </c>
      <c r="H57" s="101" t="s">
        <v>3474</v>
      </c>
      <c r="I57" s="94" t="s">
        <v>3427</v>
      </c>
      <c r="J57" s="101" t="s">
        <v>3475</v>
      </c>
      <c r="K57" s="101" t="s">
        <v>1880</v>
      </c>
      <c r="L57" s="88" t="s">
        <v>2698</v>
      </c>
      <c r="M57" s="101" t="s">
        <v>3476</v>
      </c>
      <c r="N57" s="101" t="s">
        <v>3477</v>
      </c>
      <c r="O57" s="101" t="s">
        <v>3478</v>
      </c>
      <c r="P57" s="101" t="s">
        <v>2769</v>
      </c>
      <c r="Q57" s="93" t="s">
        <v>3479</v>
      </c>
      <c r="R57" s="98"/>
      <c r="S57" s="93" t="s">
        <v>922</v>
      </c>
      <c r="T57" s="98"/>
      <c r="U57" s="93" t="s">
        <v>1830</v>
      </c>
      <c r="V57" s="93" t="s">
        <v>3480</v>
      </c>
      <c r="W57" s="92"/>
      <c r="X57" s="101" t="s">
        <v>1223</v>
      </c>
      <c r="Y57" s="101" t="s">
        <v>3481</v>
      </c>
      <c r="Z57" s="101" t="s">
        <v>2711</v>
      </c>
      <c r="AA57" s="88" t="s">
        <v>3482</v>
      </c>
      <c r="AB57" s="101" t="s">
        <v>1611</v>
      </c>
      <c r="AC57" s="101" t="s">
        <v>3483</v>
      </c>
      <c r="AD57" s="98"/>
      <c r="AE57" s="101" t="s">
        <v>3484</v>
      </c>
      <c r="AF57" s="101" t="s">
        <v>1995</v>
      </c>
      <c r="AG57" s="93" t="s">
        <v>3485</v>
      </c>
      <c r="AH57" s="98"/>
      <c r="AI57" s="101" t="s">
        <v>3486</v>
      </c>
      <c r="AJ57" s="93" t="s">
        <v>3487</v>
      </c>
      <c r="AK57" s="96"/>
      <c r="AL57" s="101" t="s">
        <v>3079</v>
      </c>
      <c r="AM57" s="101" t="s">
        <v>1659</v>
      </c>
      <c r="AN57" s="93" t="s">
        <v>3488</v>
      </c>
      <c r="AO57" s="98"/>
      <c r="AP57" s="93"/>
      <c r="AQ57" s="93" t="s">
        <v>3489</v>
      </c>
      <c r="AR57" s="98"/>
      <c r="AS57" s="98"/>
      <c r="AT57" s="101" t="s">
        <v>3490</v>
      </c>
      <c r="AU57" s="101" t="s">
        <v>963</v>
      </c>
      <c r="AV57" s="101" t="s">
        <v>1554</v>
      </c>
      <c r="AW57" s="98"/>
      <c r="AX57" s="93" t="s">
        <v>1207</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2598</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2045</v>
      </c>
      <c r="CZ57" s="158" t="s">
        <v>2744</v>
      </c>
      <c r="DA57" s="101" t="s">
        <v>572</v>
      </c>
      <c r="DB57" s="88" t="s">
        <v>1983</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1260</v>
      </c>
      <c r="D58" s="105" t="s">
        <v>1260</v>
      </c>
      <c r="E58" s="106" t="s">
        <v>1260</v>
      </c>
      <c r="F58" s="107" t="s">
        <v>2079</v>
      </c>
      <c r="G58" s="103" t="s">
        <v>3524</v>
      </c>
      <c r="H58" s="111" t="s">
        <v>3525</v>
      </c>
      <c r="I58" s="111" t="s">
        <v>3526</v>
      </c>
      <c r="J58" s="111" t="s">
        <v>3527</v>
      </c>
      <c r="K58" s="111" t="s">
        <v>1880</v>
      </c>
      <c r="L58" s="111" t="s">
        <v>2765</v>
      </c>
      <c r="M58" s="111" t="s">
        <v>3528</v>
      </c>
      <c r="N58" s="111" t="s">
        <v>3529</v>
      </c>
      <c r="O58" s="111" t="s">
        <v>3530</v>
      </c>
      <c r="P58" s="111" t="s">
        <v>3531</v>
      </c>
      <c r="Q58" s="163" t="s">
        <v>3532</v>
      </c>
      <c r="R58" s="218"/>
      <c r="S58" s="111" t="s">
        <v>2267</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2034</v>
      </c>
      <c r="AU58" s="119" t="s">
        <v>933</v>
      </c>
      <c r="AV58" s="266"/>
      <c r="AW58" s="266"/>
      <c r="AX58" s="119" t="s">
        <v>3544</v>
      </c>
      <c r="AY58" s="164" t="s">
        <v>3545</v>
      </c>
      <c r="AZ58" s="164"/>
      <c r="BA58" s="124" t="s">
        <v>2814</v>
      </c>
      <c r="BB58" s="124" t="s">
        <v>2483</v>
      </c>
      <c r="BC58" s="124" t="s">
        <v>3546</v>
      </c>
      <c r="BD58" s="168" t="s">
        <v>3547</v>
      </c>
      <c r="BE58" s="124" t="s">
        <v>3548</v>
      </c>
      <c r="BF58" s="124" t="s">
        <v>3549</v>
      </c>
      <c r="BG58" s="169"/>
      <c r="BH58" s="124" t="s">
        <v>365</v>
      </c>
      <c r="BI58" s="124" t="s">
        <v>2723</v>
      </c>
      <c r="BJ58" s="124" t="s">
        <v>3550</v>
      </c>
      <c r="BK58" s="124" t="s">
        <v>3551</v>
      </c>
      <c r="BL58" s="169"/>
      <c r="BM58" s="124" t="s">
        <v>3552</v>
      </c>
      <c r="BN58" s="124" t="s">
        <v>1459</v>
      </c>
      <c r="BO58" s="169"/>
      <c r="BP58" s="268"/>
      <c r="BQ58" s="127" t="s">
        <v>3553</v>
      </c>
      <c r="BR58" s="127" t="s">
        <v>860</v>
      </c>
      <c r="BS58" s="127" t="s">
        <v>2183</v>
      </c>
      <c r="BT58" s="127" t="s">
        <v>3554</v>
      </c>
      <c r="BU58" s="127" t="s">
        <v>3555</v>
      </c>
      <c r="BV58" s="127" t="s">
        <v>1600</v>
      </c>
      <c r="BW58" s="271"/>
      <c r="BX58" s="127" t="s">
        <v>3556</v>
      </c>
      <c r="BY58" s="127" t="s">
        <v>3557</v>
      </c>
      <c r="BZ58" s="127" t="s">
        <v>2049</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1411</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2034</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1718</v>
      </c>
      <c r="DV58" s="278"/>
      <c r="DW58" s="278"/>
      <c r="DX58" s="278"/>
      <c r="DY58" s="142" t="s">
        <v>3576</v>
      </c>
      <c r="DZ58" s="278"/>
      <c r="EA58" s="142" t="s">
        <v>3577</v>
      </c>
      <c r="EB58" s="139" t="s">
        <v>3578</v>
      </c>
    </row>
    <row r="59">
      <c r="A59" s="499" t="s">
        <v>3579</v>
      </c>
      <c r="B59" s="82" t="s">
        <v>3580</v>
      </c>
      <c r="C59" s="83" t="s">
        <v>545</v>
      </c>
      <c r="D59" s="84" t="s">
        <v>545</v>
      </c>
      <c r="E59" s="85" t="s">
        <v>1260</v>
      </c>
      <c r="F59" s="86" t="s">
        <v>332</v>
      </c>
      <c r="G59" s="82" t="s">
        <v>3581</v>
      </c>
      <c r="H59" s="93" t="s">
        <v>2167</v>
      </c>
      <c r="I59" s="93" t="s">
        <v>1383</v>
      </c>
      <c r="J59" s="93" t="s">
        <v>3582</v>
      </c>
      <c r="K59" s="93" t="s">
        <v>3583</v>
      </c>
      <c r="L59" s="93" t="s">
        <v>462</v>
      </c>
      <c r="M59" s="98"/>
      <c r="N59" s="93" t="s">
        <v>3584</v>
      </c>
      <c r="O59" s="88" t="s">
        <v>3585</v>
      </c>
      <c r="P59" s="93" t="s">
        <v>107</v>
      </c>
      <c r="Q59" s="98"/>
      <c r="R59" s="98"/>
      <c r="S59" s="98"/>
      <c r="T59" s="98"/>
      <c r="U59" s="98"/>
      <c r="V59" s="98"/>
      <c r="W59" s="92"/>
      <c r="X59" s="88" t="s">
        <v>2115</v>
      </c>
      <c r="Y59" s="93" t="s">
        <v>1274</v>
      </c>
      <c r="Z59" s="93" t="s">
        <v>1824</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2556</v>
      </c>
      <c r="AU59" s="93" t="s">
        <v>3090</v>
      </c>
      <c r="AV59" s="98"/>
      <c r="AW59" s="98"/>
      <c r="AX59" s="93" t="s">
        <v>750</v>
      </c>
      <c r="AY59" s="98"/>
      <c r="AZ59" s="98"/>
      <c r="BA59" s="93" t="s">
        <v>3592</v>
      </c>
      <c r="BB59" s="93" t="s">
        <v>2225</v>
      </c>
      <c r="BC59" s="93" t="s">
        <v>3090</v>
      </c>
      <c r="BD59" s="93" t="s">
        <v>3593</v>
      </c>
      <c r="BE59" s="93" t="s">
        <v>3594</v>
      </c>
      <c r="BF59" s="87" t="s">
        <v>2385</v>
      </c>
      <c r="BG59" s="98"/>
      <c r="BH59" s="93" t="s">
        <v>171</v>
      </c>
      <c r="BI59" s="93"/>
      <c r="BJ59" s="93" t="s">
        <v>3595</v>
      </c>
      <c r="BK59" s="93" t="s">
        <v>1839</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1110</v>
      </c>
      <c r="CH59" s="93" t="s">
        <v>1925</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1260</v>
      </c>
      <c r="D60" s="105" t="s">
        <v>1260</v>
      </c>
      <c r="E60" s="106" t="s">
        <v>1260</v>
      </c>
      <c r="F60" s="107" t="s">
        <v>218</v>
      </c>
      <c r="G60" s="103" t="s">
        <v>220</v>
      </c>
      <c r="H60" s="163" t="s">
        <v>3617</v>
      </c>
      <c r="I60" s="163" t="s">
        <v>1937</v>
      </c>
      <c r="J60" s="163" t="s">
        <v>3618</v>
      </c>
      <c r="K60" s="111" t="s">
        <v>2697</v>
      </c>
      <c r="L60" s="111" t="s">
        <v>1265</v>
      </c>
      <c r="M60" s="163" t="s">
        <v>3619</v>
      </c>
      <c r="N60" s="111" t="s">
        <v>3620</v>
      </c>
      <c r="O60" s="163" t="s">
        <v>3547</v>
      </c>
      <c r="P60" s="163" t="s">
        <v>3321</v>
      </c>
      <c r="Q60" s="295" t="s">
        <v>3621</v>
      </c>
      <c r="R60" s="111" t="s">
        <v>3411</v>
      </c>
      <c r="S60" s="163" t="s">
        <v>3622</v>
      </c>
      <c r="T60" s="163" t="s">
        <v>1631</v>
      </c>
      <c r="U60" s="111" t="s">
        <v>3623</v>
      </c>
      <c r="V60" s="295" t="s">
        <v>3624</v>
      </c>
      <c r="W60" s="112"/>
      <c r="X60" s="193" t="s">
        <v>3625</v>
      </c>
      <c r="Y60" s="193" t="s">
        <v>3626</v>
      </c>
      <c r="Z60" s="193" t="s">
        <v>1798</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1417</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1483</v>
      </c>
      <c r="BB60" s="124" t="s">
        <v>2633</v>
      </c>
      <c r="BC60" s="124" t="s">
        <v>2176</v>
      </c>
      <c r="BD60" s="170" t="s">
        <v>3640</v>
      </c>
      <c r="BE60" s="170" t="s">
        <v>3641</v>
      </c>
      <c r="BF60" s="170" t="s">
        <v>1220</v>
      </c>
      <c r="BG60" s="170" t="s">
        <v>3642</v>
      </c>
      <c r="BH60" s="124" t="s">
        <v>1754</v>
      </c>
      <c r="BI60" s="170" t="s">
        <v>2624</v>
      </c>
      <c r="BJ60" s="170" t="s">
        <v>3643</v>
      </c>
      <c r="BK60" s="170" t="s">
        <v>3644</v>
      </c>
      <c r="BL60" s="170"/>
      <c r="BM60" s="124" t="s">
        <v>1589</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2404</v>
      </c>
      <c r="CB60" s="171" t="s">
        <v>1271</v>
      </c>
      <c r="CC60" s="171" t="s">
        <v>1645</v>
      </c>
      <c r="CD60" s="171" t="s">
        <v>3652</v>
      </c>
      <c r="CE60" s="171"/>
      <c r="CF60" s="173" t="s">
        <v>3653</v>
      </c>
      <c r="CG60" s="448" t="s">
        <v>293</v>
      </c>
      <c r="CH60" s="173" t="s">
        <v>2045</v>
      </c>
      <c r="CI60" s="173" t="s">
        <v>2953</v>
      </c>
      <c r="CJ60" s="173" t="s">
        <v>3654</v>
      </c>
      <c r="CK60" s="173" t="s">
        <v>3655</v>
      </c>
      <c r="CL60" s="173" t="s">
        <v>1588</v>
      </c>
      <c r="CM60" s="173" t="s">
        <v>3656</v>
      </c>
      <c r="CN60" s="173" t="s">
        <v>3657</v>
      </c>
      <c r="CO60" s="132" t="s">
        <v>819</v>
      </c>
      <c r="CP60" s="173"/>
      <c r="CQ60" s="173" t="s">
        <v>3658</v>
      </c>
      <c r="CR60" s="173" t="s">
        <v>3659</v>
      </c>
      <c r="CS60" s="92"/>
      <c r="CT60" s="201" t="s">
        <v>3660</v>
      </c>
      <c r="CU60" s="201" t="s">
        <v>1609</v>
      </c>
      <c r="CV60" s="137" t="s">
        <v>1254</v>
      </c>
      <c r="CW60" s="201" t="s">
        <v>3661</v>
      </c>
      <c r="CX60" s="387" t="s">
        <v>3587</v>
      </c>
      <c r="CY60" s="201" t="s">
        <v>3662</v>
      </c>
      <c r="CZ60" s="400" t="s">
        <v>2341</v>
      </c>
      <c r="DA60" s="137" t="s">
        <v>2589</v>
      </c>
      <c r="DB60" s="201" t="s">
        <v>3663</v>
      </c>
      <c r="DC60" s="201" t="s">
        <v>3664</v>
      </c>
      <c r="DD60" s="201" t="s">
        <v>1159</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2045</v>
      </c>
      <c r="DT60" s="202" t="s">
        <v>3002</v>
      </c>
      <c r="DU60" s="202" t="s">
        <v>1723</v>
      </c>
      <c r="DV60" s="202" t="s">
        <v>3676</v>
      </c>
      <c r="DW60" s="202" t="s">
        <v>2679</v>
      </c>
      <c r="DX60" s="202" t="s">
        <v>3130</v>
      </c>
      <c r="DY60" s="202" t="s">
        <v>426</v>
      </c>
      <c r="DZ60" s="202" t="s">
        <v>3677</v>
      </c>
      <c r="EA60" s="202" t="s">
        <v>365</v>
      </c>
      <c r="EB60" s="312" t="s">
        <v>3678</v>
      </c>
    </row>
    <row r="61">
      <c r="A61" s="81" t="s">
        <v>3679</v>
      </c>
      <c r="B61" s="82" t="s">
        <v>3680</v>
      </c>
      <c r="C61" s="83" t="s">
        <v>1260</v>
      </c>
      <c r="D61" s="84" t="s">
        <v>1260</v>
      </c>
      <c r="E61" s="85" t="s">
        <v>1260</v>
      </c>
      <c r="F61" s="86" t="s">
        <v>989</v>
      </c>
      <c r="G61" s="82" t="s">
        <v>3681</v>
      </c>
      <c r="H61" s="88" t="s">
        <v>3682</v>
      </c>
      <c r="I61" s="88" t="s">
        <v>3683</v>
      </c>
      <c r="J61" s="88" t="s">
        <v>2696</v>
      </c>
      <c r="K61" s="97" t="s">
        <v>443</v>
      </c>
      <c r="L61" s="88" t="s">
        <v>1642</v>
      </c>
      <c r="M61" s="93" t="s">
        <v>3684</v>
      </c>
      <c r="N61" s="93" t="s">
        <v>3685</v>
      </c>
      <c r="O61" s="93" t="s">
        <v>3640</v>
      </c>
      <c r="P61" s="93" t="s">
        <v>2769</v>
      </c>
      <c r="Q61" s="93" t="s">
        <v>3686</v>
      </c>
      <c r="R61" s="98"/>
      <c r="S61" s="98"/>
      <c r="T61" s="98"/>
      <c r="U61" s="98"/>
      <c r="V61" s="93" t="s">
        <v>3687</v>
      </c>
      <c r="W61" s="92"/>
      <c r="X61" s="88" t="s">
        <v>2528</v>
      </c>
      <c r="Y61" s="88" t="s">
        <v>3688</v>
      </c>
      <c r="Z61" s="88" t="s">
        <v>1824</v>
      </c>
      <c r="AA61" s="93" t="s">
        <v>3032</v>
      </c>
      <c r="AB61" s="93" t="s">
        <v>3033</v>
      </c>
      <c r="AC61" s="205" t="s">
        <v>3689</v>
      </c>
      <c r="AD61" s="98"/>
      <c r="AE61" s="93" t="s">
        <v>2902</v>
      </c>
      <c r="AF61" s="93" t="s">
        <v>2028</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1326</v>
      </c>
      <c r="BL61" s="98"/>
      <c r="BM61" s="98"/>
      <c r="BN61" s="98"/>
      <c r="BO61" s="98"/>
      <c r="BP61" s="256"/>
      <c r="BQ61" s="93"/>
      <c r="BR61" s="93" t="s">
        <v>657</v>
      </c>
      <c r="BS61" s="93" t="s">
        <v>2631</v>
      </c>
      <c r="BT61" s="93" t="s">
        <v>2184</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1276</v>
      </c>
      <c r="CU61" s="98"/>
      <c r="CV61" s="88" t="s">
        <v>1928</v>
      </c>
      <c r="CW61" s="93" t="s">
        <v>2408</v>
      </c>
      <c r="CX61" s="93"/>
      <c r="CY61" s="93"/>
      <c r="CZ61" s="93" t="s">
        <v>3705</v>
      </c>
      <c r="DA61" s="93" t="s">
        <v>1215</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2392</v>
      </c>
      <c r="DZ61" s="93" t="s">
        <v>3708</v>
      </c>
      <c r="EA61" s="98"/>
      <c r="EB61" s="281"/>
    </row>
    <row r="62">
      <c r="A62" s="162" t="s">
        <v>3709</v>
      </c>
      <c r="B62" s="103" t="s">
        <v>3710</v>
      </c>
      <c r="C62" s="104" t="s">
        <v>1260</v>
      </c>
      <c r="D62" s="105" t="s">
        <v>1260</v>
      </c>
      <c r="E62" s="106" t="s">
        <v>1260</v>
      </c>
      <c r="F62" s="107" t="s">
        <v>1260</v>
      </c>
      <c r="G62" s="103" t="s">
        <v>2260</v>
      </c>
      <c r="H62" s="295" t="s">
        <v>1945</v>
      </c>
      <c r="I62" s="295" t="s">
        <v>3711</v>
      </c>
      <c r="J62" s="295" t="s">
        <v>3712</v>
      </c>
      <c r="K62" s="295" t="s">
        <v>1564</v>
      </c>
      <c r="L62" s="295" t="s">
        <v>778</v>
      </c>
      <c r="M62" s="295" t="s">
        <v>3713</v>
      </c>
      <c r="N62" s="295" t="s">
        <v>3714</v>
      </c>
      <c r="O62" s="295" t="s">
        <v>807</v>
      </c>
      <c r="P62" s="295" t="s">
        <v>3531</v>
      </c>
      <c r="Q62" s="295"/>
      <c r="R62" s="295" t="s">
        <v>3715</v>
      </c>
      <c r="S62" s="295" t="s">
        <v>3552</v>
      </c>
      <c r="T62" s="295" t="s">
        <v>1530</v>
      </c>
      <c r="U62" s="295" t="s">
        <v>3716</v>
      </c>
      <c r="V62" s="295" t="s">
        <v>3717</v>
      </c>
      <c r="W62" s="501"/>
      <c r="X62" s="192" t="s">
        <v>3106</v>
      </c>
      <c r="Y62" s="192" t="s">
        <v>1051</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2620</v>
      </c>
      <c r="AM62" s="195" t="s">
        <v>2966</v>
      </c>
      <c r="AN62" s="195" t="s">
        <v>3726</v>
      </c>
      <c r="AO62" s="195" t="s">
        <v>3727</v>
      </c>
      <c r="AP62" s="195" t="s">
        <v>3728</v>
      </c>
      <c r="AQ62" s="195" t="s">
        <v>3729</v>
      </c>
      <c r="AR62" s="195" t="s">
        <v>3296</v>
      </c>
      <c r="AS62" s="504"/>
      <c r="AT62" s="195" t="s">
        <v>3730</v>
      </c>
      <c r="AU62" s="195" t="s">
        <v>1452</v>
      </c>
      <c r="AV62" s="195" t="s">
        <v>3731</v>
      </c>
      <c r="AW62" s="504"/>
      <c r="AX62" s="195" t="s">
        <v>1138</v>
      </c>
      <c r="AY62" s="195" t="s">
        <v>3732</v>
      </c>
      <c r="AZ62" s="195"/>
      <c r="BA62" s="168" t="s">
        <v>3733</v>
      </c>
      <c r="BB62" s="168" t="s">
        <v>1565</v>
      </c>
      <c r="BC62" s="168" t="s">
        <v>1322</v>
      </c>
      <c r="BD62" s="168" t="s">
        <v>3734</v>
      </c>
      <c r="BE62" s="168" t="s">
        <v>3735</v>
      </c>
      <c r="BF62" s="168" t="s">
        <v>3736</v>
      </c>
      <c r="BG62" s="168" t="s">
        <v>3737</v>
      </c>
      <c r="BH62" s="168" t="s">
        <v>963</v>
      </c>
      <c r="BI62" s="168" t="s">
        <v>3738</v>
      </c>
      <c r="BJ62" s="168" t="s">
        <v>3739</v>
      </c>
      <c r="BK62" s="168" t="s">
        <v>3740</v>
      </c>
      <c r="BL62" s="505"/>
      <c r="BM62" s="168" t="s">
        <v>1306</v>
      </c>
      <c r="BN62" s="168" t="s">
        <v>3741</v>
      </c>
      <c r="BO62" s="168" t="s">
        <v>1601</v>
      </c>
      <c r="BP62" s="168"/>
      <c r="BQ62" s="304" t="s">
        <v>3742</v>
      </c>
      <c r="BR62" s="304" t="s">
        <v>2721</v>
      </c>
      <c r="BS62" s="304" t="s">
        <v>2153</v>
      </c>
      <c r="BT62" s="304" t="s">
        <v>3743</v>
      </c>
      <c r="BU62" s="304" t="s">
        <v>3744</v>
      </c>
      <c r="BV62" s="304" t="s">
        <v>3745</v>
      </c>
      <c r="BW62" s="304" t="s">
        <v>3746</v>
      </c>
      <c r="BX62" s="304"/>
      <c r="BY62" s="304" t="s">
        <v>3747</v>
      </c>
      <c r="BZ62" s="304" t="s">
        <v>1629</v>
      </c>
      <c r="CA62" s="304" t="s">
        <v>3748</v>
      </c>
      <c r="CB62" s="304" t="s">
        <v>3749</v>
      </c>
      <c r="CC62" s="304" t="s">
        <v>3750</v>
      </c>
      <c r="CD62" s="304" t="s">
        <v>3751</v>
      </c>
      <c r="CE62" s="304"/>
      <c r="CF62" s="448" t="s">
        <v>749</v>
      </c>
      <c r="CG62" s="448" t="s">
        <v>2251</v>
      </c>
      <c r="CH62" s="448" t="s">
        <v>3752</v>
      </c>
      <c r="CI62" s="448" t="s">
        <v>3753</v>
      </c>
      <c r="CJ62" s="448" t="s">
        <v>3754</v>
      </c>
      <c r="CK62" s="448" t="s">
        <v>3755</v>
      </c>
      <c r="CL62" s="448" t="s">
        <v>532</v>
      </c>
      <c r="CM62" s="448" t="s">
        <v>3756</v>
      </c>
      <c r="CN62" s="506"/>
      <c r="CO62" s="506"/>
      <c r="CP62" s="506"/>
      <c r="CQ62" s="448" t="s">
        <v>3757</v>
      </c>
      <c r="CR62" s="448" t="s">
        <v>247</v>
      </c>
      <c r="CS62" s="501"/>
      <c r="CT62" s="387" t="s">
        <v>1096</v>
      </c>
      <c r="CU62" s="387" t="s">
        <v>2539</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1492</v>
      </c>
      <c r="DM62" s="204" t="s">
        <v>3766</v>
      </c>
      <c r="DN62" s="204" t="s">
        <v>3767</v>
      </c>
      <c r="DO62" s="204" t="s">
        <v>3272</v>
      </c>
      <c r="DP62" s="204" t="s">
        <v>3768</v>
      </c>
      <c r="DQ62" s="204" t="s">
        <v>3208</v>
      </c>
      <c r="DR62" s="204" t="s">
        <v>2539</v>
      </c>
      <c r="DS62" s="204" t="s">
        <v>3769</v>
      </c>
      <c r="DT62" s="204" t="s">
        <v>3770</v>
      </c>
      <c r="DU62" s="204" t="s">
        <v>3771</v>
      </c>
      <c r="DV62" s="204" t="s">
        <v>158</v>
      </c>
      <c r="DW62" s="204" t="s">
        <v>2679</v>
      </c>
      <c r="DX62" s="204" t="s">
        <v>3772</v>
      </c>
      <c r="DY62" s="204" t="s">
        <v>1057</v>
      </c>
      <c r="DZ62" s="204" t="s">
        <v>933</v>
      </c>
      <c r="EA62" s="204" t="s">
        <v>3773</v>
      </c>
      <c r="EB62" s="311" t="s">
        <v>3774</v>
      </c>
    </row>
    <row r="63">
      <c r="A63" s="81" t="s">
        <v>3775</v>
      </c>
      <c r="B63" s="82" t="s">
        <v>3776</v>
      </c>
      <c r="C63" s="83" t="s">
        <v>1260</v>
      </c>
      <c r="D63" s="84" t="s">
        <v>1260</v>
      </c>
      <c r="E63" s="85" t="s">
        <v>1260</v>
      </c>
      <c r="F63" s="86" t="s">
        <v>332</v>
      </c>
      <c r="G63" s="82" t="s">
        <v>2221</v>
      </c>
      <c r="H63" s="98"/>
      <c r="I63" s="93" t="s">
        <v>3777</v>
      </c>
      <c r="J63" s="93" t="s">
        <v>2146</v>
      </c>
      <c r="K63" s="292" t="s">
        <v>2697</v>
      </c>
      <c r="L63" s="93" t="s">
        <v>602</v>
      </c>
      <c r="M63" s="281" t="s">
        <v>3778</v>
      </c>
      <c r="N63" s="93" t="s">
        <v>672</v>
      </c>
      <c r="O63" s="93" t="s">
        <v>3779</v>
      </c>
      <c r="P63" s="93" t="s">
        <v>1693</v>
      </c>
      <c r="Q63" s="98"/>
      <c r="R63" s="98"/>
      <c r="S63" s="98"/>
      <c r="T63" s="98"/>
      <c r="U63" s="98"/>
      <c r="V63" s="98"/>
      <c r="W63" s="92"/>
      <c r="X63" s="93" t="s">
        <v>2705</v>
      </c>
      <c r="Y63" s="93" t="s">
        <v>3780</v>
      </c>
      <c r="Z63" s="93" t="s">
        <v>1966</v>
      </c>
      <c r="AA63" s="93" t="s">
        <v>3781</v>
      </c>
      <c r="AB63" s="93" t="s">
        <v>2464</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2176</v>
      </c>
      <c r="BD63" s="93" t="s">
        <v>3786</v>
      </c>
      <c r="BE63" s="507" t="s">
        <v>2886</v>
      </c>
      <c r="BF63" s="98"/>
      <c r="BG63" s="98"/>
      <c r="BH63" s="93" t="s">
        <v>1976</v>
      </c>
      <c r="BI63" s="292" t="s">
        <v>3787</v>
      </c>
      <c r="BJ63" s="292"/>
      <c r="BK63" s="93" t="s">
        <v>2526</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1968</v>
      </c>
      <c r="CG63" s="93" t="s">
        <v>3146</v>
      </c>
      <c r="CH63" s="93" t="s">
        <v>1166</v>
      </c>
      <c r="CI63" s="93" t="s">
        <v>3791</v>
      </c>
      <c r="CJ63" s="93" t="s">
        <v>1839</v>
      </c>
      <c r="CK63" s="93" t="s">
        <v>2737</v>
      </c>
      <c r="CL63" s="93" t="s">
        <v>1627</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1081</v>
      </c>
      <c r="DB63" s="98"/>
      <c r="DC63" s="98"/>
      <c r="DD63" s="98"/>
      <c r="DE63" s="98"/>
      <c r="DF63" s="256"/>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3799</v>
      </c>
      <c r="B64" s="103" t="s">
        <v>3800</v>
      </c>
      <c r="C64" s="104" t="s">
        <v>1260</v>
      </c>
      <c r="D64" s="105" t="s">
        <v>1260</v>
      </c>
      <c r="E64" s="106" t="s">
        <v>1260</v>
      </c>
      <c r="F64" s="107" t="s">
        <v>1063</v>
      </c>
      <c r="G64" s="103" t="s">
        <v>3801</v>
      </c>
      <c r="H64" s="163" t="s">
        <v>3566</v>
      </c>
      <c r="I64" s="163" t="s">
        <v>3802</v>
      </c>
      <c r="J64" s="163" t="s">
        <v>3803</v>
      </c>
      <c r="K64" s="508" t="s">
        <v>1564</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1175</v>
      </c>
      <c r="AB64" s="193" t="s">
        <v>2198</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2051</v>
      </c>
      <c r="BF64" s="170" t="s">
        <v>1530</v>
      </c>
      <c r="BG64" s="169"/>
      <c r="BH64" s="170" t="s">
        <v>2053</v>
      </c>
      <c r="BI64" s="169"/>
      <c r="BJ64" s="170" t="s">
        <v>3814</v>
      </c>
      <c r="BK64" s="170" t="s">
        <v>3094</v>
      </c>
      <c r="BL64" s="169"/>
      <c r="BM64" s="124" t="s">
        <v>1658</v>
      </c>
      <c r="BN64" s="170" t="s">
        <v>3815</v>
      </c>
      <c r="BO64" s="169"/>
      <c r="BP64" s="268"/>
      <c r="BQ64" s="171"/>
      <c r="BR64" s="171" t="s">
        <v>2399</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2308</v>
      </c>
      <c r="CR64" s="275"/>
      <c r="CS64" s="92"/>
      <c r="CT64" s="201" t="s">
        <v>3825</v>
      </c>
      <c r="CU64" s="201" t="s">
        <v>2539</v>
      </c>
      <c r="CV64" s="201" t="s">
        <v>3826</v>
      </c>
      <c r="CW64" s="201" t="s">
        <v>3827</v>
      </c>
      <c r="CX64" s="201" t="s">
        <v>3828</v>
      </c>
      <c r="CY64" s="201" t="s">
        <v>3829</v>
      </c>
      <c r="CZ64" s="137" t="s">
        <v>3423</v>
      </c>
      <c r="DA64" s="201" t="s">
        <v>1703</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1260</v>
      </c>
      <c r="D65" s="84" t="s">
        <v>1260</v>
      </c>
      <c r="E65" s="85" t="s">
        <v>1260</v>
      </c>
      <c r="F65" s="86" t="s">
        <v>2991</v>
      </c>
      <c r="G65" s="82" t="s">
        <v>3836</v>
      </c>
      <c r="H65" s="98"/>
      <c r="I65" s="286" t="s">
        <v>3837</v>
      </c>
      <c r="J65" s="88" t="s">
        <v>3838</v>
      </c>
      <c r="K65" s="88" t="s">
        <v>2643</v>
      </c>
      <c r="L65" s="286" t="s">
        <v>3839</v>
      </c>
      <c r="M65" s="98"/>
      <c r="N65" s="88" t="s">
        <v>1644</v>
      </c>
      <c r="O65" s="88" t="s">
        <v>1733</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1659</v>
      </c>
      <c r="AN65" s="98"/>
      <c r="AO65" s="98"/>
      <c r="AP65" s="98"/>
      <c r="AQ65" s="98"/>
      <c r="AR65" s="98"/>
      <c r="AS65" s="98"/>
      <c r="AT65" s="88" t="s">
        <v>3438</v>
      </c>
      <c r="AU65" s="88" t="s">
        <v>3845</v>
      </c>
      <c r="AV65" s="98"/>
      <c r="AW65" s="98"/>
      <c r="AX65" s="98"/>
      <c r="AY65" s="98"/>
      <c r="AZ65" s="98"/>
      <c r="BA65" s="88" t="s">
        <v>187</v>
      </c>
      <c r="BB65" s="158" t="s">
        <v>551</v>
      </c>
      <c r="BC65" s="88" t="s">
        <v>143</v>
      </c>
      <c r="BD65" s="88" t="s">
        <v>1007</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1197</v>
      </c>
      <c r="BV65" s="88" t="s">
        <v>1308</v>
      </c>
      <c r="BW65" s="98"/>
      <c r="BX65" s="98"/>
      <c r="BY65" s="98"/>
      <c r="BZ65" s="88" t="s">
        <v>1712</v>
      </c>
      <c r="CA65" s="98"/>
      <c r="CB65" s="98"/>
      <c r="CC65" s="98"/>
      <c r="CD65" s="98"/>
      <c r="CE65" s="256"/>
      <c r="CF65" s="158" t="s">
        <v>3851</v>
      </c>
      <c r="CG65" s="158" t="s">
        <v>1755</v>
      </c>
      <c r="CH65" s="98"/>
      <c r="CI65" s="98"/>
      <c r="CJ65" s="98"/>
      <c r="CK65" s="98"/>
      <c r="CL65" s="88" t="s">
        <v>2198</v>
      </c>
      <c r="CM65" s="88" t="s">
        <v>1779</v>
      </c>
      <c r="CN65" s="98"/>
      <c r="CO65" s="98"/>
      <c r="CP65" s="98"/>
      <c r="CQ65" s="98"/>
      <c r="CR65" s="98"/>
      <c r="CS65" s="92"/>
      <c r="CT65" s="98"/>
      <c r="CU65" s="88" t="s">
        <v>184</v>
      </c>
      <c r="CV65" s="88" t="s">
        <v>3852</v>
      </c>
      <c r="CW65" s="88" t="s">
        <v>3111</v>
      </c>
      <c r="CX65" s="98"/>
      <c r="CY65" s="98"/>
      <c r="CZ65" s="281" t="s">
        <v>1282</v>
      </c>
      <c r="DA65" s="88" t="s">
        <v>128</v>
      </c>
      <c r="DB65" s="98"/>
      <c r="DC65" s="98"/>
      <c r="DD65" s="98"/>
      <c r="DE65" s="88" t="s">
        <v>3853</v>
      </c>
      <c r="DF65" s="88"/>
      <c r="DG65" s="98"/>
      <c r="DH65" s="98"/>
      <c r="DI65" s="98"/>
      <c r="DJ65" s="101"/>
      <c r="DK65" s="98"/>
      <c r="DL65" s="88" t="s">
        <v>2138</v>
      </c>
      <c r="DM65" s="98"/>
      <c r="DN65" s="98"/>
      <c r="DO65" s="98"/>
      <c r="DP65" s="88" t="s">
        <v>1879</v>
      </c>
      <c r="DQ65" s="286"/>
      <c r="DR65" s="98"/>
      <c r="DS65" s="88" t="s">
        <v>144</v>
      </c>
      <c r="DT65" s="98"/>
      <c r="DU65" s="88" t="s">
        <v>976</v>
      </c>
      <c r="DV65" s="98"/>
      <c r="DW65" s="98"/>
      <c r="DX65" s="98"/>
      <c r="DY65" s="98"/>
      <c r="DZ65" s="98"/>
      <c r="EA65" s="98"/>
      <c r="EB65" s="281"/>
    </row>
    <row r="66">
      <c r="A66" s="509" t="s">
        <v>3854</v>
      </c>
      <c r="B66" s="510" t="s">
        <v>3855</v>
      </c>
      <c r="C66" s="511" t="s">
        <v>1260</v>
      </c>
      <c r="D66" s="512" t="s">
        <v>1260</v>
      </c>
      <c r="E66" s="513" t="s">
        <v>1260</v>
      </c>
      <c r="F66" s="514" t="s">
        <v>3856</v>
      </c>
      <c r="G66" s="510" t="s">
        <v>440</v>
      </c>
      <c r="H66" s="515" t="s">
        <v>1800</v>
      </c>
      <c r="I66" s="515" t="s">
        <v>3857</v>
      </c>
      <c r="J66" s="335" t="s">
        <v>1510</v>
      </c>
      <c r="K66" s="515" t="s">
        <v>3583</v>
      </c>
      <c r="L66" s="515" t="s">
        <v>2514</v>
      </c>
      <c r="M66" s="515" t="s">
        <v>3858</v>
      </c>
      <c r="N66" s="335" t="s">
        <v>3231</v>
      </c>
      <c r="O66" s="516" t="s">
        <v>3859</v>
      </c>
      <c r="P66" s="515" t="s">
        <v>2750</v>
      </c>
      <c r="Q66" s="515" t="s">
        <v>3860</v>
      </c>
      <c r="R66" s="515" t="s">
        <v>3861</v>
      </c>
      <c r="S66" s="515" t="s">
        <v>2903</v>
      </c>
      <c r="T66" s="515" t="s">
        <v>2609</v>
      </c>
      <c r="U66" s="515" t="s">
        <v>3862</v>
      </c>
      <c r="V66" s="515" t="s">
        <v>3863</v>
      </c>
      <c r="W66" s="151"/>
      <c r="X66" s="340" t="s">
        <v>3851</v>
      </c>
      <c r="Y66" s="340" t="s">
        <v>3864</v>
      </c>
      <c r="Z66" s="338" t="s">
        <v>1320</v>
      </c>
      <c r="AA66" s="340" t="s">
        <v>2380</v>
      </c>
      <c r="AB66" s="340" t="s">
        <v>1900</v>
      </c>
      <c r="AC66" s="340" t="s">
        <v>3865</v>
      </c>
      <c r="AD66" s="338" t="s">
        <v>2354</v>
      </c>
      <c r="AE66" s="338" t="s">
        <v>1475</v>
      </c>
      <c r="AF66" s="340" t="s">
        <v>3723</v>
      </c>
      <c r="AG66" s="338" t="s">
        <v>2578</v>
      </c>
      <c r="AH66" s="340" t="s">
        <v>3866</v>
      </c>
      <c r="AI66" s="338" t="s">
        <v>2465</v>
      </c>
      <c r="AJ66" s="338" t="s">
        <v>3867</v>
      </c>
      <c r="AK66" s="155"/>
      <c r="AL66" s="344" t="s">
        <v>395</v>
      </c>
      <c r="AM66" s="517" t="s">
        <v>1492</v>
      </c>
      <c r="AN66" s="518" t="s">
        <v>3868</v>
      </c>
      <c r="AO66" s="343" t="s">
        <v>3869</v>
      </c>
      <c r="AP66" s="343" t="s">
        <v>3870</v>
      </c>
      <c r="AQ66" s="343" t="s">
        <v>2577</v>
      </c>
      <c r="AR66" s="343" t="s">
        <v>3871</v>
      </c>
      <c r="AS66" s="343" t="s">
        <v>3872</v>
      </c>
      <c r="AT66" s="518" t="s">
        <v>2589</v>
      </c>
      <c r="AU66" s="344" t="s">
        <v>365</v>
      </c>
      <c r="AV66" s="343" t="s">
        <v>3609</v>
      </c>
      <c r="AW66" s="343" t="s">
        <v>1799</v>
      </c>
      <c r="AX66" s="343" t="s">
        <v>3873</v>
      </c>
      <c r="AY66" s="343" t="s">
        <v>3874</v>
      </c>
      <c r="AZ66" s="343"/>
      <c r="BA66" s="519" t="s">
        <v>3875</v>
      </c>
      <c r="BB66" s="349" t="s">
        <v>2644</v>
      </c>
      <c r="BC66" s="519" t="s">
        <v>1398</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2188</v>
      </c>
      <c r="BY66" s="521" t="s">
        <v>3887</v>
      </c>
      <c r="BZ66" s="523" t="s">
        <v>2499</v>
      </c>
      <c r="CA66" s="523" t="s">
        <v>3888</v>
      </c>
      <c r="CB66" s="523" t="s">
        <v>345</v>
      </c>
      <c r="CC66" s="523" t="s">
        <v>3889</v>
      </c>
      <c r="CD66" s="354" t="s">
        <v>3890</v>
      </c>
      <c r="CE66" s="524"/>
      <c r="CF66" s="480" t="s">
        <v>2207</v>
      </c>
      <c r="CG66" s="480" t="s">
        <v>3086</v>
      </c>
      <c r="CH66" s="480" t="s">
        <v>3891</v>
      </c>
      <c r="CI66" s="356" t="s">
        <v>3892</v>
      </c>
      <c r="CJ66" s="525" t="s">
        <v>3893</v>
      </c>
      <c r="CK66" s="480" t="s">
        <v>3894</v>
      </c>
      <c r="CL66" s="356" t="s">
        <v>3260</v>
      </c>
      <c r="CM66" s="356" t="s">
        <v>3895</v>
      </c>
      <c r="CN66" s="480" t="s">
        <v>3896</v>
      </c>
      <c r="CO66" s="480" t="s">
        <v>3897</v>
      </c>
      <c r="CP66" s="480"/>
      <c r="CQ66" s="480" t="s">
        <v>1437</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2512</v>
      </c>
      <c r="DE66" s="359" t="s">
        <v>3488</v>
      </c>
      <c r="DF66" s="359"/>
      <c r="DG66" s="366" t="s">
        <v>1836</v>
      </c>
      <c r="DH66" s="366"/>
      <c r="DI66" s="366" t="s">
        <v>3906</v>
      </c>
      <c r="DJ66" s="366" t="s">
        <v>3907</v>
      </c>
      <c r="DK66" s="366" t="s">
        <v>2595</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2146</v>
      </c>
      <c r="DZ66" s="366" t="s">
        <v>3788</v>
      </c>
      <c r="EA66" s="366" t="s">
        <v>1900</v>
      </c>
      <c r="EB66" s="312" t="s">
        <v>3914</v>
      </c>
    </row>
    <row r="67">
      <c r="A67" s="529" t="s">
        <v>3915</v>
      </c>
      <c r="B67" s="82" t="s">
        <v>3916</v>
      </c>
      <c r="C67" s="83" t="s">
        <v>1260</v>
      </c>
      <c r="D67" s="84" t="s">
        <v>1260</v>
      </c>
      <c r="E67" s="85" t="s">
        <v>1260</v>
      </c>
      <c r="F67" s="86" t="s">
        <v>3314</v>
      </c>
      <c r="G67" s="82" t="s">
        <v>2924</v>
      </c>
      <c r="H67" s="88" t="s">
        <v>3474</v>
      </c>
      <c r="I67" s="93" t="s">
        <v>2296</v>
      </c>
      <c r="J67" s="93" t="s">
        <v>3917</v>
      </c>
      <c r="K67" s="93" t="s">
        <v>3918</v>
      </c>
      <c r="L67" s="93" t="s">
        <v>3919</v>
      </c>
      <c r="M67" s="93" t="s">
        <v>2254</v>
      </c>
      <c r="N67" s="93" t="s">
        <v>3920</v>
      </c>
      <c r="O67" s="93" t="s">
        <v>3921</v>
      </c>
      <c r="P67" s="93" t="s">
        <v>2997</v>
      </c>
      <c r="Q67" s="93" t="s">
        <v>3922</v>
      </c>
      <c r="R67" s="281" t="s">
        <v>3923</v>
      </c>
      <c r="S67" s="88" t="s">
        <v>1641</v>
      </c>
      <c r="T67" s="98"/>
      <c r="U67" s="93" t="s">
        <v>519</v>
      </c>
      <c r="V67" s="93" t="s">
        <v>3924</v>
      </c>
      <c r="W67" s="92"/>
      <c r="X67" s="93" t="s">
        <v>3925</v>
      </c>
      <c r="Y67" s="93" t="s">
        <v>3926</v>
      </c>
      <c r="Z67" s="93" t="s">
        <v>3927</v>
      </c>
      <c r="AA67" s="93" t="s">
        <v>3928</v>
      </c>
      <c r="AB67" s="93" t="s">
        <v>3929</v>
      </c>
      <c r="AC67" s="93" t="s">
        <v>3930</v>
      </c>
      <c r="AD67" s="93" t="s">
        <v>2651</v>
      </c>
      <c r="AE67" s="93" t="s">
        <v>3076</v>
      </c>
      <c r="AF67" s="93" t="s">
        <v>1435</v>
      </c>
      <c r="AG67" s="93" t="s">
        <v>3931</v>
      </c>
      <c r="AH67" s="93"/>
      <c r="AI67" s="93" t="s">
        <v>3363</v>
      </c>
      <c r="AJ67" s="93" t="s">
        <v>3932</v>
      </c>
      <c r="AK67" s="96"/>
      <c r="AL67" s="93" t="s">
        <v>999</v>
      </c>
      <c r="AM67" s="93" t="s">
        <v>3933</v>
      </c>
      <c r="AN67" s="93" t="s">
        <v>3934</v>
      </c>
      <c r="AO67" s="93" t="s">
        <v>992</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1803</v>
      </c>
      <c r="BD67" s="88" t="s">
        <v>868</v>
      </c>
      <c r="BE67" s="93" t="s">
        <v>2856</v>
      </c>
      <c r="BF67" s="93" t="s">
        <v>3943</v>
      </c>
      <c r="BG67" s="93" t="s">
        <v>3944</v>
      </c>
      <c r="BH67" s="93" t="s">
        <v>2504</v>
      </c>
      <c r="BI67" s="93" t="s">
        <v>2949</v>
      </c>
      <c r="BJ67" s="93"/>
      <c r="BK67" s="93" t="s">
        <v>3945</v>
      </c>
      <c r="BL67" s="93" t="s">
        <v>1536</v>
      </c>
      <c r="BM67" s="93" t="s">
        <v>3622</v>
      </c>
      <c r="BN67" s="93" t="s">
        <v>3946</v>
      </c>
      <c r="BO67" s="93" t="s">
        <v>3947</v>
      </c>
      <c r="BP67" s="99"/>
      <c r="BQ67" s="93" t="s">
        <v>3948</v>
      </c>
      <c r="BR67" s="88" t="s">
        <v>3949</v>
      </c>
      <c r="BS67" s="93" t="s">
        <v>3816</v>
      </c>
      <c r="BT67" s="93" t="s">
        <v>3950</v>
      </c>
      <c r="BU67" s="93" t="s">
        <v>3566</v>
      </c>
      <c r="BV67" s="93" t="s">
        <v>1629</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2249</v>
      </c>
      <c r="CK67" s="93" t="s">
        <v>3958</v>
      </c>
      <c r="CL67" s="93" t="s">
        <v>2525</v>
      </c>
      <c r="CM67" s="205" t="s">
        <v>3959</v>
      </c>
      <c r="CN67" s="93" t="s">
        <v>3960</v>
      </c>
      <c r="CO67" s="93" t="s">
        <v>3961</v>
      </c>
      <c r="CP67" s="98"/>
      <c r="CQ67" s="93" t="s">
        <v>3962</v>
      </c>
      <c r="CR67" s="93" t="s">
        <v>3963</v>
      </c>
      <c r="CS67" s="92"/>
      <c r="CT67" s="93" t="s">
        <v>3964</v>
      </c>
      <c r="CU67" s="88" t="s">
        <v>1691</v>
      </c>
      <c r="CV67" s="97" t="str">
        <f>HYPERLINK("https://youtu.be/1NiHXh4G_7o","31.54")</f>
        <v>31.54</v>
      </c>
      <c r="CW67" s="93" t="s">
        <v>3965</v>
      </c>
      <c r="CX67" s="93" t="s">
        <v>3966</v>
      </c>
      <c r="CY67" s="93" t="s">
        <v>3180</v>
      </c>
      <c r="CZ67" s="93" t="s">
        <v>3967</v>
      </c>
      <c r="DA67" s="88" t="s">
        <v>3968</v>
      </c>
      <c r="DB67" s="93" t="s">
        <v>3969</v>
      </c>
      <c r="DC67" s="93" t="s">
        <v>3970</v>
      </c>
      <c r="DD67" s="93" t="s">
        <v>1224</v>
      </c>
      <c r="DE67" s="93" t="s">
        <v>3971</v>
      </c>
      <c r="DF67" s="256"/>
      <c r="DG67" s="88" t="s">
        <v>2252</v>
      </c>
      <c r="DH67" s="93"/>
      <c r="DI67" s="93" t="s">
        <v>1942</v>
      </c>
      <c r="DJ67" s="93" t="s">
        <v>3972</v>
      </c>
      <c r="DK67" s="93" t="s">
        <v>3973</v>
      </c>
      <c r="DL67" s="93" t="s">
        <v>695</v>
      </c>
      <c r="DM67" s="93" t="s">
        <v>3974</v>
      </c>
      <c r="DN67" s="93" t="s">
        <v>3975</v>
      </c>
      <c r="DO67" s="93" t="s">
        <v>3976</v>
      </c>
      <c r="DP67" s="93" t="s">
        <v>1956</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1260</v>
      </c>
      <c r="D68" s="105" t="s">
        <v>545</v>
      </c>
      <c r="E68" s="106" t="s">
        <v>1260</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1220</v>
      </c>
      <c r="V68" s="163" t="s">
        <v>3993</v>
      </c>
      <c r="W68" s="92"/>
      <c r="X68" s="114" t="s">
        <v>3994</v>
      </c>
      <c r="Y68" s="193" t="s">
        <v>1011</v>
      </c>
      <c r="Z68" s="193" t="s">
        <v>3995</v>
      </c>
      <c r="AA68" s="114" t="s">
        <v>3719</v>
      </c>
      <c r="AB68" s="114" t="s">
        <v>3996</v>
      </c>
      <c r="AC68" s="193" t="s">
        <v>3997</v>
      </c>
      <c r="AD68" s="193"/>
      <c r="AE68" s="193" t="s">
        <v>3998</v>
      </c>
      <c r="AF68" s="193" t="s">
        <v>2276</v>
      </c>
      <c r="AG68" s="193" t="s">
        <v>3999</v>
      </c>
      <c r="AH68" s="193"/>
      <c r="AI68" s="193" t="s">
        <v>4000</v>
      </c>
      <c r="AJ68" s="114" t="s">
        <v>700</v>
      </c>
      <c r="AK68" s="96"/>
      <c r="AL68" s="164" t="s">
        <v>3443</v>
      </c>
      <c r="AM68" s="119" t="s">
        <v>3811</v>
      </c>
      <c r="AN68" s="164" t="s">
        <v>4001</v>
      </c>
      <c r="AO68" s="164" t="s">
        <v>4002</v>
      </c>
      <c r="AP68" s="164" t="s">
        <v>4003</v>
      </c>
      <c r="AQ68" s="164" t="s">
        <v>2625</v>
      </c>
      <c r="AR68" s="266"/>
      <c r="AS68" s="266"/>
      <c r="AT68" s="164" t="s">
        <v>1871</v>
      </c>
      <c r="AU68" s="164" t="s">
        <v>1055</v>
      </c>
      <c r="AV68" s="164" t="s">
        <v>1750</v>
      </c>
      <c r="AW68" s="266"/>
      <c r="AX68" s="119" t="s">
        <v>4004</v>
      </c>
      <c r="AY68" s="164" t="s">
        <v>4005</v>
      </c>
      <c r="AZ68" s="164"/>
      <c r="BA68" s="124" t="s">
        <v>2084</v>
      </c>
      <c r="BB68" s="170" t="s">
        <v>1481</v>
      </c>
      <c r="BC68" s="124" t="s">
        <v>1398</v>
      </c>
      <c r="BD68" s="124" t="s">
        <v>3585</v>
      </c>
      <c r="BE68" s="168" t="s">
        <v>4006</v>
      </c>
      <c r="BF68" s="170" t="s">
        <v>2270</v>
      </c>
      <c r="BG68" s="170" t="s">
        <v>1907</v>
      </c>
      <c r="BH68" s="170" t="s">
        <v>3055</v>
      </c>
      <c r="BI68" s="170" t="s">
        <v>4007</v>
      </c>
      <c r="BJ68" s="168" t="s">
        <v>4008</v>
      </c>
      <c r="BK68" s="170" t="s">
        <v>3848</v>
      </c>
      <c r="BL68" s="124" t="s">
        <v>4009</v>
      </c>
      <c r="BM68" s="124" t="s">
        <v>4010</v>
      </c>
      <c r="BN68" s="170" t="s">
        <v>4011</v>
      </c>
      <c r="BO68" s="170" t="s">
        <v>4012</v>
      </c>
      <c r="BP68" s="170"/>
      <c r="BQ68" s="127" t="s">
        <v>4013</v>
      </c>
      <c r="BR68" s="171" t="s">
        <v>2295</v>
      </c>
      <c r="BS68" s="127" t="s">
        <v>3850</v>
      </c>
      <c r="BT68" s="304" t="s">
        <v>3554</v>
      </c>
      <c r="BU68" s="171" t="s">
        <v>4014</v>
      </c>
      <c r="BV68" s="304" t="s">
        <v>3818</v>
      </c>
      <c r="BW68" s="271"/>
      <c r="BX68" s="171" t="s">
        <v>4015</v>
      </c>
      <c r="BY68" s="171" t="s">
        <v>4016</v>
      </c>
      <c r="BZ68" s="171" t="s">
        <v>1804</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1696</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2538</v>
      </c>
      <c r="DW68" s="202" t="s">
        <v>1055</v>
      </c>
      <c r="DX68" s="202" t="s">
        <v>2561</v>
      </c>
      <c r="DY68" s="202" t="s">
        <v>1499</v>
      </c>
      <c r="DZ68" s="202" t="s">
        <v>4041</v>
      </c>
      <c r="EA68" s="142" t="s">
        <v>3274</v>
      </c>
      <c r="EB68" s="312" t="s">
        <v>4042</v>
      </c>
    </row>
    <row r="69">
      <c r="A69" s="145" t="s">
        <v>4043</v>
      </c>
      <c r="B69" s="532" t="s">
        <v>4044</v>
      </c>
      <c r="C69" s="533" t="s">
        <v>1260</v>
      </c>
      <c r="D69" s="534" t="s">
        <v>545</v>
      </c>
      <c r="E69" s="535" t="s">
        <v>545</v>
      </c>
      <c r="F69" s="536" t="s">
        <v>1062</v>
      </c>
      <c r="G69" s="532" t="s">
        <v>1504</v>
      </c>
      <c r="H69" s="288" t="s">
        <v>4045</v>
      </c>
      <c r="I69" s="288" t="s">
        <v>3027</v>
      </c>
      <c r="J69" s="288" t="s">
        <v>4046</v>
      </c>
      <c r="K69" s="288" t="s">
        <v>1730</v>
      </c>
      <c r="L69" s="288" t="s">
        <v>1026</v>
      </c>
      <c r="M69" s="288" t="s">
        <v>4047</v>
      </c>
      <c r="N69" s="537" t="s">
        <v>4048</v>
      </c>
      <c r="O69" s="537" t="s">
        <v>4049</v>
      </c>
      <c r="P69" s="288" t="s">
        <v>652</v>
      </c>
      <c r="Q69" s="537"/>
      <c r="R69" s="537"/>
      <c r="S69" s="537"/>
      <c r="T69" s="537"/>
      <c r="U69" s="537"/>
      <c r="V69" s="537"/>
      <c r="W69" s="538"/>
      <c r="X69" s="288" t="s">
        <v>114</v>
      </c>
      <c r="Y69" s="288" t="s">
        <v>4050</v>
      </c>
      <c r="Z69" s="100" t="s">
        <v>1002</v>
      </c>
      <c r="AA69" s="288" t="s">
        <v>4051</v>
      </c>
      <c r="AB69" s="288" t="s">
        <v>756</v>
      </c>
      <c r="AC69" s="537" t="s">
        <v>3997</v>
      </c>
      <c r="AD69" s="288" t="s">
        <v>1076</v>
      </c>
      <c r="AE69" s="537" t="s">
        <v>4052</v>
      </c>
      <c r="AF69" s="288" t="s">
        <v>1435</v>
      </c>
      <c r="AG69" s="537"/>
      <c r="AH69" s="537"/>
      <c r="AI69" s="537"/>
      <c r="AJ69" s="537"/>
      <c r="AK69" s="538"/>
      <c r="AL69" s="539" t="s">
        <v>4053</v>
      </c>
      <c r="AM69" s="288" t="s">
        <v>1871</v>
      </c>
      <c r="AN69" s="537"/>
      <c r="AO69" s="537"/>
      <c r="AP69" s="537"/>
      <c r="AQ69" s="537"/>
      <c r="AR69" s="537" t="s">
        <v>4054</v>
      </c>
      <c r="AS69" s="537"/>
      <c r="AT69" s="288" t="s">
        <v>4055</v>
      </c>
      <c r="AU69" s="288" t="s">
        <v>4056</v>
      </c>
      <c r="AV69" s="537"/>
      <c r="AW69" s="537"/>
      <c r="AX69" s="537"/>
      <c r="AY69" s="537"/>
      <c r="AZ69" s="537"/>
      <c r="BA69" s="288" t="s">
        <v>4057</v>
      </c>
      <c r="BB69" s="288" t="s">
        <v>1294</v>
      </c>
      <c r="BC69" s="537" t="s">
        <v>2319</v>
      </c>
      <c r="BD69" s="537" t="s">
        <v>583</v>
      </c>
      <c r="BE69" s="288" t="s">
        <v>3724</v>
      </c>
      <c r="BF69" s="537"/>
      <c r="BG69" s="537"/>
      <c r="BH69" s="537" t="s">
        <v>2331</v>
      </c>
      <c r="BI69" s="537"/>
      <c r="BJ69" s="537" t="s">
        <v>4058</v>
      </c>
      <c r="BK69" s="537" t="s">
        <v>1432</v>
      </c>
      <c r="BL69" s="537"/>
      <c r="BM69" s="537"/>
      <c r="BN69" s="537"/>
      <c r="BO69" s="537"/>
      <c r="BP69" s="537"/>
      <c r="BQ69" s="537"/>
      <c r="BR69" s="537" t="s">
        <v>4059</v>
      </c>
      <c r="BS69" s="288" t="s">
        <v>2625</v>
      </c>
      <c r="BT69" s="537"/>
      <c r="BU69" s="537"/>
      <c r="BV69" s="537" t="s">
        <v>2011</v>
      </c>
      <c r="BW69" s="537"/>
      <c r="BX69" s="537"/>
      <c r="BY69" s="537"/>
      <c r="BZ69" s="537"/>
      <c r="CA69" s="537"/>
      <c r="CB69" s="537"/>
      <c r="CC69" s="537"/>
      <c r="CD69" s="537"/>
      <c r="CE69" s="98"/>
      <c r="CF69" s="288" t="s">
        <v>4060</v>
      </c>
      <c r="CG69" s="97" t="s">
        <v>1524</v>
      </c>
      <c r="CH69" s="537"/>
      <c r="CI69" s="537"/>
      <c r="CJ69" s="537"/>
      <c r="CK69" s="98"/>
      <c r="CL69" s="288" t="s">
        <v>1079</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1260</v>
      </c>
      <c r="D70" s="105" t="s">
        <v>1260</v>
      </c>
      <c r="E70" s="106" t="s">
        <v>1260</v>
      </c>
      <c r="F70" s="107" t="s">
        <v>2016</v>
      </c>
      <c r="G70" s="103" t="s">
        <v>741</v>
      </c>
      <c r="H70" s="111" t="s">
        <v>3316</v>
      </c>
      <c r="I70" s="111" t="s">
        <v>4064</v>
      </c>
      <c r="J70" s="111" t="s">
        <v>4065</v>
      </c>
      <c r="K70" s="111" t="s">
        <v>1425</v>
      </c>
      <c r="L70" s="111" t="s">
        <v>409</v>
      </c>
      <c r="M70" s="508" t="s">
        <v>4066</v>
      </c>
      <c r="N70" s="111" t="s">
        <v>4067</v>
      </c>
      <c r="O70" s="111" t="s">
        <v>3371</v>
      </c>
      <c r="P70" s="111" t="s">
        <v>3756</v>
      </c>
      <c r="Q70" s="218"/>
      <c r="R70" s="218"/>
      <c r="S70" s="163" t="s">
        <v>4068</v>
      </c>
      <c r="T70" s="218"/>
      <c r="U70" s="163" t="s">
        <v>1433</v>
      </c>
      <c r="V70" s="218"/>
      <c r="W70" s="92"/>
      <c r="X70" s="114" t="s">
        <v>1329</v>
      </c>
      <c r="Y70" s="114" t="s">
        <v>4069</v>
      </c>
      <c r="Z70" s="114" t="s">
        <v>4070</v>
      </c>
      <c r="AA70" s="192" t="s">
        <v>1116</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1659</v>
      </c>
      <c r="AU70" s="302" t="s">
        <v>732</v>
      </c>
      <c r="AV70" s="266"/>
      <c r="AW70" s="266"/>
      <c r="AX70" s="119" t="s">
        <v>4075</v>
      </c>
      <c r="AY70" s="119" t="s">
        <v>4076</v>
      </c>
      <c r="AZ70" s="266"/>
      <c r="BA70" s="124" t="s">
        <v>4077</v>
      </c>
      <c r="BB70" s="124" t="s">
        <v>4078</v>
      </c>
      <c r="BC70" s="124" t="s">
        <v>4079</v>
      </c>
      <c r="BD70" s="124" t="s">
        <v>4080</v>
      </c>
      <c r="BE70" s="124" t="s">
        <v>2465</v>
      </c>
      <c r="BF70" s="170" t="s">
        <v>441</v>
      </c>
      <c r="BG70" s="170" t="s">
        <v>4081</v>
      </c>
      <c r="BH70" s="325" t="s">
        <v>1322</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1311</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1286</v>
      </c>
      <c r="CU70" s="137" t="s">
        <v>1691</v>
      </c>
      <c r="CV70" s="400" t="s">
        <v>2829</v>
      </c>
      <c r="CW70" s="137" t="s">
        <v>2586</v>
      </c>
      <c r="CX70" s="201" t="s">
        <v>4104</v>
      </c>
      <c r="CY70" s="137" t="s">
        <v>2516</v>
      </c>
      <c r="CZ70" s="387" t="s">
        <v>4105</v>
      </c>
      <c r="DA70" s="137" t="s">
        <v>1747</v>
      </c>
      <c r="DB70" s="276"/>
      <c r="DC70" s="137" t="s">
        <v>4106</v>
      </c>
      <c r="DD70" s="201" t="s">
        <v>4107</v>
      </c>
      <c r="DE70" s="276"/>
      <c r="DF70" s="277"/>
      <c r="DG70" s="202" t="s">
        <v>943</v>
      </c>
      <c r="DH70" s="278"/>
      <c r="DI70" s="278"/>
      <c r="DJ70" s="278"/>
      <c r="DK70" s="142" t="s">
        <v>510</v>
      </c>
      <c r="DL70" s="202" t="s">
        <v>2011</v>
      </c>
      <c r="DM70" s="142" t="s">
        <v>1941</v>
      </c>
      <c r="DN70" s="202" t="s">
        <v>892</v>
      </c>
      <c r="DO70" s="278"/>
      <c r="DP70" s="202" t="s">
        <v>4108</v>
      </c>
      <c r="DQ70" s="278"/>
      <c r="DR70" s="202" t="s">
        <v>421</v>
      </c>
      <c r="DS70" s="142" t="s">
        <v>4109</v>
      </c>
      <c r="DT70" s="202" t="s">
        <v>1789</v>
      </c>
      <c r="DU70" s="204" t="s">
        <v>3470</v>
      </c>
      <c r="DV70" s="278"/>
      <c r="DW70" s="204" t="s">
        <v>298</v>
      </c>
      <c r="DX70" s="202" t="s">
        <v>4110</v>
      </c>
      <c r="DY70" s="202" t="s">
        <v>4111</v>
      </c>
      <c r="DZ70" s="142" t="s">
        <v>4112</v>
      </c>
      <c r="EA70" s="142" t="s">
        <v>1949</v>
      </c>
      <c r="EB70" s="139" t="s">
        <v>3061</v>
      </c>
    </row>
    <row r="71">
      <c r="A71" s="81" t="s">
        <v>4113</v>
      </c>
      <c r="B71" s="82" t="s">
        <v>4114</v>
      </c>
      <c r="C71" s="83" t="s">
        <v>1260</v>
      </c>
      <c r="D71" s="84" t="s">
        <v>1260</v>
      </c>
      <c r="E71" s="85" t="s">
        <v>1260</v>
      </c>
      <c r="F71" s="86" t="s">
        <v>2761</v>
      </c>
      <c r="G71" s="82" t="s">
        <v>3315</v>
      </c>
      <c r="H71" s="88" t="s">
        <v>145</v>
      </c>
      <c r="I71" s="88" t="s">
        <v>4115</v>
      </c>
      <c r="J71" s="88" t="s">
        <v>3891</v>
      </c>
      <c r="K71" s="88" t="s">
        <v>1880</v>
      </c>
      <c r="L71" s="88" t="s">
        <v>4116</v>
      </c>
      <c r="M71" s="88" t="s">
        <v>4117</v>
      </c>
      <c r="N71" s="88" t="s">
        <v>4118</v>
      </c>
      <c r="O71" s="88" t="s">
        <v>2114</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3117</v>
      </c>
      <c r="AU71" s="88" t="s">
        <v>408</v>
      </c>
      <c r="AV71" s="98"/>
      <c r="AW71" s="98"/>
      <c r="AX71" s="98"/>
      <c r="AY71" s="98"/>
      <c r="AZ71" s="98"/>
      <c r="BA71" s="88" t="s">
        <v>2814</v>
      </c>
      <c r="BB71" s="88" t="s">
        <v>308</v>
      </c>
      <c r="BC71" s="88" t="s">
        <v>1017</v>
      </c>
      <c r="BD71" s="88" t="s">
        <v>3163</v>
      </c>
      <c r="BE71" s="88" t="s">
        <v>4127</v>
      </c>
      <c r="BF71" s="88" t="s">
        <v>3108</v>
      </c>
      <c r="BG71" s="88" t="s">
        <v>4128</v>
      </c>
      <c r="BH71" s="88" t="s">
        <v>2311</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1472</v>
      </c>
      <c r="BV71" s="88" t="s">
        <v>1127</v>
      </c>
      <c r="BW71" s="88" t="s">
        <v>4134</v>
      </c>
      <c r="BX71" s="88" t="s">
        <v>4135</v>
      </c>
      <c r="BY71" s="98"/>
      <c r="BZ71" s="88" t="s">
        <v>2601</v>
      </c>
      <c r="CA71" s="98"/>
      <c r="CB71" s="98"/>
      <c r="CC71" s="88" t="s">
        <v>4136</v>
      </c>
      <c r="CD71" s="98"/>
      <c r="CE71" s="256"/>
      <c r="CF71" s="88" t="s">
        <v>4137</v>
      </c>
      <c r="CG71" s="88" t="s">
        <v>4138</v>
      </c>
      <c r="CH71" s="88" t="s">
        <v>2208</v>
      </c>
      <c r="CI71" s="88" t="s">
        <v>4139</v>
      </c>
      <c r="CJ71" s="88" t="s">
        <v>3094</v>
      </c>
      <c r="CK71" s="88" t="s">
        <v>367</v>
      </c>
      <c r="CL71" s="88" t="s">
        <v>1611</v>
      </c>
      <c r="CM71" s="88" t="s">
        <v>4140</v>
      </c>
      <c r="CN71" s="98"/>
      <c r="CO71" s="98"/>
      <c r="CP71" s="98"/>
      <c r="CQ71" s="98"/>
      <c r="CR71" s="98"/>
      <c r="CS71" s="92"/>
      <c r="CT71" s="88" t="s">
        <v>1933</v>
      </c>
      <c r="CU71" s="88" t="s">
        <v>550</v>
      </c>
      <c r="CV71" s="88" t="s">
        <v>4141</v>
      </c>
      <c r="CW71" s="88" t="s">
        <v>4142</v>
      </c>
      <c r="CX71" s="88" t="s">
        <v>4143</v>
      </c>
      <c r="CY71" s="88" t="s">
        <v>1900</v>
      </c>
      <c r="CZ71" s="88" t="s">
        <v>4144</v>
      </c>
      <c r="DA71" s="88" t="s">
        <v>4145</v>
      </c>
      <c r="DB71" s="98"/>
      <c r="DC71" s="98"/>
      <c r="DD71" s="88" t="s">
        <v>2376</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1948</v>
      </c>
      <c r="DT71" s="93" t="s">
        <v>4150</v>
      </c>
      <c r="DU71" s="88" t="s">
        <v>1713</v>
      </c>
      <c r="DV71" s="93" t="s">
        <v>3544</v>
      </c>
      <c r="DW71" s="93" t="s">
        <v>1554</v>
      </c>
      <c r="DX71" s="88" t="s">
        <v>4151</v>
      </c>
      <c r="DY71" s="88" t="s">
        <v>2171</v>
      </c>
      <c r="DZ71" s="93" t="s">
        <v>4152</v>
      </c>
      <c r="EA71" s="93" t="s">
        <v>1607</v>
      </c>
      <c r="EB71" s="368" t="s">
        <v>4153</v>
      </c>
    </row>
    <row r="72">
      <c r="A72" s="162" t="s">
        <v>4154</v>
      </c>
      <c r="B72" s="103" t="s">
        <v>4155</v>
      </c>
      <c r="C72" s="104" t="s">
        <v>1260</v>
      </c>
      <c r="D72" s="105" t="s">
        <v>1260</v>
      </c>
      <c r="E72" s="106" t="s">
        <v>1260</v>
      </c>
      <c r="F72" s="107" t="s">
        <v>1260</v>
      </c>
      <c r="G72" s="103" t="s">
        <v>4156</v>
      </c>
      <c r="H72" s="163" t="s">
        <v>1374</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1374</v>
      </c>
      <c r="Y72" s="193" t="s">
        <v>721</v>
      </c>
      <c r="Z72" s="193" t="s">
        <v>1779</v>
      </c>
      <c r="AA72" s="193" t="s">
        <v>4165</v>
      </c>
      <c r="AB72" s="193" t="s">
        <v>4166</v>
      </c>
      <c r="AC72" s="193" t="s">
        <v>1743</v>
      </c>
      <c r="AD72" s="193"/>
      <c r="AE72" s="193" t="s">
        <v>793</v>
      </c>
      <c r="AF72" s="193" t="s">
        <v>4167</v>
      </c>
      <c r="AG72" s="193" t="s">
        <v>2346</v>
      </c>
      <c r="AH72" s="193"/>
      <c r="AI72" s="193" t="s">
        <v>4168</v>
      </c>
      <c r="AJ72" s="193" t="s">
        <v>2575</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2630</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1521</v>
      </c>
      <c r="BW72" s="171" t="s">
        <v>1331</v>
      </c>
      <c r="BX72" s="171" t="s">
        <v>4185</v>
      </c>
      <c r="BY72" s="171" t="s">
        <v>4186</v>
      </c>
      <c r="BZ72" s="171" t="s">
        <v>3697</v>
      </c>
      <c r="CA72" s="171" t="s">
        <v>4187</v>
      </c>
      <c r="CB72" s="271"/>
      <c r="CC72" s="271"/>
      <c r="CD72" s="271"/>
      <c r="CE72" s="272"/>
      <c r="CF72" s="173" t="s">
        <v>4188</v>
      </c>
      <c r="CG72" s="173" t="s">
        <v>4189</v>
      </c>
      <c r="CH72" s="173" t="s">
        <v>4190</v>
      </c>
      <c r="CI72" s="173" t="s">
        <v>4191</v>
      </c>
      <c r="CJ72" s="173" t="s">
        <v>1264</v>
      </c>
      <c r="CK72" s="173" t="s">
        <v>1444</v>
      </c>
      <c r="CL72" s="173" t="s">
        <v>978</v>
      </c>
      <c r="CM72" s="173" t="s">
        <v>3656</v>
      </c>
      <c r="CN72" s="173" t="s">
        <v>4192</v>
      </c>
      <c r="CO72" s="173" t="s">
        <v>4193</v>
      </c>
      <c r="CP72" s="275"/>
      <c r="CQ72" s="275"/>
      <c r="CR72" s="275"/>
      <c r="CS72" s="92"/>
      <c r="CT72" s="201" t="s">
        <v>4194</v>
      </c>
      <c r="CU72" s="201" t="s">
        <v>4195</v>
      </c>
      <c r="CV72" s="201" t="s">
        <v>4196</v>
      </c>
      <c r="CW72" s="201" t="s">
        <v>2461</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1600</v>
      </c>
      <c r="DN72" s="202" t="s">
        <v>1015</v>
      </c>
      <c r="DO72" s="202" t="s">
        <v>4204</v>
      </c>
      <c r="DP72" s="202" t="s">
        <v>2209</v>
      </c>
      <c r="DQ72" s="202" t="s">
        <v>3197</v>
      </c>
      <c r="DR72" s="202" t="s">
        <v>4028</v>
      </c>
      <c r="DS72" s="202" t="s">
        <v>4205</v>
      </c>
      <c r="DT72" s="202" t="s">
        <v>4206</v>
      </c>
      <c r="DU72" s="202" t="s">
        <v>899</v>
      </c>
      <c r="DV72" s="202" t="s">
        <v>681</v>
      </c>
      <c r="DW72" s="202" t="s">
        <v>1316</v>
      </c>
      <c r="DX72" s="202" t="s">
        <v>4049</v>
      </c>
      <c r="DY72" s="202" t="s">
        <v>4207</v>
      </c>
      <c r="DZ72" s="202" t="s">
        <v>3577</v>
      </c>
      <c r="EA72" s="202" t="s">
        <v>4208</v>
      </c>
      <c r="EB72" s="312" t="s">
        <v>4209</v>
      </c>
    </row>
    <row r="73">
      <c r="A73" s="81" t="s">
        <v>4210</v>
      </c>
      <c r="B73" s="82" t="s">
        <v>4211</v>
      </c>
      <c r="C73" s="83" t="s">
        <v>1260</v>
      </c>
      <c r="D73" s="84" t="s">
        <v>1260</v>
      </c>
      <c r="E73" s="85" t="s">
        <v>1260</v>
      </c>
      <c r="F73" s="86" t="s">
        <v>914</v>
      </c>
      <c r="G73" s="82" t="s">
        <v>2016</v>
      </c>
      <c r="H73" s="97" t="str">
        <f>HYPERLINK("https://clips.twitch.tv/LachrymoseCourteousDelicataSeemsGood","51.28")</f>
        <v>51.28</v>
      </c>
      <c r="I73" s="205" t="s">
        <v>4212</v>
      </c>
      <c r="J73" s="205" t="s">
        <v>724</v>
      </c>
      <c r="K73" s="93" t="s">
        <v>1425</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1190</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2486</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1260</v>
      </c>
      <c r="E74" s="106" t="s">
        <v>1260</v>
      </c>
      <c r="F74" s="107" t="s">
        <v>3985</v>
      </c>
      <c r="G74" s="103" t="s">
        <v>2606</v>
      </c>
      <c r="H74" s="111" t="s">
        <v>4045</v>
      </c>
      <c r="I74" s="218"/>
      <c r="J74" s="218"/>
      <c r="K74" s="218"/>
      <c r="L74" s="163" t="s">
        <v>343</v>
      </c>
      <c r="M74" s="218"/>
      <c r="N74" s="218"/>
      <c r="O74" s="163" t="s">
        <v>4233</v>
      </c>
      <c r="P74" s="163" t="s">
        <v>2769</v>
      </c>
      <c r="Q74" s="109" t="s">
        <v>231</v>
      </c>
      <c r="R74" s="218"/>
      <c r="S74" s="218"/>
      <c r="T74" s="163" t="s">
        <v>2268</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2361</v>
      </c>
      <c r="AR74" s="266"/>
      <c r="AS74" s="164" t="s">
        <v>3721</v>
      </c>
      <c r="AT74" s="164" t="s">
        <v>4239</v>
      </c>
      <c r="AU74" s="119" t="s">
        <v>958</v>
      </c>
      <c r="AV74" s="119" t="s">
        <v>1781</v>
      </c>
      <c r="AW74" s="266"/>
      <c r="AX74" s="266"/>
      <c r="AY74" s="167" t="s">
        <v>4240</v>
      </c>
      <c r="AZ74" s="266"/>
      <c r="BA74" s="169"/>
      <c r="BB74" s="169"/>
      <c r="BC74" s="170"/>
      <c r="BD74" s="124" t="s">
        <v>3674</v>
      </c>
      <c r="BE74" s="169"/>
      <c r="BF74" s="124" t="s">
        <v>1997</v>
      </c>
      <c r="BG74" s="169"/>
      <c r="BH74" s="124" t="s">
        <v>2530</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1604</v>
      </c>
      <c r="CC74" s="171" t="s">
        <v>370</v>
      </c>
      <c r="CD74" s="270" t="s">
        <v>4245</v>
      </c>
      <c r="CE74" s="318"/>
      <c r="CF74" s="173" t="s">
        <v>3002</v>
      </c>
      <c r="CG74" s="132" t="s">
        <v>3355</v>
      </c>
      <c r="CH74" s="307" t="s">
        <v>3899</v>
      </c>
      <c r="CI74" s="173" t="s">
        <v>182</v>
      </c>
      <c r="CJ74" s="173" t="s">
        <v>3296</v>
      </c>
      <c r="CK74" s="173" t="s">
        <v>1158</v>
      </c>
      <c r="CL74" s="173" t="s">
        <v>4246</v>
      </c>
      <c r="CM74" s="275"/>
      <c r="CN74" s="275"/>
      <c r="CO74" s="448" t="s">
        <v>1888</v>
      </c>
      <c r="CP74" s="275"/>
      <c r="CQ74" s="275"/>
      <c r="CR74" s="274" t="s">
        <v>4230</v>
      </c>
      <c r="CS74" s="92"/>
      <c r="CT74" s="276"/>
      <c r="CU74" s="276"/>
      <c r="CV74" s="276"/>
      <c r="CW74" s="276"/>
      <c r="CX74" s="276"/>
      <c r="CY74" s="201" t="s">
        <v>2198</v>
      </c>
      <c r="CZ74" s="201" t="s">
        <v>2102</v>
      </c>
      <c r="DA74" s="276"/>
      <c r="DB74" s="135" t="s">
        <v>4247</v>
      </c>
      <c r="DC74" s="201"/>
      <c r="DD74" s="137" t="s">
        <v>4248</v>
      </c>
      <c r="DE74" s="135" t="s">
        <v>1837</v>
      </c>
      <c r="DF74" s="320"/>
      <c r="DG74" s="278"/>
      <c r="DH74" s="278"/>
      <c r="DI74" s="278"/>
      <c r="DJ74" s="279" t="s">
        <v>3631</v>
      </c>
      <c r="DK74" s="202" t="s">
        <v>528</v>
      </c>
      <c r="DL74" s="278"/>
      <c r="DM74" s="202" t="s">
        <v>1031</v>
      </c>
      <c r="DN74" s="202" t="s">
        <v>4249</v>
      </c>
      <c r="DO74" s="278"/>
      <c r="DP74" s="278"/>
      <c r="DQ74" s="142" t="s">
        <v>2198</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1809</v>
      </c>
      <c r="G75" s="82" t="s">
        <v>1809</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1147</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1260</v>
      </c>
      <c r="E76" s="106" t="s">
        <v>1260</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1705</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2617</v>
      </c>
      <c r="AJ76" s="265"/>
      <c r="AK76" s="96"/>
      <c r="AL76" s="164" t="s">
        <v>853</v>
      </c>
      <c r="AM76" s="164" t="s">
        <v>4273</v>
      </c>
      <c r="AN76" s="266"/>
      <c r="AO76" s="164" t="s">
        <v>4274</v>
      </c>
      <c r="AP76" s="266"/>
      <c r="AQ76" s="266"/>
      <c r="AR76" s="266"/>
      <c r="AS76" s="266"/>
      <c r="AT76" s="164" t="s">
        <v>4275</v>
      </c>
      <c r="AU76" s="164" t="s">
        <v>1375</v>
      </c>
      <c r="AV76" s="164"/>
      <c r="AW76" s="266"/>
      <c r="AX76" s="164" t="s">
        <v>127</v>
      </c>
      <c r="AY76" s="266"/>
      <c r="AZ76" s="266"/>
      <c r="BA76" s="170" t="s">
        <v>4276</v>
      </c>
      <c r="BB76" s="170" t="s">
        <v>449</v>
      </c>
      <c r="BC76" s="170" t="s">
        <v>3090</v>
      </c>
      <c r="BD76" s="324" t="s">
        <v>4277</v>
      </c>
      <c r="BE76" s="170" t="s">
        <v>1606</v>
      </c>
      <c r="BF76" s="169"/>
      <c r="BG76" s="169"/>
      <c r="BH76" s="170" t="s">
        <v>1330</v>
      </c>
      <c r="BI76" s="170"/>
      <c r="BJ76" s="170"/>
      <c r="BK76" s="170" t="s">
        <v>1981</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2409</v>
      </c>
      <c r="CA76" s="172" t="s">
        <v>4284</v>
      </c>
      <c r="CB76" s="171" t="s">
        <v>4285</v>
      </c>
      <c r="CC76" s="171" t="s">
        <v>689</v>
      </c>
      <c r="CD76" s="271"/>
      <c r="CE76" s="272"/>
      <c r="CF76" s="306" t="s">
        <v>4286</v>
      </c>
      <c r="CG76" s="173" t="s">
        <v>4287</v>
      </c>
      <c r="CH76" s="306"/>
      <c r="CI76" s="132" t="s">
        <v>4288</v>
      </c>
      <c r="CJ76" s="133"/>
      <c r="CK76" s="173" t="s">
        <v>2727</v>
      </c>
      <c r="CL76" s="173" t="s">
        <v>1554</v>
      </c>
      <c r="CM76" s="173" t="s">
        <v>2769</v>
      </c>
      <c r="CN76" s="275"/>
      <c r="CO76" s="275"/>
      <c r="CP76" s="275"/>
      <c r="CQ76" s="275"/>
      <c r="CR76" s="275"/>
      <c r="CS76" s="92"/>
      <c r="CT76" s="201" t="s">
        <v>4289</v>
      </c>
      <c r="CU76" s="276"/>
      <c r="CV76" s="201" t="s">
        <v>1695</v>
      </c>
      <c r="CW76" s="201" t="s">
        <v>3964</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4290</v>
      </c>
      <c r="DQ76" s="202"/>
      <c r="DR76" s="278"/>
      <c r="DS76" s="278"/>
      <c r="DT76" s="202" t="s">
        <v>1964</v>
      </c>
      <c r="DU76" s="278"/>
      <c r="DV76" s="278"/>
      <c r="DW76" s="278"/>
      <c r="DX76" s="278"/>
      <c r="DY76" s="202" t="s">
        <v>890</v>
      </c>
      <c r="DZ76" s="278"/>
      <c r="EA76" s="278"/>
      <c r="EB76" s="312"/>
    </row>
    <row r="77">
      <c r="A77" s="81" t="s">
        <v>4291</v>
      </c>
      <c r="B77" s="82" t="s">
        <v>4292</v>
      </c>
      <c r="C77" s="83" t="s">
        <v>1260</v>
      </c>
      <c r="D77" s="84" t="s">
        <v>1260</v>
      </c>
      <c r="E77" s="85" t="s">
        <v>1260</v>
      </c>
      <c r="F77" s="86" t="s">
        <v>1260</v>
      </c>
      <c r="G77" s="82" t="s">
        <v>3681</v>
      </c>
      <c r="H77" s="93"/>
      <c r="I77" s="93" t="s">
        <v>4293</v>
      </c>
      <c r="J77" s="93" t="s">
        <v>4294</v>
      </c>
      <c r="K77" s="93" t="s">
        <v>1880</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1781</v>
      </c>
      <c r="AC77" s="93" t="s">
        <v>2820</v>
      </c>
      <c r="AD77" s="98"/>
      <c r="AE77" s="281" t="s">
        <v>1279</v>
      </c>
      <c r="AF77" s="93" t="s">
        <v>3840</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2344</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2159</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1260</v>
      </c>
      <c r="D78" s="105" t="s">
        <v>1260</v>
      </c>
      <c r="E78" s="106" t="s">
        <v>1260</v>
      </c>
      <c r="F78" s="107" t="s">
        <v>1260</v>
      </c>
      <c r="G78" s="103" t="s">
        <v>3219</v>
      </c>
      <c r="H78" s="163" t="s">
        <v>1288</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1032</v>
      </c>
      <c r="AB78" s="193" t="s">
        <v>635</v>
      </c>
      <c r="AC78" s="193" t="s">
        <v>4334</v>
      </c>
      <c r="AD78" s="193" t="s">
        <v>4335</v>
      </c>
      <c r="AE78" s="193" t="s">
        <v>4336</v>
      </c>
      <c r="AF78" s="193" t="s">
        <v>4124</v>
      </c>
      <c r="AG78" s="193" t="s">
        <v>4337</v>
      </c>
      <c r="AH78" s="193"/>
      <c r="AI78" s="193" t="s">
        <v>4338</v>
      </c>
      <c r="AJ78" s="193" t="s">
        <v>4339</v>
      </c>
      <c r="AK78" s="96"/>
      <c r="AL78" s="164" t="s">
        <v>1265</v>
      </c>
      <c r="AM78" s="164" t="s">
        <v>4340</v>
      </c>
      <c r="AN78" s="164" t="s">
        <v>4341</v>
      </c>
      <c r="AO78" s="164" t="s">
        <v>4342</v>
      </c>
      <c r="AP78" s="164" t="s">
        <v>4343</v>
      </c>
      <c r="AQ78" s="164"/>
      <c r="AR78" s="164" t="s">
        <v>1013</v>
      </c>
      <c r="AS78" s="164" t="s">
        <v>4344</v>
      </c>
      <c r="AT78" s="164" t="s">
        <v>325</v>
      </c>
      <c r="AU78" s="164" t="s">
        <v>4345</v>
      </c>
      <c r="AV78" s="164" t="s">
        <v>4346</v>
      </c>
      <c r="AW78" s="164" t="s">
        <v>1666</v>
      </c>
      <c r="AX78" s="164" t="s">
        <v>1641</v>
      </c>
      <c r="AY78" s="164" t="s">
        <v>4347</v>
      </c>
      <c r="AZ78" s="164"/>
      <c r="BA78" s="170" t="s">
        <v>592</v>
      </c>
      <c r="BB78" s="170" t="s">
        <v>4348</v>
      </c>
      <c r="BC78" s="170" t="s">
        <v>2944</v>
      </c>
      <c r="BD78" s="170" t="s">
        <v>261</v>
      </c>
      <c r="BE78" s="170" t="s">
        <v>3831</v>
      </c>
      <c r="BF78" s="170" t="s">
        <v>1220</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1404</v>
      </c>
      <c r="BX78" s="271"/>
      <c r="BY78" s="171" t="s">
        <v>4356</v>
      </c>
      <c r="BZ78" s="171" t="s">
        <v>4357</v>
      </c>
      <c r="CA78" s="171" t="s">
        <v>4358</v>
      </c>
      <c r="CB78" s="171" t="s">
        <v>4359</v>
      </c>
      <c r="CC78" s="171" t="s">
        <v>1135</v>
      </c>
      <c r="CD78" s="171" t="s">
        <v>4360</v>
      </c>
      <c r="CE78" s="171"/>
      <c r="CF78" s="173" t="s">
        <v>4361</v>
      </c>
      <c r="CG78" s="173" t="s">
        <v>3131</v>
      </c>
      <c r="CH78" s="173" t="s">
        <v>4362</v>
      </c>
      <c r="CI78" s="173" t="s">
        <v>4363</v>
      </c>
      <c r="CJ78" s="173" t="s">
        <v>238</v>
      </c>
      <c r="CK78" s="546" t="s">
        <v>4364</v>
      </c>
      <c r="CL78" s="173" t="s">
        <v>3214</v>
      </c>
      <c r="CM78" s="173" t="s">
        <v>3656</v>
      </c>
      <c r="CN78" s="275"/>
      <c r="CO78" s="173" t="s">
        <v>1389</v>
      </c>
      <c r="CP78" s="173"/>
      <c r="CQ78" s="173" t="s">
        <v>4365</v>
      </c>
      <c r="CR78" s="173" t="s">
        <v>4366</v>
      </c>
      <c r="CS78" s="92"/>
      <c r="CT78" s="201" t="s">
        <v>2971</v>
      </c>
      <c r="CU78" s="201" t="s">
        <v>4367</v>
      </c>
      <c r="CV78" s="201" t="s">
        <v>4368</v>
      </c>
      <c r="CW78" s="201" t="s">
        <v>1553</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1365</v>
      </c>
      <c r="DU78" s="202" t="s">
        <v>899</v>
      </c>
      <c r="DV78" s="278"/>
      <c r="DW78" s="202" t="s">
        <v>2216</v>
      </c>
      <c r="DX78" s="202" t="s">
        <v>3298</v>
      </c>
      <c r="DY78" s="202" t="s">
        <v>1097</v>
      </c>
      <c r="DZ78" s="202" t="s">
        <v>4381</v>
      </c>
      <c r="EA78" s="202" t="s">
        <v>2409</v>
      </c>
      <c r="EB78" s="312" t="s">
        <v>3277</v>
      </c>
    </row>
    <row r="79">
      <c r="A79" s="547" t="s">
        <v>4382</v>
      </c>
      <c r="B79" s="82" t="s">
        <v>4383</v>
      </c>
      <c r="C79" s="83" t="s">
        <v>1260</v>
      </c>
      <c r="D79" s="84" t="s">
        <v>1260</v>
      </c>
      <c r="E79" s="85" t="s">
        <v>1260</v>
      </c>
      <c r="F79" s="86" t="s">
        <v>545</v>
      </c>
      <c r="G79" s="82" t="s">
        <v>4384</v>
      </c>
      <c r="H79" s="93" t="s">
        <v>2116</v>
      </c>
      <c r="I79" s="93" t="s">
        <v>4385</v>
      </c>
      <c r="J79" s="93" t="s">
        <v>3530</v>
      </c>
      <c r="K79" s="93" t="s">
        <v>2272</v>
      </c>
      <c r="L79" s="93" t="s">
        <v>1115</v>
      </c>
      <c r="M79" s="93" t="s">
        <v>4386</v>
      </c>
      <c r="N79" s="93" t="s">
        <v>4387</v>
      </c>
      <c r="O79" s="93" t="s">
        <v>4388</v>
      </c>
      <c r="P79" s="93" t="s">
        <v>2769</v>
      </c>
      <c r="Q79" s="98"/>
      <c r="R79" s="98"/>
      <c r="S79" s="93" t="s">
        <v>1344</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1871</v>
      </c>
      <c r="AU79" s="93" t="s">
        <v>2911</v>
      </c>
      <c r="AV79" s="98"/>
      <c r="AW79" s="98"/>
      <c r="AX79" s="98"/>
      <c r="AY79" s="98"/>
      <c r="AZ79" s="98"/>
      <c r="BA79" s="93" t="s">
        <v>3220</v>
      </c>
      <c r="BB79" s="93" t="s">
        <v>2225</v>
      </c>
      <c r="BC79" s="93" t="s">
        <v>293</v>
      </c>
      <c r="BD79" s="93" t="s">
        <v>4396</v>
      </c>
      <c r="BE79" s="93" t="s">
        <v>4397</v>
      </c>
      <c r="BF79" s="93" t="s">
        <v>1296</v>
      </c>
      <c r="BG79" s="98"/>
      <c r="BH79" s="93" t="s">
        <v>2170</v>
      </c>
      <c r="BI79" s="93" t="s">
        <v>4398</v>
      </c>
      <c r="BJ79" s="98"/>
      <c r="BK79" s="93" t="s">
        <v>2489</v>
      </c>
      <c r="BL79" s="98"/>
      <c r="BM79" s="98"/>
      <c r="BN79" s="93" t="s">
        <v>4399</v>
      </c>
      <c r="BO79" s="98"/>
      <c r="BP79" s="256"/>
      <c r="BQ79" s="93" t="s">
        <v>4400</v>
      </c>
      <c r="BR79" s="377" t="s">
        <v>3449</v>
      </c>
      <c r="BS79" s="377" t="s">
        <v>4401</v>
      </c>
      <c r="BT79" s="377" t="s">
        <v>4402</v>
      </c>
      <c r="BU79" s="376" t="s">
        <v>1835</v>
      </c>
      <c r="BV79" s="377" t="s">
        <v>1723</v>
      </c>
      <c r="BW79" s="88" t="s">
        <v>162</v>
      </c>
      <c r="BX79" s="93" t="s">
        <v>4403</v>
      </c>
      <c r="BY79" s="98"/>
      <c r="BZ79" s="93" t="s">
        <v>4404</v>
      </c>
      <c r="CA79" s="98"/>
      <c r="CB79" s="98"/>
      <c r="CC79" s="98"/>
      <c r="CD79" s="98"/>
      <c r="CE79" s="256"/>
      <c r="CF79" s="377" t="s">
        <v>4405</v>
      </c>
      <c r="CG79" s="376" t="s">
        <v>1322</v>
      </c>
      <c r="CH79" s="376" t="s">
        <v>4406</v>
      </c>
      <c r="CI79" s="376" t="s">
        <v>4407</v>
      </c>
      <c r="CJ79" s="376" t="s">
        <v>550</v>
      </c>
      <c r="CK79" s="377" t="s">
        <v>4408</v>
      </c>
      <c r="CL79" s="376" t="s">
        <v>1695</v>
      </c>
      <c r="CM79" s="377" t="s">
        <v>2473</v>
      </c>
      <c r="CN79" s="98"/>
      <c r="CO79" s="98"/>
      <c r="CP79" s="98"/>
      <c r="CQ79" s="98"/>
      <c r="CR79" s="98"/>
      <c r="CS79" s="92"/>
      <c r="CT79" s="377" t="s">
        <v>4409</v>
      </c>
      <c r="CU79" s="376" t="s">
        <v>2539</v>
      </c>
      <c r="CV79" s="377" t="s">
        <v>1651</v>
      </c>
      <c r="CW79" s="377" t="s">
        <v>3078</v>
      </c>
      <c r="CX79" s="377" t="s">
        <v>4410</v>
      </c>
      <c r="CY79" s="377" t="s">
        <v>1651</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1083</v>
      </c>
      <c r="EB79" s="376" t="s">
        <v>4416</v>
      </c>
    </row>
    <row r="80">
      <c r="A80" s="162" t="s">
        <v>4417</v>
      </c>
      <c r="B80" s="103" t="s">
        <v>4418</v>
      </c>
      <c r="C80" s="104" t="s">
        <v>1260</v>
      </c>
      <c r="D80" s="105" t="s">
        <v>1260</v>
      </c>
      <c r="E80" s="106" t="s">
        <v>1260</v>
      </c>
      <c r="F80" s="107" t="s">
        <v>331</v>
      </c>
      <c r="G80" s="103" t="s">
        <v>2991</v>
      </c>
      <c r="H80" s="163"/>
      <c r="I80" s="111" t="s">
        <v>4419</v>
      </c>
      <c r="J80" s="218" t="s">
        <v>1641</v>
      </c>
      <c r="K80" s="295" t="s">
        <v>4420</v>
      </c>
      <c r="L80" s="111" t="s">
        <v>4421</v>
      </c>
      <c r="M80" s="369" t="s">
        <v>1731</v>
      </c>
      <c r="N80" s="218"/>
      <c r="O80" s="297" t="s">
        <v>4422</v>
      </c>
      <c r="P80" s="111" t="s">
        <v>2769</v>
      </c>
      <c r="Q80" s="218"/>
      <c r="R80" s="163"/>
      <c r="S80" s="163"/>
      <c r="T80" s="218"/>
      <c r="U80" s="218"/>
      <c r="V80" s="218"/>
      <c r="W80" s="92"/>
      <c r="X80" s="114" t="s">
        <v>1662</v>
      </c>
      <c r="Y80" s="193" t="s">
        <v>4391</v>
      </c>
      <c r="Z80" s="114" t="s">
        <v>1432</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1732</v>
      </c>
      <c r="AT80" s="166" t="s">
        <v>4425</v>
      </c>
      <c r="AU80" s="266"/>
      <c r="AV80" s="266"/>
      <c r="AW80" s="266"/>
      <c r="AX80" s="266"/>
      <c r="AY80" s="266"/>
      <c r="AZ80" s="266"/>
      <c r="BA80" s="169"/>
      <c r="BB80" s="169"/>
      <c r="BC80" s="170" t="s">
        <v>1290</v>
      </c>
      <c r="BD80" s="124" t="s">
        <v>4426</v>
      </c>
      <c r="BE80" s="170" t="s">
        <v>4427</v>
      </c>
      <c r="BF80" s="169"/>
      <c r="BG80" s="169"/>
      <c r="BH80" s="170" t="s">
        <v>1289</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1927</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1260</v>
      </c>
      <c r="D81" s="84" t="s">
        <v>1260</v>
      </c>
      <c r="E81" s="85" t="s">
        <v>1260</v>
      </c>
      <c r="F81" s="86" t="s">
        <v>218</v>
      </c>
      <c r="G81" s="82" t="s">
        <v>1955</v>
      </c>
      <c r="H81" s="88" t="s">
        <v>2788</v>
      </c>
      <c r="I81" s="286" t="s">
        <v>4435</v>
      </c>
      <c r="J81" s="93" t="s">
        <v>669</v>
      </c>
      <c r="K81" s="93" t="s">
        <v>4436</v>
      </c>
      <c r="L81" s="93" t="s">
        <v>4437</v>
      </c>
      <c r="M81" s="93" t="s">
        <v>4438</v>
      </c>
      <c r="N81" s="93" t="s">
        <v>4439</v>
      </c>
      <c r="O81" s="93" t="s">
        <v>370</v>
      </c>
      <c r="P81" s="93" t="s">
        <v>2852</v>
      </c>
      <c r="Q81" s="88" t="s">
        <v>4440</v>
      </c>
      <c r="R81" s="93" t="s">
        <v>2504</v>
      </c>
      <c r="S81" s="158" t="s">
        <v>2945</v>
      </c>
      <c r="T81" s="93" t="s">
        <v>2936</v>
      </c>
      <c r="U81" s="93" t="s">
        <v>2041</v>
      </c>
      <c r="V81" s="93" t="s">
        <v>4441</v>
      </c>
      <c r="W81" s="92"/>
      <c r="X81" s="286" t="s">
        <v>4442</v>
      </c>
      <c r="Y81" s="93" t="s">
        <v>3058</v>
      </c>
      <c r="Z81" s="205" t="s">
        <v>3457</v>
      </c>
      <c r="AA81" s="158" t="s">
        <v>3719</v>
      </c>
      <c r="AB81" s="158" t="s">
        <v>4443</v>
      </c>
      <c r="AC81" s="88" t="s">
        <v>4444</v>
      </c>
      <c r="AD81" s="98"/>
      <c r="AE81" s="88" t="s">
        <v>3328</v>
      </c>
      <c r="AF81" s="205" t="s">
        <v>1741</v>
      </c>
      <c r="AG81" s="93" t="s">
        <v>1905</v>
      </c>
      <c r="AH81" s="98"/>
      <c r="AI81" s="93" t="s">
        <v>3516</v>
      </c>
      <c r="AJ81" s="93" t="s">
        <v>4445</v>
      </c>
      <c r="AK81" s="96"/>
      <c r="AL81" s="93" t="s">
        <v>138</v>
      </c>
      <c r="AM81" s="93" t="s">
        <v>4446</v>
      </c>
      <c r="AN81" s="93" t="s">
        <v>4447</v>
      </c>
      <c r="AO81" s="93" t="s">
        <v>4448</v>
      </c>
      <c r="AP81" s="93" t="s">
        <v>1428</v>
      </c>
      <c r="AQ81" s="93" t="s">
        <v>3715</v>
      </c>
      <c r="AR81" s="93" t="s">
        <v>3565</v>
      </c>
      <c r="AS81" s="93" t="s">
        <v>4449</v>
      </c>
      <c r="AT81" s="93" t="s">
        <v>2686</v>
      </c>
      <c r="AU81" s="93" t="s">
        <v>1627</v>
      </c>
      <c r="AV81" s="93" t="s">
        <v>4450</v>
      </c>
      <c r="AW81" s="98"/>
      <c r="AX81" s="93" t="s">
        <v>1071</v>
      </c>
      <c r="AY81" s="286" t="s">
        <v>4451</v>
      </c>
      <c r="AZ81" s="93"/>
      <c r="BA81" s="93" t="s">
        <v>4452</v>
      </c>
      <c r="BB81" s="93" t="s">
        <v>4453</v>
      </c>
      <c r="BC81" s="88" t="s">
        <v>1398</v>
      </c>
      <c r="BD81" s="93" t="s">
        <v>4454</v>
      </c>
      <c r="BE81" s="93" t="s">
        <v>3664</v>
      </c>
      <c r="BF81" s="93" t="s">
        <v>4455</v>
      </c>
      <c r="BG81" s="93" t="s">
        <v>4456</v>
      </c>
      <c r="BH81" s="93" t="s">
        <v>1327</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1437</v>
      </c>
      <c r="CR81" s="88" t="s">
        <v>4474</v>
      </c>
      <c r="CS81" s="92"/>
      <c r="CT81" s="93" t="s">
        <v>4475</v>
      </c>
      <c r="CU81" s="93" t="s">
        <v>1144</v>
      </c>
      <c r="CV81" s="93" t="s">
        <v>4476</v>
      </c>
      <c r="CW81" s="93" t="s">
        <v>3316</v>
      </c>
      <c r="CX81" s="93" t="s">
        <v>1486</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1924</v>
      </c>
      <c r="DM81" s="93" t="s">
        <v>3908</v>
      </c>
      <c r="DN81" s="93" t="s">
        <v>4484</v>
      </c>
      <c r="DO81" s="93" t="s">
        <v>4485</v>
      </c>
      <c r="DP81" s="93" t="s">
        <v>4238</v>
      </c>
      <c r="DQ81" s="93" t="s">
        <v>4486</v>
      </c>
      <c r="DR81" s="93" t="s">
        <v>815</v>
      </c>
      <c r="DS81" s="93" t="s">
        <v>1802</v>
      </c>
      <c r="DT81" s="93" t="s">
        <v>2650</v>
      </c>
      <c r="DU81" s="93" t="s">
        <v>4487</v>
      </c>
      <c r="DV81" s="93" t="s">
        <v>4488</v>
      </c>
      <c r="DW81" s="93" t="s">
        <v>4489</v>
      </c>
      <c r="DX81" s="93" t="s">
        <v>2895</v>
      </c>
      <c r="DY81" s="93" t="s">
        <v>2600</v>
      </c>
      <c r="DZ81" s="88" t="s">
        <v>4490</v>
      </c>
      <c r="EA81" s="88" t="s">
        <v>4041</v>
      </c>
      <c r="EB81" s="97" t="s">
        <v>2988</v>
      </c>
    </row>
    <row r="82">
      <c r="A82" s="548" t="s">
        <v>4491</v>
      </c>
      <c r="B82" s="549" t="s">
        <v>4492</v>
      </c>
      <c r="C82" s="550" t="s">
        <v>1260</v>
      </c>
      <c r="D82" s="551" t="s">
        <v>1260</v>
      </c>
      <c r="E82" s="552" t="s">
        <v>1260</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2044</v>
      </c>
      <c r="Y82" s="382" t="s">
        <v>3036</v>
      </c>
      <c r="Z82" s="382" t="s">
        <v>2157</v>
      </c>
      <c r="AA82" s="382" t="s">
        <v>4498</v>
      </c>
      <c r="AB82" s="382" t="s">
        <v>1781</v>
      </c>
      <c r="AC82" s="382" t="s">
        <v>4000</v>
      </c>
      <c r="AD82" s="556"/>
      <c r="AE82" s="382" t="s">
        <v>2354</v>
      </c>
      <c r="AF82" s="382" t="s">
        <v>3169</v>
      </c>
      <c r="AG82" s="556"/>
      <c r="AH82" s="556"/>
      <c r="AI82" s="382"/>
      <c r="AJ82" s="556"/>
      <c r="AK82" s="557"/>
      <c r="AL82" s="302"/>
      <c r="AM82" s="302"/>
      <c r="AN82" s="558"/>
      <c r="AO82" s="558"/>
      <c r="AP82" s="559"/>
      <c r="AQ82" s="559"/>
      <c r="AR82" s="558"/>
      <c r="AS82" s="558"/>
      <c r="AT82" s="302" t="s">
        <v>4499</v>
      </c>
      <c r="AU82" s="302" t="s">
        <v>1452</v>
      </c>
      <c r="AV82" s="302"/>
      <c r="AW82" s="558"/>
      <c r="AX82" s="558"/>
      <c r="AY82" s="558"/>
      <c r="AZ82" s="558"/>
      <c r="BA82" s="325" t="s">
        <v>3149</v>
      </c>
      <c r="BB82" s="325" t="s">
        <v>809</v>
      </c>
      <c r="BC82" s="325" t="s">
        <v>293</v>
      </c>
      <c r="BD82" s="325" t="s">
        <v>4500</v>
      </c>
      <c r="BE82" s="325" t="s">
        <v>4452</v>
      </c>
      <c r="BF82" s="325"/>
      <c r="BG82" s="560"/>
      <c r="BH82" s="325" t="s">
        <v>1375</v>
      </c>
      <c r="BI82" s="560"/>
      <c r="BJ82" s="325" t="s">
        <v>4501</v>
      </c>
      <c r="BK82" s="325" t="s">
        <v>4083</v>
      </c>
      <c r="BL82" s="560"/>
      <c r="BM82" s="560"/>
      <c r="BN82" s="325"/>
      <c r="BO82" s="560"/>
      <c r="BP82" s="561"/>
      <c r="BQ82" s="327" t="s">
        <v>4502</v>
      </c>
      <c r="BR82" s="327" t="s">
        <v>4503</v>
      </c>
      <c r="BS82" s="327" t="s">
        <v>4504</v>
      </c>
      <c r="BT82" s="327" t="s">
        <v>4505</v>
      </c>
      <c r="BU82" s="327" t="s">
        <v>2185</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1632</v>
      </c>
      <c r="CM82" s="319" t="s">
        <v>4513</v>
      </c>
      <c r="CN82" s="564"/>
      <c r="CO82" s="565"/>
      <c r="CP82" s="565"/>
      <c r="CQ82" s="565"/>
      <c r="CR82" s="565"/>
      <c r="CS82" s="555"/>
      <c r="CT82" s="400" t="s">
        <v>4514</v>
      </c>
      <c r="CU82" s="400" t="s">
        <v>4515</v>
      </c>
      <c r="CV82" s="400" t="s">
        <v>1007</v>
      </c>
      <c r="CW82" s="400" t="s">
        <v>3719</v>
      </c>
      <c r="CX82" s="400" t="s">
        <v>2151</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1260</v>
      </c>
      <c r="D83" s="84" t="s">
        <v>1260</v>
      </c>
      <c r="E83" s="85" t="s">
        <v>1260</v>
      </c>
      <c r="F83" s="86" t="s">
        <v>2016</v>
      </c>
      <c r="G83" s="82" t="s">
        <v>742</v>
      </c>
      <c r="H83" s="88" t="s">
        <v>4522</v>
      </c>
      <c r="I83" s="88" t="s">
        <v>4523</v>
      </c>
      <c r="J83" s="286" t="s">
        <v>748</v>
      </c>
      <c r="K83" s="88" t="s">
        <v>4524</v>
      </c>
      <c r="L83" s="88" t="s">
        <v>300</v>
      </c>
      <c r="M83" s="88" t="s">
        <v>4525</v>
      </c>
      <c r="N83" s="88" t="s">
        <v>4526</v>
      </c>
      <c r="O83" s="88" t="s">
        <v>4527</v>
      </c>
      <c r="P83" s="88" t="s">
        <v>237</v>
      </c>
      <c r="Q83" s="88" t="s">
        <v>4528</v>
      </c>
      <c r="R83" s="93" t="s">
        <v>1980</v>
      </c>
      <c r="S83" s="93" t="s">
        <v>4221</v>
      </c>
      <c r="T83" s="93" t="s">
        <v>2137</v>
      </c>
      <c r="U83" s="93" t="s">
        <v>4529</v>
      </c>
      <c r="V83" s="93" t="s">
        <v>4530</v>
      </c>
      <c r="W83" s="92"/>
      <c r="X83" s="88" t="s">
        <v>1472</v>
      </c>
      <c r="Y83" s="88" t="s">
        <v>467</v>
      </c>
      <c r="Z83" s="88" t="s">
        <v>291</v>
      </c>
      <c r="AA83" s="93" t="s">
        <v>4531</v>
      </c>
      <c r="AB83" s="93" t="s">
        <v>3086</v>
      </c>
      <c r="AC83" s="88" t="s">
        <v>2747</v>
      </c>
      <c r="AD83" s="88" t="s">
        <v>4532</v>
      </c>
      <c r="AE83" s="88" t="s">
        <v>4533</v>
      </c>
      <c r="AF83" s="88" t="s">
        <v>1569</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1049</v>
      </c>
      <c r="BU83" s="88" t="s">
        <v>4551</v>
      </c>
      <c r="BV83" s="88" t="s">
        <v>2124</v>
      </c>
      <c r="BW83" s="93" t="s">
        <v>700</v>
      </c>
      <c r="BX83" s="93" t="s">
        <v>4552</v>
      </c>
      <c r="BY83" s="98"/>
      <c r="BZ83" s="88" t="s">
        <v>4553</v>
      </c>
      <c r="CA83" s="88" t="s">
        <v>4554</v>
      </c>
      <c r="CB83" s="88" t="s">
        <v>1140</v>
      </c>
      <c r="CC83" s="93" t="s">
        <v>139</v>
      </c>
      <c r="CD83" s="93" t="s">
        <v>4555</v>
      </c>
      <c r="CE83" s="93"/>
      <c r="CF83" s="286" t="s">
        <v>4556</v>
      </c>
      <c r="CG83" s="88" t="s">
        <v>1739</v>
      </c>
      <c r="CH83" s="88" t="s">
        <v>4557</v>
      </c>
      <c r="CI83" s="93" t="s">
        <v>3351</v>
      </c>
      <c r="CJ83" s="402" t="s">
        <v>4195</v>
      </c>
      <c r="CK83" s="88" t="s">
        <v>4558</v>
      </c>
      <c r="CL83" s="88" t="s">
        <v>4471</v>
      </c>
      <c r="CM83" s="88" t="s">
        <v>1779</v>
      </c>
      <c r="CN83" s="93" t="s">
        <v>4559</v>
      </c>
      <c r="CO83" s="93" t="s">
        <v>776</v>
      </c>
      <c r="CP83" s="93" t="s">
        <v>2294</v>
      </c>
      <c r="CQ83" s="93" t="s">
        <v>4560</v>
      </c>
      <c r="CR83" s="93" t="s">
        <v>872</v>
      </c>
      <c r="CS83" s="92"/>
      <c r="CT83" s="286" t="s">
        <v>4561</v>
      </c>
      <c r="CU83" s="88" t="s">
        <v>1993</v>
      </c>
      <c r="CV83" s="93" t="s">
        <v>2495</v>
      </c>
      <c r="CW83" s="93" t="s">
        <v>3501</v>
      </c>
      <c r="CX83" s="93" t="s">
        <v>548</v>
      </c>
      <c r="CY83" s="93" t="s">
        <v>3910</v>
      </c>
      <c r="CZ83" s="88" t="s">
        <v>4562</v>
      </c>
      <c r="DA83" s="93" t="s">
        <v>361</v>
      </c>
      <c r="DB83" s="93" t="s">
        <v>4563</v>
      </c>
      <c r="DC83" s="93" t="s">
        <v>2051</v>
      </c>
      <c r="DD83" s="93" t="s">
        <v>4564</v>
      </c>
      <c r="DE83" s="93" t="s">
        <v>4565</v>
      </c>
      <c r="DF83" s="93"/>
      <c r="DG83" s="93" t="s">
        <v>4566</v>
      </c>
      <c r="DH83" s="93" t="s">
        <v>4567</v>
      </c>
      <c r="DI83" s="93" t="s">
        <v>4568</v>
      </c>
      <c r="DJ83" s="88" t="s">
        <v>1470</v>
      </c>
      <c r="DK83" s="88" t="s">
        <v>3895</v>
      </c>
      <c r="DL83" s="93" t="s">
        <v>4569</v>
      </c>
      <c r="DM83" s="93" t="s">
        <v>4570</v>
      </c>
      <c r="DN83" s="93" t="s">
        <v>3058</v>
      </c>
      <c r="DO83" s="93" t="s">
        <v>4204</v>
      </c>
      <c r="DP83" s="88" t="s">
        <v>4571</v>
      </c>
      <c r="DQ83" s="88" t="s">
        <v>3446</v>
      </c>
      <c r="DR83" s="88" t="s">
        <v>3754</v>
      </c>
      <c r="DS83" s="93" t="s">
        <v>2105</v>
      </c>
      <c r="DT83" s="93" t="s">
        <v>4572</v>
      </c>
      <c r="DU83" s="88" t="s">
        <v>2754</v>
      </c>
      <c r="DV83" s="93" t="s">
        <v>2183</v>
      </c>
      <c r="DW83" s="93" t="s">
        <v>1900</v>
      </c>
      <c r="DX83" s="93" t="s">
        <v>2481</v>
      </c>
      <c r="DY83" s="93" t="s">
        <v>1458</v>
      </c>
      <c r="DZ83" s="93" t="s">
        <v>2035</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2696</v>
      </c>
      <c r="K84" s="163" t="s">
        <v>3918</v>
      </c>
      <c r="L84" s="163" t="s">
        <v>4579</v>
      </c>
      <c r="M84" s="218"/>
      <c r="N84" s="163" t="s">
        <v>1226</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1042</v>
      </c>
      <c r="AV84" s="266"/>
      <c r="AW84" s="266"/>
      <c r="AX84" s="266"/>
      <c r="AY84" s="266"/>
      <c r="AZ84" s="266"/>
      <c r="BA84" s="169"/>
      <c r="BB84" s="170" t="s">
        <v>4078</v>
      </c>
      <c r="BC84" s="170" t="s">
        <v>1452</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1900</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2294</v>
      </c>
      <c r="M85" s="93" t="s">
        <v>4598</v>
      </c>
      <c r="N85" s="93" t="s">
        <v>4599</v>
      </c>
      <c r="O85" s="93" t="s">
        <v>934</v>
      </c>
      <c r="P85" s="93" t="s">
        <v>3995</v>
      </c>
      <c r="Q85" s="98"/>
      <c r="R85" s="93" t="s">
        <v>3715</v>
      </c>
      <c r="S85" s="93" t="s">
        <v>1510</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1370</v>
      </c>
      <c r="AY85" s="98"/>
      <c r="AZ85" s="98"/>
      <c r="BA85" s="98"/>
      <c r="BB85" s="93" t="s">
        <v>676</v>
      </c>
      <c r="BC85" s="93" t="s">
        <v>2319</v>
      </c>
      <c r="BD85" s="569" t="s">
        <v>4606</v>
      </c>
      <c r="BE85" s="93" t="s">
        <v>1606</v>
      </c>
      <c r="BF85" s="98"/>
      <c r="BG85" s="98"/>
      <c r="BH85" s="93" t="s">
        <v>2319</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2991</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3574</v>
      </c>
      <c r="J87" s="93" t="s">
        <v>4632</v>
      </c>
      <c r="K87" s="93" t="s">
        <v>4633</v>
      </c>
      <c r="L87" s="93" t="s">
        <v>4634</v>
      </c>
      <c r="M87" s="98"/>
      <c r="N87" s="93" t="s">
        <v>4635</v>
      </c>
      <c r="O87" s="93" t="s">
        <v>4233</v>
      </c>
      <c r="P87" s="93" t="s">
        <v>4636</v>
      </c>
      <c r="Q87" s="98"/>
      <c r="R87" s="98"/>
      <c r="S87" s="93" t="s">
        <v>1207</v>
      </c>
      <c r="T87" s="98"/>
      <c r="U87" s="93" t="s">
        <v>1857</v>
      </c>
      <c r="V87" s="98"/>
      <c r="W87" s="92"/>
      <c r="X87" s="93" t="s">
        <v>1319</v>
      </c>
      <c r="Y87" s="93" t="s">
        <v>721</v>
      </c>
      <c r="Z87" s="93" t="s">
        <v>4637</v>
      </c>
      <c r="AA87" s="93" t="s">
        <v>4638</v>
      </c>
      <c r="AB87" s="93" t="s">
        <v>1695</v>
      </c>
      <c r="AC87" s="93" t="s">
        <v>1646</v>
      </c>
      <c r="AD87" s="98"/>
      <c r="AE87" s="93" t="s">
        <v>3076</v>
      </c>
      <c r="AF87" s="98"/>
      <c r="AG87" s="98"/>
      <c r="AH87" s="93"/>
      <c r="AI87" s="93" t="s">
        <v>3070</v>
      </c>
      <c r="AJ87" s="98"/>
      <c r="AK87" s="96"/>
      <c r="AL87" s="98"/>
      <c r="AM87" s="93" t="s">
        <v>4218</v>
      </c>
      <c r="AN87" s="98"/>
      <c r="AO87" s="93" t="s">
        <v>4639</v>
      </c>
      <c r="AP87" s="98"/>
      <c r="AQ87" s="98"/>
      <c r="AR87" s="98"/>
      <c r="AS87" s="98"/>
      <c r="AT87" s="93" t="s">
        <v>1871</v>
      </c>
      <c r="AU87" s="93" t="s">
        <v>1869</v>
      </c>
      <c r="AV87" s="98"/>
      <c r="AW87" s="93"/>
      <c r="AX87" s="93" t="s">
        <v>4640</v>
      </c>
      <c r="AY87" s="98"/>
      <c r="AZ87" s="98"/>
      <c r="BA87" s="93" t="s">
        <v>4641</v>
      </c>
      <c r="BB87" s="93" t="s">
        <v>4266</v>
      </c>
      <c r="BC87" s="98"/>
      <c r="BD87" s="93" t="s">
        <v>1429</v>
      </c>
      <c r="BE87" s="93" t="s">
        <v>1515</v>
      </c>
      <c r="BF87" s="98"/>
      <c r="BG87" s="98"/>
      <c r="BH87" s="93" t="s">
        <v>1178</v>
      </c>
      <c r="BI87" s="93" t="s">
        <v>4642</v>
      </c>
      <c r="BJ87" s="93"/>
      <c r="BK87" s="98"/>
      <c r="BL87" s="98"/>
      <c r="BM87" s="93" t="s">
        <v>3622</v>
      </c>
      <c r="BN87" s="98"/>
      <c r="BO87" s="98"/>
      <c r="BP87" s="256"/>
      <c r="BQ87" s="93" t="s">
        <v>4643</v>
      </c>
      <c r="BR87" s="93" t="s">
        <v>3617</v>
      </c>
      <c r="BS87" s="93" t="s">
        <v>2300</v>
      </c>
      <c r="BT87" s="93" t="s">
        <v>4644</v>
      </c>
      <c r="BU87" s="93" t="s">
        <v>241</v>
      </c>
      <c r="BV87" s="93" t="s">
        <v>3788</v>
      </c>
      <c r="BW87" s="98"/>
      <c r="BX87" s="93" t="s">
        <v>2442</v>
      </c>
      <c r="BY87" s="93" t="s">
        <v>4645</v>
      </c>
      <c r="BZ87" s="93"/>
      <c r="CA87" s="98"/>
      <c r="CB87" s="93" t="s">
        <v>1486</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4652</v>
      </c>
      <c r="DV87" s="98"/>
      <c r="DW87" s="98"/>
      <c r="DX87" s="93" t="s">
        <v>1759</v>
      </c>
      <c r="DY87" s="93" t="s">
        <v>4653</v>
      </c>
      <c r="DZ87" s="98"/>
      <c r="EA87" s="98"/>
      <c r="EB87" s="281"/>
    </row>
    <row r="88">
      <c r="A88" s="575" t="s">
        <v>4654</v>
      </c>
      <c r="B88" s="576" t="s">
        <v>4655</v>
      </c>
      <c r="C88" s="577" t="s">
        <v>1260</v>
      </c>
      <c r="D88" s="578" t="s">
        <v>1260</v>
      </c>
      <c r="E88" s="579" t="s">
        <v>1260</v>
      </c>
      <c r="F88" s="580" t="s">
        <v>2923</v>
      </c>
      <c r="G88" s="576" t="s">
        <v>1354</v>
      </c>
      <c r="H88" s="581" t="s">
        <v>4656</v>
      </c>
      <c r="I88" s="582" t="s">
        <v>4657</v>
      </c>
      <c r="J88" s="581" t="s">
        <v>4658</v>
      </c>
      <c r="K88" s="581" t="s">
        <v>2229</v>
      </c>
      <c r="L88" s="581" t="s">
        <v>2814</v>
      </c>
      <c r="M88" s="581" t="s">
        <v>4659</v>
      </c>
      <c r="N88" s="582" t="s">
        <v>4660</v>
      </c>
      <c r="O88" s="581" t="s">
        <v>370</v>
      </c>
      <c r="P88" s="583" t="s">
        <v>4661</v>
      </c>
      <c r="Q88" s="583" t="s">
        <v>4662</v>
      </c>
      <c r="R88" s="583" t="s">
        <v>2513</v>
      </c>
      <c r="S88" s="583" t="s">
        <v>4102</v>
      </c>
      <c r="T88" s="583" t="s">
        <v>1269</v>
      </c>
      <c r="U88" s="583" t="s">
        <v>4663</v>
      </c>
      <c r="V88" s="581" t="s">
        <v>4664</v>
      </c>
      <c r="W88" s="584"/>
      <c r="X88" s="585" t="s">
        <v>2839</v>
      </c>
      <c r="Y88" s="585" t="s">
        <v>4665</v>
      </c>
      <c r="Z88" s="586" t="s">
        <v>510</v>
      </c>
      <c r="AA88" s="586" t="s">
        <v>628</v>
      </c>
      <c r="AB88" s="585" t="s">
        <v>2292</v>
      </c>
      <c r="AC88" s="586" t="s">
        <v>4666</v>
      </c>
      <c r="AD88" s="585"/>
      <c r="AE88" s="585" t="s">
        <v>4667</v>
      </c>
      <c r="AF88" s="587" t="s">
        <v>4668</v>
      </c>
      <c r="AG88" s="585" t="s">
        <v>3525</v>
      </c>
      <c r="AH88" s="588" t="s">
        <v>1406</v>
      </c>
      <c r="AI88" s="114" t="s">
        <v>2163</v>
      </c>
      <c r="AJ88" s="588" t="s">
        <v>4669</v>
      </c>
      <c r="AK88" s="589"/>
      <c r="AL88" s="590" t="s">
        <v>3422</v>
      </c>
      <c r="AM88" s="590" t="s">
        <v>1308</v>
      </c>
      <c r="AN88" s="590" t="s">
        <v>4670</v>
      </c>
      <c r="AO88" s="591" t="s">
        <v>2928</v>
      </c>
      <c r="AP88" s="591" t="s">
        <v>131</v>
      </c>
      <c r="AQ88" s="591" t="s">
        <v>2061</v>
      </c>
      <c r="AR88" s="590" t="s">
        <v>4671</v>
      </c>
      <c r="AS88" s="591" t="s">
        <v>4672</v>
      </c>
      <c r="AT88" s="591" t="s">
        <v>3084</v>
      </c>
      <c r="AU88" s="592" t="s">
        <v>2527</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1066</v>
      </c>
      <c r="CM88" s="607" t="s">
        <v>4101</v>
      </c>
      <c r="CN88" s="606"/>
      <c r="CO88" s="607" t="s">
        <v>3203</v>
      </c>
      <c r="CP88" s="607" t="s">
        <v>4689</v>
      </c>
      <c r="CQ88" s="608"/>
      <c r="CR88" s="608"/>
      <c r="CS88" s="584"/>
      <c r="CT88" s="609" t="s">
        <v>4544</v>
      </c>
      <c r="CU88" s="610" t="s">
        <v>2134</v>
      </c>
      <c r="CV88" s="611" t="s">
        <v>4690</v>
      </c>
      <c r="CW88" s="610" t="s">
        <v>4691</v>
      </c>
      <c r="CX88" s="611" t="s">
        <v>4692</v>
      </c>
      <c r="CY88" s="609" t="s">
        <v>2123</v>
      </c>
      <c r="CZ88" s="612" t="s">
        <v>4693</v>
      </c>
      <c r="DA88" s="613" t="s">
        <v>1059</v>
      </c>
      <c r="DB88" s="614"/>
      <c r="DC88" s="614"/>
      <c r="DD88" s="614"/>
      <c r="DE88" s="614"/>
      <c r="DF88" s="615"/>
      <c r="DG88" s="616" t="s">
        <v>3919</v>
      </c>
      <c r="DH88" s="617"/>
      <c r="DI88" s="616" t="s">
        <v>4694</v>
      </c>
      <c r="DJ88" s="616"/>
      <c r="DK88" s="618" t="s">
        <v>4695</v>
      </c>
      <c r="DL88" s="616" t="s">
        <v>4696</v>
      </c>
      <c r="DM88" s="616" t="s">
        <v>4697</v>
      </c>
      <c r="DN88" s="616" t="s">
        <v>1941</v>
      </c>
      <c r="DO88" s="616" t="s">
        <v>4698</v>
      </c>
      <c r="DP88" s="616" t="s">
        <v>4699</v>
      </c>
      <c r="DQ88" s="619" t="s">
        <v>4700</v>
      </c>
      <c r="DR88" s="616" t="s">
        <v>3284</v>
      </c>
      <c r="DS88" s="616" t="s">
        <v>4701</v>
      </c>
      <c r="DT88" s="620"/>
      <c r="DU88" s="618" t="s">
        <v>1629</v>
      </c>
      <c r="DV88" s="617"/>
      <c r="DW88" s="618" t="s">
        <v>3019</v>
      </c>
      <c r="DX88" s="616" t="s">
        <v>2764</v>
      </c>
      <c r="DY88" s="620"/>
      <c r="DZ88" s="616" t="s">
        <v>1033</v>
      </c>
      <c r="EA88" s="620"/>
      <c r="EB88" s="139" t="s">
        <v>4702</v>
      </c>
    </row>
    <row r="89">
      <c r="A89" s="621" t="s">
        <v>4703</v>
      </c>
      <c r="B89" s="82" t="s">
        <v>4704</v>
      </c>
      <c r="C89" s="83" t="s">
        <v>1260</v>
      </c>
      <c r="D89" s="84" t="s">
        <v>1260</v>
      </c>
      <c r="E89" s="85" t="s">
        <v>1260</v>
      </c>
      <c r="F89" s="86" t="s">
        <v>4705</v>
      </c>
      <c r="G89" s="82" t="s">
        <v>4706</v>
      </c>
      <c r="H89" s="98"/>
      <c r="I89" s="88" t="s">
        <v>2508</v>
      </c>
      <c r="J89" s="88" t="s">
        <v>2172</v>
      </c>
      <c r="K89" s="88" t="s">
        <v>1880</v>
      </c>
      <c r="L89" s="88" t="s">
        <v>1099</v>
      </c>
      <c r="M89" s="88" t="s">
        <v>4707</v>
      </c>
      <c r="N89" s="88" t="s">
        <v>4708</v>
      </c>
      <c r="O89" s="88" t="s">
        <v>1449</v>
      </c>
      <c r="P89" s="88" t="s">
        <v>555</v>
      </c>
      <c r="Q89" s="98"/>
      <c r="R89" s="98"/>
      <c r="S89" s="98"/>
      <c r="T89" s="98"/>
      <c r="U89" s="98"/>
      <c r="V89" s="98"/>
      <c r="W89" s="92"/>
      <c r="X89" s="88" t="s">
        <v>4709</v>
      </c>
      <c r="Y89" s="98"/>
      <c r="Z89" s="88" t="s">
        <v>4710</v>
      </c>
      <c r="AA89" s="88" t="s">
        <v>1072</v>
      </c>
      <c r="AB89" s="88" t="s">
        <v>2245</v>
      </c>
      <c r="AC89" s="88" t="s">
        <v>2940</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4711</v>
      </c>
      <c r="BC89" s="88" t="s">
        <v>2171</v>
      </c>
      <c r="BD89" s="88" t="s">
        <v>4712</v>
      </c>
      <c r="BE89" s="88" t="s">
        <v>2232</v>
      </c>
      <c r="BF89" s="98"/>
      <c r="BG89" s="98"/>
      <c r="BH89" s="88" t="s">
        <v>609</v>
      </c>
      <c r="BI89" s="98"/>
      <c r="BJ89" s="88" t="s">
        <v>4713</v>
      </c>
      <c r="BK89" s="88" t="s">
        <v>2565</v>
      </c>
      <c r="BL89" s="98"/>
      <c r="BM89" s="98"/>
      <c r="BN89" s="98"/>
      <c r="BO89" s="98"/>
      <c r="BP89" s="256"/>
      <c r="BQ89" s="88" t="s">
        <v>4714</v>
      </c>
      <c r="BR89" s="88" t="s">
        <v>2195</v>
      </c>
      <c r="BS89" s="88" t="s">
        <v>3544</v>
      </c>
      <c r="BT89" s="88" t="s">
        <v>4715</v>
      </c>
      <c r="BU89" s="98"/>
      <c r="BV89" s="88" t="s">
        <v>910</v>
      </c>
      <c r="BW89" s="93" t="s">
        <v>4716</v>
      </c>
      <c r="BX89" s="98"/>
      <c r="BY89" s="88" t="s">
        <v>4717</v>
      </c>
      <c r="BZ89" s="88" t="s">
        <v>1346</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2670</v>
      </c>
      <c r="EA89" s="98"/>
      <c r="EB89" s="97" t="s">
        <v>1806</v>
      </c>
    </row>
    <row r="90">
      <c r="A90" s="162" t="s">
        <v>4724</v>
      </c>
      <c r="B90" s="103" t="s">
        <v>4725</v>
      </c>
      <c r="C90" s="104" t="s">
        <v>1260</v>
      </c>
      <c r="D90" s="105" t="s">
        <v>1260</v>
      </c>
      <c r="E90" s="106" t="s">
        <v>1260</v>
      </c>
      <c r="F90" s="107" t="s">
        <v>1063</v>
      </c>
      <c r="G90" s="103" t="s">
        <v>1131</v>
      </c>
      <c r="H90" s="163" t="s">
        <v>3498</v>
      </c>
      <c r="I90" s="163" t="s">
        <v>4726</v>
      </c>
      <c r="J90" s="163" t="s">
        <v>1370</v>
      </c>
      <c r="K90" s="163" t="s">
        <v>4597</v>
      </c>
      <c r="L90" s="163" t="s">
        <v>4727</v>
      </c>
      <c r="M90" s="218"/>
      <c r="N90" s="163" t="s">
        <v>2197</v>
      </c>
      <c r="O90" s="163" t="s">
        <v>4396</v>
      </c>
      <c r="P90" s="163" t="s">
        <v>1011</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1388</v>
      </c>
      <c r="AF90" s="193" t="s">
        <v>4297</v>
      </c>
      <c r="AG90" s="193" t="s">
        <v>1345</v>
      </c>
      <c r="AH90" s="193"/>
      <c r="AI90" s="114" t="s">
        <v>4733</v>
      </c>
      <c r="AJ90" s="193" t="s">
        <v>4734</v>
      </c>
      <c r="AK90" s="96"/>
      <c r="AL90" s="164" t="s">
        <v>3666</v>
      </c>
      <c r="AM90" s="164" t="s">
        <v>388</v>
      </c>
      <c r="AN90" s="164" t="s">
        <v>4735</v>
      </c>
      <c r="AO90" s="164" t="s">
        <v>4736</v>
      </c>
      <c r="AP90" s="164" t="s">
        <v>1579</v>
      </c>
      <c r="AQ90" s="164"/>
      <c r="AR90" s="164" t="s">
        <v>1537</v>
      </c>
      <c r="AS90" s="164" t="s">
        <v>105</v>
      </c>
      <c r="AT90" s="164" t="s">
        <v>2473</v>
      </c>
      <c r="AU90" s="119" t="s">
        <v>4737</v>
      </c>
      <c r="AV90" s="164" t="s">
        <v>1797</v>
      </c>
      <c r="AW90" s="266"/>
      <c r="AX90" s="164" t="s">
        <v>930</v>
      </c>
      <c r="AY90" s="164" t="s">
        <v>4738</v>
      </c>
      <c r="AZ90" s="164"/>
      <c r="BA90" s="169"/>
      <c r="BB90" s="170" t="s">
        <v>925</v>
      </c>
      <c r="BC90" s="170" t="s">
        <v>1046</v>
      </c>
      <c r="BD90" s="170" t="s">
        <v>1325</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2233</v>
      </c>
      <c r="BU90" s="171" t="s">
        <v>4745</v>
      </c>
      <c r="BV90" s="171" t="s">
        <v>2864</v>
      </c>
      <c r="BW90" s="271"/>
      <c r="BX90" s="171" t="s">
        <v>4746</v>
      </c>
      <c r="BY90" s="271"/>
      <c r="BZ90" s="171" t="s">
        <v>1117</v>
      </c>
      <c r="CA90" s="171" t="s">
        <v>4747</v>
      </c>
      <c r="CB90" s="171" t="s">
        <v>666</v>
      </c>
      <c r="CC90" s="171" t="s">
        <v>3163</v>
      </c>
      <c r="CD90" s="127" t="s">
        <v>4748</v>
      </c>
      <c r="CE90" s="318"/>
      <c r="CF90" s="173" t="s">
        <v>4749</v>
      </c>
      <c r="CG90" s="173" t="s">
        <v>1891</v>
      </c>
      <c r="CH90" s="275"/>
      <c r="CI90" s="275"/>
      <c r="CJ90" s="275" t="s">
        <v>3259</v>
      </c>
      <c r="CK90" s="275"/>
      <c r="CL90" s="173" t="s">
        <v>2906</v>
      </c>
      <c r="CM90" s="173" t="s">
        <v>3403</v>
      </c>
      <c r="CN90" s="275"/>
      <c r="CO90" s="173" t="s">
        <v>4010</v>
      </c>
      <c r="CP90" s="275"/>
      <c r="CQ90" s="275"/>
      <c r="CR90" s="132" t="s">
        <v>4750</v>
      </c>
      <c r="CS90" s="92"/>
      <c r="CT90" s="201" t="s">
        <v>2586</v>
      </c>
      <c r="CU90" s="137" t="s">
        <v>2202</v>
      </c>
      <c r="CV90" s="201" t="s">
        <v>4751</v>
      </c>
      <c r="CW90" s="201" t="s">
        <v>1234</v>
      </c>
      <c r="CX90" s="201" t="s">
        <v>4752</v>
      </c>
      <c r="CY90" s="276"/>
      <c r="CZ90" s="276"/>
      <c r="DA90" s="201" t="s">
        <v>4753</v>
      </c>
      <c r="DB90" s="137" t="s">
        <v>4754</v>
      </c>
      <c r="DC90" s="201" t="s">
        <v>1269</v>
      </c>
      <c r="DD90" s="276"/>
      <c r="DE90" s="201" t="s">
        <v>4755</v>
      </c>
      <c r="DF90" s="201"/>
      <c r="DG90" s="278"/>
      <c r="DH90" s="202" t="s">
        <v>4376</v>
      </c>
      <c r="DI90" s="278"/>
      <c r="DJ90" s="202"/>
      <c r="DK90" s="202" t="s">
        <v>4636</v>
      </c>
      <c r="DL90" s="202" t="s">
        <v>4756</v>
      </c>
      <c r="DM90" s="142" t="s">
        <v>3974</v>
      </c>
      <c r="DN90" s="202" t="s">
        <v>3116</v>
      </c>
      <c r="DO90" s="202" t="s">
        <v>2287</v>
      </c>
      <c r="DP90" s="202" t="s">
        <v>1039</v>
      </c>
      <c r="DQ90" s="278"/>
      <c r="DR90" s="202" t="s">
        <v>4757</v>
      </c>
      <c r="DS90" s="202" t="s">
        <v>4758</v>
      </c>
      <c r="DT90" s="202" t="s">
        <v>4759</v>
      </c>
      <c r="DU90" s="202" t="s">
        <v>4760</v>
      </c>
      <c r="DV90" s="202" t="s">
        <v>158</v>
      </c>
      <c r="DW90" s="202" t="s">
        <v>1316</v>
      </c>
      <c r="DX90" s="202" t="s">
        <v>4065</v>
      </c>
      <c r="DY90" s="202" t="s">
        <v>2900</v>
      </c>
      <c r="DZ90" s="202" t="s">
        <v>4761</v>
      </c>
      <c r="EA90" s="202" t="s">
        <v>1592</v>
      </c>
      <c r="EB90" s="312" t="s">
        <v>4762</v>
      </c>
    </row>
    <row r="91">
      <c r="A91" s="622" t="s">
        <v>4763</v>
      </c>
      <c r="B91" s="82" t="s">
        <v>4764</v>
      </c>
      <c r="C91" s="83" t="s">
        <v>1260</v>
      </c>
      <c r="D91" s="84" t="s">
        <v>1260</v>
      </c>
      <c r="E91" s="85" t="s">
        <v>1260</v>
      </c>
      <c r="F91" s="86" t="s">
        <v>218</v>
      </c>
      <c r="G91" s="82" t="s">
        <v>2338</v>
      </c>
      <c r="H91" s="98"/>
      <c r="I91" s="98"/>
      <c r="J91" s="93" t="s">
        <v>4765</v>
      </c>
      <c r="K91" s="93" t="s">
        <v>1002</v>
      </c>
      <c r="L91" s="93" t="s">
        <v>4766</v>
      </c>
      <c r="M91" s="93" t="s">
        <v>4767</v>
      </c>
      <c r="N91" s="93" t="s">
        <v>4768</v>
      </c>
      <c r="O91" s="93" t="s">
        <v>2665</v>
      </c>
      <c r="P91" s="88" t="s">
        <v>2997</v>
      </c>
      <c r="Q91" s="98"/>
      <c r="R91" s="98"/>
      <c r="S91" s="98"/>
      <c r="T91" s="98"/>
      <c r="U91" s="98"/>
      <c r="V91" s="93" t="s">
        <v>4769</v>
      </c>
      <c r="W91" s="92"/>
      <c r="X91" s="286" t="s">
        <v>2879</v>
      </c>
      <c r="Y91" s="93" t="s">
        <v>1011</v>
      </c>
      <c r="Z91" s="88" t="s">
        <v>1741</v>
      </c>
      <c r="AA91" s="88" t="s">
        <v>4770</v>
      </c>
      <c r="AB91" s="88" t="s">
        <v>2330</v>
      </c>
      <c r="AC91" s="286" t="s">
        <v>4373</v>
      </c>
      <c r="AD91" s="93"/>
      <c r="AE91" s="158" t="s">
        <v>3588</v>
      </c>
      <c r="AF91" s="88" t="s">
        <v>1824</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1940</v>
      </c>
      <c r="BC91" s="93" t="s">
        <v>2171</v>
      </c>
      <c r="BD91" s="88" t="s">
        <v>377</v>
      </c>
      <c r="BE91" s="93" t="s">
        <v>1229</v>
      </c>
      <c r="BF91" s="98"/>
      <c r="BG91" s="98"/>
      <c r="BH91" s="286" t="s">
        <v>2619</v>
      </c>
      <c r="BI91" s="98"/>
      <c r="BJ91" s="93" t="s">
        <v>4774</v>
      </c>
      <c r="BK91" s="98"/>
      <c r="BL91" s="93"/>
      <c r="BM91" s="93" t="s">
        <v>3203</v>
      </c>
      <c r="BN91" s="93" t="s">
        <v>4483</v>
      </c>
      <c r="BO91" s="98"/>
      <c r="BP91" s="256"/>
      <c r="BQ91" s="98"/>
      <c r="BR91" s="93" t="s">
        <v>2191</v>
      </c>
      <c r="BS91" s="97" t="s">
        <v>3411</v>
      </c>
      <c r="BT91" s="93" t="s">
        <v>2012</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1260</v>
      </c>
      <c r="D92" s="105" t="s">
        <v>436</v>
      </c>
      <c r="E92" s="106" t="s">
        <v>1260</v>
      </c>
      <c r="F92" s="107" t="s">
        <v>2991</v>
      </c>
      <c r="G92" s="103" t="s">
        <v>4706</v>
      </c>
      <c r="H92" s="111" t="s">
        <v>3617</v>
      </c>
      <c r="I92" s="624"/>
      <c r="J92" s="625" t="s">
        <v>4781</v>
      </c>
      <c r="K92" s="111" t="s">
        <v>994</v>
      </c>
      <c r="L92" s="111" t="s">
        <v>2154</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1055</v>
      </c>
      <c r="AC92" s="114" t="s">
        <v>4106</v>
      </c>
      <c r="AD92" s="193" t="s">
        <v>4797</v>
      </c>
      <c r="AE92" s="114" t="s">
        <v>2275</v>
      </c>
      <c r="AF92" s="114" t="s">
        <v>1280</v>
      </c>
      <c r="AG92" s="114" t="s">
        <v>4685</v>
      </c>
      <c r="AH92" s="114" t="s">
        <v>1825</v>
      </c>
      <c r="AI92" s="114" t="s">
        <v>1825</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6"/>
      <c r="BB92" s="626"/>
      <c r="BC92" s="626"/>
      <c r="BD92" s="124" t="s">
        <v>1458</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1395</v>
      </c>
      <c r="CG92" s="132" t="s">
        <v>2349</v>
      </c>
      <c r="CH92" s="132" t="s">
        <v>1746</v>
      </c>
      <c r="CI92" s="133"/>
      <c r="CJ92" s="133"/>
      <c r="CK92" s="133"/>
      <c r="CL92" s="132" t="s">
        <v>1781</v>
      </c>
      <c r="CM92" s="132" t="s">
        <v>3959</v>
      </c>
      <c r="CN92" s="627"/>
      <c r="CO92" s="275"/>
      <c r="CP92" s="291" t="s">
        <v>4806</v>
      </c>
      <c r="CQ92" s="132" t="s">
        <v>1996</v>
      </c>
      <c r="CR92" s="275"/>
      <c r="CS92" s="92"/>
      <c r="CT92" s="310"/>
      <c r="CU92" s="310"/>
      <c r="CV92" s="137" t="s">
        <v>4807</v>
      </c>
      <c r="CW92" s="137" t="s">
        <v>2162</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1260</v>
      </c>
      <c r="D93" s="84" t="s">
        <v>545</v>
      </c>
      <c r="E93" s="85" t="s">
        <v>1260</v>
      </c>
      <c r="F93" s="86" t="s">
        <v>3218</v>
      </c>
      <c r="G93" s="82" t="s">
        <v>2079</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1749</v>
      </c>
      <c r="Y93" s="98"/>
      <c r="Z93" s="88" t="s">
        <v>1073</v>
      </c>
      <c r="AA93" s="158" t="s">
        <v>4820</v>
      </c>
      <c r="AB93" s="88" t="s">
        <v>1487</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2080</v>
      </c>
      <c r="BB93" s="93" t="s">
        <v>2765</v>
      </c>
      <c r="BC93" s="93" t="s">
        <v>2036</v>
      </c>
      <c r="BD93" s="88" t="s">
        <v>4826</v>
      </c>
      <c r="BE93" s="88" t="s">
        <v>4583</v>
      </c>
      <c r="BF93" s="98"/>
      <c r="BG93" s="98"/>
      <c r="BH93" s="88" t="s">
        <v>2755</v>
      </c>
      <c r="BI93" s="98"/>
      <c r="BJ93" s="88" t="s">
        <v>4827</v>
      </c>
      <c r="BK93" s="88" t="s">
        <v>3181</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1400</v>
      </c>
      <c r="CH93" s="93" t="s">
        <v>4834</v>
      </c>
      <c r="CI93" s="88" t="s">
        <v>4835</v>
      </c>
      <c r="CJ93" s="88" t="s">
        <v>4836</v>
      </c>
      <c r="CK93" s="88" t="s">
        <v>4427</v>
      </c>
      <c r="CL93" s="93" t="s">
        <v>4837</v>
      </c>
      <c r="CM93" s="88" t="s">
        <v>230</v>
      </c>
      <c r="CN93" s="98"/>
      <c r="CO93" s="98"/>
      <c r="CP93" s="101"/>
      <c r="CQ93" s="88" t="s">
        <v>1269</v>
      </c>
      <c r="CR93" s="98"/>
      <c r="CS93" s="92"/>
      <c r="CT93" s="158" t="s">
        <v>1857</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1194</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1260</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2156</v>
      </c>
      <c r="Z94" s="114" t="s">
        <v>4299</v>
      </c>
      <c r="AA94" s="114" t="s">
        <v>4852</v>
      </c>
      <c r="AB94" s="114" t="s">
        <v>2239</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2176</v>
      </c>
      <c r="BD94" s="124" t="s">
        <v>4046</v>
      </c>
      <c r="BE94" s="169"/>
      <c r="BF94" s="169"/>
      <c r="BG94" s="169"/>
      <c r="BH94" s="124" t="s">
        <v>1592</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1868</v>
      </c>
      <c r="DV94" s="278"/>
      <c r="DW94" s="278"/>
      <c r="DX94" s="278"/>
      <c r="DY94" s="278"/>
      <c r="DZ94" s="278"/>
      <c r="EA94" s="278"/>
      <c r="EB94" s="312"/>
    </row>
    <row r="95">
      <c r="A95" s="401" t="s">
        <v>4867</v>
      </c>
      <c r="B95" s="82" t="s">
        <v>4868</v>
      </c>
      <c r="C95" s="83" t="s">
        <v>1260</v>
      </c>
      <c r="D95" s="84" t="s">
        <v>1260</v>
      </c>
      <c r="E95" s="85" t="s">
        <v>1260</v>
      </c>
      <c r="F95" s="86" t="s">
        <v>2016</v>
      </c>
      <c r="G95" s="82" t="s">
        <v>4706</v>
      </c>
      <c r="H95" s="292"/>
      <c r="I95" s="88" t="s">
        <v>4869</v>
      </c>
      <c r="J95" s="88" t="s">
        <v>4870</v>
      </c>
      <c r="K95" s="93"/>
      <c r="L95" s="97" t="s">
        <v>4871</v>
      </c>
      <c r="M95" s="98"/>
      <c r="N95" s="98"/>
      <c r="O95" s="88" t="s">
        <v>1894</v>
      </c>
      <c r="P95" s="93"/>
      <c r="Q95" s="98"/>
      <c r="R95" s="98"/>
      <c r="S95" s="97" t="s">
        <v>1589</v>
      </c>
      <c r="T95" s="97" t="s">
        <v>3273</v>
      </c>
      <c r="U95" s="205"/>
      <c r="V95" s="98"/>
      <c r="W95" s="92"/>
      <c r="X95" s="97" t="s">
        <v>3454</v>
      </c>
      <c r="Y95" s="97" t="s">
        <v>2255</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1040</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3769</v>
      </c>
      <c r="BT95" s="88" t="s">
        <v>4505</v>
      </c>
      <c r="BU95" s="98"/>
      <c r="BV95" s="88" t="s">
        <v>738</v>
      </c>
      <c r="BW95" s="98"/>
      <c r="BX95" s="97" t="s">
        <v>4877</v>
      </c>
      <c r="BY95" s="88" t="s">
        <v>4878</v>
      </c>
      <c r="BZ95" s="98"/>
      <c r="CA95" s="88" t="s">
        <v>1469</v>
      </c>
      <c r="CB95" s="97" t="s">
        <v>228</v>
      </c>
      <c r="CC95" s="97" t="s">
        <v>1436</v>
      </c>
      <c r="CD95" s="98"/>
      <c r="CE95" s="256"/>
      <c r="CF95" s="88" t="s">
        <v>3199</v>
      </c>
      <c r="CG95" s="88" t="s">
        <v>2319</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2630</v>
      </c>
      <c r="CZ95" s="97" t="s">
        <v>2000</v>
      </c>
      <c r="DA95" s="98"/>
      <c r="DB95" s="98"/>
      <c r="DC95" s="97" t="s">
        <v>4188</v>
      </c>
      <c r="DD95" s="98"/>
      <c r="DE95" s="98"/>
      <c r="DF95" s="256"/>
      <c r="DG95" s="205"/>
      <c r="DH95" s="97" t="s">
        <v>4123</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1809</v>
      </c>
      <c r="H96" s="218"/>
      <c r="I96" s="218"/>
      <c r="J96" s="218"/>
      <c r="K96" s="163" t="s">
        <v>2581</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1382</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1346</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1057</v>
      </c>
      <c r="CM96" s="275"/>
      <c r="CN96" s="132" t="s">
        <v>4896</v>
      </c>
      <c r="CO96" s="275"/>
      <c r="CP96" s="275"/>
      <c r="CQ96" s="275"/>
      <c r="CR96" s="275"/>
      <c r="CS96" s="92"/>
      <c r="CT96" s="201" t="s">
        <v>1701</v>
      </c>
      <c r="CU96" s="276"/>
      <c r="CV96" s="201" t="s">
        <v>2239</v>
      </c>
      <c r="CW96" s="276"/>
      <c r="CX96" s="276"/>
      <c r="CY96" s="201" t="s">
        <v>2986</v>
      </c>
      <c r="CZ96" s="201" t="s">
        <v>2204</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1260</v>
      </c>
      <c r="D97" s="84" t="s">
        <v>545</v>
      </c>
      <c r="E97" s="85" t="s">
        <v>1260</v>
      </c>
      <c r="F97" s="86" t="s">
        <v>1726</v>
      </c>
      <c r="G97" s="82" t="s">
        <v>829</v>
      </c>
      <c r="H97" s="88" t="s">
        <v>3647</v>
      </c>
      <c r="I97" s="286" t="s">
        <v>4900</v>
      </c>
      <c r="J97" s="286" t="s">
        <v>2105</v>
      </c>
      <c r="K97" s="88" t="s">
        <v>1880</v>
      </c>
      <c r="L97" s="286" t="s">
        <v>1096</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1507</v>
      </c>
      <c r="AY97" s="98"/>
      <c r="AZ97" s="98"/>
      <c r="BA97" s="286" t="s">
        <v>363</v>
      </c>
      <c r="BB97" s="88" t="s">
        <v>4917</v>
      </c>
      <c r="BC97" s="286" t="s">
        <v>2660</v>
      </c>
      <c r="BD97" s="286" t="s">
        <v>4255</v>
      </c>
      <c r="BE97" s="88" t="s">
        <v>3330</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1439</v>
      </c>
      <c r="CM97" s="88" t="s">
        <v>4101</v>
      </c>
      <c r="CN97" s="98"/>
      <c r="CO97" s="98"/>
      <c r="CP97" s="98"/>
      <c r="CQ97" s="98"/>
      <c r="CR97" s="88" t="s">
        <v>4935</v>
      </c>
      <c r="CS97" s="92"/>
      <c r="CT97" s="88" t="s">
        <v>4936</v>
      </c>
      <c r="CU97" s="286" t="s">
        <v>3898</v>
      </c>
      <c r="CV97" s="286" t="s">
        <v>4277</v>
      </c>
      <c r="CW97" s="286" t="s">
        <v>2816</v>
      </c>
      <c r="CX97" s="88" t="s">
        <v>4937</v>
      </c>
      <c r="CY97" s="286" t="s">
        <v>2228</v>
      </c>
      <c r="CZ97" s="286" t="s">
        <v>4938</v>
      </c>
      <c r="DA97" s="286" t="s">
        <v>2714</v>
      </c>
      <c r="DB97" s="98"/>
      <c r="DC97" s="98"/>
      <c r="DD97" s="98"/>
      <c r="DE97" s="88" t="s">
        <v>477</v>
      </c>
      <c r="DF97" s="88"/>
      <c r="DG97" s="93" t="s">
        <v>2025</v>
      </c>
      <c r="DH97" s="98"/>
      <c r="DI97" s="98"/>
      <c r="DJ97" s="98"/>
      <c r="DK97" s="90" t="s">
        <v>177</v>
      </c>
      <c r="DL97" s="88" t="s">
        <v>4203</v>
      </c>
      <c r="DM97" s="98"/>
      <c r="DN97" s="98"/>
      <c r="DO97" s="98"/>
      <c r="DP97" s="93" t="s">
        <v>2795</v>
      </c>
      <c r="DQ97" s="93" t="s">
        <v>2756</v>
      </c>
      <c r="DR97" s="98"/>
      <c r="DS97" s="88" t="s">
        <v>2208</v>
      </c>
      <c r="DT97" s="98"/>
      <c r="DU97" s="93" t="s">
        <v>984</v>
      </c>
      <c r="DV97" s="98"/>
      <c r="DW97" s="88" t="s">
        <v>2961</v>
      </c>
      <c r="DX97" s="93" t="s">
        <v>1958</v>
      </c>
      <c r="DY97" s="98"/>
      <c r="DZ97" s="98"/>
      <c r="EA97" s="98"/>
      <c r="EB97" s="97" t="s">
        <v>2533</v>
      </c>
    </row>
    <row r="98">
      <c r="A98" s="632" t="s">
        <v>4939</v>
      </c>
      <c r="B98" s="510" t="s">
        <v>4940</v>
      </c>
      <c r="C98" s="511" t="s">
        <v>1260</v>
      </c>
      <c r="D98" s="512" t="s">
        <v>1260</v>
      </c>
      <c r="E98" s="513" t="s">
        <v>1260</v>
      </c>
      <c r="F98" s="514" t="s">
        <v>1063</v>
      </c>
      <c r="G98" s="510" t="s">
        <v>3367</v>
      </c>
      <c r="H98" s="336"/>
      <c r="I98" s="336"/>
      <c r="J98" s="336"/>
      <c r="K98" s="633" t="s">
        <v>1730</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9" t="s">
        <v>3168</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1260</v>
      </c>
      <c r="D99" s="84" t="s">
        <v>1260</v>
      </c>
      <c r="E99" s="85" t="s">
        <v>1260</v>
      </c>
      <c r="F99" s="86" t="s">
        <v>332</v>
      </c>
      <c r="G99" s="82" t="s">
        <v>4948</v>
      </c>
      <c r="H99" s="98"/>
      <c r="I99" s="93" t="s">
        <v>2810</v>
      </c>
      <c r="J99" s="93" t="s">
        <v>3392</v>
      </c>
      <c r="K99" s="93" t="s">
        <v>1564</v>
      </c>
      <c r="L99" s="292" t="s">
        <v>4949</v>
      </c>
      <c r="M99" s="98"/>
      <c r="N99" s="93" t="s">
        <v>4950</v>
      </c>
      <c r="O99" s="93" t="s">
        <v>4951</v>
      </c>
      <c r="P99" s="93" t="s">
        <v>2997</v>
      </c>
      <c r="Q99" s="98"/>
      <c r="R99" s="98"/>
      <c r="S99" s="98"/>
      <c r="T99" s="98"/>
      <c r="U99" s="98"/>
      <c r="V99" s="98"/>
      <c r="W99" s="92"/>
      <c r="X99" s="93" t="s">
        <v>4952</v>
      </c>
      <c r="Y99" s="93" t="s">
        <v>1431</v>
      </c>
      <c r="Z99" s="93" t="s">
        <v>2024</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1260</v>
      </c>
      <c r="D100" s="105" t="s">
        <v>1260</v>
      </c>
      <c r="E100" s="106" t="s">
        <v>1260</v>
      </c>
      <c r="F100" s="107" t="s">
        <v>545</v>
      </c>
      <c r="G100" s="103" t="s">
        <v>4705</v>
      </c>
      <c r="H100" s="369"/>
      <c r="I100" s="369" t="s">
        <v>1299</v>
      </c>
      <c r="J100" s="369" t="s">
        <v>2172</v>
      </c>
      <c r="K100" s="369" t="s">
        <v>3428</v>
      </c>
      <c r="L100" s="369" t="s">
        <v>4964</v>
      </c>
      <c r="M100" s="369"/>
      <c r="N100" s="369" t="s">
        <v>2740</v>
      </c>
      <c r="O100" s="369" t="s">
        <v>1451</v>
      </c>
      <c r="P100" s="369" t="s">
        <v>2750</v>
      </c>
      <c r="Q100" s="650"/>
      <c r="R100" s="650"/>
      <c r="S100" s="650"/>
      <c r="T100" s="650"/>
      <c r="U100" s="650"/>
      <c r="V100" s="650"/>
      <c r="W100" s="92"/>
      <c r="X100" s="323" t="s">
        <v>3851</v>
      </c>
      <c r="Y100" s="323" t="s">
        <v>361</v>
      </c>
      <c r="Z100" s="323" t="s">
        <v>2196</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1708</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1628</v>
      </c>
      <c r="CW100" s="309" t="s">
        <v>1000</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1260</v>
      </c>
      <c r="D101" s="84" t="s">
        <v>1260</v>
      </c>
      <c r="E101" s="85" t="s">
        <v>1260</v>
      </c>
      <c r="F101" s="86" t="s">
        <v>545</v>
      </c>
      <c r="G101" s="82" t="s">
        <v>2338</v>
      </c>
      <c r="H101" s="93" t="s">
        <v>682</v>
      </c>
      <c r="I101" s="93" t="s">
        <v>4982</v>
      </c>
      <c r="J101" s="93" t="s">
        <v>4983</v>
      </c>
      <c r="K101" s="93" t="s">
        <v>3221</v>
      </c>
      <c r="L101" s="93" t="s">
        <v>2822</v>
      </c>
      <c r="M101" s="93" t="s">
        <v>4984</v>
      </c>
      <c r="N101" s="93" t="s">
        <v>4985</v>
      </c>
      <c r="O101" s="93" t="s">
        <v>1894</v>
      </c>
      <c r="P101" s="93" t="s">
        <v>4986</v>
      </c>
      <c r="Q101" s="98"/>
      <c r="R101" s="98"/>
      <c r="S101" s="93" t="s">
        <v>4039</v>
      </c>
      <c r="T101" s="98"/>
      <c r="U101" s="93" t="s">
        <v>636</v>
      </c>
      <c r="V101" s="98"/>
      <c r="W101" s="92"/>
      <c r="X101" s="93" t="s">
        <v>1999</v>
      </c>
      <c r="Y101" s="93" t="s">
        <v>1895</v>
      </c>
      <c r="Z101" s="93" t="s">
        <v>4987</v>
      </c>
      <c r="AA101" s="93" t="s">
        <v>3623</v>
      </c>
      <c r="AB101" s="493" t="s">
        <v>4246</v>
      </c>
      <c r="AC101" s="93" t="s">
        <v>4468</v>
      </c>
      <c r="AD101" s="98"/>
      <c r="AE101" s="98"/>
      <c r="AF101" s="93" t="s">
        <v>4988</v>
      </c>
      <c r="AG101" s="98"/>
      <c r="AH101" s="98"/>
      <c r="AI101" s="98"/>
      <c r="AJ101" s="98"/>
      <c r="AK101" s="96"/>
      <c r="AL101" s="93" t="s">
        <v>2391</v>
      </c>
      <c r="AM101" s="93" t="s">
        <v>4989</v>
      </c>
      <c r="AN101" s="98"/>
      <c r="AO101" s="98"/>
      <c r="AP101" s="98"/>
      <c r="AQ101" s="98"/>
      <c r="AR101" s="93" t="s">
        <v>1144</v>
      </c>
      <c r="AS101" s="98"/>
      <c r="AT101" s="93" t="s">
        <v>2556</v>
      </c>
      <c r="AU101" s="93" t="s">
        <v>144</v>
      </c>
      <c r="AV101" s="93" t="s">
        <v>4193</v>
      </c>
      <c r="AW101" s="98"/>
      <c r="AX101" s="93" t="s">
        <v>4990</v>
      </c>
      <c r="AY101" s="93" t="s">
        <v>4991</v>
      </c>
      <c r="AZ101" s="93"/>
      <c r="BA101" s="93" t="s">
        <v>4992</v>
      </c>
      <c r="BB101" s="93" t="s">
        <v>4993</v>
      </c>
      <c r="BC101" s="93" t="s">
        <v>1046</v>
      </c>
      <c r="BD101" s="93" t="s">
        <v>1026</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2192</v>
      </c>
      <c r="BU101" s="98"/>
      <c r="BV101" s="93" t="s">
        <v>3601</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1411</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4239</v>
      </c>
      <c r="DB101" s="98"/>
      <c r="DC101" s="98"/>
      <c r="DD101" s="93" t="s">
        <v>3465</v>
      </c>
      <c r="DE101" s="93" t="s">
        <v>1546</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2991</v>
      </c>
      <c r="H102" s="163" t="s">
        <v>998</v>
      </c>
      <c r="I102" s="218"/>
      <c r="J102" s="163" t="s">
        <v>5011</v>
      </c>
      <c r="K102" s="163" t="s">
        <v>3221</v>
      </c>
      <c r="L102" s="163" t="s">
        <v>1618</v>
      </c>
      <c r="M102" s="163" t="s">
        <v>5012</v>
      </c>
      <c r="N102" s="163" t="s">
        <v>1584</v>
      </c>
      <c r="O102" s="163" t="s">
        <v>5013</v>
      </c>
      <c r="P102" s="163" t="s">
        <v>1081</v>
      </c>
      <c r="Q102" s="218"/>
      <c r="R102" s="218"/>
      <c r="S102" s="218"/>
      <c r="T102" s="218"/>
      <c r="U102" s="218"/>
      <c r="V102" s="218"/>
      <c r="W102" s="92"/>
      <c r="X102" s="265"/>
      <c r="Y102" s="193" t="s">
        <v>2999</v>
      </c>
      <c r="Z102" s="193" t="s">
        <v>1779</v>
      </c>
      <c r="AA102" s="299" t="s">
        <v>1998</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3781</v>
      </c>
      <c r="BC102" s="170" t="s">
        <v>1046</v>
      </c>
      <c r="BD102" s="170" t="s">
        <v>1522</v>
      </c>
      <c r="BE102" s="170"/>
      <c r="BF102" s="170" t="s">
        <v>5015</v>
      </c>
      <c r="BG102" s="169"/>
      <c r="BH102" s="123" t="str">
        <f>HYPERLINK("https://www.youtube.com/watch?v=D3qit_yrtB8&amp;feature=youtu.be","27.76")</f>
        <v>27.76</v>
      </c>
      <c r="BI102" s="170" t="s">
        <v>4435</v>
      </c>
      <c r="BJ102" s="170"/>
      <c r="BK102" s="170" t="s">
        <v>5016</v>
      </c>
      <c r="BL102" s="169"/>
      <c r="BM102" s="170" t="s">
        <v>1599</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1260</v>
      </c>
      <c r="D103" s="84" t="s">
        <v>1260</v>
      </c>
      <c r="E103" s="85" t="s">
        <v>1260</v>
      </c>
      <c r="F103" s="86" t="s">
        <v>914</v>
      </c>
      <c r="G103" s="82" t="s">
        <v>3126</v>
      </c>
      <c r="H103" s="88" t="s">
        <v>5028</v>
      </c>
      <c r="I103" s="88" t="s">
        <v>2951</v>
      </c>
      <c r="J103" s="88" t="s">
        <v>3889</v>
      </c>
      <c r="K103" s="93" t="s">
        <v>1275</v>
      </c>
      <c r="L103" s="93" t="s">
        <v>5029</v>
      </c>
      <c r="M103" s="93" t="s">
        <v>5030</v>
      </c>
      <c r="N103" s="93" t="s">
        <v>5031</v>
      </c>
      <c r="O103" s="93" t="s">
        <v>5032</v>
      </c>
      <c r="P103" s="88" t="s">
        <v>3995</v>
      </c>
      <c r="Q103" s="93" t="s">
        <v>5033</v>
      </c>
      <c r="R103" s="98"/>
      <c r="S103" s="93" t="s">
        <v>1389</v>
      </c>
      <c r="T103" s="98"/>
      <c r="U103" s="93" t="s">
        <v>232</v>
      </c>
      <c r="V103" s="281" t="s">
        <v>5034</v>
      </c>
      <c r="W103" s="206"/>
      <c r="X103" s="93" t="s">
        <v>1606</v>
      </c>
      <c r="Y103" s="205" t="s">
        <v>3656</v>
      </c>
      <c r="Z103" s="93" t="s">
        <v>5035</v>
      </c>
      <c r="AA103" s="93" t="s">
        <v>5036</v>
      </c>
      <c r="AB103" s="93" t="s">
        <v>2213</v>
      </c>
      <c r="AC103" s="93" t="s">
        <v>5037</v>
      </c>
      <c r="AD103" s="98"/>
      <c r="AE103" s="93" t="s">
        <v>5038</v>
      </c>
      <c r="AF103" s="93" t="s">
        <v>1119</v>
      </c>
      <c r="AG103" s="93" t="s">
        <v>5039</v>
      </c>
      <c r="AH103" s="93"/>
      <c r="AI103" s="93" t="s">
        <v>5040</v>
      </c>
      <c r="AJ103" s="281" t="s">
        <v>5041</v>
      </c>
      <c r="AK103" s="96"/>
      <c r="AL103" s="93" t="s">
        <v>1856</v>
      </c>
      <c r="AM103" s="93" t="s">
        <v>5042</v>
      </c>
      <c r="AN103" s="93" t="s">
        <v>5043</v>
      </c>
      <c r="AO103" s="93" t="s">
        <v>1506</v>
      </c>
      <c r="AP103" s="93" t="s">
        <v>3728</v>
      </c>
      <c r="AQ103" s="93" t="s">
        <v>1360</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3642</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2038</v>
      </c>
      <c r="BU103" s="98"/>
      <c r="BV103" s="205" t="s">
        <v>429</v>
      </c>
      <c r="BW103" s="98"/>
      <c r="BX103" s="98"/>
      <c r="BY103" s="93" t="s">
        <v>3687</v>
      </c>
      <c r="BZ103" s="93" t="s">
        <v>639</v>
      </c>
      <c r="CA103" s="88" t="s">
        <v>5052</v>
      </c>
      <c r="CB103" s="93" t="s">
        <v>5053</v>
      </c>
      <c r="CC103" s="93" t="s">
        <v>3560</v>
      </c>
      <c r="CD103" s="93" t="s">
        <v>5054</v>
      </c>
      <c r="CE103" s="99"/>
      <c r="CF103" s="93" t="s">
        <v>1333</v>
      </c>
      <c r="CG103" s="93" t="s">
        <v>5055</v>
      </c>
      <c r="CH103" s="93" t="s">
        <v>3087</v>
      </c>
      <c r="CI103" s="93" t="s">
        <v>5056</v>
      </c>
      <c r="CJ103" s="93" t="s">
        <v>5057</v>
      </c>
      <c r="CK103" s="98"/>
      <c r="CL103" s="93" t="s">
        <v>2862</v>
      </c>
      <c r="CM103" s="93" t="s">
        <v>1550</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1322</v>
      </c>
      <c r="DX103" s="93" t="s">
        <v>5075</v>
      </c>
      <c r="DY103" s="93" t="s">
        <v>4945</v>
      </c>
      <c r="DZ103" s="93" t="s">
        <v>639</v>
      </c>
      <c r="EA103" s="93" t="s">
        <v>2743</v>
      </c>
      <c r="EB103" s="281" t="s">
        <v>5076</v>
      </c>
    </row>
    <row r="104">
      <c r="A104" s="162" t="s">
        <v>5077</v>
      </c>
      <c r="B104" s="103" t="s">
        <v>5078</v>
      </c>
      <c r="C104" s="104" t="s">
        <v>1260</v>
      </c>
      <c r="D104" s="105" t="s">
        <v>1260</v>
      </c>
      <c r="E104" s="106" t="s">
        <v>1260</v>
      </c>
      <c r="F104" s="107" t="s">
        <v>438</v>
      </c>
      <c r="G104" s="103" t="s">
        <v>5079</v>
      </c>
      <c r="H104" s="163" t="s">
        <v>3158</v>
      </c>
      <c r="I104" s="163" t="s">
        <v>3906</v>
      </c>
      <c r="J104" s="163" t="s">
        <v>5080</v>
      </c>
      <c r="K104" s="163" t="s">
        <v>3583</v>
      </c>
      <c r="L104" s="163" t="s">
        <v>5081</v>
      </c>
      <c r="M104" s="163" t="s">
        <v>5082</v>
      </c>
      <c r="N104" s="163" t="s">
        <v>5083</v>
      </c>
      <c r="O104" s="163" t="s">
        <v>5084</v>
      </c>
      <c r="P104" s="163" t="s">
        <v>2647</v>
      </c>
      <c r="Q104" s="218"/>
      <c r="R104" s="218"/>
      <c r="S104" s="218"/>
      <c r="T104" s="218"/>
      <c r="U104" s="218"/>
      <c r="V104" s="218"/>
      <c r="W104" s="92"/>
      <c r="X104" s="193" t="s">
        <v>3587</v>
      </c>
      <c r="Y104" s="193" t="s">
        <v>3438</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1433</v>
      </c>
      <c r="BC104" s="123" t="str">
        <f>HYPERLINK("https://youtu.be/jzNyA3Lqtt4","28.84")</f>
        <v>28.84</v>
      </c>
      <c r="BD104" s="170" t="s">
        <v>4098</v>
      </c>
      <c r="BE104" s="170" t="s">
        <v>5085</v>
      </c>
      <c r="BF104" s="169"/>
      <c r="BG104" s="169"/>
      <c r="BH104" s="170" t="s">
        <v>1849</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2737</v>
      </c>
      <c r="I105" s="93" t="s">
        <v>5098</v>
      </c>
      <c r="J105" s="93" t="s">
        <v>5099</v>
      </c>
      <c r="K105" s="93" t="s">
        <v>4326</v>
      </c>
      <c r="L105" s="93" t="s">
        <v>2317</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1994</v>
      </c>
      <c r="BB105" s="98"/>
      <c r="BC105" s="93" t="s">
        <v>5104</v>
      </c>
      <c r="BD105" s="93" t="s">
        <v>4954</v>
      </c>
      <c r="BE105" s="88" t="s">
        <v>4127</v>
      </c>
      <c r="BF105" s="93" t="s">
        <v>1345</v>
      </c>
      <c r="BG105" s="98"/>
      <c r="BH105" s="93" t="s">
        <v>2630</v>
      </c>
      <c r="BI105" s="93" t="s">
        <v>5105</v>
      </c>
      <c r="BJ105" s="93"/>
      <c r="BK105" s="98"/>
      <c r="BL105" s="98"/>
      <c r="BM105" s="98"/>
      <c r="BN105" s="98"/>
      <c r="BO105" s="98"/>
      <c r="BP105" s="256"/>
      <c r="BQ105" s="93" t="s">
        <v>3753</v>
      </c>
      <c r="BR105" s="98"/>
      <c r="BS105" s="93" t="s">
        <v>2600</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4192</v>
      </c>
      <c r="J106" s="163" t="s">
        <v>2459</v>
      </c>
      <c r="K106" s="297" t="s">
        <v>4313</v>
      </c>
      <c r="L106" s="163" t="s">
        <v>5116</v>
      </c>
      <c r="M106" s="218"/>
      <c r="N106" s="163" t="s">
        <v>672</v>
      </c>
      <c r="O106" s="163" t="s">
        <v>3779</v>
      </c>
      <c r="P106" s="163" t="s">
        <v>4270</v>
      </c>
      <c r="Q106" s="163" t="s">
        <v>5117</v>
      </c>
      <c r="R106" s="163"/>
      <c r="S106" s="163" t="s">
        <v>229</v>
      </c>
      <c r="T106" s="218"/>
      <c r="U106" s="163" t="s">
        <v>2400</v>
      </c>
      <c r="V106" s="163" t="s">
        <v>5118</v>
      </c>
      <c r="W106" s="92"/>
      <c r="X106" s="193" t="s">
        <v>5119</v>
      </c>
      <c r="Y106" s="299" t="s">
        <v>2649</v>
      </c>
      <c r="Z106" s="193" t="s">
        <v>2821</v>
      </c>
      <c r="AA106" s="193" t="s">
        <v>5120</v>
      </c>
      <c r="AB106" s="193" t="s">
        <v>978</v>
      </c>
      <c r="AC106" s="193" t="s">
        <v>4276</v>
      </c>
      <c r="AD106" s="193" t="s">
        <v>5121</v>
      </c>
      <c r="AE106" s="193" t="s">
        <v>1388</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2490</v>
      </c>
      <c r="J107" s="93" t="s">
        <v>5130</v>
      </c>
      <c r="K107" s="93" t="s">
        <v>1002</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1496</v>
      </c>
      <c r="BL107" s="98"/>
      <c r="BM107" s="98"/>
      <c r="BN107" s="98"/>
      <c r="BO107" s="98"/>
      <c r="BP107" s="256"/>
      <c r="BQ107" s="93" t="s">
        <v>5137</v>
      </c>
      <c r="BR107" s="93" t="s">
        <v>4334</v>
      </c>
      <c r="BS107" s="93" t="s">
        <v>1207</v>
      </c>
      <c r="BT107" s="93" t="s">
        <v>5138</v>
      </c>
      <c r="BU107" s="93" t="s">
        <v>5139</v>
      </c>
      <c r="BV107" s="93" t="s">
        <v>5140</v>
      </c>
      <c r="BW107" s="98"/>
      <c r="BX107" s="93" t="s">
        <v>5141</v>
      </c>
      <c r="BY107" s="98"/>
      <c r="BZ107" s="98"/>
      <c r="CA107" s="98"/>
      <c r="CB107" s="98"/>
      <c r="CC107" s="98"/>
      <c r="CD107" s="98"/>
      <c r="CE107" s="256"/>
      <c r="CF107" s="93" t="s">
        <v>5142</v>
      </c>
      <c r="CG107" s="93" t="s">
        <v>717</v>
      </c>
      <c r="CH107" s="93" t="s">
        <v>1295</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2338</v>
      </c>
      <c r="H108" s="163" t="s">
        <v>5152</v>
      </c>
      <c r="I108" s="163" t="s">
        <v>4115</v>
      </c>
      <c r="J108" s="163" t="s">
        <v>5153</v>
      </c>
      <c r="K108" s="163" t="s">
        <v>3988</v>
      </c>
      <c r="L108" s="163" t="s">
        <v>1086</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2469</v>
      </c>
      <c r="AD108" s="193"/>
      <c r="AE108" s="193" t="s">
        <v>288</v>
      </c>
      <c r="AF108" s="193" t="s">
        <v>4297</v>
      </c>
      <c r="AG108" s="265"/>
      <c r="AH108" s="265"/>
      <c r="AI108" s="265"/>
      <c r="AJ108" s="265"/>
      <c r="AK108" s="96"/>
      <c r="AL108" s="266"/>
      <c r="AM108" s="164" t="s">
        <v>1768</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3298</v>
      </c>
      <c r="BN108" s="169"/>
      <c r="BO108" s="169"/>
      <c r="BP108" s="268"/>
      <c r="BQ108" s="171"/>
      <c r="BR108" s="171" t="s">
        <v>2168</v>
      </c>
      <c r="BS108" s="171" t="s">
        <v>5164</v>
      </c>
      <c r="BT108" s="127" t="s">
        <v>976</v>
      </c>
      <c r="BU108" s="171" t="s">
        <v>5165</v>
      </c>
      <c r="BV108" s="127" t="s">
        <v>161</v>
      </c>
      <c r="BW108" s="171" t="s">
        <v>3394</v>
      </c>
      <c r="BX108" s="171" t="s">
        <v>5166</v>
      </c>
      <c r="BY108" s="271"/>
      <c r="BZ108" s="171" t="s">
        <v>2334</v>
      </c>
      <c r="CA108" s="171" t="s">
        <v>4930</v>
      </c>
      <c r="CB108" s="171" t="s">
        <v>3246</v>
      </c>
      <c r="CC108" s="171" t="s">
        <v>1667</v>
      </c>
      <c r="CD108" s="271"/>
      <c r="CE108" s="272"/>
      <c r="CF108" s="173" t="s">
        <v>5167</v>
      </c>
      <c r="CG108" s="173" t="s">
        <v>3359</v>
      </c>
      <c r="CH108" s="173" t="s">
        <v>3429</v>
      </c>
      <c r="CI108" s="173" t="s">
        <v>5168</v>
      </c>
      <c r="CJ108" s="173"/>
      <c r="CK108" s="173" t="s">
        <v>5169</v>
      </c>
      <c r="CL108" s="173" t="s">
        <v>3707</v>
      </c>
      <c r="CM108" s="173" t="s">
        <v>1308</v>
      </c>
      <c r="CN108" s="275"/>
      <c r="CO108" s="275"/>
      <c r="CP108" s="275"/>
      <c r="CQ108" s="275"/>
      <c r="CR108" s="275"/>
      <c r="CS108" s="92"/>
      <c r="CT108" s="201" t="s">
        <v>5170</v>
      </c>
      <c r="CU108" s="201" t="s">
        <v>5171</v>
      </c>
      <c r="CV108" s="201" t="s">
        <v>2625</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1322</v>
      </c>
      <c r="DZ108" s="278"/>
      <c r="EA108" s="278"/>
      <c r="EB108" s="312"/>
    </row>
    <row r="109">
      <c r="A109" s="81" t="s">
        <v>5177</v>
      </c>
      <c r="B109" s="82" t="s">
        <v>5178</v>
      </c>
      <c r="C109" s="83" t="s">
        <v>1260</v>
      </c>
      <c r="D109" s="84" t="s">
        <v>1260</v>
      </c>
      <c r="E109" s="85" t="s">
        <v>1260</v>
      </c>
      <c r="F109" s="86" t="s">
        <v>545</v>
      </c>
      <c r="G109" s="82" t="s">
        <v>3280</v>
      </c>
      <c r="H109" s="98"/>
      <c r="I109" s="93" t="s">
        <v>5179</v>
      </c>
      <c r="J109" s="88" t="s">
        <v>5180</v>
      </c>
      <c r="K109" s="93" t="s">
        <v>4420</v>
      </c>
      <c r="L109" s="286" t="s">
        <v>564</v>
      </c>
      <c r="M109" s="98"/>
      <c r="N109" s="93" t="s">
        <v>5181</v>
      </c>
      <c r="O109" s="93" t="s">
        <v>1026</v>
      </c>
      <c r="P109" s="93" t="s">
        <v>3531</v>
      </c>
      <c r="Q109" s="98"/>
      <c r="R109" s="98"/>
      <c r="S109" s="98"/>
      <c r="T109" s="98"/>
      <c r="U109" s="98"/>
      <c r="V109" s="98"/>
      <c r="W109" s="92"/>
      <c r="X109" s="93" t="s">
        <v>2594</v>
      </c>
      <c r="Y109" s="93" t="s">
        <v>1011</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1109</v>
      </c>
      <c r="BB109" s="93" t="s">
        <v>370</v>
      </c>
      <c r="BC109" s="93" t="s">
        <v>4653</v>
      </c>
      <c r="BD109" s="93" t="s">
        <v>4826</v>
      </c>
      <c r="BE109" s="93" t="s">
        <v>1743</v>
      </c>
      <c r="BF109" s="98"/>
      <c r="BG109" s="98"/>
      <c r="BH109" s="93" t="s">
        <v>1976</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1809</v>
      </c>
      <c r="H111" s="93" t="s">
        <v>779</v>
      </c>
      <c r="I111" s="671" t="s">
        <v>5195</v>
      </c>
      <c r="J111" s="93" t="s">
        <v>5196</v>
      </c>
      <c r="K111" s="88" t="s">
        <v>2697</v>
      </c>
      <c r="L111" s="93" t="s">
        <v>5197</v>
      </c>
      <c r="M111" s="98"/>
      <c r="N111" s="98"/>
      <c r="O111" s="93" t="s">
        <v>258</v>
      </c>
      <c r="P111" s="93" t="s">
        <v>107</v>
      </c>
      <c r="Q111" s="98"/>
      <c r="R111" s="98"/>
      <c r="S111" s="93" t="s">
        <v>2598</v>
      </c>
      <c r="T111" s="98"/>
      <c r="U111" s="98"/>
      <c r="V111" s="98"/>
      <c r="W111" s="92"/>
      <c r="X111" s="88" t="s">
        <v>3049</v>
      </c>
      <c r="Y111" s="205" t="s">
        <v>3234</v>
      </c>
      <c r="Z111" s="205" t="s">
        <v>4028</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5189</v>
      </c>
      <c r="BF111" s="98"/>
      <c r="BG111" s="98"/>
      <c r="BH111" s="569" t="s">
        <v>2743</v>
      </c>
      <c r="BI111" s="98"/>
      <c r="BJ111" s="98"/>
      <c r="BK111" s="98"/>
      <c r="BL111" s="98"/>
      <c r="BM111" s="98"/>
      <c r="BN111" s="98"/>
      <c r="BO111" s="98"/>
      <c r="BP111" s="256"/>
      <c r="BQ111" s="93"/>
      <c r="BR111" s="98"/>
      <c r="BS111" s="93" t="s">
        <v>2600</v>
      </c>
      <c r="BT111" s="93" t="s">
        <v>639</v>
      </c>
      <c r="BU111" s="98"/>
      <c r="BV111" s="88" t="s">
        <v>1127</v>
      </c>
      <c r="BW111" s="98"/>
      <c r="BX111" s="98"/>
      <c r="BY111" s="98"/>
      <c r="BZ111" s="98"/>
      <c r="CA111" s="98"/>
      <c r="CB111" s="93" t="s">
        <v>5203</v>
      </c>
      <c r="CC111" s="93"/>
      <c r="CD111" s="98"/>
      <c r="CE111" s="256"/>
      <c r="CF111" s="93" t="s">
        <v>5204</v>
      </c>
      <c r="CG111" s="98"/>
      <c r="CH111" s="98"/>
      <c r="CI111" s="98"/>
      <c r="CJ111" s="98"/>
      <c r="CK111" s="98"/>
      <c r="CL111" s="158" t="s">
        <v>1088</v>
      </c>
      <c r="CM111" s="93"/>
      <c r="CN111" s="98"/>
      <c r="CO111" s="98"/>
      <c r="CP111" s="98"/>
      <c r="CQ111" s="98"/>
      <c r="CR111" s="98"/>
      <c r="CS111" s="92"/>
      <c r="CT111" s="93" t="s">
        <v>2886</v>
      </c>
      <c r="CU111" s="93" t="s">
        <v>4313</v>
      </c>
      <c r="CV111" s="205" t="s">
        <v>3521</v>
      </c>
      <c r="CW111" s="93" t="s">
        <v>1086</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5194</v>
      </c>
      <c r="C112" s="104" t="s">
        <v>1260</v>
      </c>
      <c r="D112" s="105" t="s">
        <v>1260</v>
      </c>
      <c r="E112" s="106" t="s">
        <v>1260</v>
      </c>
      <c r="F112" s="107" t="s">
        <v>545</v>
      </c>
      <c r="G112" s="103" t="s">
        <v>1726</v>
      </c>
      <c r="H112" s="163"/>
      <c r="I112" s="163" t="s">
        <v>5207</v>
      </c>
      <c r="J112" s="163" t="s">
        <v>5208</v>
      </c>
      <c r="K112" s="163" t="s">
        <v>3606</v>
      </c>
      <c r="L112" s="163" t="s">
        <v>5209</v>
      </c>
      <c r="M112" s="109" t="str">
        <f>HYPERLINK("https://www.twitch.tv/videos/204820156","2:20.22")</f>
        <v>2:20.22</v>
      </c>
      <c r="N112" s="163" t="s">
        <v>5210</v>
      </c>
      <c r="O112" s="163" t="s">
        <v>1159</v>
      </c>
      <c r="P112" s="581" t="s">
        <v>2870</v>
      </c>
      <c r="Q112" s="163"/>
      <c r="R112" s="163"/>
      <c r="S112" s="163"/>
      <c r="T112" s="163"/>
      <c r="U112" s="163"/>
      <c r="V112" s="218"/>
      <c r="W112" s="92"/>
      <c r="X112" s="193" t="s">
        <v>779</v>
      </c>
      <c r="Y112" s="323" t="s">
        <v>5211</v>
      </c>
      <c r="Z112" s="193" t="s">
        <v>510</v>
      </c>
      <c r="AA112" s="193" t="s">
        <v>5120</v>
      </c>
      <c r="AB112" s="193" t="s">
        <v>5132</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2251</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1141</v>
      </c>
      <c r="BZ112" s="171" t="s">
        <v>1590</v>
      </c>
      <c r="CA112" s="171"/>
      <c r="CB112" s="171"/>
      <c r="CC112" s="171"/>
      <c r="CD112" s="171"/>
      <c r="CE112" s="318"/>
      <c r="CF112" s="173" t="s">
        <v>1938</v>
      </c>
      <c r="CG112" s="173" t="s">
        <v>1799</v>
      </c>
      <c r="CH112" s="173"/>
      <c r="CI112" s="173"/>
      <c r="CJ112" s="173"/>
      <c r="CK112" s="173" t="s">
        <v>1705</v>
      </c>
      <c r="CL112" s="173" t="s">
        <v>205</v>
      </c>
      <c r="CM112" s="173" t="s">
        <v>3638</v>
      </c>
      <c r="CN112" s="173"/>
      <c r="CO112" s="173"/>
      <c r="CP112" s="173"/>
      <c r="CQ112" s="173"/>
      <c r="CR112" s="173"/>
      <c r="CS112" s="92"/>
      <c r="CT112" s="201" t="s">
        <v>5218</v>
      </c>
      <c r="CU112" s="201" t="s">
        <v>2931</v>
      </c>
      <c r="CV112" s="201" t="s">
        <v>4969</v>
      </c>
      <c r="CW112" s="201" t="s">
        <v>1149</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5221</v>
      </c>
      <c r="B113" s="82" t="s">
        <v>5222</v>
      </c>
      <c r="C113" s="83" t="s">
        <v>1260</v>
      </c>
      <c r="D113" s="84" t="s">
        <v>1260</v>
      </c>
      <c r="E113" s="85" t="s">
        <v>1260</v>
      </c>
      <c r="F113" s="86" t="s">
        <v>2605</v>
      </c>
      <c r="G113" s="82" t="s">
        <v>3126</v>
      </c>
      <c r="H113" s="93" t="s">
        <v>3291</v>
      </c>
      <c r="I113" s="93" t="s">
        <v>5223</v>
      </c>
      <c r="J113" s="93" t="s">
        <v>5224</v>
      </c>
      <c r="K113" s="93" t="s">
        <v>754</v>
      </c>
      <c r="L113" s="93" t="s">
        <v>916</v>
      </c>
      <c r="M113" s="98"/>
      <c r="N113" s="93" t="s">
        <v>5225</v>
      </c>
      <c r="O113" s="93" t="s">
        <v>809</v>
      </c>
      <c r="P113" s="88" t="s">
        <v>555</v>
      </c>
      <c r="Q113" s="93" t="s">
        <v>1077</v>
      </c>
      <c r="R113" s="98"/>
      <c r="S113" s="88" t="s">
        <v>2625</v>
      </c>
      <c r="T113" s="98"/>
      <c r="U113" s="93" t="s">
        <v>5226</v>
      </c>
      <c r="V113" s="88" t="s">
        <v>5227</v>
      </c>
      <c r="W113" s="92"/>
      <c r="X113" s="93" t="s">
        <v>5228</v>
      </c>
      <c r="Y113" s="93" t="s">
        <v>1582</v>
      </c>
      <c r="Z113" s="93" t="s">
        <v>1518</v>
      </c>
      <c r="AA113" s="93" t="s">
        <v>608</v>
      </c>
      <c r="AB113" s="93" t="s">
        <v>3694</v>
      </c>
      <c r="AC113" s="93" t="s">
        <v>5229</v>
      </c>
      <c r="AD113" s="93"/>
      <c r="AE113" s="93" t="s">
        <v>3879</v>
      </c>
      <c r="AF113" s="88" t="s">
        <v>1995</v>
      </c>
      <c r="AG113" s="93" t="s">
        <v>167</v>
      </c>
      <c r="AH113" s="101"/>
      <c r="AI113" s="88" t="s">
        <v>3034</v>
      </c>
      <c r="AJ113" s="93" t="s">
        <v>5230</v>
      </c>
      <c r="AK113" s="96"/>
      <c r="AL113" s="93" t="s">
        <v>3631</v>
      </c>
      <c r="AM113" s="93" t="s">
        <v>1308</v>
      </c>
      <c r="AN113" s="98"/>
      <c r="AO113" s="88" t="s">
        <v>5231</v>
      </c>
      <c r="AP113" s="93" t="s">
        <v>900</v>
      </c>
      <c r="AQ113" s="93"/>
      <c r="AR113" s="93" t="s">
        <v>5232</v>
      </c>
      <c r="AS113" s="93" t="s">
        <v>5233</v>
      </c>
      <c r="AT113" s="88" t="s">
        <v>3364</v>
      </c>
      <c r="AU113" s="93" t="s">
        <v>5234</v>
      </c>
      <c r="AV113" s="93" t="s">
        <v>5235</v>
      </c>
      <c r="AW113" s="98"/>
      <c r="AX113" s="88" t="s">
        <v>1666</v>
      </c>
      <c r="AY113" s="93" t="s">
        <v>5236</v>
      </c>
      <c r="AZ113" s="93"/>
      <c r="BA113" s="98"/>
      <c r="BB113" s="93" t="s">
        <v>2230</v>
      </c>
      <c r="BC113" s="93" t="s">
        <v>3586</v>
      </c>
      <c r="BD113" s="93" t="s">
        <v>5237</v>
      </c>
      <c r="BE113" s="93" t="s">
        <v>2563</v>
      </c>
      <c r="BF113" s="93" t="s">
        <v>3199</v>
      </c>
      <c r="BG113" s="98"/>
      <c r="BH113" s="93" t="s">
        <v>5238</v>
      </c>
      <c r="BI113" s="93" t="s">
        <v>1148</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3015</v>
      </c>
      <c r="BY113" s="98"/>
      <c r="BZ113" s="88" t="s">
        <v>3698</v>
      </c>
      <c r="CA113" s="88" t="s">
        <v>5245</v>
      </c>
      <c r="CB113" s="88" t="s">
        <v>5246</v>
      </c>
      <c r="CC113" s="93" t="s">
        <v>2728</v>
      </c>
      <c r="CD113" s="93" t="s">
        <v>5247</v>
      </c>
      <c r="CE113" s="93"/>
      <c r="CF113" s="93" t="s">
        <v>3162</v>
      </c>
      <c r="CG113" s="93" t="s">
        <v>3489</v>
      </c>
      <c r="CH113" s="93" t="s">
        <v>481</v>
      </c>
      <c r="CI113" s="93" t="s">
        <v>5248</v>
      </c>
      <c r="CJ113" s="93"/>
      <c r="CK113" s="93" t="s">
        <v>5249</v>
      </c>
      <c r="CL113" s="286" t="s">
        <v>5250</v>
      </c>
      <c r="CM113" s="88" t="s">
        <v>3531</v>
      </c>
      <c r="CN113" s="98"/>
      <c r="CO113" s="93" t="s">
        <v>5251</v>
      </c>
      <c r="CP113" s="98"/>
      <c r="CQ113" s="98"/>
      <c r="CR113" s="93" t="s">
        <v>3450</v>
      </c>
      <c r="CS113" s="92"/>
      <c r="CT113" s="93" t="s">
        <v>2573</v>
      </c>
      <c r="CU113" s="93" t="s">
        <v>5171</v>
      </c>
      <c r="CV113" s="93" t="s">
        <v>3348</v>
      </c>
      <c r="CW113" s="93" t="s">
        <v>657</v>
      </c>
      <c r="CX113" s="98"/>
      <c r="CY113" s="98"/>
      <c r="CZ113" s="88" t="s">
        <v>5252</v>
      </c>
      <c r="DA113" s="88" t="s">
        <v>2411</v>
      </c>
      <c r="DB113" s="93" t="s">
        <v>5253</v>
      </c>
      <c r="DC113" s="93" t="s">
        <v>5209</v>
      </c>
      <c r="DD113" s="93" t="s">
        <v>5254</v>
      </c>
      <c r="DE113" s="93" t="s">
        <v>5255</v>
      </c>
      <c r="DF113" s="93"/>
      <c r="DG113" s="93" t="s">
        <v>4120</v>
      </c>
      <c r="DH113" s="93"/>
      <c r="DI113" s="93" t="s">
        <v>5256</v>
      </c>
      <c r="DJ113" s="93"/>
      <c r="DK113" s="93" t="s">
        <v>5257</v>
      </c>
      <c r="DL113" s="93" t="s">
        <v>2743</v>
      </c>
      <c r="DM113" s="158" t="s">
        <v>5258</v>
      </c>
      <c r="DN113" s="93" t="s">
        <v>4050</v>
      </c>
      <c r="DO113" s="98"/>
      <c r="DP113" s="93" t="s">
        <v>3166</v>
      </c>
      <c r="DQ113" s="93" t="s">
        <v>5259</v>
      </c>
      <c r="DR113" s="93" t="s">
        <v>3730</v>
      </c>
      <c r="DS113" s="93" t="s">
        <v>3585</v>
      </c>
      <c r="DT113" s="93" t="s">
        <v>1082</v>
      </c>
      <c r="DU113" s="93" t="s">
        <v>1347</v>
      </c>
      <c r="DV113" s="93" t="s">
        <v>4151</v>
      </c>
      <c r="DW113" s="93" t="s">
        <v>1020</v>
      </c>
      <c r="DX113" s="93" t="s">
        <v>2800</v>
      </c>
      <c r="DY113" s="93" t="s">
        <v>3862</v>
      </c>
      <c r="DZ113" s="93" t="s">
        <v>1755</v>
      </c>
      <c r="EA113" s="93" t="s">
        <v>1088</v>
      </c>
      <c r="EB113" s="281" t="s">
        <v>5260</v>
      </c>
    </row>
    <row r="114">
      <c r="A114" s="162" t="s">
        <v>5261</v>
      </c>
      <c r="B114" s="103" t="s">
        <v>5262</v>
      </c>
      <c r="C114" s="104" t="s">
        <v>1260</v>
      </c>
      <c r="D114" s="105" t="s">
        <v>1260</v>
      </c>
      <c r="E114" s="106" t="s">
        <v>1260</v>
      </c>
      <c r="F114" s="107" t="s">
        <v>1260</v>
      </c>
      <c r="G114" s="103" t="s">
        <v>2144</v>
      </c>
      <c r="H114" s="163" t="s">
        <v>4678</v>
      </c>
      <c r="I114" s="163" t="s">
        <v>2313</v>
      </c>
      <c r="J114" s="163" t="s">
        <v>1881</v>
      </c>
      <c r="K114" s="163" t="s">
        <v>1144</v>
      </c>
      <c r="L114" s="163" t="s">
        <v>2573</v>
      </c>
      <c r="M114" s="163" t="s">
        <v>1102</v>
      </c>
      <c r="N114" s="163" t="s">
        <v>5263</v>
      </c>
      <c r="O114" s="163" t="s">
        <v>337</v>
      </c>
      <c r="P114" s="163" t="s">
        <v>1827</v>
      </c>
      <c r="Q114" s="218"/>
      <c r="R114" s="218"/>
      <c r="S114" s="163" t="s">
        <v>5264</v>
      </c>
      <c r="T114" s="218"/>
      <c r="U114" s="163" t="s">
        <v>1219</v>
      </c>
      <c r="V114" s="218"/>
      <c r="W114" s="92"/>
      <c r="X114" s="193" t="s">
        <v>5265</v>
      </c>
      <c r="Y114" s="193" t="s">
        <v>5266</v>
      </c>
      <c r="Z114" s="193" t="s">
        <v>5267</v>
      </c>
      <c r="AA114" s="193" t="s">
        <v>5268</v>
      </c>
      <c r="AB114" s="193" t="s">
        <v>5269</v>
      </c>
      <c r="AC114" s="193" t="s">
        <v>5270</v>
      </c>
      <c r="AD114" s="193" t="s">
        <v>5271</v>
      </c>
      <c r="AE114" s="193" t="s">
        <v>1623</v>
      </c>
      <c r="AF114" s="193" t="s">
        <v>4297</v>
      </c>
      <c r="AG114" s="193" t="s">
        <v>1830</v>
      </c>
      <c r="AH114" s="193"/>
      <c r="AI114" s="193" t="s">
        <v>1365</v>
      </c>
      <c r="AJ114" s="193" t="s">
        <v>5272</v>
      </c>
      <c r="AK114" s="96"/>
      <c r="AL114" s="164" t="s">
        <v>2021</v>
      </c>
      <c r="AM114" s="164" t="s">
        <v>4249</v>
      </c>
      <c r="AN114" s="266"/>
      <c r="AO114" s="266"/>
      <c r="AP114" s="266"/>
      <c r="AQ114" s="266"/>
      <c r="AR114" s="164" t="s">
        <v>3840</v>
      </c>
      <c r="AS114" s="266"/>
      <c r="AT114" s="164" t="s">
        <v>5273</v>
      </c>
      <c r="AU114" s="164" t="s">
        <v>5274</v>
      </c>
      <c r="AV114" s="266"/>
      <c r="AW114" s="266"/>
      <c r="AX114" s="266"/>
      <c r="AY114" s="266"/>
      <c r="AZ114" s="266"/>
      <c r="BA114" s="170" t="s">
        <v>5275</v>
      </c>
      <c r="BB114" s="170" t="s">
        <v>5276</v>
      </c>
      <c r="BC114" s="170" t="s">
        <v>1046</v>
      </c>
      <c r="BD114" s="170" t="s">
        <v>2468</v>
      </c>
      <c r="BE114" s="170" t="s">
        <v>5277</v>
      </c>
      <c r="BF114" s="170" t="s">
        <v>4222</v>
      </c>
      <c r="BG114" s="170" t="s">
        <v>4543</v>
      </c>
      <c r="BH114" s="170" t="s">
        <v>5278</v>
      </c>
      <c r="BI114" s="170" t="s">
        <v>897</v>
      </c>
      <c r="BJ114" s="170"/>
      <c r="BK114" s="170" t="s">
        <v>5279</v>
      </c>
      <c r="BL114" s="169"/>
      <c r="BM114" s="170" t="s">
        <v>158</v>
      </c>
      <c r="BN114" s="170" t="s">
        <v>2859</v>
      </c>
      <c r="BO114" s="169"/>
      <c r="BP114" s="268"/>
      <c r="BQ114" s="171"/>
      <c r="BR114" s="171" t="s">
        <v>3139</v>
      </c>
      <c r="BS114" s="171" t="s">
        <v>2756</v>
      </c>
      <c r="BT114" s="171" t="s">
        <v>2447</v>
      </c>
      <c r="BU114" s="171" t="s">
        <v>5280</v>
      </c>
      <c r="BV114" s="171" t="s">
        <v>209</v>
      </c>
      <c r="BW114" s="171" t="s">
        <v>5281</v>
      </c>
      <c r="BX114" s="271"/>
      <c r="BY114" s="171" t="s">
        <v>5282</v>
      </c>
      <c r="BZ114" s="171" t="s">
        <v>5283</v>
      </c>
      <c r="CA114" s="271"/>
      <c r="CB114" s="171" t="s">
        <v>5284</v>
      </c>
      <c r="CC114" s="171" t="s">
        <v>1507</v>
      </c>
      <c r="CD114" s="271"/>
      <c r="CE114" s="272"/>
      <c r="CF114" s="173" t="s">
        <v>4778</v>
      </c>
      <c r="CG114" s="173" t="s">
        <v>1891</v>
      </c>
      <c r="CH114" s="173" t="s">
        <v>4875</v>
      </c>
      <c r="CI114" s="173" t="s">
        <v>5285</v>
      </c>
      <c r="CJ114" s="173" t="s">
        <v>5286</v>
      </c>
      <c r="CK114" s="173" t="s">
        <v>5287</v>
      </c>
      <c r="CL114" s="173" t="s">
        <v>1447</v>
      </c>
      <c r="CM114" s="173" t="s">
        <v>3004</v>
      </c>
      <c r="CN114" s="173" t="s">
        <v>5288</v>
      </c>
      <c r="CO114" s="173" t="s">
        <v>549</v>
      </c>
      <c r="CP114" s="173"/>
      <c r="CQ114" s="173" t="s">
        <v>5289</v>
      </c>
      <c r="CR114" s="275"/>
      <c r="CS114" s="92"/>
      <c r="CT114" s="201" t="s">
        <v>5290</v>
      </c>
      <c r="CU114" s="201" t="s">
        <v>5291</v>
      </c>
      <c r="CV114" s="201" t="s">
        <v>3384</v>
      </c>
      <c r="CW114" s="201" t="s">
        <v>3175</v>
      </c>
      <c r="CX114" s="201" t="s">
        <v>5292</v>
      </c>
      <c r="CY114" s="201" t="s">
        <v>3911</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1260</v>
      </c>
      <c r="D115" s="84" t="s">
        <v>1260</v>
      </c>
      <c r="E115" s="85" t="s">
        <v>1260</v>
      </c>
      <c r="F115" s="86" t="s">
        <v>330</v>
      </c>
      <c r="G115" s="82" t="s">
        <v>4706</v>
      </c>
      <c r="H115" s="93" t="s">
        <v>662</v>
      </c>
      <c r="I115" s="93" t="s">
        <v>2491</v>
      </c>
      <c r="J115" s="93" t="s">
        <v>1667</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2999</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3343</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2157</v>
      </c>
      <c r="CK115" s="93" t="s">
        <v>5319</v>
      </c>
      <c r="CL115" s="93" t="s">
        <v>2433</v>
      </c>
      <c r="CM115" s="93" t="s">
        <v>5202</v>
      </c>
      <c r="CN115" s="98"/>
      <c r="CO115" s="98"/>
      <c r="CP115" s="98"/>
      <c r="CQ115" s="98"/>
      <c r="CR115" s="98"/>
      <c r="CS115" s="92"/>
      <c r="CT115" s="93" t="s">
        <v>5062</v>
      </c>
      <c r="CU115" s="93" t="s">
        <v>2964</v>
      </c>
      <c r="CV115" s="93" t="s">
        <v>681</v>
      </c>
      <c r="CW115" s="93" t="s">
        <v>5209</v>
      </c>
      <c r="CX115" s="93" t="s">
        <v>5167</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5323</v>
      </c>
      <c r="B116" s="103" t="s">
        <v>5324</v>
      </c>
      <c r="C116" s="104" t="s">
        <v>1260</v>
      </c>
      <c r="D116" s="105" t="s">
        <v>1260</v>
      </c>
      <c r="E116" s="106" t="s">
        <v>1260</v>
      </c>
      <c r="F116" s="107" t="s">
        <v>1260</v>
      </c>
      <c r="G116" s="103" t="s">
        <v>5325</v>
      </c>
      <c r="H116" s="163" t="s">
        <v>2507</v>
      </c>
      <c r="I116" s="163" t="s">
        <v>5326</v>
      </c>
      <c r="J116" s="163" t="s">
        <v>5327</v>
      </c>
      <c r="K116" s="163" t="s">
        <v>5328</v>
      </c>
      <c r="L116" s="163" t="s">
        <v>784</v>
      </c>
      <c r="M116" s="218"/>
      <c r="N116" s="163" t="s">
        <v>5329</v>
      </c>
      <c r="O116" s="163" t="s">
        <v>479</v>
      </c>
      <c r="P116" s="163" t="s">
        <v>5330</v>
      </c>
      <c r="Q116" s="218"/>
      <c r="R116" s="218"/>
      <c r="S116" s="163" t="s">
        <v>2968</v>
      </c>
      <c r="T116" s="218"/>
      <c r="U116" s="218"/>
      <c r="V116" s="218"/>
      <c r="W116" s="92"/>
      <c r="X116" s="193" t="s">
        <v>5331</v>
      </c>
      <c r="Y116" s="193" t="s">
        <v>282</v>
      </c>
      <c r="Z116" s="193" t="s">
        <v>5332</v>
      </c>
      <c r="AA116" s="193" t="s">
        <v>1462</v>
      </c>
      <c r="AB116" s="193" t="s">
        <v>5333</v>
      </c>
      <c r="AC116" s="193" t="s">
        <v>5334</v>
      </c>
      <c r="AD116" s="265"/>
      <c r="AE116" s="193" t="s">
        <v>288</v>
      </c>
      <c r="AF116" s="193" t="s">
        <v>5335</v>
      </c>
      <c r="AG116" s="265"/>
      <c r="AH116" s="265"/>
      <c r="AI116" s="193" t="s">
        <v>5336</v>
      </c>
      <c r="AJ116" s="265"/>
      <c r="AK116" s="96"/>
      <c r="AL116" s="164" t="s">
        <v>4437</v>
      </c>
      <c r="AM116" s="164" t="s">
        <v>3677</v>
      </c>
      <c r="AN116" s="266"/>
      <c r="AO116" s="266"/>
      <c r="AP116" s="266"/>
      <c r="AQ116" s="266"/>
      <c r="AR116" s="164" t="s">
        <v>5337</v>
      </c>
      <c r="AS116" s="266"/>
      <c r="AT116" s="164" t="s">
        <v>1795</v>
      </c>
      <c r="AU116" s="164" t="s">
        <v>2105</v>
      </c>
      <c r="AV116" s="164" t="s">
        <v>2018</v>
      </c>
      <c r="AW116" s="266"/>
      <c r="AX116" s="164" t="s">
        <v>5333</v>
      </c>
      <c r="AY116" s="266"/>
      <c r="AZ116" s="266"/>
      <c r="BA116" s="170" t="s">
        <v>5338</v>
      </c>
      <c r="BB116" s="170" t="s">
        <v>2633</v>
      </c>
      <c r="BC116" s="170" t="s">
        <v>5339</v>
      </c>
      <c r="BD116" s="170" t="s">
        <v>4514</v>
      </c>
      <c r="BE116" s="170" t="s">
        <v>5340</v>
      </c>
      <c r="BF116" s="170" t="s">
        <v>5341</v>
      </c>
      <c r="BG116" s="170" t="s">
        <v>4795</v>
      </c>
      <c r="BH116" s="170" t="s">
        <v>2319</v>
      </c>
      <c r="BI116" s="170" t="s">
        <v>5342</v>
      </c>
      <c r="BJ116" s="170" t="s">
        <v>5343</v>
      </c>
      <c r="BK116" s="170" t="s">
        <v>5344</v>
      </c>
      <c r="BL116" s="169"/>
      <c r="BM116" s="170" t="s">
        <v>2319</v>
      </c>
      <c r="BN116" s="170" t="s">
        <v>5345</v>
      </c>
      <c r="BO116" s="169"/>
      <c r="BP116" s="268"/>
      <c r="BQ116" s="171" t="s">
        <v>5346</v>
      </c>
      <c r="BR116" s="271"/>
      <c r="BS116" s="171" t="s">
        <v>4462</v>
      </c>
      <c r="BT116" s="171" t="s">
        <v>5347</v>
      </c>
      <c r="BU116" s="171" t="s">
        <v>5348</v>
      </c>
      <c r="BV116" s="171" t="s">
        <v>5349</v>
      </c>
      <c r="BW116" s="271"/>
      <c r="BX116" s="171" t="s">
        <v>3797</v>
      </c>
      <c r="BY116" s="171" t="s">
        <v>5350</v>
      </c>
      <c r="BZ116" s="171" t="s">
        <v>5351</v>
      </c>
      <c r="CA116" s="271"/>
      <c r="CB116" s="271"/>
      <c r="CC116" s="271"/>
      <c r="CD116" s="271"/>
      <c r="CE116" s="272"/>
      <c r="CF116" s="173" t="s">
        <v>5352</v>
      </c>
      <c r="CG116" s="173" t="s">
        <v>5074</v>
      </c>
      <c r="CH116" s="173" t="s">
        <v>993</v>
      </c>
      <c r="CI116" s="173" t="s">
        <v>5353</v>
      </c>
      <c r="CJ116" s="173" t="s">
        <v>4161</v>
      </c>
      <c r="CK116" s="173" t="s">
        <v>5354</v>
      </c>
      <c r="CL116" s="173" t="s">
        <v>5355</v>
      </c>
      <c r="CM116" s="173" t="s">
        <v>4140</v>
      </c>
      <c r="CN116" s="275"/>
      <c r="CO116" s="173" t="s">
        <v>5356</v>
      </c>
      <c r="CP116" s="275"/>
      <c r="CQ116" s="275"/>
      <c r="CR116" s="275"/>
      <c r="CS116" s="92"/>
      <c r="CT116" s="201" t="s">
        <v>5357</v>
      </c>
      <c r="CU116" s="201" t="s">
        <v>5358</v>
      </c>
      <c r="CV116" s="201" t="s">
        <v>5359</v>
      </c>
      <c r="CW116" s="201" t="s">
        <v>3587</v>
      </c>
      <c r="CX116" s="201" t="s">
        <v>5360</v>
      </c>
      <c r="CY116" s="201" t="s">
        <v>1906</v>
      </c>
      <c r="CZ116" s="201" t="s">
        <v>5361</v>
      </c>
      <c r="DA116" s="201" t="s">
        <v>5362</v>
      </c>
      <c r="DB116" s="276"/>
      <c r="DC116" s="276"/>
      <c r="DD116" s="201" t="s">
        <v>353</v>
      </c>
      <c r="DE116" s="276"/>
      <c r="DF116" s="277"/>
      <c r="DG116" s="202" t="s">
        <v>2485</v>
      </c>
      <c r="DH116" s="278"/>
      <c r="DI116" s="202" t="s">
        <v>4788</v>
      </c>
      <c r="DJ116" s="202"/>
      <c r="DK116" s="202" t="s">
        <v>510</v>
      </c>
      <c r="DL116" s="202" t="s">
        <v>5363</v>
      </c>
      <c r="DM116" s="202" t="s">
        <v>5364</v>
      </c>
      <c r="DN116" s="202" t="s">
        <v>5365</v>
      </c>
      <c r="DO116" s="202" t="s">
        <v>5366</v>
      </c>
      <c r="DP116" s="202" t="s">
        <v>5367</v>
      </c>
      <c r="DQ116" s="202" t="s">
        <v>1068</v>
      </c>
      <c r="DR116" s="202" t="s">
        <v>5202</v>
      </c>
      <c r="DS116" s="278"/>
      <c r="DT116" s="278"/>
      <c r="DU116" s="202" t="s">
        <v>266</v>
      </c>
      <c r="DV116" s="278"/>
      <c r="DW116" s="202" t="s">
        <v>5368</v>
      </c>
      <c r="DX116" s="202" t="s">
        <v>689</v>
      </c>
      <c r="DY116" s="202" t="s">
        <v>5369</v>
      </c>
      <c r="DZ116" s="278"/>
      <c r="EA116" s="202" t="s">
        <v>5370</v>
      </c>
      <c r="EB116" s="673" t="s">
        <v>5371</v>
      </c>
    </row>
    <row r="117">
      <c r="A117" s="674" t="s">
        <v>5372</v>
      </c>
      <c r="B117" s="82" t="s">
        <v>5373</v>
      </c>
      <c r="C117" s="83" t="s">
        <v>1260</v>
      </c>
      <c r="D117" s="84" t="s">
        <v>1260</v>
      </c>
      <c r="E117" s="85" t="s">
        <v>1260</v>
      </c>
      <c r="F117" s="86" t="s">
        <v>1202</v>
      </c>
      <c r="G117" s="82" t="s">
        <v>4384</v>
      </c>
      <c r="H117" s="88" t="s">
        <v>5374</v>
      </c>
      <c r="I117" s="286" t="s">
        <v>5375</v>
      </c>
      <c r="J117" s="286" t="s">
        <v>466</v>
      </c>
      <c r="K117" s="286" t="s">
        <v>2272</v>
      </c>
      <c r="L117" s="88" t="s">
        <v>4045</v>
      </c>
      <c r="M117" s="93" t="s">
        <v>952</v>
      </c>
      <c r="N117" s="93" t="s">
        <v>5376</v>
      </c>
      <c r="O117" s="286" t="s">
        <v>153</v>
      </c>
      <c r="P117" s="88" t="s">
        <v>2852</v>
      </c>
      <c r="Q117" s="98"/>
      <c r="R117" s="98"/>
      <c r="S117" s="93" t="s">
        <v>3214</v>
      </c>
      <c r="T117" s="98"/>
      <c r="U117" s="93" t="s">
        <v>1458</v>
      </c>
      <c r="V117" s="98"/>
      <c r="W117" s="92"/>
      <c r="X117" s="286" t="s">
        <v>4733</v>
      </c>
      <c r="Y117" s="286" t="s">
        <v>3691</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1053</v>
      </c>
      <c r="AN117" s="98"/>
      <c r="AO117" s="93" t="s">
        <v>5382</v>
      </c>
      <c r="AP117" s="93" t="s">
        <v>5383</v>
      </c>
      <c r="AQ117" s="93" t="s">
        <v>5384</v>
      </c>
      <c r="AR117" s="88" t="s">
        <v>1663</v>
      </c>
      <c r="AS117" s="98"/>
      <c r="AT117" s="281" t="s">
        <v>3638</v>
      </c>
      <c r="AU117" s="286" t="s">
        <v>2309</v>
      </c>
      <c r="AV117" s="88" t="s">
        <v>3241</v>
      </c>
      <c r="AW117" s="98"/>
      <c r="AX117" s="93" t="s">
        <v>5385</v>
      </c>
      <c r="AY117" s="98"/>
      <c r="AZ117" s="98"/>
      <c r="BA117" s="93" t="s">
        <v>4286</v>
      </c>
      <c r="BB117" s="93" t="s">
        <v>1191</v>
      </c>
      <c r="BC117" s="88" t="s">
        <v>4653</v>
      </c>
      <c r="BD117" s="93" t="s">
        <v>3006</v>
      </c>
      <c r="BE117" s="93" t="s">
        <v>4236</v>
      </c>
      <c r="BF117" s="93" t="s">
        <v>2528</v>
      </c>
      <c r="BG117" s="93" t="s">
        <v>5386</v>
      </c>
      <c r="BH117" s="93" t="s">
        <v>3456</v>
      </c>
      <c r="BI117" s="93" t="s">
        <v>5387</v>
      </c>
      <c r="BJ117" s="98"/>
      <c r="BK117" s="93" t="s">
        <v>3284</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5289</v>
      </c>
      <c r="CG117" s="93" t="s">
        <v>5394</v>
      </c>
      <c r="CH117" s="93" t="s">
        <v>5395</v>
      </c>
      <c r="CI117" s="93" t="s">
        <v>5396</v>
      </c>
      <c r="CJ117" s="93"/>
      <c r="CK117" s="98"/>
      <c r="CL117" s="93" t="s">
        <v>1458</v>
      </c>
      <c r="CM117" s="93" t="s">
        <v>3403</v>
      </c>
      <c r="CN117" s="98"/>
      <c r="CO117" s="98"/>
      <c r="CP117" s="98"/>
      <c r="CQ117" s="98"/>
      <c r="CR117" s="98"/>
      <c r="CS117" s="92"/>
      <c r="CT117" s="286" t="s">
        <v>1414</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3959</v>
      </c>
      <c r="DL117" s="98"/>
      <c r="DM117" s="98"/>
      <c r="DN117" s="88" t="s">
        <v>5401</v>
      </c>
      <c r="DO117" s="98"/>
      <c r="DP117" s="98"/>
      <c r="DQ117" s="93" t="s">
        <v>5394</v>
      </c>
      <c r="DR117" s="93" t="s">
        <v>5402</v>
      </c>
      <c r="DS117" s="98"/>
      <c r="DT117" s="93" t="s">
        <v>3195</v>
      </c>
      <c r="DU117" s="88" t="s">
        <v>2881</v>
      </c>
      <c r="DV117" s="98"/>
      <c r="DW117" s="98"/>
      <c r="DX117" s="98"/>
      <c r="DY117" s="98"/>
      <c r="DZ117" s="98"/>
      <c r="EA117" s="98"/>
      <c r="EB117" s="281"/>
    </row>
    <row r="118">
      <c r="A118" s="162" t="s">
        <v>5403</v>
      </c>
      <c r="B118" s="103" t="s">
        <v>5404</v>
      </c>
      <c r="C118" s="675" t="s">
        <v>1260</v>
      </c>
      <c r="D118" s="676" t="s">
        <v>1260</v>
      </c>
      <c r="E118" s="677" t="s">
        <v>1260</v>
      </c>
      <c r="F118" s="107" t="s">
        <v>1063</v>
      </c>
      <c r="G118" s="678" t="s">
        <v>2221</v>
      </c>
      <c r="H118" s="218"/>
      <c r="I118" s="679" t="s">
        <v>5405</v>
      </c>
      <c r="J118" s="163" t="s">
        <v>5406</v>
      </c>
      <c r="K118" s="680" t="s">
        <v>5407</v>
      </c>
      <c r="L118" s="679" t="s">
        <v>5408</v>
      </c>
      <c r="M118" s="163" t="s">
        <v>5409</v>
      </c>
      <c r="N118" s="163" t="s">
        <v>4801</v>
      </c>
      <c r="O118" s="681" t="s">
        <v>3007</v>
      </c>
      <c r="P118" s="681" t="s">
        <v>4843</v>
      </c>
      <c r="Q118" s="218"/>
      <c r="R118" s="218"/>
      <c r="S118" s="681" t="s">
        <v>5410</v>
      </c>
      <c r="T118" s="218"/>
      <c r="U118" s="218"/>
      <c r="V118" s="218"/>
      <c r="W118" s="92"/>
      <c r="X118" s="682" t="s">
        <v>1905</v>
      </c>
      <c r="Y118" s="683" t="s">
        <v>3157</v>
      </c>
      <c r="Z118" s="193" t="s">
        <v>455</v>
      </c>
      <c r="AA118" s="684" t="s">
        <v>3336</v>
      </c>
      <c r="AB118" s="682" t="s">
        <v>5411</v>
      </c>
      <c r="AC118" s="265"/>
      <c r="AD118" s="265"/>
      <c r="AE118" s="265"/>
      <c r="AF118" s="684" t="s">
        <v>5330</v>
      </c>
      <c r="AG118" s="265"/>
      <c r="AH118" s="265"/>
      <c r="AI118" s="265"/>
      <c r="AJ118" s="684" t="s">
        <v>5412</v>
      </c>
      <c r="AK118" s="96"/>
      <c r="AL118" s="266"/>
      <c r="AM118" s="685" t="s">
        <v>529</v>
      </c>
      <c r="AN118" s="685" t="s">
        <v>5413</v>
      </c>
      <c r="AO118" s="266"/>
      <c r="AP118" s="685" t="s">
        <v>2207</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1891</v>
      </c>
      <c r="BI118" s="687"/>
      <c r="BJ118" s="317" t="s">
        <v>5417</v>
      </c>
      <c r="BK118" s="317" t="s">
        <v>5239</v>
      </c>
      <c r="BL118" s="170"/>
      <c r="BM118" s="169"/>
      <c r="BN118" s="169"/>
      <c r="BO118" s="169"/>
      <c r="BP118" s="268"/>
      <c r="BQ118" s="318" t="s">
        <v>5418</v>
      </c>
      <c r="BR118" s="271"/>
      <c r="BS118" s="318" t="s">
        <v>997</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1194</v>
      </c>
      <c r="DN118" s="693" t="s">
        <v>5429</v>
      </c>
      <c r="DO118" s="278"/>
      <c r="DP118" s="278"/>
      <c r="DQ118" s="278"/>
      <c r="DR118" s="278"/>
      <c r="DS118" s="278"/>
      <c r="DT118" s="278"/>
      <c r="DU118" s="278"/>
      <c r="DV118" s="278"/>
      <c r="DW118" s="278"/>
      <c r="DX118" s="694" t="s">
        <v>3446</v>
      </c>
      <c r="DY118" s="693" t="s">
        <v>3008</v>
      </c>
      <c r="DZ118" s="278"/>
      <c r="EA118" s="278"/>
      <c r="EB118" s="312"/>
    </row>
    <row r="119">
      <c r="A119" s="81" t="s">
        <v>5430</v>
      </c>
      <c r="B119" s="82" t="s">
        <v>5431</v>
      </c>
      <c r="C119" s="83" t="s">
        <v>1260</v>
      </c>
      <c r="D119" s="84" t="s">
        <v>1260</v>
      </c>
      <c r="E119" s="85" t="s">
        <v>1260</v>
      </c>
      <c r="F119" s="86" t="s">
        <v>3314</v>
      </c>
      <c r="G119" s="82" t="s">
        <v>2605</v>
      </c>
      <c r="H119" s="98"/>
      <c r="I119" s="93" t="s">
        <v>3777</v>
      </c>
      <c r="J119" s="98"/>
      <c r="K119" s="97" t="str">
        <f>HYPERLINK("https://www.youtube.com/watch?v=fhmkEG98u50","13.86")</f>
        <v>13.86</v>
      </c>
      <c r="L119" s="98" t="s">
        <v>2019</v>
      </c>
      <c r="M119" s="98"/>
      <c r="N119" s="98"/>
      <c r="O119" s="97" t="s">
        <v>3527</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2761</v>
      </c>
      <c r="H120" s="508" t="s">
        <v>1319</v>
      </c>
      <c r="I120" s="508" t="s">
        <v>5435</v>
      </c>
      <c r="J120" s="508" t="s">
        <v>5436</v>
      </c>
      <c r="K120" s="508" t="s">
        <v>4436</v>
      </c>
      <c r="L120" s="508" t="s">
        <v>4455</v>
      </c>
      <c r="M120" s="508" t="s">
        <v>5437</v>
      </c>
      <c r="N120" s="508" t="s">
        <v>1897</v>
      </c>
      <c r="O120" s="508" t="s">
        <v>1458</v>
      </c>
      <c r="P120" s="111" t="s">
        <v>1011</v>
      </c>
      <c r="Q120" s="111" t="s">
        <v>5438</v>
      </c>
      <c r="R120" s="218"/>
      <c r="S120" s="218"/>
      <c r="T120" s="218"/>
      <c r="U120" s="218"/>
      <c r="V120" s="218"/>
      <c r="W120" s="92"/>
      <c r="X120" s="382" t="s">
        <v>5439</v>
      </c>
      <c r="Y120" s="382" t="s">
        <v>3975</v>
      </c>
      <c r="Z120" s="382" t="s">
        <v>5440</v>
      </c>
      <c r="AA120" s="382" t="s">
        <v>3440</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852</v>
      </c>
      <c r="BC120" s="325" t="s">
        <v>615</v>
      </c>
      <c r="BD120" s="170" t="s">
        <v>657</v>
      </c>
      <c r="BE120" s="170" t="s">
        <v>2939</v>
      </c>
      <c r="BF120" s="170" t="s">
        <v>5450</v>
      </c>
      <c r="BG120" s="170" t="s">
        <v>5451</v>
      </c>
      <c r="BH120" s="170" t="s">
        <v>5452</v>
      </c>
      <c r="BI120" s="169"/>
      <c r="BJ120" s="170" t="s">
        <v>5453</v>
      </c>
      <c r="BK120" s="170" t="s">
        <v>3959</v>
      </c>
      <c r="BL120" s="169"/>
      <c r="BM120" s="170" t="s">
        <v>5359</v>
      </c>
      <c r="BN120" s="170" t="s">
        <v>4439</v>
      </c>
      <c r="BO120" s="170" t="s">
        <v>5454</v>
      </c>
      <c r="BP120" s="170"/>
      <c r="BQ120" s="171"/>
      <c r="BR120" s="171" t="s">
        <v>3831</v>
      </c>
      <c r="BS120" s="171" t="s">
        <v>3772</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4078</v>
      </c>
      <c r="CI120" s="173" t="s">
        <v>5461</v>
      </c>
      <c r="CJ120" s="173" t="s">
        <v>4161</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1891</v>
      </c>
      <c r="CZ120" s="201" t="s">
        <v>5469</v>
      </c>
      <c r="DA120" s="201" t="s">
        <v>4055</v>
      </c>
      <c r="DB120" s="276"/>
      <c r="DC120" s="276"/>
      <c r="DD120" s="276"/>
      <c r="DE120" s="201" t="s">
        <v>5470</v>
      </c>
      <c r="DF120" s="320"/>
      <c r="DG120" s="202" t="s">
        <v>2408</v>
      </c>
      <c r="DH120" s="278"/>
      <c r="DI120" s="278"/>
      <c r="DJ120" s="202"/>
      <c r="DK120" s="278"/>
      <c r="DL120" s="202" t="s">
        <v>5471</v>
      </c>
      <c r="DM120" s="202" t="s">
        <v>3766</v>
      </c>
      <c r="DN120" s="202" t="s">
        <v>1188</v>
      </c>
      <c r="DO120" s="278"/>
      <c r="DP120" s="202" t="s">
        <v>5472</v>
      </c>
      <c r="DQ120" s="202"/>
      <c r="DR120" s="278"/>
      <c r="DS120" s="278"/>
      <c r="DT120" s="202" t="s">
        <v>3053</v>
      </c>
      <c r="DU120" s="278"/>
      <c r="DV120" s="278"/>
      <c r="DW120" s="278"/>
      <c r="DX120" s="202" t="s">
        <v>1756</v>
      </c>
      <c r="DY120" s="278"/>
      <c r="DZ120" s="278"/>
      <c r="EA120" s="278"/>
      <c r="EB120" s="312" t="s">
        <v>5473</v>
      </c>
    </row>
    <row r="121">
      <c r="A121" s="373" t="s">
        <v>5474</v>
      </c>
      <c r="B121" s="82" t="s">
        <v>5475</v>
      </c>
      <c r="C121" s="83" t="s">
        <v>1260</v>
      </c>
      <c r="D121" s="84" t="s">
        <v>1260</v>
      </c>
      <c r="E121" s="85" t="s">
        <v>1260</v>
      </c>
      <c r="F121" s="86" t="s">
        <v>330</v>
      </c>
      <c r="G121" s="82" t="s">
        <v>2097</v>
      </c>
      <c r="H121" s="93"/>
      <c r="I121" s="93" t="s">
        <v>5476</v>
      </c>
      <c r="J121" s="88" t="s">
        <v>651</v>
      </c>
      <c r="K121" s="88" t="s">
        <v>5286</v>
      </c>
      <c r="L121" s="93" t="s">
        <v>2915</v>
      </c>
      <c r="M121" s="98"/>
      <c r="N121" s="93" t="s">
        <v>5477</v>
      </c>
      <c r="O121" s="93" t="s">
        <v>146</v>
      </c>
      <c r="P121" s="88" t="s">
        <v>4161</v>
      </c>
      <c r="Q121" s="98"/>
      <c r="R121" s="98"/>
      <c r="S121" s="98"/>
      <c r="T121" s="98"/>
      <c r="U121" s="98"/>
      <c r="V121" s="98"/>
      <c r="W121" s="92"/>
      <c r="X121" s="93" t="s">
        <v>2936</v>
      </c>
      <c r="Y121" s="93" t="s">
        <v>5478</v>
      </c>
      <c r="Z121" s="93" t="s">
        <v>4665</v>
      </c>
      <c r="AA121" s="93" t="s">
        <v>1000</v>
      </c>
      <c r="AB121" s="93" t="s">
        <v>4121</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2036</v>
      </c>
      <c r="BD121" s="93" t="s">
        <v>5485</v>
      </c>
      <c r="BE121" s="93" t="s">
        <v>4106</v>
      </c>
      <c r="BF121" s="93" t="s">
        <v>4128</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4053</v>
      </c>
      <c r="CI121" s="93" t="s">
        <v>5494</v>
      </c>
      <c r="CJ121" s="93"/>
      <c r="CK121" s="93" t="s">
        <v>5495</v>
      </c>
      <c r="CL121" s="93" t="s">
        <v>1630</v>
      </c>
      <c r="CM121" s="93" t="s">
        <v>4974</v>
      </c>
      <c r="CN121" s="98"/>
      <c r="CO121" s="98"/>
      <c r="CP121" s="98"/>
      <c r="CQ121" s="98"/>
      <c r="CR121" s="98"/>
      <c r="CS121" s="92"/>
      <c r="CT121" s="93" t="s">
        <v>5496</v>
      </c>
      <c r="CU121" s="93" t="s">
        <v>4028</v>
      </c>
      <c r="CV121" s="93" t="s">
        <v>3203</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1260</v>
      </c>
      <c r="D122" s="105" t="s">
        <v>1260</v>
      </c>
      <c r="E122" s="106" t="s">
        <v>1260</v>
      </c>
      <c r="F122" s="107" t="s">
        <v>438</v>
      </c>
      <c r="G122" s="103" t="s">
        <v>2016</v>
      </c>
      <c r="H122" s="163"/>
      <c r="I122" s="163" t="s">
        <v>5503</v>
      </c>
      <c r="J122" s="163" t="s">
        <v>5185</v>
      </c>
      <c r="K122" s="163" t="s">
        <v>5504</v>
      </c>
      <c r="L122" s="111" t="s">
        <v>5505</v>
      </c>
      <c r="M122" s="218"/>
      <c r="N122" s="218"/>
      <c r="O122" s="218"/>
      <c r="P122" s="163" t="s">
        <v>5506</v>
      </c>
      <c r="Q122" s="218"/>
      <c r="R122" s="218"/>
      <c r="S122" s="163" t="s">
        <v>4166</v>
      </c>
      <c r="T122" s="218"/>
      <c r="U122" s="163" t="s">
        <v>3236</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3605</v>
      </c>
      <c r="AM122" s="164" t="s">
        <v>5512</v>
      </c>
      <c r="AN122" s="266"/>
      <c r="AO122" s="266"/>
      <c r="AP122" s="266"/>
      <c r="AQ122" s="266"/>
      <c r="AR122" s="266"/>
      <c r="AS122" s="266"/>
      <c r="AT122" s="164" t="s">
        <v>5273</v>
      </c>
      <c r="AU122" s="164" t="s">
        <v>979</v>
      </c>
      <c r="AV122" s="266"/>
      <c r="AW122" s="266"/>
      <c r="AX122" s="164" t="s">
        <v>1134</v>
      </c>
      <c r="AY122" s="266"/>
      <c r="AZ122" s="266"/>
      <c r="BA122" s="169"/>
      <c r="BB122" s="197" t="s">
        <v>2373</v>
      </c>
      <c r="BC122" s="170" t="s">
        <v>275</v>
      </c>
      <c r="BD122" s="170" t="s">
        <v>4514</v>
      </c>
      <c r="BE122" s="169"/>
      <c r="BF122" s="170" t="s">
        <v>4229</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2757</v>
      </c>
      <c r="CA122" s="271"/>
      <c r="CB122" s="271"/>
      <c r="CC122" s="271"/>
      <c r="CD122" s="271"/>
      <c r="CE122" s="272"/>
      <c r="CF122" s="173" t="s">
        <v>2268</v>
      </c>
      <c r="CG122" s="132" t="s">
        <v>963</v>
      </c>
      <c r="CH122" s="173" t="s">
        <v>5516</v>
      </c>
      <c r="CI122" s="173" t="s">
        <v>5517</v>
      </c>
      <c r="CJ122" s="173" t="s">
        <v>102</v>
      </c>
      <c r="CK122" s="173" t="s">
        <v>5518</v>
      </c>
      <c r="CL122" s="173" t="s">
        <v>2371</v>
      </c>
      <c r="CM122" s="173" t="s">
        <v>5519</v>
      </c>
      <c r="CN122" s="275"/>
      <c r="CO122" s="275"/>
      <c r="CP122" s="275"/>
      <c r="CQ122" s="275"/>
      <c r="CR122" s="275"/>
      <c r="CS122" s="92"/>
      <c r="CT122" s="201" t="s">
        <v>5520</v>
      </c>
      <c r="CU122" s="276"/>
      <c r="CV122" s="201" t="s">
        <v>5521</v>
      </c>
      <c r="CW122" s="276"/>
      <c r="CX122" s="276"/>
      <c r="CY122" s="276"/>
      <c r="CZ122" s="201"/>
      <c r="DA122" s="201" t="s">
        <v>4147</v>
      </c>
      <c r="DB122" s="276"/>
      <c r="DC122" s="276"/>
      <c r="DD122" s="276"/>
      <c r="DE122" s="276"/>
      <c r="DF122" s="277"/>
      <c r="DG122" s="202" t="s">
        <v>2025</v>
      </c>
      <c r="DH122" s="278"/>
      <c r="DI122" s="278"/>
      <c r="DJ122" s="278"/>
      <c r="DK122" s="278"/>
      <c r="DL122" s="278"/>
      <c r="DM122" s="278"/>
      <c r="DN122" s="278"/>
      <c r="DO122" s="278"/>
      <c r="DP122" s="278"/>
      <c r="DQ122" s="278"/>
      <c r="DR122" s="278"/>
      <c r="DS122" s="142" t="s">
        <v>2884</v>
      </c>
      <c r="DT122" s="202" t="s">
        <v>5522</v>
      </c>
      <c r="DU122" s="278"/>
      <c r="DV122" s="202" t="s">
        <v>5523</v>
      </c>
      <c r="DW122" s="278"/>
      <c r="DX122" s="202" t="s">
        <v>5524</v>
      </c>
      <c r="DY122" s="142" t="s">
        <v>851</v>
      </c>
      <c r="DZ122" s="278"/>
      <c r="EA122" s="278"/>
      <c r="EB122" s="312" t="s">
        <v>5525</v>
      </c>
    </row>
    <row r="123">
      <c r="A123" s="321" t="s">
        <v>5526</v>
      </c>
      <c r="B123" s="82" t="s">
        <v>5527</v>
      </c>
      <c r="C123" s="83" t="s">
        <v>1260</v>
      </c>
      <c r="D123" s="84" t="s">
        <v>1260</v>
      </c>
      <c r="E123" s="85" t="s">
        <v>1260</v>
      </c>
      <c r="F123" s="86" t="s">
        <v>1260</v>
      </c>
      <c r="G123" s="82" t="s">
        <v>4594</v>
      </c>
      <c r="H123" s="93" t="s">
        <v>4656</v>
      </c>
      <c r="I123" s="93" t="s">
        <v>5528</v>
      </c>
      <c r="J123" s="93" t="s">
        <v>5196</v>
      </c>
      <c r="K123" s="93" t="s">
        <v>350</v>
      </c>
      <c r="L123" s="93" t="s">
        <v>4906</v>
      </c>
      <c r="M123" s="93" t="s">
        <v>5529</v>
      </c>
      <c r="N123" s="93" t="s">
        <v>5530</v>
      </c>
      <c r="O123" s="93" t="s">
        <v>3042</v>
      </c>
      <c r="P123" s="93" t="s">
        <v>5531</v>
      </c>
      <c r="Q123" s="98"/>
      <c r="R123" s="98"/>
      <c r="S123" s="98"/>
      <c r="T123" s="98"/>
      <c r="U123" s="98"/>
      <c r="V123" s="98"/>
      <c r="W123" s="92"/>
      <c r="X123" s="93" t="s">
        <v>3408</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5534</v>
      </c>
      <c r="BB123" s="93" t="s">
        <v>5484</v>
      </c>
      <c r="BC123" s="93" t="s">
        <v>1046</v>
      </c>
      <c r="BD123" s="93" t="s">
        <v>5535</v>
      </c>
      <c r="BE123" s="93" t="s">
        <v>5536</v>
      </c>
      <c r="BF123" s="93" t="s">
        <v>5537</v>
      </c>
      <c r="BG123" s="93" t="s">
        <v>5538</v>
      </c>
      <c r="BH123" s="93" t="s">
        <v>3065</v>
      </c>
      <c r="BI123" s="98"/>
      <c r="BJ123" s="93" t="s">
        <v>5539</v>
      </c>
      <c r="BK123" s="93" t="s">
        <v>5540</v>
      </c>
      <c r="BL123" s="98"/>
      <c r="BM123" s="98"/>
      <c r="BN123" s="98"/>
      <c r="BO123" s="98"/>
      <c r="BP123" s="256"/>
      <c r="BQ123" s="93" t="s">
        <v>5541</v>
      </c>
      <c r="BR123" s="93" t="s">
        <v>5085</v>
      </c>
      <c r="BS123" s="93" t="s">
        <v>2371</v>
      </c>
      <c r="BT123" s="93" t="s">
        <v>5542</v>
      </c>
      <c r="BU123" s="93" t="s">
        <v>5543</v>
      </c>
      <c r="BV123" s="93" t="s">
        <v>1289</v>
      </c>
      <c r="BW123" s="93" t="s">
        <v>5544</v>
      </c>
      <c r="BX123" s="98"/>
      <c r="BY123" s="93" t="s">
        <v>5545</v>
      </c>
      <c r="BZ123" s="93" t="s">
        <v>5546</v>
      </c>
      <c r="CA123" s="98"/>
      <c r="CB123" s="98"/>
      <c r="CC123" s="98"/>
      <c r="CD123" s="98"/>
      <c r="CE123" s="256"/>
      <c r="CF123" s="93" t="s">
        <v>5547</v>
      </c>
      <c r="CG123" s="93" t="s">
        <v>5235</v>
      </c>
      <c r="CH123" s="93" t="s">
        <v>2256</v>
      </c>
      <c r="CI123" s="93" t="s">
        <v>5548</v>
      </c>
      <c r="CJ123" s="93" t="s">
        <v>5549</v>
      </c>
      <c r="CK123" s="93" t="s">
        <v>5550</v>
      </c>
      <c r="CL123" s="93" t="s">
        <v>4829</v>
      </c>
      <c r="CM123" s="93" t="s">
        <v>5533</v>
      </c>
      <c r="CN123" s="98"/>
      <c r="CO123" s="98"/>
      <c r="CP123" s="98"/>
      <c r="CQ123" s="98"/>
      <c r="CR123" s="98"/>
      <c r="CS123" s="92"/>
      <c r="CT123" s="93" t="s">
        <v>1014</v>
      </c>
      <c r="CU123" s="93" t="s">
        <v>4987</v>
      </c>
      <c r="CV123" s="93" t="s">
        <v>3275</v>
      </c>
      <c r="CW123" s="93" t="s">
        <v>4529</v>
      </c>
      <c r="CX123" s="93" t="s">
        <v>5184</v>
      </c>
      <c r="CY123" s="93" t="s">
        <v>4709</v>
      </c>
      <c r="CZ123" s="93" t="s">
        <v>5551</v>
      </c>
      <c r="DA123" s="93" t="s">
        <v>3811</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1260</v>
      </c>
      <c r="D124" s="105" t="s">
        <v>545</v>
      </c>
      <c r="E124" s="106" t="s">
        <v>1260</v>
      </c>
      <c r="F124" s="107" t="s">
        <v>5555</v>
      </c>
      <c r="G124" s="103" t="s">
        <v>2222</v>
      </c>
      <c r="H124" s="218"/>
      <c r="I124" s="111" t="s">
        <v>5556</v>
      </c>
      <c r="J124" s="111" t="s">
        <v>5557</v>
      </c>
      <c r="K124" s="111" t="s">
        <v>5558</v>
      </c>
      <c r="L124" s="111" t="s">
        <v>2461</v>
      </c>
      <c r="M124" s="111" t="s">
        <v>1467</v>
      </c>
      <c r="N124" s="111" t="s">
        <v>5559</v>
      </c>
      <c r="O124" s="111" t="s">
        <v>1301</v>
      </c>
      <c r="P124" s="163" t="s">
        <v>5304</v>
      </c>
      <c r="Q124" s="218"/>
      <c r="R124" s="218"/>
      <c r="S124" s="218"/>
      <c r="T124" s="218"/>
      <c r="U124" s="218"/>
      <c r="V124" s="218"/>
      <c r="W124" s="92"/>
      <c r="X124" s="114" t="s">
        <v>3119</v>
      </c>
      <c r="Y124" s="114" t="s">
        <v>2473</v>
      </c>
      <c r="Z124" s="382" t="s">
        <v>5560</v>
      </c>
      <c r="AA124" s="193" t="s">
        <v>5561</v>
      </c>
      <c r="AB124" s="114" t="s">
        <v>3816</v>
      </c>
      <c r="AC124" s="382" t="s">
        <v>3515</v>
      </c>
      <c r="AD124" s="265"/>
      <c r="AE124" s="382" t="s">
        <v>5562</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5563</v>
      </c>
      <c r="BB124" s="325" t="s">
        <v>4257</v>
      </c>
      <c r="BC124" s="325" t="s">
        <v>5493</v>
      </c>
      <c r="BD124" s="124" t="s">
        <v>3289</v>
      </c>
      <c r="BE124" s="124" t="s">
        <v>5564</v>
      </c>
      <c r="BF124" s="169"/>
      <c r="BG124" s="169"/>
      <c r="BH124" s="124" t="s">
        <v>3897</v>
      </c>
      <c r="BI124" s="169"/>
      <c r="BJ124" s="170" t="s">
        <v>5565</v>
      </c>
      <c r="BK124" s="325" t="s">
        <v>5566</v>
      </c>
      <c r="BL124" s="169"/>
      <c r="BM124" s="169"/>
      <c r="BN124" s="169"/>
      <c r="BO124" s="169"/>
      <c r="BP124" s="268"/>
      <c r="BQ124" s="127" t="s">
        <v>5567</v>
      </c>
      <c r="BR124" s="171" t="s">
        <v>5568</v>
      </c>
      <c r="BS124" s="171" t="s">
        <v>5569</v>
      </c>
      <c r="BT124" s="171" t="s">
        <v>1801</v>
      </c>
      <c r="BU124" s="171" t="s">
        <v>4749</v>
      </c>
      <c r="BV124" s="171" t="s">
        <v>188</v>
      </c>
      <c r="BW124" s="171" t="s">
        <v>5570</v>
      </c>
      <c r="BX124" s="271"/>
      <c r="BY124" s="127" t="s">
        <v>5571</v>
      </c>
      <c r="BZ124" s="171" t="s">
        <v>5572</v>
      </c>
      <c r="CA124" s="271"/>
      <c r="CB124" s="271"/>
      <c r="CC124" s="271"/>
      <c r="CD124" s="271"/>
      <c r="CE124" s="272"/>
      <c r="CF124" s="173" t="s">
        <v>5573</v>
      </c>
      <c r="CG124" s="132" t="s">
        <v>3899</v>
      </c>
      <c r="CH124" s="132" t="s">
        <v>4107</v>
      </c>
      <c r="CI124" s="132" t="s">
        <v>5574</v>
      </c>
      <c r="CJ124" s="132" t="s">
        <v>4070</v>
      </c>
      <c r="CK124" s="173" t="s">
        <v>5575</v>
      </c>
      <c r="CL124" s="132" t="s">
        <v>1970</v>
      </c>
      <c r="CM124" s="173" t="s">
        <v>1916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3127</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1260</v>
      </c>
      <c r="D125" s="84" t="s">
        <v>1260</v>
      </c>
      <c r="E125" s="85" t="s">
        <v>1260</v>
      </c>
      <c r="F125" s="86" t="s">
        <v>1260</v>
      </c>
      <c r="G125" s="82" t="s">
        <v>4706</v>
      </c>
      <c r="H125" s="93" t="s">
        <v>5587</v>
      </c>
      <c r="I125" s="93" t="s">
        <v>5588</v>
      </c>
      <c r="J125" s="93" t="s">
        <v>5589</v>
      </c>
      <c r="K125" s="93" t="s">
        <v>5328</v>
      </c>
      <c r="L125" s="93" t="s">
        <v>2613</v>
      </c>
      <c r="M125" s="98"/>
      <c r="N125" s="93" t="s">
        <v>5590</v>
      </c>
      <c r="O125" s="93" t="s">
        <v>689</v>
      </c>
      <c r="P125" s="93" t="s">
        <v>1274</v>
      </c>
      <c r="Q125" s="98"/>
      <c r="R125" s="98"/>
      <c r="S125" s="98"/>
      <c r="T125" s="98"/>
      <c r="U125" s="98"/>
      <c r="V125" s="98"/>
      <c r="W125" s="92"/>
      <c r="X125" s="93" t="s">
        <v>2475</v>
      </c>
      <c r="Y125" s="93" t="s">
        <v>3702</v>
      </c>
      <c r="Z125" s="93" t="s">
        <v>5509</v>
      </c>
      <c r="AA125" s="93" t="s">
        <v>5591</v>
      </c>
      <c r="AB125" s="93" t="s">
        <v>4207</v>
      </c>
      <c r="AC125" s="93" t="s">
        <v>1333</v>
      </c>
      <c r="AD125" s="98"/>
      <c r="AE125" s="93" t="s">
        <v>5592</v>
      </c>
      <c r="AF125" s="93" t="s">
        <v>5593</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5594</v>
      </c>
      <c r="BE125" s="93" t="s">
        <v>5595</v>
      </c>
      <c r="BF125" s="98"/>
      <c r="BG125" s="698"/>
      <c r="BH125" s="93" t="s">
        <v>756</v>
      </c>
      <c r="BI125" s="93" t="s">
        <v>5596</v>
      </c>
      <c r="BJ125" s="98"/>
      <c r="BK125" s="93" t="s">
        <v>4511</v>
      </c>
      <c r="BL125" s="98"/>
      <c r="BM125" s="98"/>
      <c r="BN125" s="98"/>
      <c r="BO125" s="98"/>
      <c r="BP125" s="256"/>
      <c r="BQ125" s="93" t="s">
        <v>5342</v>
      </c>
      <c r="BR125" s="93" t="s">
        <v>4440</v>
      </c>
      <c r="BS125" s="93" t="s">
        <v>4814</v>
      </c>
      <c r="BT125" s="93" t="s">
        <v>1849</v>
      </c>
      <c r="BU125" s="93" t="s">
        <v>1008</v>
      </c>
      <c r="BV125" s="93" t="s">
        <v>5597</v>
      </c>
      <c r="BW125" s="93"/>
      <c r="BX125" s="93" t="s">
        <v>5598</v>
      </c>
      <c r="BY125" s="98"/>
      <c r="BZ125" s="93" t="s">
        <v>2217</v>
      </c>
      <c r="CA125" s="98"/>
      <c r="CB125" s="98"/>
      <c r="CC125" s="98"/>
      <c r="CD125" s="98"/>
      <c r="CE125" s="256"/>
      <c r="CF125" s="93" t="s">
        <v>5599</v>
      </c>
      <c r="CG125" s="93" t="s">
        <v>2332</v>
      </c>
      <c r="CH125" s="98"/>
      <c r="CI125" s="98"/>
      <c r="CJ125" s="98"/>
      <c r="CK125" s="93" t="s">
        <v>5600</v>
      </c>
      <c r="CL125" s="93" t="s">
        <v>930</v>
      </c>
      <c r="CM125" s="93" t="s">
        <v>3004</v>
      </c>
      <c r="CN125" s="98"/>
      <c r="CO125" s="98"/>
      <c r="CP125" s="98"/>
      <c r="CQ125" s="98"/>
      <c r="CR125" s="98"/>
      <c r="CS125" s="92"/>
      <c r="CT125" s="93" t="s">
        <v>3549</v>
      </c>
      <c r="CU125" s="93" t="s">
        <v>2774</v>
      </c>
      <c r="CV125" s="93" t="s">
        <v>5074</v>
      </c>
      <c r="CW125" s="93" t="s">
        <v>838</v>
      </c>
      <c r="CX125" s="93" t="s">
        <v>1764</v>
      </c>
      <c r="CY125" s="98"/>
      <c r="CZ125" s="93" t="s">
        <v>4978</v>
      </c>
      <c r="DA125" s="93" t="s">
        <v>4239</v>
      </c>
      <c r="DB125" s="98"/>
      <c r="DC125" s="98"/>
      <c r="DD125" s="98"/>
      <c r="DE125" s="98"/>
      <c r="DF125" s="256"/>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9" t="s">
        <v>5602</v>
      </c>
      <c r="B126" s="103" t="s">
        <v>5603</v>
      </c>
      <c r="C126" s="104" t="s">
        <v>1260</v>
      </c>
      <c r="D126" s="105" t="s">
        <v>1260</v>
      </c>
      <c r="E126" s="106" t="s">
        <v>1260</v>
      </c>
      <c r="F126" s="107" t="s">
        <v>545</v>
      </c>
      <c r="G126" s="103" t="s">
        <v>1876</v>
      </c>
      <c r="H126" s="218"/>
      <c r="I126" s="218"/>
      <c r="J126" s="163" t="s">
        <v>5604</v>
      </c>
      <c r="K126" s="163" t="s">
        <v>4597</v>
      </c>
      <c r="L126" s="163" t="s">
        <v>5237</v>
      </c>
      <c r="M126" s="218"/>
      <c r="N126" s="163" t="s">
        <v>4902</v>
      </c>
      <c r="O126" s="163" t="s">
        <v>2889</v>
      </c>
      <c r="P126" s="163" t="s">
        <v>3756</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5605</v>
      </c>
      <c r="BF126" s="169"/>
      <c r="BG126" s="169"/>
      <c r="BH126" s="170" t="s">
        <v>3373</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1447</v>
      </c>
      <c r="CH126" s="275"/>
      <c r="CI126" s="173" t="s">
        <v>5609</v>
      </c>
      <c r="CJ126" s="173"/>
      <c r="CK126" s="275"/>
      <c r="CL126" s="275"/>
      <c r="CM126" s="132" t="s">
        <v>1247</v>
      </c>
      <c r="CN126" s="275"/>
      <c r="CO126" s="275"/>
      <c r="CP126" s="275"/>
      <c r="CQ126" s="275"/>
      <c r="CR126" s="275"/>
      <c r="CS126" s="92"/>
      <c r="CT126" s="201" t="s">
        <v>5535</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1260</v>
      </c>
      <c r="D127" s="84" t="s">
        <v>1260</v>
      </c>
      <c r="E127" s="85" t="s">
        <v>1260</v>
      </c>
      <c r="F127" s="86" t="s">
        <v>988</v>
      </c>
      <c r="G127" s="82" t="s">
        <v>2693</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3985</v>
      </c>
      <c r="H128" s="218"/>
      <c r="I128" s="163" t="s">
        <v>5619</v>
      </c>
      <c r="J128" s="218"/>
      <c r="K128" s="218"/>
      <c r="L128" s="163" t="s">
        <v>3460</v>
      </c>
      <c r="M128" s="218"/>
      <c r="N128" s="163" t="s">
        <v>5298</v>
      </c>
      <c r="O128" s="163" t="s">
        <v>939</v>
      </c>
      <c r="P128" s="163" t="s">
        <v>3191</v>
      </c>
      <c r="Q128" s="218"/>
      <c r="R128" s="218"/>
      <c r="S128" s="218"/>
      <c r="T128" s="218"/>
      <c r="U128" s="163" t="s">
        <v>3236</v>
      </c>
      <c r="V128" s="218"/>
      <c r="W128" s="92"/>
      <c r="X128" s="265"/>
      <c r="Y128" s="193" t="s">
        <v>577</v>
      </c>
      <c r="Z128" s="193" t="s">
        <v>1539</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5621</v>
      </c>
      <c r="BF128" s="169"/>
      <c r="BG128" s="169"/>
      <c r="BH128" s="170" t="s">
        <v>5339</v>
      </c>
      <c r="BI128" s="169"/>
      <c r="BJ128" s="169"/>
      <c r="BK128" s="169"/>
      <c r="BL128" s="169"/>
      <c r="BM128" s="169"/>
      <c r="BN128" s="169"/>
      <c r="BO128" s="169"/>
      <c r="BP128" s="268"/>
      <c r="BQ128" s="271"/>
      <c r="BR128" s="171" t="s">
        <v>5622</v>
      </c>
      <c r="BS128" s="171" t="s">
        <v>1641</v>
      </c>
      <c r="BT128" s="271"/>
      <c r="BU128" s="271"/>
      <c r="BV128" s="171" t="s">
        <v>1723</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3469</v>
      </c>
      <c r="CW128" s="276"/>
      <c r="CX128" s="276"/>
      <c r="CY128" s="276"/>
      <c r="CZ128" s="201" t="s">
        <v>5625</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5626</v>
      </c>
      <c r="B129" s="82" t="s">
        <v>5627</v>
      </c>
      <c r="C129" s="83" t="s">
        <v>1260</v>
      </c>
      <c r="D129" s="84" t="s">
        <v>1260</v>
      </c>
      <c r="E129" s="85" t="s">
        <v>1260</v>
      </c>
      <c r="F129" s="86" t="s">
        <v>3856</v>
      </c>
      <c r="G129" s="82" t="s">
        <v>3856</v>
      </c>
      <c r="H129" s="88" t="s">
        <v>5628</v>
      </c>
      <c r="I129" s="88" t="s">
        <v>5629</v>
      </c>
      <c r="J129" s="88" t="s">
        <v>4640</v>
      </c>
      <c r="K129" s="98"/>
      <c r="L129" s="88" t="s">
        <v>5630</v>
      </c>
      <c r="M129" s="88" t="s">
        <v>5631</v>
      </c>
      <c r="N129" s="98"/>
      <c r="O129" s="98"/>
      <c r="P129" s="88" t="s">
        <v>3531</v>
      </c>
      <c r="Q129" s="98"/>
      <c r="R129" s="98"/>
      <c r="S129" s="98"/>
      <c r="T129" s="98"/>
      <c r="U129" s="98"/>
      <c r="V129" s="98"/>
      <c r="W129" s="92"/>
      <c r="X129" s="88" t="s">
        <v>2295</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5634</v>
      </c>
      <c r="BR129" s="98"/>
      <c r="BS129" s="88" t="s">
        <v>3241</v>
      </c>
      <c r="BT129" s="98"/>
      <c r="BU129" s="98"/>
      <c r="BV129" s="98"/>
      <c r="BW129" s="98"/>
      <c r="BX129" s="98"/>
      <c r="BY129" s="98"/>
      <c r="BZ129" s="88" t="s">
        <v>2240</v>
      </c>
      <c r="CA129" s="98"/>
      <c r="CB129" s="98"/>
      <c r="CC129" s="98"/>
      <c r="CD129" s="98"/>
      <c r="CE129" s="256"/>
      <c r="CF129" s="88" t="s">
        <v>5635</v>
      </c>
      <c r="CG129" s="88" t="s">
        <v>2364</v>
      </c>
      <c r="CH129" s="98"/>
      <c r="CI129" s="88" t="s">
        <v>4646</v>
      </c>
      <c r="CJ129" s="205"/>
      <c r="CK129" s="88" t="s">
        <v>5636</v>
      </c>
      <c r="CL129" s="88" t="s">
        <v>1627</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1260</v>
      </c>
      <c r="D130" s="105" t="s">
        <v>1260</v>
      </c>
      <c r="E130" s="106" t="s">
        <v>1260</v>
      </c>
      <c r="F130" s="107" t="s">
        <v>545</v>
      </c>
      <c r="G130" s="103" t="s">
        <v>2991</v>
      </c>
      <c r="H130" s="163" t="s">
        <v>4188</v>
      </c>
      <c r="I130" s="163" t="s">
        <v>5640</v>
      </c>
      <c r="J130" s="163" t="s">
        <v>3294</v>
      </c>
      <c r="K130" s="163" t="s">
        <v>2272</v>
      </c>
      <c r="L130" s="163" t="s">
        <v>5641</v>
      </c>
      <c r="M130" s="163" t="s">
        <v>5642</v>
      </c>
      <c r="N130" s="163" t="s">
        <v>5643</v>
      </c>
      <c r="O130" s="163" t="s">
        <v>924</v>
      </c>
      <c r="P130" s="163" t="s">
        <v>1210</v>
      </c>
      <c r="Q130" s="163"/>
      <c r="R130" s="218"/>
      <c r="S130" s="218"/>
      <c r="T130" s="218"/>
      <c r="U130" s="218"/>
      <c r="V130" s="218"/>
      <c r="W130" s="92"/>
      <c r="X130" s="193" t="s">
        <v>5644</v>
      </c>
      <c r="Y130" s="193" t="s">
        <v>5645</v>
      </c>
      <c r="Z130" s="193" t="s">
        <v>1995</v>
      </c>
      <c r="AA130" s="193" t="s">
        <v>5646</v>
      </c>
      <c r="AB130" s="193" t="s">
        <v>3816</v>
      </c>
      <c r="AC130" s="193" t="s">
        <v>5647</v>
      </c>
      <c r="AD130" s="265"/>
      <c r="AE130" s="193" t="s">
        <v>5648</v>
      </c>
      <c r="AF130" s="193" t="s">
        <v>4124</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3777</v>
      </c>
      <c r="BB130" s="123" t="str">
        <f>HYPERLINK("https://youtu.be/e5hohNlNcxA","42.05")</f>
        <v>42.05</v>
      </c>
      <c r="BC130" s="170" t="s">
        <v>1017</v>
      </c>
      <c r="BD130" s="169"/>
      <c r="BE130" s="169"/>
      <c r="BF130" s="169"/>
      <c r="BG130" s="169"/>
      <c r="BH130" s="170" t="s">
        <v>2407</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824</v>
      </c>
      <c r="CA130" s="271"/>
      <c r="CB130" s="271"/>
      <c r="CC130" s="271"/>
      <c r="CD130" s="271"/>
      <c r="CE130" s="272"/>
      <c r="CF130" s="173" t="s">
        <v>5650</v>
      </c>
      <c r="CG130" s="173" t="s">
        <v>4248</v>
      </c>
      <c r="CH130" s="173" t="s">
        <v>2562</v>
      </c>
      <c r="CI130" s="275"/>
      <c r="CJ130" s="275"/>
      <c r="CK130" s="275"/>
      <c r="CL130" s="275"/>
      <c r="CM130" s="173" t="s">
        <v>5651</v>
      </c>
      <c r="CN130" s="275"/>
      <c r="CO130" s="275"/>
      <c r="CP130" s="275"/>
      <c r="CQ130" s="275"/>
      <c r="CR130" s="275"/>
      <c r="CS130" s="92"/>
      <c r="CT130" s="201" t="s">
        <v>5652</v>
      </c>
      <c r="CU130" s="201" t="s">
        <v>5653</v>
      </c>
      <c r="CV130" s="201" t="s">
        <v>1836</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1260</v>
      </c>
      <c r="D131" s="84" t="s">
        <v>1260</v>
      </c>
      <c r="E131" s="85" t="s">
        <v>1260</v>
      </c>
      <c r="F131" s="86" t="s">
        <v>1260</v>
      </c>
      <c r="G131" s="82" t="s">
        <v>2923</v>
      </c>
      <c r="H131" s="93" t="s">
        <v>5658</v>
      </c>
      <c r="I131" s="93" t="s">
        <v>5659</v>
      </c>
      <c r="J131" s="93" t="s">
        <v>846</v>
      </c>
      <c r="K131" s="93" t="s">
        <v>3918</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2376</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5666</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2244</v>
      </c>
      <c r="BU131" s="93" t="s">
        <v>5522</v>
      </c>
      <c r="BV131" s="93" t="s">
        <v>5515</v>
      </c>
      <c r="BW131" s="98"/>
      <c r="BX131" s="98"/>
      <c r="BY131" s="98"/>
      <c r="BZ131" s="98"/>
      <c r="CA131" s="98"/>
      <c r="CB131" s="98"/>
      <c r="CC131" s="98"/>
      <c r="CD131" s="98"/>
      <c r="CE131" s="256"/>
      <c r="CF131" s="93" t="s">
        <v>5667</v>
      </c>
      <c r="CG131" s="93" t="s">
        <v>3929</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1260</v>
      </c>
      <c r="D132" s="105" t="s">
        <v>1260</v>
      </c>
      <c r="E132" s="106" t="s">
        <v>1260</v>
      </c>
      <c r="F132" s="107" t="s">
        <v>1260</v>
      </c>
      <c r="G132" s="103" t="s">
        <v>331</v>
      </c>
      <c r="H132" s="297" t="s">
        <v>5673</v>
      </c>
      <c r="I132" s="396" t="s">
        <v>5674</v>
      </c>
      <c r="J132" s="297" t="s">
        <v>2764</v>
      </c>
      <c r="K132" s="297" t="s">
        <v>4420</v>
      </c>
      <c r="L132" s="297"/>
      <c r="M132" s="297"/>
      <c r="N132" s="297"/>
      <c r="O132" s="297"/>
      <c r="P132" s="297"/>
      <c r="Q132" s="218"/>
      <c r="R132" s="218"/>
      <c r="S132" s="218"/>
      <c r="T132" s="218"/>
      <c r="U132" s="218"/>
      <c r="V132" s="218"/>
      <c r="W132" s="92"/>
      <c r="X132" s="397" t="s">
        <v>1905</v>
      </c>
      <c r="Y132" s="299" t="s">
        <v>1431</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1755</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3367</v>
      </c>
      <c r="H133" s="93" t="s">
        <v>3701</v>
      </c>
      <c r="I133" s="93" t="s">
        <v>2119</v>
      </c>
      <c r="J133" s="93" t="s">
        <v>5678</v>
      </c>
      <c r="K133" s="93" t="s">
        <v>3583</v>
      </c>
      <c r="L133" s="205" t="s">
        <v>5679</v>
      </c>
      <c r="M133" s="98"/>
      <c r="N133" s="98"/>
      <c r="O133" s="205" t="s">
        <v>1376</v>
      </c>
      <c r="P133" s="98"/>
      <c r="Q133" s="98"/>
      <c r="R133" s="93"/>
      <c r="S133" s="93"/>
      <c r="T133" s="98"/>
      <c r="U133" s="98"/>
      <c r="V133" s="98"/>
      <c r="W133" s="92"/>
      <c r="X133" s="93" t="s">
        <v>3091</v>
      </c>
      <c r="Y133" s="98"/>
      <c r="Z133" s="93" t="s">
        <v>5680</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6"/>
      <c r="BQ133" s="98"/>
      <c r="BR133" s="205" t="s">
        <v>3930</v>
      </c>
      <c r="BS133" s="93" t="s">
        <v>5682</v>
      </c>
      <c r="BT133" s="98"/>
      <c r="BU133" s="98"/>
      <c r="BV133" s="93" t="s">
        <v>5683</v>
      </c>
      <c r="BW133" s="98"/>
      <c r="BX133" s="98"/>
      <c r="BY133" s="98"/>
      <c r="BZ133" s="98"/>
      <c r="CA133" s="98"/>
      <c r="CB133" s="98"/>
      <c r="CC133" s="98"/>
      <c r="CD133" s="98"/>
      <c r="CE133" s="256"/>
      <c r="CF133" s="93" t="s">
        <v>2159</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1260</v>
      </c>
      <c r="D134" s="211" t="s">
        <v>1260</v>
      </c>
      <c r="E134" s="212" t="s">
        <v>1260</v>
      </c>
      <c r="F134" s="213" t="s">
        <v>988</v>
      </c>
      <c r="G134" s="209" t="s">
        <v>5686</v>
      </c>
      <c r="H134" s="705"/>
      <c r="I134" s="705" t="s">
        <v>5687</v>
      </c>
      <c r="J134" s="705"/>
      <c r="K134" s="705" t="s">
        <v>3000</v>
      </c>
      <c r="L134" s="214" t="s">
        <v>5145</v>
      </c>
      <c r="M134" s="705"/>
      <c r="N134" s="706" t="s">
        <v>5688</v>
      </c>
      <c r="O134" s="706" t="s">
        <v>5612</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3421</v>
      </c>
      <c r="AV134" s="709" t="s">
        <v>5320</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5349</v>
      </c>
      <c r="BW134" s="713"/>
      <c r="BX134" s="713"/>
      <c r="BY134" s="713"/>
      <c r="BZ134" s="127" t="s">
        <v>3670</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3405</v>
      </c>
      <c r="CW134" s="717" t="s">
        <v>5701</v>
      </c>
      <c r="CX134" s="718" t="s">
        <v>5702</v>
      </c>
      <c r="CY134" s="241" t="s">
        <v>3052</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1260</v>
      </c>
      <c r="D135" s="84" t="s">
        <v>1260</v>
      </c>
      <c r="E135" s="85" t="s">
        <v>1260</v>
      </c>
      <c r="F135" s="86" t="s">
        <v>330</v>
      </c>
      <c r="G135" s="82" t="s">
        <v>5707</v>
      </c>
      <c r="H135" s="281" t="s">
        <v>3744</v>
      </c>
      <c r="I135" s="286" t="s">
        <v>5708</v>
      </c>
      <c r="J135" s="286" t="s">
        <v>1645</v>
      </c>
      <c r="K135" s="281" t="s">
        <v>350</v>
      </c>
      <c r="L135" s="281" t="s">
        <v>608</v>
      </c>
      <c r="M135" s="281" t="s">
        <v>5709</v>
      </c>
      <c r="N135" s="281" t="s">
        <v>5710</v>
      </c>
      <c r="O135" s="205" t="s">
        <v>239</v>
      </c>
      <c r="P135" s="281" t="s">
        <v>4843</v>
      </c>
      <c r="Q135" s="93" t="s">
        <v>5711</v>
      </c>
      <c r="R135" s="98"/>
      <c r="S135" s="93" t="s">
        <v>4031</v>
      </c>
      <c r="T135" s="98"/>
      <c r="U135" s="93" t="s">
        <v>2087</v>
      </c>
      <c r="V135" s="93" t="s">
        <v>5712</v>
      </c>
      <c r="W135" s="92"/>
      <c r="X135" s="721" t="s">
        <v>4957</v>
      </c>
      <c r="Y135" s="158" t="s">
        <v>5362</v>
      </c>
      <c r="Z135" s="88" t="s">
        <v>413</v>
      </c>
      <c r="AA135" s="286" t="s">
        <v>4143</v>
      </c>
      <c r="AB135" s="286" t="s">
        <v>3812</v>
      </c>
      <c r="AC135" s="281" t="s">
        <v>1579</v>
      </c>
      <c r="AD135" s="98"/>
      <c r="AE135" s="205" t="s">
        <v>5713</v>
      </c>
      <c r="AF135" s="281" t="s">
        <v>5714</v>
      </c>
      <c r="AG135" s="98"/>
      <c r="AH135" s="98"/>
      <c r="AI135" s="101"/>
      <c r="AJ135" s="98"/>
      <c r="AK135" s="96"/>
      <c r="AL135" s="281" t="s">
        <v>3461</v>
      </c>
      <c r="AM135" s="281" t="s">
        <v>5715</v>
      </c>
      <c r="AN135" s="93" t="s">
        <v>5716</v>
      </c>
      <c r="AO135" s="93" t="s">
        <v>100</v>
      </c>
      <c r="AP135" s="93" t="s">
        <v>5717</v>
      </c>
      <c r="AQ135" s="93" t="s">
        <v>5011</v>
      </c>
      <c r="AR135" s="93" t="s">
        <v>5718</v>
      </c>
      <c r="AS135" s="93" t="s">
        <v>5719</v>
      </c>
      <c r="AT135" s="281" t="s">
        <v>4340</v>
      </c>
      <c r="AU135" s="281" t="s">
        <v>3585</v>
      </c>
      <c r="AV135" s="281" t="s">
        <v>4172</v>
      </c>
      <c r="AW135" s="98"/>
      <c r="AX135" s="98"/>
      <c r="AY135" s="98"/>
      <c r="AZ135" s="98"/>
      <c r="BA135" s="281" t="s">
        <v>5720</v>
      </c>
      <c r="BB135" s="281" t="s">
        <v>1989</v>
      </c>
      <c r="BC135" s="281" t="s">
        <v>1079</v>
      </c>
      <c r="BD135" s="281" t="s">
        <v>5721</v>
      </c>
      <c r="BE135" s="101"/>
      <c r="BF135" s="281" t="s">
        <v>5722</v>
      </c>
      <c r="BG135" s="98"/>
      <c r="BH135" s="281" t="s">
        <v>1088</v>
      </c>
      <c r="BI135" s="98"/>
      <c r="BJ135" s="101"/>
      <c r="BK135" s="281" t="s">
        <v>5723</v>
      </c>
      <c r="BL135" s="98"/>
      <c r="BM135" s="98"/>
      <c r="BN135" s="101"/>
      <c r="BO135" s="98"/>
      <c r="BP135" s="256"/>
      <c r="BQ135" s="281" t="s">
        <v>5724</v>
      </c>
      <c r="BR135" s="281" t="s">
        <v>5725</v>
      </c>
      <c r="BS135" s="281" t="s">
        <v>3798</v>
      </c>
      <c r="BT135" s="281" t="s">
        <v>5726</v>
      </c>
      <c r="BU135" s="281" t="s">
        <v>5727</v>
      </c>
      <c r="BV135" s="281" t="s">
        <v>4569</v>
      </c>
      <c r="BW135" s="98"/>
      <c r="BX135" s="281" t="s">
        <v>5728</v>
      </c>
      <c r="BY135" s="101"/>
      <c r="BZ135" s="281" t="s">
        <v>907</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4075</v>
      </c>
      <c r="CW135" s="88" t="s">
        <v>4427</v>
      </c>
      <c r="CX135" s="281" t="s">
        <v>3388</v>
      </c>
      <c r="CY135" s="281" t="s">
        <v>3913</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1260</v>
      </c>
      <c r="D136" s="105" t="s">
        <v>1260</v>
      </c>
      <c r="E136" s="106" t="s">
        <v>1260</v>
      </c>
      <c r="F136" s="107" t="s">
        <v>545</v>
      </c>
      <c r="G136" s="103" t="s">
        <v>219</v>
      </c>
      <c r="H136" s="163"/>
      <c r="I136" s="163" t="s">
        <v>5738</v>
      </c>
      <c r="J136" s="163"/>
      <c r="K136" s="163"/>
      <c r="L136" s="163" t="s">
        <v>1830</v>
      </c>
      <c r="M136" s="163"/>
      <c r="N136" s="163" t="s">
        <v>5739</v>
      </c>
      <c r="O136" s="163" t="s">
        <v>5740</v>
      </c>
      <c r="P136" s="218"/>
      <c r="Q136" s="218"/>
      <c r="R136" s="218"/>
      <c r="S136" s="218"/>
      <c r="T136" s="218"/>
      <c r="U136" s="218"/>
      <c r="V136" s="218"/>
      <c r="W136" s="92"/>
      <c r="X136" s="299"/>
      <c r="Y136" s="193"/>
      <c r="Z136" s="193" t="s">
        <v>2750</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1017</v>
      </c>
      <c r="BD136" s="169"/>
      <c r="BE136" s="169"/>
      <c r="BF136" s="324"/>
      <c r="BG136" s="169"/>
      <c r="BH136" s="170" t="s">
        <v>1110</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1260</v>
      </c>
      <c r="D137" s="84" t="s">
        <v>1260</v>
      </c>
      <c r="E137" s="85" t="s">
        <v>1260</v>
      </c>
      <c r="F137" s="86" t="s">
        <v>436</v>
      </c>
      <c r="G137" s="82" t="s">
        <v>2606</v>
      </c>
      <c r="H137" s="93" t="s">
        <v>5749</v>
      </c>
      <c r="I137" s="286" t="s">
        <v>1596</v>
      </c>
      <c r="J137" s="93" t="s">
        <v>5750</v>
      </c>
      <c r="K137" s="93" t="s">
        <v>5751</v>
      </c>
      <c r="L137" s="93" t="s">
        <v>5752</v>
      </c>
      <c r="M137" s="98"/>
      <c r="N137" s="93" t="s">
        <v>5753</v>
      </c>
      <c r="O137" s="93" t="s">
        <v>4078</v>
      </c>
      <c r="P137" s="93" t="s">
        <v>1081</v>
      </c>
      <c r="Q137" s="98"/>
      <c r="R137" s="93" t="s">
        <v>322</v>
      </c>
      <c r="S137" s="93" t="s">
        <v>2171</v>
      </c>
      <c r="T137" s="98"/>
      <c r="U137" s="93" t="s">
        <v>3247</v>
      </c>
      <c r="V137" s="98"/>
      <c r="W137" s="92"/>
      <c r="X137" s="93" t="s">
        <v>5754</v>
      </c>
      <c r="Y137" s="88" t="s">
        <v>2386</v>
      </c>
      <c r="Z137" s="93" t="s">
        <v>4499</v>
      </c>
      <c r="AA137" s="93" t="s">
        <v>1766</v>
      </c>
      <c r="AB137" s="93" t="s">
        <v>3813</v>
      </c>
      <c r="AC137" s="93" t="s">
        <v>2384</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1887</v>
      </c>
      <c r="BC137" s="93" t="s">
        <v>5757</v>
      </c>
      <c r="BD137" s="93" t="s">
        <v>3631</v>
      </c>
      <c r="BE137" s="93" t="s">
        <v>5622</v>
      </c>
      <c r="BF137" s="98"/>
      <c r="BG137" s="98"/>
      <c r="BH137" s="93" t="s">
        <v>3902</v>
      </c>
      <c r="BI137" s="93" t="s">
        <v>5758</v>
      </c>
      <c r="BJ137" s="93"/>
      <c r="BK137" s="93" t="s">
        <v>2581</v>
      </c>
      <c r="BL137" s="98"/>
      <c r="BM137" s="93" t="s">
        <v>4208</v>
      </c>
      <c r="BN137" s="98"/>
      <c r="BO137" s="98"/>
      <c r="BP137" s="256"/>
      <c r="BQ137" s="93" t="s">
        <v>5759</v>
      </c>
      <c r="BR137" s="93" t="s">
        <v>4214</v>
      </c>
      <c r="BS137" s="93" t="s">
        <v>3392</v>
      </c>
      <c r="BT137" s="93" t="s">
        <v>5760</v>
      </c>
      <c r="BU137" s="93" t="s">
        <v>5761</v>
      </c>
      <c r="BV137" s="93" t="s">
        <v>5138</v>
      </c>
      <c r="BW137" s="98"/>
      <c r="BX137" s="93" t="s">
        <v>2699</v>
      </c>
      <c r="BY137" s="98"/>
      <c r="BZ137" s="93" t="s">
        <v>5762</v>
      </c>
      <c r="CA137" s="98"/>
      <c r="CB137" s="98"/>
      <c r="CC137" s="98"/>
      <c r="CD137" s="98"/>
      <c r="CE137" s="256"/>
      <c r="CF137" s="93" t="s">
        <v>5763</v>
      </c>
      <c r="CG137" s="93" t="s">
        <v>4426</v>
      </c>
      <c r="CH137" s="93" t="s">
        <v>2173</v>
      </c>
      <c r="CI137" s="93" t="s">
        <v>5764</v>
      </c>
      <c r="CJ137" s="93" t="s">
        <v>5765</v>
      </c>
      <c r="CK137" s="93" t="s">
        <v>5766</v>
      </c>
      <c r="CL137" s="93" t="s">
        <v>1645</v>
      </c>
      <c r="CM137" s="93" t="s">
        <v>4340</v>
      </c>
      <c r="CN137" s="98"/>
      <c r="CO137" s="98"/>
      <c r="CP137" s="98"/>
      <c r="CQ137" s="98"/>
      <c r="CR137" s="98"/>
      <c r="CS137" s="92"/>
      <c r="CT137" s="93" t="s">
        <v>5767</v>
      </c>
      <c r="CU137" s="93" t="s">
        <v>2774</v>
      </c>
      <c r="CV137" s="93" t="s">
        <v>3715</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4031</v>
      </c>
      <c r="DV137" s="93" t="s">
        <v>5773</v>
      </c>
      <c r="DW137" s="93" t="s">
        <v>203</v>
      </c>
      <c r="DX137" s="93" t="s">
        <v>5774</v>
      </c>
      <c r="DY137" s="93" t="s">
        <v>3475</v>
      </c>
      <c r="DZ137" s="98"/>
      <c r="EA137" s="98"/>
      <c r="EB137" s="281" t="s">
        <v>5775</v>
      </c>
    </row>
    <row r="138">
      <c r="A138" s="723" t="s">
        <v>5776</v>
      </c>
      <c r="B138" s="103" t="s">
        <v>5777</v>
      </c>
      <c r="C138" s="104" t="s">
        <v>1260</v>
      </c>
      <c r="D138" s="105" t="s">
        <v>1260</v>
      </c>
      <c r="E138" s="106" t="s">
        <v>1260</v>
      </c>
      <c r="F138" s="107" t="s">
        <v>436</v>
      </c>
      <c r="G138" s="103" t="s">
        <v>4706</v>
      </c>
      <c r="H138" s="163"/>
      <c r="I138" s="163" t="s">
        <v>5778</v>
      </c>
      <c r="J138" s="163" t="s">
        <v>3163</v>
      </c>
      <c r="K138" s="111" t="s">
        <v>2272</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2196</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1534</v>
      </c>
      <c r="BC138" s="170" t="s">
        <v>402</v>
      </c>
      <c r="BD138" s="170" t="s">
        <v>5784</v>
      </c>
      <c r="BE138" s="169"/>
      <c r="BF138" s="170" t="s">
        <v>2742</v>
      </c>
      <c r="BG138" s="169"/>
      <c r="BH138" s="170" t="s">
        <v>830</v>
      </c>
      <c r="BI138" s="169"/>
      <c r="BJ138" s="169"/>
      <c r="BK138" s="169"/>
      <c r="BL138" s="169"/>
      <c r="BM138" s="169"/>
      <c r="BN138" s="169"/>
      <c r="BO138" s="169"/>
      <c r="BP138" s="268"/>
      <c r="BQ138" s="171" t="s">
        <v>5785</v>
      </c>
      <c r="BR138" s="171" t="s">
        <v>5786</v>
      </c>
      <c r="BS138" s="171" t="s">
        <v>495</v>
      </c>
      <c r="BT138" s="327" t="s">
        <v>3059</v>
      </c>
      <c r="BU138" s="171" t="s">
        <v>3894</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2378</v>
      </c>
      <c r="CK138" s="173" t="s">
        <v>5795</v>
      </c>
      <c r="CL138" s="173" t="s">
        <v>2519</v>
      </c>
      <c r="CM138" s="173" t="s">
        <v>3638</v>
      </c>
      <c r="CN138" s="275"/>
      <c r="CO138" s="275"/>
      <c r="CP138" s="275"/>
      <c r="CQ138" s="275"/>
      <c r="CR138" s="275"/>
      <c r="CS138" s="92"/>
      <c r="CT138" s="201" t="s">
        <v>2737</v>
      </c>
      <c r="CU138" s="201" t="s">
        <v>3567</v>
      </c>
      <c r="CV138" s="201" t="s">
        <v>2674</v>
      </c>
      <c r="CW138" s="201" t="s">
        <v>5796</v>
      </c>
      <c r="CX138" s="201" t="s">
        <v>3658</v>
      </c>
      <c r="CY138" s="201" t="s">
        <v>1812</v>
      </c>
      <c r="CZ138" s="201" t="s">
        <v>5797</v>
      </c>
      <c r="DA138" s="201" t="s">
        <v>3708</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1260</v>
      </c>
      <c r="D139" s="84" t="s">
        <v>1260</v>
      </c>
      <c r="E139" s="85" t="s">
        <v>1260</v>
      </c>
      <c r="F139" s="86" t="s">
        <v>1260</v>
      </c>
      <c r="G139" s="82" t="s">
        <v>5801</v>
      </c>
      <c r="H139" s="281" t="s">
        <v>5802</v>
      </c>
      <c r="I139" s="281" t="s">
        <v>5803</v>
      </c>
      <c r="J139" s="281" t="s">
        <v>5804</v>
      </c>
      <c r="K139" s="281" t="s">
        <v>1880</v>
      </c>
      <c r="L139" s="724" t="s">
        <v>3617</v>
      </c>
      <c r="M139" s="281" t="s">
        <v>5805</v>
      </c>
      <c r="N139" s="281" t="s">
        <v>5806</v>
      </c>
      <c r="O139" s="281" t="s">
        <v>1746</v>
      </c>
      <c r="P139" s="281" t="s">
        <v>248</v>
      </c>
      <c r="Q139" s="725"/>
      <c r="R139" s="725"/>
      <c r="S139" s="726">
        <v>37.85</v>
      </c>
      <c r="T139" s="725"/>
      <c r="U139" s="93" t="s">
        <v>1836</v>
      </c>
      <c r="V139" s="726" t="s">
        <v>5807</v>
      </c>
      <c r="W139" s="727"/>
      <c r="X139" s="728"/>
      <c r="Y139" s="728"/>
      <c r="Z139" s="101" t="s">
        <v>2966</v>
      </c>
      <c r="AA139" s="729"/>
      <c r="AB139" s="281" t="s">
        <v>3456</v>
      </c>
      <c r="AC139" s="728"/>
      <c r="AD139" s="725"/>
      <c r="AE139" s="728"/>
      <c r="AF139" s="728"/>
      <c r="AG139" s="725"/>
      <c r="AH139" s="725"/>
      <c r="AI139" s="101" t="s">
        <v>2293</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1739</v>
      </c>
      <c r="BD139" s="281" t="s">
        <v>370</v>
      </c>
      <c r="BE139" s="728"/>
      <c r="BF139" s="728"/>
      <c r="BG139" s="725"/>
      <c r="BH139" s="281" t="s">
        <v>3033</v>
      </c>
      <c r="BI139" s="725"/>
      <c r="BJ139" s="101" t="s">
        <v>5808</v>
      </c>
      <c r="BK139" s="281" t="s">
        <v>3740</v>
      </c>
      <c r="BL139" s="725"/>
      <c r="BM139" s="726">
        <v>35.32</v>
      </c>
      <c r="BN139" s="728"/>
      <c r="BO139" s="725"/>
      <c r="BP139" s="731"/>
      <c r="BQ139" s="728"/>
      <c r="BR139" s="728"/>
      <c r="BS139" s="281" t="s">
        <v>2642</v>
      </c>
      <c r="BT139" s="281" t="s">
        <v>5809</v>
      </c>
      <c r="BU139" s="728"/>
      <c r="BV139" s="281" t="s">
        <v>3009</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3329</v>
      </c>
      <c r="CV139" s="101" t="s">
        <v>2862</v>
      </c>
      <c r="CW139" s="728"/>
      <c r="CX139" s="728"/>
      <c r="CY139" s="281" t="s">
        <v>2360</v>
      </c>
      <c r="CZ139" s="733" t="s">
        <v>5813</v>
      </c>
      <c r="DA139" s="728"/>
      <c r="DB139" s="725"/>
      <c r="DC139" s="725"/>
      <c r="DD139" s="725"/>
      <c r="DE139" s="725"/>
      <c r="DF139" s="731"/>
      <c r="DG139" s="728"/>
      <c r="DH139" s="725"/>
      <c r="DI139" s="725"/>
      <c r="DJ139" s="728"/>
      <c r="DK139" s="728"/>
      <c r="DL139" s="281" t="s">
        <v>3929</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1260</v>
      </c>
      <c r="D140" s="105" t="s">
        <v>1260</v>
      </c>
      <c r="E140" s="106" t="s">
        <v>1260</v>
      </c>
      <c r="F140" s="107" t="s">
        <v>1260</v>
      </c>
      <c r="G140" s="103" t="s">
        <v>5686</v>
      </c>
      <c r="H140" s="163" t="s">
        <v>2051</v>
      </c>
      <c r="I140" s="163" t="s">
        <v>3646</v>
      </c>
      <c r="J140" s="163" t="s">
        <v>571</v>
      </c>
      <c r="K140" s="163" t="s">
        <v>2871</v>
      </c>
      <c r="L140" s="163" t="s">
        <v>4045</v>
      </c>
      <c r="M140" s="163" t="s">
        <v>5817</v>
      </c>
      <c r="N140" s="163" t="s">
        <v>5818</v>
      </c>
      <c r="O140" s="163" t="s">
        <v>444</v>
      </c>
      <c r="P140" s="163" t="s">
        <v>3968</v>
      </c>
      <c r="Q140" s="218"/>
      <c r="R140" s="218"/>
      <c r="S140" s="218"/>
      <c r="T140" s="218"/>
      <c r="U140" s="218"/>
      <c r="V140" s="218"/>
      <c r="W140" s="92"/>
      <c r="X140" s="193" t="s">
        <v>4960</v>
      </c>
      <c r="Y140" s="193" t="s">
        <v>4218</v>
      </c>
      <c r="Z140" s="193" t="s">
        <v>5819</v>
      </c>
      <c r="AA140" s="193" t="s">
        <v>786</v>
      </c>
      <c r="AB140" s="193" t="s">
        <v>4368</v>
      </c>
      <c r="AC140" s="193" t="s">
        <v>1735</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5821</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5825</v>
      </c>
      <c r="B141" s="736" t="s">
        <v>5826</v>
      </c>
      <c r="C141" s="737" t="s">
        <v>1260</v>
      </c>
      <c r="D141" s="738" t="s">
        <v>1260</v>
      </c>
      <c r="E141" s="739" t="s">
        <v>1260</v>
      </c>
      <c r="F141" s="740" t="s">
        <v>1260</v>
      </c>
      <c r="G141" s="736" t="s">
        <v>5827</v>
      </c>
      <c r="H141" s="281" t="s">
        <v>880</v>
      </c>
      <c r="I141" s="281" t="s">
        <v>5828</v>
      </c>
      <c r="J141" s="281" t="s">
        <v>4098</v>
      </c>
      <c r="K141" s="281" t="s">
        <v>4862</v>
      </c>
      <c r="L141" s="281" t="s">
        <v>236</v>
      </c>
      <c r="M141" s="281" t="s">
        <v>5829</v>
      </c>
      <c r="N141" s="281" t="s">
        <v>5830</v>
      </c>
      <c r="O141" s="281" t="s">
        <v>896</v>
      </c>
      <c r="P141" s="281"/>
      <c r="Q141" s="741"/>
      <c r="R141" s="741"/>
      <c r="S141" s="741"/>
      <c r="T141" s="741"/>
      <c r="U141" s="332" t="s">
        <v>677</v>
      </c>
      <c r="V141" s="741"/>
      <c r="W141" s="664"/>
      <c r="X141" s="281" t="s">
        <v>5831</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3798</v>
      </c>
      <c r="BC141" s="281"/>
      <c r="BD141" s="281"/>
      <c r="BE141" s="281"/>
      <c r="BF141" s="281"/>
      <c r="BG141" s="741"/>
      <c r="BH141" s="281" t="s">
        <v>3033</v>
      </c>
      <c r="BI141" s="741"/>
      <c r="BJ141" s="281" t="s">
        <v>5833</v>
      </c>
      <c r="BK141" s="281"/>
      <c r="BL141" s="741"/>
      <c r="BM141" s="741"/>
      <c r="BN141" s="281" t="s">
        <v>5818</v>
      </c>
      <c r="BO141" s="741"/>
      <c r="BP141" s="742"/>
      <c r="BQ141" s="281"/>
      <c r="BR141" s="281" t="s">
        <v>5834</v>
      </c>
      <c r="BS141" s="281" t="s">
        <v>299</v>
      </c>
      <c r="BT141" s="281" t="s">
        <v>1500</v>
      </c>
      <c r="BU141" s="281" t="s">
        <v>5483</v>
      </c>
      <c r="BV141" s="281" t="s">
        <v>1723</v>
      </c>
      <c r="BW141" s="741"/>
      <c r="BX141" s="281"/>
      <c r="BY141" s="281"/>
      <c r="BZ141" s="281"/>
      <c r="CA141" s="741"/>
      <c r="CB141" s="741"/>
      <c r="CC141" s="332"/>
      <c r="CD141" s="741"/>
      <c r="CE141" s="742"/>
      <c r="CF141" s="281" t="s">
        <v>5835</v>
      </c>
      <c r="CG141" s="281" t="s">
        <v>1408</v>
      </c>
      <c r="CH141" s="281"/>
      <c r="CI141" s="281"/>
      <c r="CJ141" s="281"/>
      <c r="CK141" s="281"/>
      <c r="CL141" s="281" t="s">
        <v>4990</v>
      </c>
      <c r="CM141" s="743" t="s">
        <v>5836</v>
      </c>
      <c r="CN141" s="744"/>
      <c r="CO141" s="741"/>
      <c r="CP141" s="741"/>
      <c r="CQ141" s="741"/>
      <c r="CR141" s="741"/>
      <c r="CS141" s="664"/>
      <c r="CT141" s="281" t="s">
        <v>4059</v>
      </c>
      <c r="CU141" s="281" t="s">
        <v>4524</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5839</v>
      </c>
      <c r="B142" s="103" t="s">
        <v>5840</v>
      </c>
      <c r="C142" s="104" t="s">
        <v>1260</v>
      </c>
      <c r="D142" s="105" t="s">
        <v>1260</v>
      </c>
      <c r="E142" s="106" t="s">
        <v>1260</v>
      </c>
      <c r="F142" s="107" t="s">
        <v>914</v>
      </c>
      <c r="G142" s="103" t="s">
        <v>331</v>
      </c>
      <c r="H142" s="218"/>
      <c r="I142" s="218"/>
      <c r="J142" s="218"/>
      <c r="K142" s="218"/>
      <c r="L142" s="111" t="s">
        <v>5841</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1260</v>
      </c>
      <c r="D143" s="84" t="s">
        <v>1260</v>
      </c>
      <c r="E143" s="85" t="s">
        <v>1260</v>
      </c>
      <c r="F143" s="86" t="s">
        <v>2693</v>
      </c>
      <c r="G143" s="82" t="s">
        <v>2693</v>
      </c>
      <c r="H143" s="98"/>
      <c r="I143" s="98"/>
      <c r="J143" s="98"/>
      <c r="K143" s="98"/>
      <c r="L143" s="98"/>
      <c r="M143" s="98"/>
      <c r="N143" s="98"/>
      <c r="O143" s="88" t="s">
        <v>5851</v>
      </c>
      <c r="P143" s="88" t="s">
        <v>5852</v>
      </c>
      <c r="Q143" s="98"/>
      <c r="R143" s="98"/>
      <c r="S143" s="98"/>
      <c r="T143" s="98"/>
      <c r="U143" s="98"/>
      <c r="V143" s="98"/>
      <c r="W143" s="92"/>
      <c r="X143" s="98"/>
      <c r="Y143" s="98"/>
      <c r="Z143" s="88" t="s">
        <v>1852</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5853</v>
      </c>
      <c r="BD143" s="98"/>
      <c r="BE143" s="98"/>
      <c r="BF143" s="98"/>
      <c r="BG143" s="98"/>
      <c r="BH143" s="88" t="s">
        <v>3845</v>
      </c>
      <c r="BI143" s="98"/>
      <c r="BJ143" s="98"/>
      <c r="BK143" s="88" t="s">
        <v>2101</v>
      </c>
      <c r="BL143" s="98"/>
      <c r="BM143" s="98"/>
      <c r="BN143" s="98"/>
      <c r="BO143" s="98"/>
      <c r="BP143" s="256"/>
      <c r="BQ143" s="98"/>
      <c r="BR143" s="98"/>
      <c r="BS143" s="98"/>
      <c r="BT143" s="88" t="s">
        <v>1012</v>
      </c>
      <c r="BU143" s="98"/>
      <c r="BV143" s="88" t="s">
        <v>3097</v>
      </c>
      <c r="BW143" s="98"/>
      <c r="BX143" s="98"/>
      <c r="BY143" s="98"/>
      <c r="BZ143" s="88" t="s">
        <v>5854</v>
      </c>
      <c r="CA143" s="98"/>
      <c r="CB143" s="98"/>
      <c r="CC143" s="98"/>
      <c r="CD143" s="98"/>
      <c r="CE143" s="256"/>
      <c r="CF143" s="98"/>
      <c r="CG143" s="98"/>
      <c r="CH143" s="98"/>
      <c r="CI143" s="88" t="s">
        <v>5855</v>
      </c>
      <c r="CJ143" s="88" t="s">
        <v>5856</v>
      </c>
      <c r="CK143" s="98"/>
      <c r="CL143" s="98"/>
      <c r="CM143" s="88" t="s">
        <v>4147</v>
      </c>
      <c r="CN143" s="98"/>
      <c r="CO143" s="98"/>
      <c r="CP143" s="98"/>
      <c r="CQ143" s="98"/>
      <c r="CR143" s="98"/>
      <c r="CS143" s="92"/>
      <c r="CT143" s="88" t="s">
        <v>3258</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1260</v>
      </c>
      <c r="D144" s="105" t="s">
        <v>1260</v>
      </c>
      <c r="E144" s="106" t="s">
        <v>1260</v>
      </c>
      <c r="F144" s="107" t="s">
        <v>1260</v>
      </c>
      <c r="G144" s="103" t="s">
        <v>5859</v>
      </c>
      <c r="H144" s="163" t="s">
        <v>3944</v>
      </c>
      <c r="I144" s="163" t="s">
        <v>4012</v>
      </c>
      <c r="J144" s="163" t="s">
        <v>676</v>
      </c>
      <c r="K144" s="163" t="s">
        <v>5860</v>
      </c>
      <c r="L144" s="163" t="s">
        <v>5861</v>
      </c>
      <c r="M144" s="163" t="s">
        <v>5862</v>
      </c>
      <c r="N144" s="163" t="s">
        <v>5863</v>
      </c>
      <c r="O144" s="163" t="s">
        <v>3064</v>
      </c>
      <c r="P144" s="163" t="s">
        <v>4140</v>
      </c>
      <c r="Q144" s="163" t="s">
        <v>5864</v>
      </c>
      <c r="R144" s="218"/>
      <c r="S144" s="163" t="s">
        <v>905</v>
      </c>
      <c r="T144" s="218"/>
      <c r="U144" s="163" t="s">
        <v>5865</v>
      </c>
      <c r="V144" s="163" t="s">
        <v>5866</v>
      </c>
      <c r="W144" s="92"/>
      <c r="X144" s="193" t="s">
        <v>5867</v>
      </c>
      <c r="Y144" s="193" t="s">
        <v>2013</v>
      </c>
      <c r="Z144" s="193" t="s">
        <v>3535</v>
      </c>
      <c r="AA144" s="193" t="s">
        <v>3617</v>
      </c>
      <c r="AB144" s="193" t="s">
        <v>5792</v>
      </c>
      <c r="AC144" s="193" t="s">
        <v>5868</v>
      </c>
      <c r="AD144" s="193"/>
      <c r="AE144" s="193" t="s">
        <v>5869</v>
      </c>
      <c r="AF144" s="193" t="s">
        <v>5870</v>
      </c>
      <c r="AG144" s="193" t="s">
        <v>5871</v>
      </c>
      <c r="AH144" s="265"/>
      <c r="AI144" s="193" t="s">
        <v>5161</v>
      </c>
      <c r="AJ144" s="193" t="s">
        <v>5872</v>
      </c>
      <c r="AK144" s="96"/>
      <c r="AL144" s="164" t="s">
        <v>5873</v>
      </c>
      <c r="AM144" s="164" t="s">
        <v>4974</v>
      </c>
      <c r="AN144" s="164" t="s">
        <v>5874</v>
      </c>
      <c r="AO144" s="164" t="s">
        <v>1983</v>
      </c>
      <c r="AP144" s="164" t="s">
        <v>5875</v>
      </c>
      <c r="AQ144" s="164" t="s">
        <v>5876</v>
      </c>
      <c r="AR144" s="164" t="s">
        <v>5877</v>
      </c>
      <c r="AS144" s="164" t="s">
        <v>5878</v>
      </c>
      <c r="AT144" s="164" t="s">
        <v>599</v>
      </c>
      <c r="AU144" s="164" t="s">
        <v>1589</v>
      </c>
      <c r="AV144" s="164" t="s">
        <v>5879</v>
      </c>
      <c r="AW144" s="266"/>
      <c r="AX144" s="164" t="s">
        <v>5880</v>
      </c>
      <c r="AY144" s="164" t="s">
        <v>5881</v>
      </c>
      <c r="AZ144" s="266"/>
      <c r="BA144" s="170" t="s">
        <v>5882</v>
      </c>
      <c r="BB144" s="170" t="s">
        <v>5883</v>
      </c>
      <c r="BC144" s="170" t="s">
        <v>3110</v>
      </c>
      <c r="BD144" s="170" t="s">
        <v>3724</v>
      </c>
      <c r="BE144" s="170" t="s">
        <v>5884</v>
      </c>
      <c r="BF144" s="170" t="s">
        <v>5885</v>
      </c>
      <c r="BG144" s="170" t="s">
        <v>5886</v>
      </c>
      <c r="BH144" s="170" t="s">
        <v>5887</v>
      </c>
      <c r="BI144" s="169"/>
      <c r="BJ144" s="169"/>
      <c r="BK144" s="170" t="s">
        <v>456</v>
      </c>
      <c r="BL144" s="170" t="s">
        <v>5888</v>
      </c>
      <c r="BM144" s="170" t="s">
        <v>4250</v>
      </c>
      <c r="BN144" s="170" t="s">
        <v>559</v>
      </c>
      <c r="BO144" s="170" t="s">
        <v>5889</v>
      </c>
      <c r="BP144" s="268"/>
      <c r="BQ144" s="171" t="s">
        <v>5890</v>
      </c>
      <c r="BR144" s="171" t="s">
        <v>1161</v>
      </c>
      <c r="BS144" s="171" t="s">
        <v>880</v>
      </c>
      <c r="BT144" s="171" t="s">
        <v>2349</v>
      </c>
      <c r="BU144" s="171" t="s">
        <v>5891</v>
      </c>
      <c r="BV144" s="171" t="s">
        <v>5892</v>
      </c>
      <c r="BW144" s="171" t="s">
        <v>140</v>
      </c>
      <c r="BX144" s="171" t="s">
        <v>1250</v>
      </c>
      <c r="BY144" s="271"/>
      <c r="BZ144" s="171" t="s">
        <v>5893</v>
      </c>
      <c r="CA144" s="171" t="s">
        <v>5894</v>
      </c>
      <c r="CB144" s="171" t="s">
        <v>452</v>
      </c>
      <c r="CC144" s="171" t="s">
        <v>179</v>
      </c>
      <c r="CD144" s="171" t="s">
        <v>5895</v>
      </c>
      <c r="CE144" s="272"/>
      <c r="CF144" s="173" t="s">
        <v>5896</v>
      </c>
      <c r="CG144" s="173" t="s">
        <v>1451</v>
      </c>
      <c r="CH144" s="173" t="s">
        <v>488</v>
      </c>
      <c r="CI144" s="173" t="s">
        <v>5897</v>
      </c>
      <c r="CJ144" s="173" t="s">
        <v>4987</v>
      </c>
      <c r="CK144" s="173" t="s">
        <v>5898</v>
      </c>
      <c r="CL144" s="173" t="s">
        <v>3772</v>
      </c>
      <c r="CM144" s="173" t="s">
        <v>2112</v>
      </c>
      <c r="CN144" s="173" t="s">
        <v>5899</v>
      </c>
      <c r="CO144" s="173" t="s">
        <v>5900</v>
      </c>
      <c r="CP144" s="275"/>
      <c r="CQ144" s="173" t="s">
        <v>5901</v>
      </c>
      <c r="CR144" s="173" t="s">
        <v>5902</v>
      </c>
      <c r="CS144" s="92"/>
      <c r="CT144" s="201" t="s">
        <v>2721</v>
      </c>
      <c r="CU144" s="201" t="s">
        <v>5903</v>
      </c>
      <c r="CV144" s="201" t="s">
        <v>2432</v>
      </c>
      <c r="CW144" s="201" t="s">
        <v>5904</v>
      </c>
      <c r="CX144" s="201" t="s">
        <v>1434</v>
      </c>
      <c r="CY144" s="201" t="s">
        <v>4197</v>
      </c>
      <c r="CZ144" s="201" t="s">
        <v>5905</v>
      </c>
      <c r="DA144" s="201" t="s">
        <v>5906</v>
      </c>
      <c r="DB144" s="201" t="s">
        <v>5907</v>
      </c>
      <c r="DC144" s="201" t="s">
        <v>4160</v>
      </c>
      <c r="DD144" s="201" t="s">
        <v>1819</v>
      </c>
      <c r="DE144" s="201" t="s">
        <v>5908</v>
      </c>
      <c r="DF144" s="277"/>
      <c r="DG144" s="202" t="s">
        <v>3846</v>
      </c>
      <c r="DH144" s="278"/>
      <c r="DI144" s="202" t="s">
        <v>2664</v>
      </c>
      <c r="DJ144" s="202" t="s">
        <v>2103</v>
      </c>
      <c r="DK144" s="202" t="s">
        <v>3272</v>
      </c>
      <c r="DL144" s="202" t="s">
        <v>2409</v>
      </c>
      <c r="DM144" s="202" t="s">
        <v>4061</v>
      </c>
      <c r="DN144" s="202" t="s">
        <v>5909</v>
      </c>
      <c r="DO144" s="202" t="s">
        <v>177</v>
      </c>
      <c r="DP144" s="202" t="s">
        <v>5910</v>
      </c>
      <c r="DQ144" s="202" t="s">
        <v>3065</v>
      </c>
      <c r="DR144" s="202" t="s">
        <v>4753</v>
      </c>
      <c r="DS144" s="202" t="s">
        <v>5911</v>
      </c>
      <c r="DT144" s="202" t="s">
        <v>5912</v>
      </c>
      <c r="DU144" s="202" t="s">
        <v>1125</v>
      </c>
      <c r="DV144" s="202" t="s">
        <v>3813</v>
      </c>
      <c r="DW144" s="202" t="s">
        <v>5913</v>
      </c>
      <c r="DX144" s="202" t="s">
        <v>4453</v>
      </c>
      <c r="DY144" s="202" t="s">
        <v>2537</v>
      </c>
      <c r="DZ144" s="202" t="s">
        <v>4969</v>
      </c>
      <c r="EA144" s="202" t="s">
        <v>2312</v>
      </c>
      <c r="EB144" s="746" t="s">
        <v>4416</v>
      </c>
    </row>
    <row r="145">
      <c r="A145" s="747" t="s">
        <v>5914</v>
      </c>
      <c r="B145" s="82" t="s">
        <v>5915</v>
      </c>
      <c r="C145" s="83" t="s">
        <v>1260</v>
      </c>
      <c r="D145" s="84" t="s">
        <v>545</v>
      </c>
      <c r="E145" s="85" t="s">
        <v>1260</v>
      </c>
      <c r="F145" s="86" t="s">
        <v>989</v>
      </c>
      <c r="G145" s="82" t="s">
        <v>4948</v>
      </c>
      <c r="H145" s="98"/>
      <c r="I145" s="93" t="s">
        <v>5916</v>
      </c>
      <c r="J145" s="93" t="s">
        <v>4271</v>
      </c>
      <c r="K145" s="88" t="s">
        <v>660</v>
      </c>
      <c r="L145" s="88" t="s">
        <v>5917</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2589</v>
      </c>
      <c r="AU145" s="93" t="s">
        <v>3377</v>
      </c>
      <c r="AV145" s="88" t="s">
        <v>2942</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5918</v>
      </c>
      <c r="CH145" s="98"/>
      <c r="CI145" s="205" t="s">
        <v>3823</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1260</v>
      </c>
      <c r="D146" s="105" t="s">
        <v>1260</v>
      </c>
      <c r="E146" s="106" t="s">
        <v>1260</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1971</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2787</v>
      </c>
      <c r="CA146" s="171" t="s">
        <v>5926</v>
      </c>
      <c r="CB146" s="127" t="s">
        <v>5927</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5928</v>
      </c>
      <c r="B147" s="82" t="s">
        <v>5929</v>
      </c>
      <c r="C147" s="83" t="s">
        <v>1260</v>
      </c>
      <c r="D147" s="84" t="s">
        <v>1260</v>
      </c>
      <c r="E147" s="85" t="s">
        <v>1260</v>
      </c>
      <c r="F147" s="86" t="s">
        <v>219</v>
      </c>
      <c r="G147" s="82" t="s">
        <v>5686</v>
      </c>
      <c r="H147" s="205"/>
      <c r="I147" s="97" t="s">
        <v>5930</v>
      </c>
      <c r="J147" s="88" t="s">
        <v>4658</v>
      </c>
      <c r="K147" s="88" t="s">
        <v>5931</v>
      </c>
      <c r="L147" s="88" t="s">
        <v>2089</v>
      </c>
      <c r="M147" s="101"/>
      <c r="N147" s="88" t="s">
        <v>712</v>
      </c>
      <c r="O147" s="286" t="s">
        <v>5932</v>
      </c>
      <c r="P147" s="88" t="s">
        <v>1860</v>
      </c>
      <c r="Q147" s="98"/>
      <c r="R147" s="98"/>
      <c r="S147" s="98"/>
      <c r="T147" s="98"/>
      <c r="U147" s="98"/>
      <c r="V147" s="98"/>
      <c r="W147" s="92"/>
      <c r="X147" s="88" t="s">
        <v>5933</v>
      </c>
      <c r="Y147" s="101" t="s">
        <v>5934</v>
      </c>
      <c r="Z147" s="101" t="s">
        <v>5935</v>
      </c>
      <c r="AA147" s="286" t="s">
        <v>2056</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86" t="s">
        <v>5939</v>
      </c>
      <c r="BC147" s="101"/>
      <c r="BD147" s="88" t="s">
        <v>1545</v>
      </c>
      <c r="BE147" s="88" t="s">
        <v>4543</v>
      </c>
      <c r="BF147" s="101"/>
      <c r="BG147" s="98"/>
      <c r="BH147" s="88" t="s">
        <v>2986</v>
      </c>
      <c r="BI147" s="286" t="s">
        <v>5940</v>
      </c>
      <c r="BJ147" s="101"/>
      <c r="BK147" s="101"/>
      <c r="BL147" s="98"/>
      <c r="BM147" s="98"/>
      <c r="BN147" s="101"/>
      <c r="BO147" s="98"/>
      <c r="BP147" s="256"/>
      <c r="BQ147" s="101" t="s">
        <v>2498</v>
      </c>
      <c r="BR147" s="101" t="s">
        <v>5941</v>
      </c>
      <c r="BS147" s="101"/>
      <c r="BT147" s="101" t="s">
        <v>3001</v>
      </c>
      <c r="BU147" s="101" t="s">
        <v>5942</v>
      </c>
      <c r="BV147" s="101"/>
      <c r="BW147" s="98"/>
      <c r="BX147" s="101"/>
      <c r="BY147" s="101"/>
      <c r="BZ147" s="101"/>
      <c r="CA147" s="98"/>
      <c r="CB147" s="98"/>
      <c r="CC147" s="98"/>
      <c r="CD147" s="98"/>
      <c r="CE147" s="256"/>
      <c r="CF147" s="101" t="s">
        <v>5943</v>
      </c>
      <c r="CG147" s="101" t="s">
        <v>4080</v>
      </c>
      <c r="CH147" s="101" t="s">
        <v>3437</v>
      </c>
      <c r="CI147" s="101" t="s">
        <v>5944</v>
      </c>
      <c r="CJ147" s="101"/>
      <c r="CK147" s="101" t="s">
        <v>5945</v>
      </c>
      <c r="CL147" s="88" t="s">
        <v>106</v>
      </c>
      <c r="CM147" s="101"/>
      <c r="CN147" s="255"/>
      <c r="CO147" s="98"/>
      <c r="CP147" s="98"/>
      <c r="CQ147" s="98"/>
      <c r="CR147" s="98"/>
      <c r="CS147" s="92"/>
      <c r="CT147" s="88" t="s">
        <v>5378</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1260</v>
      </c>
      <c r="D148" s="105" t="s">
        <v>1260</v>
      </c>
      <c r="E148" s="106" t="s">
        <v>1260</v>
      </c>
      <c r="F148" s="107" t="s">
        <v>545</v>
      </c>
      <c r="G148" s="103" t="s">
        <v>1202</v>
      </c>
      <c r="H148" s="218"/>
      <c r="I148" s="218"/>
      <c r="J148" s="163" t="s">
        <v>5952</v>
      </c>
      <c r="K148" s="163" t="s">
        <v>660</v>
      </c>
      <c r="L148" s="163" t="s">
        <v>5953</v>
      </c>
      <c r="M148" s="218"/>
      <c r="N148" s="163" t="s">
        <v>2555</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2341</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1260</v>
      </c>
      <c r="D149" s="84" t="s">
        <v>1260</v>
      </c>
      <c r="E149" s="85" t="s">
        <v>1260</v>
      </c>
      <c r="F149" s="86" t="s">
        <v>437</v>
      </c>
      <c r="G149" s="82" t="s">
        <v>5686</v>
      </c>
      <c r="H149" s="93"/>
      <c r="I149" s="88" t="s">
        <v>5959</v>
      </c>
      <c r="J149" s="88" t="s">
        <v>1658</v>
      </c>
      <c r="K149" s="88" t="s">
        <v>1824</v>
      </c>
      <c r="L149" s="88" t="s">
        <v>5960</v>
      </c>
      <c r="M149" s="93" t="s">
        <v>5961</v>
      </c>
      <c r="N149" s="93" t="s">
        <v>3673</v>
      </c>
      <c r="O149" s="93" t="s">
        <v>5699</v>
      </c>
      <c r="P149" s="93" t="s">
        <v>3968</v>
      </c>
      <c r="Q149" s="98"/>
      <c r="R149" s="98"/>
      <c r="S149" s="98"/>
      <c r="T149" s="98"/>
      <c r="U149" s="98"/>
      <c r="V149" s="98"/>
      <c r="W149" s="92"/>
      <c r="X149" s="93" t="s">
        <v>5962</v>
      </c>
      <c r="Y149" s="98"/>
      <c r="Z149" s="93" t="s">
        <v>674</v>
      </c>
      <c r="AA149" s="93" t="s">
        <v>5831</v>
      </c>
      <c r="AB149" s="88" t="s">
        <v>5441</v>
      </c>
      <c r="AC149" s="98"/>
      <c r="AD149" s="98"/>
      <c r="AE149" s="93" t="s">
        <v>5963</v>
      </c>
      <c r="AF149" s="93" t="s">
        <v>303</v>
      </c>
      <c r="AG149" s="98"/>
      <c r="AH149" s="98"/>
      <c r="AI149" s="98"/>
      <c r="AJ149" s="98"/>
      <c r="AK149" s="96"/>
      <c r="AL149" s="93"/>
      <c r="AM149" s="93" t="s">
        <v>5464</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1460</v>
      </c>
      <c r="BF149" s="93" t="s">
        <v>4689</v>
      </c>
      <c r="BG149" s="98"/>
      <c r="BH149" s="88" t="s">
        <v>5966</v>
      </c>
      <c r="BI149" s="98"/>
      <c r="BJ149" s="98"/>
      <c r="BK149" s="93" t="s">
        <v>102</v>
      </c>
      <c r="BL149" s="98"/>
      <c r="BM149" s="98"/>
      <c r="BN149" s="98"/>
      <c r="BO149" s="98"/>
      <c r="BP149" s="256"/>
      <c r="BQ149" s="93"/>
      <c r="BR149" s="98"/>
      <c r="BS149" s="98"/>
      <c r="BT149" s="93" t="s">
        <v>5967</v>
      </c>
      <c r="BU149" s="98"/>
      <c r="BV149" s="93" t="s">
        <v>2035</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5577</v>
      </c>
      <c r="CV149" s="93" t="s">
        <v>5972</v>
      </c>
      <c r="CW149" s="98"/>
      <c r="CX149" s="98"/>
      <c r="CY149" s="93" t="s">
        <v>5347</v>
      </c>
      <c r="CZ149" s="205" t="s">
        <v>5545</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1260</v>
      </c>
      <c r="D151" s="84" t="s">
        <v>1260</v>
      </c>
      <c r="E151" s="85" t="s">
        <v>1260</v>
      </c>
      <c r="F151" s="86" t="s">
        <v>1260</v>
      </c>
      <c r="G151" s="82" t="s">
        <v>2809</v>
      </c>
      <c r="H151" s="93" t="s">
        <v>2662</v>
      </c>
      <c r="I151" s="93" t="s">
        <v>5978</v>
      </c>
      <c r="J151" s="93" t="s">
        <v>4765</v>
      </c>
      <c r="K151" s="93" t="s">
        <v>550</v>
      </c>
      <c r="L151" s="93" t="s">
        <v>5979</v>
      </c>
      <c r="M151" s="98"/>
      <c r="N151" s="98"/>
      <c r="O151" s="93" t="s">
        <v>1834</v>
      </c>
      <c r="P151" s="93" t="s">
        <v>349</v>
      </c>
      <c r="Q151" s="93"/>
      <c r="R151" s="98"/>
      <c r="S151" s="93" t="s">
        <v>5980</v>
      </c>
      <c r="T151" s="98"/>
      <c r="U151" s="93" t="s">
        <v>2829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1139</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52" t="s">
        <v>5988</v>
      </c>
      <c r="B152" s="103" t="s">
        <v>5977</v>
      </c>
      <c r="C152" s="104" t="s">
        <v>1260</v>
      </c>
      <c r="D152" s="105" t="s">
        <v>1260</v>
      </c>
      <c r="E152" s="106" t="s">
        <v>1260</v>
      </c>
      <c r="F152" s="107" t="s">
        <v>545</v>
      </c>
      <c r="G152" s="103" t="s">
        <v>5989</v>
      </c>
      <c r="H152" s="369"/>
      <c r="I152" s="369" t="s">
        <v>2684</v>
      </c>
      <c r="J152" s="369" t="s">
        <v>2914</v>
      </c>
      <c r="K152" s="369" t="s">
        <v>5286</v>
      </c>
      <c r="L152" s="625" t="s">
        <v>4127</v>
      </c>
      <c r="M152" s="625" t="s">
        <v>5990</v>
      </c>
      <c r="N152" s="625" t="s">
        <v>5633</v>
      </c>
      <c r="O152" s="625"/>
      <c r="P152" s="625" t="s">
        <v>2997</v>
      </c>
      <c r="Q152" s="218"/>
      <c r="R152" s="218"/>
      <c r="S152" s="218"/>
      <c r="T152" s="218"/>
      <c r="U152" s="218"/>
      <c r="V152" s="218"/>
      <c r="W152" s="92"/>
      <c r="X152" s="115"/>
      <c r="Y152" s="115"/>
      <c r="Z152" s="115" t="s">
        <v>5023</v>
      </c>
      <c r="AA152" s="382"/>
      <c r="AB152" s="115" t="s">
        <v>4277</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1079</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5311</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1260</v>
      </c>
      <c r="D153" s="84" t="s">
        <v>1260</v>
      </c>
      <c r="E153" s="85" t="s">
        <v>1260</v>
      </c>
      <c r="F153" s="86" t="s">
        <v>1260</v>
      </c>
      <c r="G153" s="82" t="s">
        <v>4493</v>
      </c>
      <c r="H153" s="756"/>
      <c r="I153" s="281" t="s">
        <v>6001</v>
      </c>
      <c r="J153" s="281" t="s">
        <v>1901</v>
      </c>
      <c r="K153" s="281" t="s">
        <v>2871</v>
      </c>
      <c r="L153" s="281" t="s">
        <v>2781</v>
      </c>
      <c r="M153" s="281" t="s">
        <v>6002</v>
      </c>
      <c r="N153" s="281" t="s">
        <v>5940</v>
      </c>
      <c r="O153" s="281" t="s">
        <v>3970</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5304</v>
      </c>
      <c r="AG153" s="98"/>
      <c r="AH153" s="98"/>
      <c r="AI153" s="101"/>
      <c r="AJ153" s="98"/>
      <c r="AK153" s="96"/>
      <c r="AL153" s="101"/>
      <c r="AM153" s="101"/>
      <c r="AN153" s="98"/>
      <c r="AO153" s="98"/>
      <c r="AP153" s="93"/>
      <c r="AQ153" s="93"/>
      <c r="AR153" s="98"/>
      <c r="AS153" s="98"/>
      <c r="AT153" s="281" t="s">
        <v>6004</v>
      </c>
      <c r="AU153" s="281" t="s">
        <v>3130</v>
      </c>
      <c r="AV153" s="101"/>
      <c r="AW153" s="98"/>
      <c r="AX153" s="98"/>
      <c r="AY153" s="98"/>
      <c r="AZ153" s="98"/>
      <c r="BA153" s="281" t="s">
        <v>6005</v>
      </c>
      <c r="BB153" s="281" t="s">
        <v>6006</v>
      </c>
      <c r="BC153" s="281" t="s">
        <v>3456</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3621</v>
      </c>
      <c r="BT153" s="281" t="s">
        <v>1729</v>
      </c>
      <c r="BU153" s="281" t="s">
        <v>5306</v>
      </c>
      <c r="BV153" s="281" t="s">
        <v>326</v>
      </c>
      <c r="BW153" s="93" t="s">
        <v>6013</v>
      </c>
      <c r="BX153" s="101"/>
      <c r="BY153" s="101"/>
      <c r="BZ153" s="281" t="s">
        <v>6014</v>
      </c>
      <c r="CA153" s="98"/>
      <c r="CB153" s="98"/>
      <c r="CC153" s="98"/>
      <c r="CD153" s="98"/>
      <c r="CE153" s="256"/>
      <c r="CF153" s="281" t="s">
        <v>3477</v>
      </c>
      <c r="CG153" s="281" t="s">
        <v>5663</v>
      </c>
      <c r="CH153" s="281" t="s">
        <v>3089</v>
      </c>
      <c r="CI153" s="281" t="s">
        <v>6015</v>
      </c>
      <c r="CJ153" s="281" t="s">
        <v>6016</v>
      </c>
      <c r="CK153" s="281" t="s">
        <v>5708</v>
      </c>
      <c r="CL153" s="281" t="s">
        <v>751</v>
      </c>
      <c r="CM153" s="281" t="s">
        <v>3004</v>
      </c>
      <c r="CN153" s="255"/>
      <c r="CO153" s="98"/>
      <c r="CP153" s="98"/>
      <c r="CQ153" s="98"/>
      <c r="CR153" s="98"/>
      <c r="CS153" s="92"/>
      <c r="CT153" s="281" t="s">
        <v>2057</v>
      </c>
      <c r="CU153" s="281" t="s">
        <v>6017</v>
      </c>
      <c r="CV153" s="281" t="s">
        <v>5356</v>
      </c>
      <c r="CW153" s="281" t="s">
        <v>4222</v>
      </c>
      <c r="CX153" s="281" t="s">
        <v>6018</v>
      </c>
      <c r="CY153" s="281" t="s">
        <v>3987</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1260</v>
      </c>
      <c r="D154" s="105" t="s">
        <v>1260</v>
      </c>
      <c r="E154" s="106" t="s">
        <v>1260</v>
      </c>
      <c r="F154" s="107" t="s">
        <v>1063</v>
      </c>
      <c r="G154" s="103" t="s">
        <v>914</v>
      </c>
      <c r="H154" s="218"/>
      <c r="I154" s="218"/>
      <c r="J154" s="163" t="s">
        <v>6024</v>
      </c>
      <c r="K154" s="111" t="s">
        <v>5558</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1357</v>
      </c>
      <c r="BT154" s="127" t="s">
        <v>4252</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6000</v>
      </c>
      <c r="C155" s="83" t="s">
        <v>1260</v>
      </c>
      <c r="D155" s="84" t="s">
        <v>1260</v>
      </c>
      <c r="E155" s="85" t="s">
        <v>1260</v>
      </c>
      <c r="F155" s="86" t="s">
        <v>436</v>
      </c>
      <c r="G155" s="82" t="s">
        <v>5555</v>
      </c>
      <c r="H155" s="98"/>
      <c r="I155" s="93" t="s">
        <v>1908</v>
      </c>
      <c r="J155" s="93" t="s">
        <v>2551</v>
      </c>
      <c r="K155" s="93" t="s">
        <v>3000</v>
      </c>
      <c r="L155" s="93" t="s">
        <v>145</v>
      </c>
      <c r="M155" s="93" t="s">
        <v>6029</v>
      </c>
      <c r="N155" s="93" t="s">
        <v>6030</v>
      </c>
      <c r="O155" s="93" t="s">
        <v>6031</v>
      </c>
      <c r="P155" s="93" t="s">
        <v>4140</v>
      </c>
      <c r="Q155" s="98"/>
      <c r="R155" s="98"/>
      <c r="S155" s="98"/>
      <c r="T155" s="98"/>
      <c r="U155" s="98"/>
      <c r="V155" s="98"/>
      <c r="W155" s="92"/>
      <c r="X155" s="93" t="s">
        <v>5265</v>
      </c>
      <c r="Y155" s="93" t="s">
        <v>2124</v>
      </c>
      <c r="Z155" s="93" t="s">
        <v>2205</v>
      </c>
      <c r="AA155" s="93" t="s">
        <v>3175</v>
      </c>
      <c r="AB155" s="93" t="s">
        <v>6032</v>
      </c>
      <c r="AC155" s="88" t="s">
        <v>6033</v>
      </c>
      <c r="AD155" s="98"/>
      <c r="AE155" s="98"/>
      <c r="AF155" s="98"/>
      <c r="AG155" s="98"/>
      <c r="AH155" s="98"/>
      <c r="AI155" s="98"/>
      <c r="AJ155" s="98"/>
      <c r="AK155" s="96"/>
      <c r="AL155" s="98"/>
      <c r="AM155" s="98"/>
      <c r="AN155" s="98"/>
      <c r="AO155" s="98"/>
      <c r="AP155" s="98"/>
      <c r="AQ155" s="98"/>
      <c r="AR155" s="98"/>
      <c r="AS155" s="98"/>
      <c r="AT155" s="93" t="s">
        <v>6034</v>
      </c>
      <c r="AU155" s="93" t="s">
        <v>3332</v>
      </c>
      <c r="AV155" s="98"/>
      <c r="AW155" s="98"/>
      <c r="AX155" s="98"/>
      <c r="AY155" s="98"/>
      <c r="AZ155" s="98"/>
      <c r="BA155" s="98"/>
      <c r="BB155" s="93" t="s">
        <v>1212</v>
      </c>
      <c r="BC155" s="98"/>
      <c r="BD155" s="93" t="s">
        <v>1692</v>
      </c>
      <c r="BE155" s="98"/>
      <c r="BF155" s="93" t="s">
        <v>5374</v>
      </c>
      <c r="BG155" s="98"/>
      <c r="BH155" s="88" t="s">
        <v>172</v>
      </c>
      <c r="BI155" s="98"/>
      <c r="BJ155" s="98"/>
      <c r="BK155" s="93" t="s">
        <v>6035</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1023</v>
      </c>
      <c r="DB155" s="98"/>
      <c r="DC155" s="98"/>
      <c r="DD155" s="98"/>
      <c r="DE155" s="98"/>
      <c r="DF155" s="256"/>
      <c r="DG155" s="93" t="s">
        <v>6036</v>
      </c>
      <c r="DH155" s="98"/>
      <c r="DI155" s="98"/>
      <c r="DJ155" s="93"/>
      <c r="DK155" s="98"/>
      <c r="DL155" s="93" t="s">
        <v>2045</v>
      </c>
      <c r="DM155" s="93" t="s">
        <v>6037</v>
      </c>
      <c r="DN155" s="98"/>
      <c r="DO155" s="98"/>
      <c r="DP155" s="98"/>
      <c r="DQ155" s="98"/>
      <c r="DR155" s="98"/>
      <c r="DS155" s="98"/>
      <c r="DT155" s="98"/>
      <c r="DU155" s="98"/>
      <c r="DV155" s="98"/>
      <c r="DW155" s="98"/>
      <c r="DX155" s="93" t="s">
        <v>6038</v>
      </c>
      <c r="DY155" s="98"/>
      <c r="DZ155" s="98"/>
      <c r="EA155" s="93" t="s">
        <v>4220</v>
      </c>
      <c r="EB155" s="281"/>
    </row>
    <row r="156">
      <c r="A156" s="162" t="s">
        <v>6039</v>
      </c>
      <c r="B156" s="103" t="s">
        <v>6040</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6041</v>
      </c>
      <c r="B157" s="82" t="s">
        <v>6042</v>
      </c>
      <c r="C157" s="83" t="s">
        <v>1260</v>
      </c>
      <c r="D157" s="84" t="s">
        <v>1260</v>
      </c>
      <c r="E157" s="85" t="s">
        <v>1260</v>
      </c>
      <c r="F157" s="86" t="s">
        <v>332</v>
      </c>
      <c r="G157" s="82" t="s">
        <v>3856</v>
      </c>
      <c r="H157" s="93" t="s">
        <v>6043</v>
      </c>
      <c r="I157" s="93" t="s">
        <v>4855</v>
      </c>
      <c r="J157" s="93" t="s">
        <v>2385</v>
      </c>
      <c r="K157" s="93" t="s">
        <v>1432</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6044</v>
      </c>
      <c r="AA157" s="93" t="s">
        <v>4522</v>
      </c>
      <c r="AB157" s="93" t="s">
        <v>6045</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6046</v>
      </c>
      <c r="BS157" s="93" t="s">
        <v>6047</v>
      </c>
      <c r="BT157" s="98"/>
      <c r="BU157" s="98"/>
      <c r="BV157" s="93" t="s">
        <v>6048</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6049</v>
      </c>
      <c r="B158" s="103" t="s">
        <v>6050</v>
      </c>
      <c r="C158" s="104" t="s">
        <v>1260</v>
      </c>
      <c r="D158" s="105" t="s">
        <v>1260</v>
      </c>
      <c r="E158" s="106" t="s">
        <v>1260</v>
      </c>
      <c r="F158" s="107" t="s">
        <v>1260</v>
      </c>
      <c r="G158" s="103" t="s">
        <v>5115</v>
      </c>
      <c r="H158" s="758"/>
      <c r="I158" s="369"/>
      <c r="J158" s="369" t="s">
        <v>1184</v>
      </c>
      <c r="K158" s="369" t="s">
        <v>350</v>
      </c>
      <c r="L158" s="369" t="s">
        <v>2788</v>
      </c>
      <c r="M158" s="369"/>
      <c r="N158" s="369"/>
      <c r="O158" s="369" t="s">
        <v>6051</v>
      </c>
      <c r="P158" s="369" t="s">
        <v>4905</v>
      </c>
      <c r="Q158" s="650"/>
      <c r="R158" s="650"/>
      <c r="S158" s="650"/>
      <c r="T158" s="650"/>
      <c r="U158" s="650"/>
      <c r="V158" s="650"/>
      <c r="W158" s="664"/>
      <c r="X158" s="323"/>
      <c r="Y158" s="323" t="s">
        <v>2777</v>
      </c>
      <c r="Z158" s="323" t="s">
        <v>128</v>
      </c>
      <c r="AA158" s="323" t="s">
        <v>6052</v>
      </c>
      <c r="AB158" s="323" t="s">
        <v>3812</v>
      </c>
      <c r="AC158" s="323" t="s">
        <v>6053</v>
      </c>
      <c r="AD158" s="651"/>
      <c r="AE158" s="323" t="s">
        <v>6054</v>
      </c>
      <c r="AF158" s="323" t="s">
        <v>4668</v>
      </c>
      <c r="AG158" s="651"/>
      <c r="AH158" s="651"/>
      <c r="AI158" s="323"/>
      <c r="AJ158" s="759" t="s">
        <v>6055</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6056</v>
      </c>
      <c r="BC158" s="197" t="s">
        <v>3359</v>
      </c>
      <c r="BD158" s="197" t="s">
        <v>6057</v>
      </c>
      <c r="BE158" s="197"/>
      <c r="BF158" s="197" t="s">
        <v>6058</v>
      </c>
      <c r="BG158" s="655"/>
      <c r="BH158" s="197" t="s">
        <v>3662</v>
      </c>
      <c r="BI158" s="655"/>
      <c r="BJ158" s="197" t="s">
        <v>6059</v>
      </c>
      <c r="BK158" s="197" t="s">
        <v>4195</v>
      </c>
      <c r="BL158" s="655"/>
      <c r="BM158" s="655"/>
      <c r="BN158" s="197"/>
      <c r="BO158" s="655"/>
      <c r="BP158" s="658"/>
      <c r="BQ158" s="399"/>
      <c r="BR158" s="399" t="s">
        <v>6060</v>
      </c>
      <c r="BS158" s="399" t="s">
        <v>6061</v>
      </c>
      <c r="BT158" s="399" t="s">
        <v>6062</v>
      </c>
      <c r="BU158" s="399" t="s">
        <v>6063</v>
      </c>
      <c r="BV158" s="399" t="s">
        <v>1403</v>
      </c>
      <c r="BW158" s="659"/>
      <c r="BX158" s="399"/>
      <c r="BY158" s="399"/>
      <c r="BZ158" s="399" t="s">
        <v>6064</v>
      </c>
      <c r="CA158" s="760" t="s">
        <v>6065</v>
      </c>
      <c r="CB158" s="659"/>
      <c r="CC158" s="659"/>
      <c r="CD158" s="659"/>
      <c r="CE158" s="660"/>
      <c r="CF158" s="391" t="s">
        <v>6066</v>
      </c>
      <c r="CG158" s="391" t="s">
        <v>4469</v>
      </c>
      <c r="CH158" s="391"/>
      <c r="CI158" s="391"/>
      <c r="CJ158" s="391"/>
      <c r="CK158" s="391"/>
      <c r="CL158" s="391" t="s">
        <v>4388</v>
      </c>
      <c r="CM158" s="391" t="s">
        <v>6067</v>
      </c>
      <c r="CN158" s="662"/>
      <c r="CO158" s="663"/>
      <c r="CP158" s="663"/>
      <c r="CQ158" s="663"/>
      <c r="CR158" s="663"/>
      <c r="CS158" s="664"/>
      <c r="CT158" s="309" t="s">
        <v>2003</v>
      </c>
      <c r="CU158" s="309"/>
      <c r="CV158" s="309" t="s">
        <v>3957</v>
      </c>
      <c r="CW158" s="309"/>
      <c r="CX158" s="309"/>
      <c r="CY158" s="309"/>
      <c r="CZ158" s="309" t="s">
        <v>6068</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6069</v>
      </c>
      <c r="B159" s="82" t="s">
        <v>6070</v>
      </c>
      <c r="C159" s="83" t="s">
        <v>1260</v>
      </c>
      <c r="D159" s="84" t="s">
        <v>1260</v>
      </c>
      <c r="E159" s="85" t="s">
        <v>1260</v>
      </c>
      <c r="F159" s="86" t="s">
        <v>1260</v>
      </c>
      <c r="G159" s="82" t="s">
        <v>646</v>
      </c>
      <c r="H159" s="205" t="s">
        <v>3440</v>
      </c>
      <c r="I159" s="205" t="s">
        <v>6071</v>
      </c>
      <c r="J159" s="205" t="s">
        <v>4557</v>
      </c>
      <c r="K159" s="93" t="s">
        <v>1880</v>
      </c>
      <c r="L159" s="93" t="s">
        <v>4375</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6072</v>
      </c>
      <c r="B160" s="103" t="s">
        <v>6070</v>
      </c>
      <c r="C160" s="104" t="s">
        <v>1260</v>
      </c>
      <c r="D160" s="105" t="s">
        <v>1260</v>
      </c>
      <c r="E160" s="106" t="s">
        <v>1260</v>
      </c>
      <c r="F160" s="107" t="s">
        <v>436</v>
      </c>
      <c r="G160" s="103" t="s">
        <v>6073</v>
      </c>
      <c r="H160" s="625"/>
      <c r="I160" s="369" t="s">
        <v>1598</v>
      </c>
      <c r="J160" s="625"/>
      <c r="K160" s="369" t="s">
        <v>3988</v>
      </c>
      <c r="L160" s="625"/>
      <c r="M160" s="625"/>
      <c r="N160" s="625"/>
      <c r="O160" s="625"/>
      <c r="P160" s="369" t="s">
        <v>4816</v>
      </c>
      <c r="Q160" s="218"/>
      <c r="R160" s="218"/>
      <c r="S160" s="218"/>
      <c r="T160" s="218"/>
      <c r="U160" s="218"/>
      <c r="V160" s="218"/>
      <c r="W160" s="92"/>
      <c r="X160" s="323" t="s">
        <v>6074</v>
      </c>
      <c r="Y160" s="115"/>
      <c r="Z160" s="323" t="s">
        <v>1518</v>
      </c>
      <c r="AA160" s="382"/>
      <c r="AB160" s="113" t="s">
        <v>1781</v>
      </c>
      <c r="AC160" s="115"/>
      <c r="AD160" s="265"/>
      <c r="AE160" s="115"/>
      <c r="AF160" s="323" t="s">
        <v>5714</v>
      </c>
      <c r="AG160" s="265"/>
      <c r="AH160" s="265"/>
      <c r="AI160" s="115"/>
      <c r="AJ160" s="265"/>
      <c r="AK160" s="96"/>
      <c r="AL160" s="122"/>
      <c r="AM160" s="122"/>
      <c r="AN160" s="266"/>
      <c r="AO160" s="266"/>
      <c r="AP160" s="164"/>
      <c r="AQ160" s="164"/>
      <c r="AR160" s="266"/>
      <c r="AS160" s="266"/>
      <c r="AT160" s="495" t="s">
        <v>6075</v>
      </c>
      <c r="AU160" s="495" t="s">
        <v>6076</v>
      </c>
      <c r="AV160" s="122"/>
      <c r="AW160" s="266"/>
      <c r="AX160" s="266"/>
      <c r="AY160" s="266"/>
      <c r="AZ160" s="164"/>
      <c r="BA160" s="626"/>
      <c r="BB160" s="123" t="s">
        <v>1003</v>
      </c>
      <c r="BC160" s="197"/>
      <c r="BD160" s="197" t="s">
        <v>6077</v>
      </c>
      <c r="BE160" s="626"/>
      <c r="BF160" s="626"/>
      <c r="BG160" s="169"/>
      <c r="BH160" s="197" t="s">
        <v>1549</v>
      </c>
      <c r="BI160" s="169"/>
      <c r="BJ160" s="626"/>
      <c r="BK160" s="197" t="s">
        <v>6078</v>
      </c>
      <c r="BL160" s="169"/>
      <c r="BM160" s="169"/>
      <c r="BN160" s="626"/>
      <c r="BO160" s="169"/>
      <c r="BP160" s="268"/>
      <c r="BQ160" s="129"/>
      <c r="BR160" s="129"/>
      <c r="BS160" s="129"/>
      <c r="BT160" s="129"/>
      <c r="BU160" s="129"/>
      <c r="BV160" s="399" t="s">
        <v>6079</v>
      </c>
      <c r="BW160" s="271"/>
      <c r="BX160" s="129"/>
      <c r="BY160" s="129"/>
      <c r="BZ160" s="399" t="s">
        <v>2192</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6080</v>
      </c>
      <c r="CV160" s="309" t="s">
        <v>360</v>
      </c>
      <c r="CW160" s="310"/>
      <c r="CX160" s="310"/>
      <c r="CY160" s="310"/>
      <c r="CZ160" s="309" t="s">
        <v>6081</v>
      </c>
      <c r="DA160" s="309" t="s">
        <v>6082</v>
      </c>
      <c r="DB160" s="276"/>
      <c r="DC160" s="276"/>
      <c r="DD160" s="276"/>
      <c r="DE160" s="276"/>
      <c r="DF160" s="277"/>
      <c r="DG160" s="203"/>
      <c r="DH160" s="278"/>
      <c r="DI160" s="278"/>
      <c r="DJ160" s="203"/>
      <c r="DK160" s="203"/>
      <c r="DL160" s="203"/>
      <c r="DM160" s="278"/>
      <c r="DN160" s="278"/>
      <c r="DO160" s="278"/>
      <c r="DP160" s="203"/>
      <c r="DQ160" s="312" t="s">
        <v>6083</v>
      </c>
      <c r="DR160" s="278"/>
      <c r="DS160" s="203"/>
      <c r="DT160" s="278"/>
      <c r="DU160" s="278"/>
      <c r="DV160" s="278"/>
      <c r="DW160" s="278"/>
      <c r="DX160" s="278"/>
      <c r="DY160" s="203"/>
      <c r="DZ160" s="278"/>
      <c r="EA160" s="278"/>
      <c r="EB160" s="312"/>
    </row>
    <row r="161">
      <c r="A161" s="81" t="s">
        <v>6084</v>
      </c>
      <c r="B161" s="82" t="s">
        <v>6085</v>
      </c>
      <c r="C161" s="83" t="s">
        <v>1260</v>
      </c>
      <c r="D161" s="84" t="s">
        <v>1260</v>
      </c>
      <c r="E161" s="85" t="s">
        <v>1260</v>
      </c>
      <c r="F161" s="86" t="s">
        <v>545</v>
      </c>
      <c r="G161" s="82" t="s">
        <v>3367</v>
      </c>
      <c r="H161" s="93" t="s">
        <v>3655</v>
      </c>
      <c r="I161" s="98"/>
      <c r="J161" s="93" t="s">
        <v>5395</v>
      </c>
      <c r="K161" s="93" t="s">
        <v>3988</v>
      </c>
      <c r="L161" s="93" t="s">
        <v>5047</v>
      </c>
      <c r="M161" s="98"/>
      <c r="N161" s="98"/>
      <c r="O161" s="93" t="s">
        <v>1857</v>
      </c>
      <c r="P161" s="98"/>
      <c r="Q161" s="98"/>
      <c r="R161" s="98"/>
      <c r="S161" s="98"/>
      <c r="T161" s="98"/>
      <c r="U161" s="98"/>
      <c r="V161" s="98"/>
      <c r="W161" s="92"/>
      <c r="X161" s="93" t="s">
        <v>6086</v>
      </c>
      <c r="Y161" s="93" t="s">
        <v>3691</v>
      </c>
      <c r="Z161" s="93" t="s">
        <v>6087</v>
      </c>
      <c r="AA161" s="98"/>
      <c r="AB161" s="93" t="s">
        <v>1379</v>
      </c>
      <c r="AC161" s="93" t="s">
        <v>6088</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1767</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6089</v>
      </c>
      <c r="CG161" s="98"/>
      <c r="CH161" s="98"/>
      <c r="CI161" s="98"/>
      <c r="CJ161" s="98"/>
      <c r="CK161" s="98"/>
      <c r="CL161" s="98"/>
      <c r="CM161" s="98"/>
      <c r="CN161" s="98"/>
      <c r="CO161" s="98"/>
      <c r="CP161" s="98"/>
      <c r="CQ161" s="98"/>
      <c r="CR161" s="98"/>
      <c r="CS161" s="92"/>
      <c r="CT161" s="93" t="s">
        <v>5522</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6090</v>
      </c>
      <c r="B162" s="103" t="s">
        <v>6091</v>
      </c>
      <c r="C162" s="104" t="s">
        <v>1260</v>
      </c>
      <c r="D162" s="105" t="s">
        <v>1260</v>
      </c>
      <c r="E162" s="106" t="s">
        <v>1260</v>
      </c>
      <c r="F162" s="107" t="s">
        <v>1260</v>
      </c>
      <c r="G162" s="103" t="s">
        <v>3367</v>
      </c>
      <c r="H162" s="163" t="s">
        <v>1905</v>
      </c>
      <c r="I162" s="163" t="s">
        <v>2246</v>
      </c>
      <c r="J162" s="218"/>
      <c r="K162" s="163" t="s">
        <v>2871</v>
      </c>
      <c r="L162" s="218"/>
      <c r="M162" s="218"/>
      <c r="N162" s="218"/>
      <c r="O162" s="163" t="s">
        <v>6092</v>
      </c>
      <c r="P162" s="163" t="s">
        <v>2030</v>
      </c>
      <c r="Q162" s="218"/>
      <c r="R162" s="218"/>
      <c r="S162" s="218"/>
      <c r="T162" s="218"/>
      <c r="U162" s="218"/>
      <c r="V162" s="218"/>
      <c r="W162" s="92"/>
      <c r="X162" s="193" t="s">
        <v>3587</v>
      </c>
      <c r="Y162" s="265"/>
      <c r="Z162" s="193" t="s">
        <v>4651</v>
      </c>
      <c r="AA162" s="265"/>
      <c r="AB162" s="193" t="s">
        <v>2476</v>
      </c>
      <c r="AC162" s="265"/>
      <c r="AD162" s="265"/>
      <c r="AE162" s="193" t="s">
        <v>6093</v>
      </c>
      <c r="AF162" s="265"/>
      <c r="AG162" s="265"/>
      <c r="AH162" s="265"/>
      <c r="AI162" s="265"/>
      <c r="AJ162" s="193" t="s">
        <v>6094</v>
      </c>
      <c r="AK162" s="96"/>
      <c r="AL162" s="266"/>
      <c r="AM162" s="164" t="s">
        <v>6095</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1900</v>
      </c>
      <c r="BI162" s="169"/>
      <c r="BJ162" s="169"/>
      <c r="BK162" s="170" t="s">
        <v>6096</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6097</v>
      </c>
      <c r="CG162" s="275"/>
      <c r="CH162" s="275"/>
      <c r="CI162" s="275"/>
      <c r="CJ162" s="275"/>
      <c r="CK162" s="275"/>
      <c r="CL162" s="275"/>
      <c r="CM162" s="173" t="s">
        <v>1659</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6098</v>
      </c>
      <c r="DZ162" s="278"/>
      <c r="EA162" s="202" t="s">
        <v>411</v>
      </c>
      <c r="EB162" s="312"/>
    </row>
    <row r="163">
      <c r="A163" s="697" t="s">
        <v>6099</v>
      </c>
      <c r="B163" s="82" t="s">
        <v>6100</v>
      </c>
      <c r="C163" s="83" t="s">
        <v>1260</v>
      </c>
      <c r="D163" s="84" t="s">
        <v>1260</v>
      </c>
      <c r="E163" s="85" t="s">
        <v>1260</v>
      </c>
      <c r="F163" s="86" t="s">
        <v>436</v>
      </c>
      <c r="G163" s="82" t="s">
        <v>218</v>
      </c>
      <c r="H163" s="756"/>
      <c r="I163" s="93" t="s">
        <v>6101</v>
      </c>
      <c r="J163" s="93" t="s">
        <v>6102</v>
      </c>
      <c r="K163" s="93" t="s">
        <v>5328</v>
      </c>
      <c r="L163" s="93" t="s">
        <v>2828</v>
      </c>
      <c r="M163" s="98"/>
      <c r="N163" s="98"/>
      <c r="O163" s="98"/>
      <c r="P163" s="88" t="s">
        <v>6103</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6104</v>
      </c>
      <c r="AV163" s="98"/>
      <c r="AW163" s="98"/>
      <c r="AX163" s="98"/>
      <c r="AY163" s="98"/>
      <c r="AZ163" s="98"/>
      <c r="BA163" s="93" t="s">
        <v>6105</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6106</v>
      </c>
      <c r="B164" s="103" t="s">
        <v>6107</v>
      </c>
      <c r="C164" s="104" t="s">
        <v>1260</v>
      </c>
      <c r="D164" s="105" t="s">
        <v>1260</v>
      </c>
      <c r="E164" s="106" t="s">
        <v>1260</v>
      </c>
      <c r="F164" s="107" t="s">
        <v>545</v>
      </c>
      <c r="G164" s="103" t="s">
        <v>646</v>
      </c>
      <c r="H164" s="758"/>
      <c r="I164" s="218"/>
      <c r="J164" s="218"/>
      <c r="K164" s="163" t="s">
        <v>6108</v>
      </c>
      <c r="L164" s="163" t="s">
        <v>6109</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1928</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6110</v>
      </c>
      <c r="CJ164" s="173"/>
      <c r="CK164" s="275"/>
      <c r="CL164" s="275"/>
      <c r="CM164" s="275"/>
      <c r="CN164" s="275"/>
      <c r="CO164" s="275"/>
      <c r="CP164" s="275"/>
      <c r="CQ164" s="275"/>
      <c r="CR164" s="275"/>
      <c r="CS164" s="92"/>
      <c r="CT164" s="201" t="s">
        <v>6111</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6112</v>
      </c>
      <c r="B165" s="82" t="s">
        <v>6113</v>
      </c>
      <c r="C165" s="83" t="s">
        <v>1260</v>
      </c>
      <c r="D165" s="84" t="s">
        <v>1260</v>
      </c>
      <c r="E165" s="85" t="s">
        <v>1260</v>
      </c>
      <c r="F165" s="86" t="s">
        <v>332</v>
      </c>
      <c r="G165" s="82" t="s">
        <v>6073</v>
      </c>
      <c r="H165" s="756" t="s">
        <v>4071</v>
      </c>
      <c r="I165" s="98" t="s">
        <v>6114</v>
      </c>
      <c r="J165" s="98" t="s">
        <v>450</v>
      </c>
      <c r="K165" s="98" t="s">
        <v>4299</v>
      </c>
      <c r="L165" s="98" t="s">
        <v>2781</v>
      </c>
      <c r="M165" s="98" t="s">
        <v>6115</v>
      </c>
      <c r="N165" s="98"/>
      <c r="O165" s="98"/>
      <c r="P165" s="98" t="s">
        <v>2156</v>
      </c>
      <c r="Q165" s="98"/>
      <c r="R165" s="98"/>
      <c r="S165" s="98"/>
      <c r="T165" s="98"/>
      <c r="U165" s="98"/>
      <c r="V165" s="98"/>
      <c r="W165" s="92"/>
      <c r="X165" s="94"/>
      <c r="Y165" s="98"/>
      <c r="Z165" s="98" t="s">
        <v>1769</v>
      </c>
      <c r="AA165" s="98"/>
      <c r="AB165" s="493" t="s">
        <v>1120</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6116</v>
      </c>
      <c r="CN165" s="98"/>
      <c r="CO165" s="205"/>
      <c r="CP165" s="98"/>
      <c r="CQ165" s="98"/>
      <c r="CR165" s="98"/>
      <c r="CS165" s="92"/>
      <c r="CT165" s="98"/>
      <c r="CU165" s="98"/>
      <c r="CV165" s="98" t="s">
        <v>5130</v>
      </c>
      <c r="CW165" s="98" t="s">
        <v>3436</v>
      </c>
      <c r="CX165" s="98"/>
      <c r="CY165" s="98"/>
      <c r="CZ165" s="493" t="s">
        <v>6117</v>
      </c>
      <c r="DA165" s="205" t="s">
        <v>6118</v>
      </c>
      <c r="DB165" s="98"/>
      <c r="DC165" s="101"/>
      <c r="DD165" s="205"/>
      <c r="DE165" s="98"/>
      <c r="DF165" s="256"/>
      <c r="DG165" s="98"/>
      <c r="DH165" s="98"/>
      <c r="DI165" s="98"/>
      <c r="DJ165" s="98"/>
      <c r="DK165" s="98"/>
      <c r="DL165" s="98"/>
      <c r="DM165" s="98"/>
      <c r="DN165" s="98"/>
      <c r="DO165" s="98"/>
      <c r="DP165" s="98"/>
      <c r="DQ165" s="98" t="s">
        <v>6119</v>
      </c>
      <c r="DR165" s="98"/>
      <c r="DS165" s="98"/>
      <c r="DT165" s="98"/>
      <c r="DU165" s="98"/>
      <c r="DV165" s="98"/>
      <c r="DW165" s="98"/>
      <c r="DX165" s="98"/>
      <c r="DY165" s="98"/>
      <c r="DZ165" s="98"/>
      <c r="EA165" s="98"/>
      <c r="EB165" s="281"/>
    </row>
    <row r="166">
      <c r="A166" s="162" t="s">
        <v>6120</v>
      </c>
      <c r="B166" s="103" t="s">
        <v>6121</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6122</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6123</v>
      </c>
      <c r="B167" s="82" t="s">
        <v>6124</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6125</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6126</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6127</v>
      </c>
      <c r="B168" s="103" t="s">
        <v>6128</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6129</v>
      </c>
      <c r="B169" s="82" t="s">
        <v>6128</v>
      </c>
      <c r="C169" s="83" t="s">
        <v>1260</v>
      </c>
      <c r="D169" s="84" t="s">
        <v>1260</v>
      </c>
      <c r="E169" s="85" t="s">
        <v>1260</v>
      </c>
      <c r="F169" s="86" t="s">
        <v>545</v>
      </c>
      <c r="G169" s="82" t="s">
        <v>6130</v>
      </c>
      <c r="H169" s="98"/>
      <c r="I169" s="671" t="s">
        <v>6131</v>
      </c>
      <c r="J169" s="93" t="s">
        <v>6024</v>
      </c>
      <c r="K169" s="93" t="s">
        <v>3000</v>
      </c>
      <c r="L169" s="93" t="s">
        <v>6132</v>
      </c>
      <c r="M169" s="98"/>
      <c r="N169" s="98"/>
      <c r="O169" s="98"/>
      <c r="P169" s="93" t="s">
        <v>3134</v>
      </c>
      <c r="Q169" s="98"/>
      <c r="R169" s="98"/>
      <c r="S169" s="98"/>
      <c r="T169" s="98"/>
      <c r="U169" s="98"/>
      <c r="V169" s="98"/>
      <c r="W169" s="92"/>
      <c r="X169" s="671" t="s">
        <v>1899</v>
      </c>
      <c r="Y169" s="98"/>
      <c r="Z169" s="93" t="s">
        <v>3227</v>
      </c>
      <c r="AA169" s="97" t="str">
        <f>HYPERLINK("https://clips.twitch.tv/DeliciousHomelyChoughMingLee","53.66")</f>
        <v>53.66</v>
      </c>
      <c r="AB169" s="93" t="s">
        <v>4825</v>
      </c>
      <c r="AC169" s="93" t="s">
        <v>6053</v>
      </c>
      <c r="AD169" s="98"/>
      <c r="AE169" s="98"/>
      <c r="AF169" s="93" t="s">
        <v>3134</v>
      </c>
      <c r="AG169" s="98"/>
      <c r="AH169" s="98"/>
      <c r="AI169" s="98"/>
      <c r="AJ169" s="98"/>
      <c r="AK169" s="96"/>
      <c r="AL169" s="98"/>
      <c r="AM169" s="98"/>
      <c r="AN169" s="98"/>
      <c r="AO169" s="98"/>
      <c r="AP169" s="98"/>
      <c r="AQ169" s="98"/>
      <c r="AR169" s="98"/>
      <c r="AS169" s="98"/>
      <c r="AT169" s="93" t="s">
        <v>6133</v>
      </c>
      <c r="AU169" s="93" t="s">
        <v>6134</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1985</v>
      </c>
      <c r="CU169" s="93" t="s">
        <v>6135</v>
      </c>
      <c r="CV169" s="93" t="s">
        <v>5311</v>
      </c>
      <c r="CW169" s="98"/>
      <c r="CX169" s="93"/>
      <c r="CY169" s="98"/>
      <c r="CZ169" s="93" t="s">
        <v>6136</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6137</v>
      </c>
      <c r="B170" s="103" t="s">
        <v>6138</v>
      </c>
      <c r="C170" s="104" t="s">
        <v>1260</v>
      </c>
      <c r="D170" s="105" t="s">
        <v>1260</v>
      </c>
      <c r="E170" s="106" t="s">
        <v>1260</v>
      </c>
      <c r="F170" s="107" t="s">
        <v>1260</v>
      </c>
      <c r="G170" s="103" t="s">
        <v>5079</v>
      </c>
      <c r="H170" s="163"/>
      <c r="I170" s="163" t="s">
        <v>6139</v>
      </c>
      <c r="J170" s="163" t="s">
        <v>2950</v>
      </c>
      <c r="K170" s="163" t="s">
        <v>754</v>
      </c>
      <c r="L170" s="163" t="s">
        <v>6140</v>
      </c>
      <c r="M170" s="163" t="s">
        <v>6141</v>
      </c>
      <c r="N170" s="163" t="s">
        <v>6142</v>
      </c>
      <c r="O170" s="163" t="s">
        <v>6143</v>
      </c>
      <c r="P170" s="163" t="s">
        <v>1871</v>
      </c>
      <c r="Q170" s="218"/>
      <c r="R170" s="218"/>
      <c r="S170" s="218"/>
      <c r="T170" s="218"/>
      <c r="U170" s="218"/>
      <c r="V170" s="218"/>
      <c r="W170" s="92"/>
      <c r="X170" s="193" t="s">
        <v>6144</v>
      </c>
      <c r="Y170" s="193"/>
      <c r="Z170" s="193" t="s">
        <v>6075</v>
      </c>
      <c r="AA170" s="265"/>
      <c r="AB170" s="193" t="s">
        <v>6145</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6146</v>
      </c>
      <c r="BB170" s="170" t="s">
        <v>790</v>
      </c>
      <c r="BC170" s="170" t="s">
        <v>841</v>
      </c>
      <c r="BD170" s="170" t="s">
        <v>3569</v>
      </c>
      <c r="BE170" s="170" t="s">
        <v>6147</v>
      </c>
      <c r="BF170" s="169"/>
      <c r="BG170" s="169"/>
      <c r="BH170" s="170" t="s">
        <v>3197</v>
      </c>
      <c r="BI170" s="169"/>
      <c r="BJ170" s="169"/>
      <c r="BK170" s="170" t="s">
        <v>528</v>
      </c>
      <c r="BL170" s="169"/>
      <c r="BM170" s="169"/>
      <c r="BN170" s="169"/>
      <c r="BO170" s="169"/>
      <c r="BP170" s="268"/>
      <c r="BQ170" s="171" t="s">
        <v>6148</v>
      </c>
      <c r="BR170" s="171" t="s">
        <v>6149</v>
      </c>
      <c r="BS170" s="171" t="s">
        <v>880</v>
      </c>
      <c r="BT170" s="171" t="s">
        <v>534</v>
      </c>
      <c r="BU170" s="171" t="s">
        <v>6150</v>
      </c>
      <c r="BV170" s="171" t="s">
        <v>1289</v>
      </c>
      <c r="BW170" s="271"/>
      <c r="BX170" s="271"/>
      <c r="BY170" s="271"/>
      <c r="BZ170" s="171" t="s">
        <v>978</v>
      </c>
      <c r="CA170" s="271"/>
      <c r="CB170" s="271"/>
      <c r="CC170" s="271"/>
      <c r="CD170" s="271"/>
      <c r="CE170" s="272"/>
      <c r="CF170" s="173" t="s">
        <v>6151</v>
      </c>
      <c r="CG170" s="173" t="s">
        <v>186</v>
      </c>
      <c r="CH170" s="275"/>
      <c r="CI170" s="275"/>
      <c r="CJ170" s="275"/>
      <c r="CK170" s="275"/>
      <c r="CL170" s="173" t="s">
        <v>4589</v>
      </c>
      <c r="CM170" s="173" t="s">
        <v>1501</v>
      </c>
      <c r="CN170" s="275"/>
      <c r="CO170" s="275"/>
      <c r="CP170" s="275"/>
      <c r="CQ170" s="275"/>
      <c r="CR170" s="275"/>
      <c r="CS170" s="92"/>
      <c r="CT170" s="201" t="s">
        <v>5135</v>
      </c>
      <c r="CU170" s="276"/>
      <c r="CV170" s="201" t="s">
        <v>6152</v>
      </c>
      <c r="CW170" s="201" t="s">
        <v>3002</v>
      </c>
      <c r="CX170" s="201" t="s">
        <v>6153</v>
      </c>
      <c r="CY170" s="201" t="s">
        <v>6154</v>
      </c>
      <c r="CZ170" s="201" t="s">
        <v>6155</v>
      </c>
      <c r="DA170" s="201" t="s">
        <v>6156</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6157</v>
      </c>
      <c r="B171" s="82" t="s">
        <v>6158</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6159</v>
      </c>
      <c r="B172" s="103" t="s">
        <v>6160</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6161</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6162</v>
      </c>
      <c r="B173" s="82" t="s">
        <v>6163</v>
      </c>
      <c r="C173" s="83" t="s">
        <v>545</v>
      </c>
      <c r="D173" s="84" t="s">
        <v>1260</v>
      </c>
      <c r="E173" s="85" t="s">
        <v>1260</v>
      </c>
      <c r="F173" s="86" t="s">
        <v>545</v>
      </c>
      <c r="G173" s="82" t="s">
        <v>3985</v>
      </c>
      <c r="H173" s="770" t="s">
        <v>2936</v>
      </c>
      <c r="I173" s="770" t="s">
        <v>6164</v>
      </c>
      <c r="J173" s="770" t="s">
        <v>6165</v>
      </c>
      <c r="K173" s="770" t="s">
        <v>754</v>
      </c>
      <c r="L173" s="770" t="s">
        <v>836</v>
      </c>
      <c r="M173" s="771"/>
      <c r="N173" s="770" t="s">
        <v>6166</v>
      </c>
      <c r="O173" s="770" t="s">
        <v>6167</v>
      </c>
      <c r="P173" s="770" t="s">
        <v>5335</v>
      </c>
      <c r="Q173" s="771"/>
      <c r="R173" s="771"/>
      <c r="S173" s="771"/>
      <c r="T173" s="771"/>
      <c r="U173" s="771"/>
      <c r="V173" s="771"/>
      <c r="W173" s="772"/>
      <c r="X173" s="770" t="s">
        <v>6168</v>
      </c>
      <c r="Y173" s="773" t="s">
        <v>378</v>
      </c>
      <c r="Z173" s="773" t="s">
        <v>954</v>
      </c>
      <c r="AA173" s="773" t="s">
        <v>3829</v>
      </c>
      <c r="AB173" s="770" t="s">
        <v>6169</v>
      </c>
      <c r="AC173" s="773" t="s">
        <v>6170</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6171</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6172</v>
      </c>
      <c r="DA173" s="773" t="s">
        <v>6020</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6173</v>
      </c>
      <c r="B174" s="103" t="s">
        <v>6174</v>
      </c>
      <c r="C174" s="104" t="s">
        <v>1260</v>
      </c>
      <c r="D174" s="105" t="s">
        <v>1260</v>
      </c>
      <c r="E174" s="106" t="s">
        <v>1260</v>
      </c>
      <c r="F174" s="107" t="s">
        <v>437</v>
      </c>
      <c r="G174" s="103" t="s">
        <v>437</v>
      </c>
      <c r="H174" s="625"/>
      <c r="I174" s="624"/>
      <c r="J174" s="625"/>
      <c r="K174" s="625"/>
      <c r="L174" s="625"/>
      <c r="M174" s="625"/>
      <c r="N174" s="625"/>
      <c r="O174" s="625"/>
      <c r="P174" s="111" t="s">
        <v>5335</v>
      </c>
      <c r="Q174" s="218"/>
      <c r="R174" s="218"/>
      <c r="S174" s="218"/>
      <c r="T174" s="218"/>
      <c r="U174" s="218"/>
      <c r="V174" s="218"/>
      <c r="W174" s="92"/>
      <c r="X174" s="114" t="s">
        <v>6175</v>
      </c>
      <c r="Y174" s="115"/>
      <c r="Z174" s="114" t="s">
        <v>4789</v>
      </c>
      <c r="AA174" s="382"/>
      <c r="AB174" s="115"/>
      <c r="AC174" s="115"/>
      <c r="AD174" s="265"/>
      <c r="AE174" s="115"/>
      <c r="AF174" s="114" t="s">
        <v>6176</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6177</v>
      </c>
      <c r="B175" s="82" t="s">
        <v>6178</v>
      </c>
      <c r="C175" s="83" t="s">
        <v>1260</v>
      </c>
      <c r="D175" s="84" t="s">
        <v>1260</v>
      </c>
      <c r="E175" s="85" t="s">
        <v>1260</v>
      </c>
      <c r="F175" s="86" t="s">
        <v>1260</v>
      </c>
      <c r="G175" s="82" t="s">
        <v>219</v>
      </c>
      <c r="H175" s="98"/>
      <c r="I175" s="98"/>
      <c r="J175" s="158" t="s">
        <v>6179</v>
      </c>
      <c r="K175" s="98"/>
      <c r="L175" s="93" t="s">
        <v>6180</v>
      </c>
      <c r="M175" s="98"/>
      <c r="N175" s="93" t="s">
        <v>5094</v>
      </c>
      <c r="O175" s="98"/>
      <c r="P175" s="98"/>
      <c r="Q175" s="98"/>
      <c r="R175" s="98"/>
      <c r="S175" s="98"/>
      <c r="T175" s="98"/>
      <c r="U175" s="98"/>
      <c r="V175" s="98"/>
      <c r="W175" s="92"/>
      <c r="X175" s="98"/>
      <c r="Y175" s="98"/>
      <c r="Z175" s="98"/>
      <c r="AA175" s="93" t="s">
        <v>1978</v>
      </c>
      <c r="AB175" s="93" t="s">
        <v>1413</v>
      </c>
      <c r="AC175" s="98"/>
      <c r="AD175" s="98"/>
      <c r="AE175" s="98"/>
      <c r="AF175" s="98"/>
      <c r="AG175" s="98"/>
      <c r="AH175" s="98"/>
      <c r="AI175" s="93" t="s">
        <v>1606</v>
      </c>
      <c r="AJ175" s="98"/>
      <c r="AK175" s="96"/>
      <c r="AL175" s="98"/>
      <c r="AM175" s="93" t="s">
        <v>6181</v>
      </c>
      <c r="AN175" s="98"/>
      <c r="AO175" s="98"/>
      <c r="AP175" s="98"/>
      <c r="AQ175" s="98"/>
      <c r="AR175" s="98"/>
      <c r="AS175" s="98"/>
      <c r="AT175" s="98"/>
      <c r="AU175" s="98"/>
      <c r="AV175" s="98"/>
      <c r="AW175" s="98"/>
      <c r="AX175" s="93" t="s">
        <v>1947</v>
      </c>
      <c r="AY175" s="93"/>
      <c r="AZ175" s="98"/>
      <c r="BA175" s="98"/>
      <c r="BB175" s="98"/>
      <c r="BC175" s="98"/>
      <c r="BD175" s="98"/>
      <c r="BE175" s="98"/>
      <c r="BF175" s="98"/>
      <c r="BG175" s="98"/>
      <c r="BH175" s="93" t="s">
        <v>287</v>
      </c>
      <c r="BI175" s="98"/>
      <c r="BJ175" s="93" t="s">
        <v>6182</v>
      </c>
      <c r="BK175" s="98"/>
      <c r="BL175" s="98"/>
      <c r="BM175" s="98"/>
      <c r="BN175" s="98"/>
      <c r="BO175" s="98"/>
      <c r="BP175" s="256"/>
      <c r="BQ175" s="98"/>
      <c r="BR175" s="98"/>
      <c r="BS175" s="93" t="s">
        <v>1207</v>
      </c>
      <c r="BT175" s="98"/>
      <c r="BU175" s="98"/>
      <c r="BV175" s="93" t="s">
        <v>2217</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6183</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6184</v>
      </c>
      <c r="B176" s="103" t="s">
        <v>6185</v>
      </c>
      <c r="C176" s="104" t="s">
        <v>1260</v>
      </c>
      <c r="D176" s="105" t="s">
        <v>1260</v>
      </c>
      <c r="E176" s="106" t="s">
        <v>1260</v>
      </c>
      <c r="F176" s="107" t="s">
        <v>1260</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6186</v>
      </c>
      <c r="B177" s="82" t="s">
        <v>6187</v>
      </c>
      <c r="C177" s="83" t="s">
        <v>1260</v>
      </c>
      <c r="D177" s="84" t="s">
        <v>1260</v>
      </c>
      <c r="E177" s="85" t="s">
        <v>1260</v>
      </c>
      <c r="F177" s="86" t="s">
        <v>1260</v>
      </c>
      <c r="G177" s="82" t="s">
        <v>1726</v>
      </c>
      <c r="H177" s="98"/>
      <c r="I177" s="93" t="s">
        <v>6188</v>
      </c>
      <c r="J177" s="93" t="s">
        <v>5013</v>
      </c>
      <c r="K177" s="93" t="s">
        <v>2379</v>
      </c>
      <c r="L177" s="93" t="s">
        <v>4034</v>
      </c>
      <c r="M177" s="93" t="s">
        <v>6189</v>
      </c>
      <c r="N177" s="98"/>
      <c r="O177" s="93" t="s">
        <v>1856</v>
      </c>
      <c r="P177" s="93" t="s">
        <v>6190</v>
      </c>
      <c r="Q177" s="98"/>
      <c r="R177" s="98"/>
      <c r="S177" s="98"/>
      <c r="T177" s="98"/>
      <c r="U177" s="98"/>
      <c r="V177" s="98"/>
      <c r="W177" s="92"/>
      <c r="X177" s="93" t="s">
        <v>4440</v>
      </c>
      <c r="Y177" s="93" t="s">
        <v>6191</v>
      </c>
      <c r="Z177" s="93" t="s">
        <v>4472</v>
      </c>
      <c r="AA177" s="93" t="s">
        <v>6192</v>
      </c>
      <c r="AB177" s="93" t="s">
        <v>6193</v>
      </c>
      <c r="AC177" s="93" t="s">
        <v>6151</v>
      </c>
      <c r="AD177" s="98"/>
      <c r="AE177" s="93" t="s">
        <v>6194</v>
      </c>
      <c r="AF177" s="93" t="s">
        <v>1620</v>
      </c>
      <c r="AG177" s="98"/>
      <c r="AH177" s="98"/>
      <c r="AI177" s="98"/>
      <c r="AJ177" s="98"/>
      <c r="AK177" s="96"/>
      <c r="AL177" s="98"/>
      <c r="AM177" s="98"/>
      <c r="AN177" s="98"/>
      <c r="AO177" s="98"/>
      <c r="AP177" s="98"/>
      <c r="AQ177" s="98"/>
      <c r="AR177" s="98"/>
      <c r="AS177" s="98"/>
      <c r="AT177" s="93" t="s">
        <v>2522</v>
      </c>
      <c r="AU177" s="93" t="s">
        <v>1670</v>
      </c>
      <c r="AV177" s="98"/>
      <c r="AW177" s="98"/>
      <c r="AX177" s="98"/>
      <c r="AY177" s="98"/>
      <c r="AZ177" s="98"/>
      <c r="BA177" s="98"/>
      <c r="BB177" s="93" t="s">
        <v>774</v>
      </c>
      <c r="BC177" s="93" t="s">
        <v>4172</v>
      </c>
      <c r="BD177" s="93" t="s">
        <v>6195</v>
      </c>
      <c r="BE177" s="93" t="s">
        <v>6196</v>
      </c>
      <c r="BF177" s="98"/>
      <c r="BG177" s="98"/>
      <c r="BH177" s="93" t="s">
        <v>6197</v>
      </c>
      <c r="BI177" s="93" t="s">
        <v>6198</v>
      </c>
      <c r="BJ177" s="93"/>
      <c r="BK177" s="93" t="s">
        <v>536</v>
      </c>
      <c r="BL177" s="98"/>
      <c r="BM177" s="98"/>
      <c r="BN177" s="98"/>
      <c r="BO177" s="98"/>
      <c r="BP177" s="256"/>
      <c r="BQ177" s="93"/>
      <c r="BR177" s="98"/>
      <c r="BS177" s="93" t="s">
        <v>6199</v>
      </c>
      <c r="BT177" s="93" t="s">
        <v>6200</v>
      </c>
      <c r="BU177" s="98"/>
      <c r="BV177" s="93" t="s">
        <v>408</v>
      </c>
      <c r="BW177" s="93" t="s">
        <v>5788</v>
      </c>
      <c r="BX177" s="93" t="s">
        <v>2776</v>
      </c>
      <c r="BY177" s="98"/>
      <c r="BZ177" s="93" t="s">
        <v>2010</v>
      </c>
      <c r="CA177" s="98"/>
      <c r="CB177" s="98"/>
      <c r="CC177" s="98"/>
      <c r="CD177" s="98"/>
      <c r="CE177" s="256"/>
      <c r="CF177" s="93" t="s">
        <v>4903</v>
      </c>
      <c r="CG177" s="93" t="s">
        <v>2514</v>
      </c>
      <c r="CH177" s="93" t="s">
        <v>2579</v>
      </c>
      <c r="CI177" s="93" t="s">
        <v>6201</v>
      </c>
      <c r="CJ177" s="93" t="s">
        <v>3174</v>
      </c>
      <c r="CK177" s="98"/>
      <c r="CL177" s="93" t="s">
        <v>3168</v>
      </c>
      <c r="CM177" s="93" t="s">
        <v>3349</v>
      </c>
      <c r="CN177" s="98"/>
      <c r="CO177" s="98"/>
      <c r="CP177" s="98"/>
      <c r="CQ177" s="98"/>
      <c r="CR177" s="98"/>
      <c r="CS177" s="92"/>
      <c r="CT177" s="93" t="s">
        <v>5754</v>
      </c>
      <c r="CU177" s="93" t="s">
        <v>6202</v>
      </c>
      <c r="CV177" s="93" t="s">
        <v>101</v>
      </c>
      <c r="CW177" s="98"/>
      <c r="CX177" s="98"/>
      <c r="CY177" s="98"/>
      <c r="CZ177" s="93" t="s">
        <v>6203</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6204</v>
      </c>
      <c r="B178" s="103" t="s">
        <v>6205</v>
      </c>
      <c r="C178" s="104" t="s">
        <v>1260</v>
      </c>
      <c r="D178" s="105" t="s">
        <v>1260</v>
      </c>
      <c r="E178" s="106" t="s">
        <v>1260</v>
      </c>
      <c r="F178" s="107" t="s">
        <v>988</v>
      </c>
      <c r="G178" s="103" t="s">
        <v>4948</v>
      </c>
      <c r="H178" s="163" t="s">
        <v>2587</v>
      </c>
      <c r="I178" s="218"/>
      <c r="J178" s="163" t="s">
        <v>6206</v>
      </c>
      <c r="K178" s="111" t="s">
        <v>4942</v>
      </c>
      <c r="L178" s="295" t="s">
        <v>3485</v>
      </c>
      <c r="M178" s="218"/>
      <c r="N178" s="218"/>
      <c r="O178" s="218"/>
      <c r="P178" s="163" t="s">
        <v>6207</v>
      </c>
      <c r="Q178" s="218"/>
      <c r="R178" s="218"/>
      <c r="S178" s="218"/>
      <c r="T178" s="218"/>
      <c r="U178" s="218"/>
      <c r="V178" s="218"/>
      <c r="W178" s="92"/>
      <c r="X178" s="114" t="s">
        <v>6208</v>
      </c>
      <c r="Y178" s="193" t="s">
        <v>1768</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1718</v>
      </c>
      <c r="AU178" s="164" t="s">
        <v>6209</v>
      </c>
      <c r="AV178" s="266"/>
      <c r="AW178" s="266"/>
      <c r="AX178" s="266"/>
      <c r="AY178" s="266"/>
      <c r="AZ178" s="266"/>
      <c r="BA178" s="169"/>
      <c r="BB178" s="170" t="s">
        <v>940</v>
      </c>
      <c r="BC178" s="170" t="s">
        <v>532</v>
      </c>
      <c r="BD178" s="170" t="s">
        <v>6210</v>
      </c>
      <c r="BE178" s="169"/>
      <c r="BF178" s="170" t="s">
        <v>4809</v>
      </c>
      <c r="BG178" s="170" t="s">
        <v>6211</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6212</v>
      </c>
      <c r="CG178" s="173" t="s">
        <v>6213</v>
      </c>
      <c r="CH178" s="275"/>
      <c r="CI178" s="275"/>
      <c r="CJ178" s="275"/>
      <c r="CK178" s="275"/>
      <c r="CL178" s="132" t="s">
        <v>5080</v>
      </c>
      <c r="CM178" s="132" t="s">
        <v>6214</v>
      </c>
      <c r="CN178" s="275"/>
      <c r="CO178" s="275"/>
      <c r="CP178" s="275"/>
      <c r="CQ178" s="275"/>
      <c r="CR178" s="275"/>
      <c r="CS178" s="92"/>
      <c r="CT178" s="310" t="s">
        <v>6215</v>
      </c>
      <c r="CU178" s="201" t="s">
        <v>237</v>
      </c>
      <c r="CV178" s="276"/>
      <c r="CW178" s="276"/>
      <c r="CX178" s="276"/>
      <c r="CY178" s="276"/>
      <c r="CZ178" s="137" t="s">
        <v>6216</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6217</v>
      </c>
      <c r="B179" s="82" t="s">
        <v>6218</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6220</v>
      </c>
      <c r="B180" s="103" t="s">
        <v>6221</v>
      </c>
      <c r="C180" s="104" t="s">
        <v>1260</v>
      </c>
      <c r="D180" s="105" t="s">
        <v>1260</v>
      </c>
      <c r="E180" s="106" t="s">
        <v>1260</v>
      </c>
      <c r="F180" s="107" t="s">
        <v>3985</v>
      </c>
      <c r="G180" s="103" t="s">
        <v>2809</v>
      </c>
      <c r="H180" s="625"/>
      <c r="I180" s="624"/>
      <c r="J180" s="625"/>
      <c r="K180" s="625"/>
      <c r="L180" s="625"/>
      <c r="M180" s="625"/>
      <c r="N180" s="111" t="s">
        <v>6222</v>
      </c>
      <c r="O180" s="111" t="s">
        <v>6223</v>
      </c>
      <c r="P180" s="111" t="s">
        <v>931</v>
      </c>
      <c r="Q180" s="218"/>
      <c r="R180" s="218"/>
      <c r="S180" s="218"/>
      <c r="T180" s="218"/>
      <c r="U180" s="218"/>
      <c r="V180" s="218"/>
      <c r="W180" s="92"/>
      <c r="X180" s="115"/>
      <c r="Y180" s="115"/>
      <c r="Z180" s="115"/>
      <c r="AA180" s="114" t="s">
        <v>2293</v>
      </c>
      <c r="AB180" s="115" t="s">
        <v>5394</v>
      </c>
      <c r="AC180" s="114" t="s">
        <v>6088</v>
      </c>
      <c r="AD180" s="265"/>
      <c r="AE180" s="114" t="s">
        <v>6224</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6225</v>
      </c>
      <c r="BR180" s="127" t="s">
        <v>1815</v>
      </c>
      <c r="BS180" s="127" t="s">
        <v>2512</v>
      </c>
      <c r="BT180" s="127" t="s">
        <v>2961</v>
      </c>
      <c r="BU180" s="127" t="s">
        <v>6226</v>
      </c>
      <c r="BV180" s="127" t="s">
        <v>408</v>
      </c>
      <c r="BW180" s="127" t="s">
        <v>6227</v>
      </c>
      <c r="BX180" s="129"/>
      <c r="BY180" s="127" t="s">
        <v>6228</v>
      </c>
      <c r="BZ180" s="127" t="s">
        <v>6229</v>
      </c>
      <c r="CA180" s="271"/>
      <c r="CB180" s="271"/>
      <c r="CC180" s="171"/>
      <c r="CD180" s="271"/>
      <c r="CE180" s="272"/>
      <c r="CF180" s="132" t="s">
        <v>6230</v>
      </c>
      <c r="CG180" s="132" t="s">
        <v>3441</v>
      </c>
      <c r="CH180" s="132" t="s">
        <v>6231</v>
      </c>
      <c r="CI180" s="132" t="s">
        <v>5148</v>
      </c>
      <c r="CJ180" s="132" t="s">
        <v>6232</v>
      </c>
      <c r="CK180" s="132" t="s">
        <v>1082</v>
      </c>
      <c r="CL180" s="132" t="s">
        <v>481</v>
      </c>
      <c r="CM180" s="132" t="s">
        <v>6233</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6234</v>
      </c>
      <c r="DQ180" s="142" t="s">
        <v>3458</v>
      </c>
      <c r="DR180" s="278"/>
      <c r="DS180" s="203"/>
      <c r="DT180" s="278"/>
      <c r="DU180" s="278"/>
      <c r="DV180" s="278"/>
      <c r="DW180" s="278"/>
      <c r="DX180" s="278"/>
      <c r="DY180" s="203"/>
      <c r="DZ180" s="278"/>
      <c r="EA180" s="278"/>
      <c r="EB180" s="312"/>
    </row>
    <row r="181">
      <c r="A181" s="81" t="s">
        <v>6235</v>
      </c>
      <c r="B181" s="82" t="s">
        <v>6236</v>
      </c>
      <c r="C181" s="83" t="s">
        <v>1260</v>
      </c>
      <c r="D181" s="84" t="s">
        <v>1260</v>
      </c>
      <c r="E181" s="85" t="s">
        <v>1260</v>
      </c>
      <c r="F181" s="86" t="s">
        <v>1260</v>
      </c>
      <c r="G181" s="82" t="s">
        <v>5115</v>
      </c>
      <c r="H181" s="93" t="s">
        <v>6237</v>
      </c>
      <c r="I181" s="93" t="s">
        <v>6238</v>
      </c>
      <c r="J181" s="93" t="s">
        <v>616</v>
      </c>
      <c r="K181" s="93" t="s">
        <v>2871</v>
      </c>
      <c r="L181" s="93" t="s">
        <v>2820</v>
      </c>
      <c r="M181" s="93" t="s">
        <v>6239</v>
      </c>
      <c r="N181" s="93" t="s">
        <v>6240</v>
      </c>
      <c r="O181" s="93" t="s">
        <v>935</v>
      </c>
      <c r="P181" s="93" t="s">
        <v>494</v>
      </c>
      <c r="Q181" s="93"/>
      <c r="R181" s="93"/>
      <c r="S181" s="93"/>
      <c r="T181" s="93"/>
      <c r="U181" s="93"/>
      <c r="V181" s="93"/>
      <c r="W181" s="92"/>
      <c r="X181" s="93" t="s">
        <v>6241</v>
      </c>
      <c r="Y181" s="93" t="s">
        <v>5187</v>
      </c>
      <c r="Z181" s="93" t="s">
        <v>6242</v>
      </c>
      <c r="AA181" s="93" t="s">
        <v>2617</v>
      </c>
      <c r="AB181" s="93" t="s">
        <v>5804</v>
      </c>
      <c r="AC181" s="93" t="s">
        <v>6243</v>
      </c>
      <c r="AD181" s="93" t="s">
        <v>4058</v>
      </c>
      <c r="AE181" s="93" t="s">
        <v>6244</v>
      </c>
      <c r="AF181" s="93" t="s">
        <v>368</v>
      </c>
      <c r="AG181" s="93"/>
      <c r="AH181" s="93"/>
      <c r="AI181" s="93"/>
      <c r="AJ181" s="93"/>
      <c r="AK181" s="96"/>
      <c r="AL181" s="93"/>
      <c r="AM181" s="93"/>
      <c r="AN181" s="93"/>
      <c r="AO181" s="93"/>
      <c r="AP181" s="93"/>
      <c r="AQ181" s="93"/>
      <c r="AR181" s="93"/>
      <c r="AS181" s="93"/>
      <c r="AT181" s="93" t="s">
        <v>6245</v>
      </c>
      <c r="AU181" s="93" t="s">
        <v>1378</v>
      </c>
      <c r="AV181" s="93"/>
      <c r="AW181" s="93"/>
      <c r="AX181" s="93"/>
      <c r="AY181" s="93"/>
      <c r="AZ181" s="93"/>
      <c r="BA181" s="93" t="s">
        <v>6246</v>
      </c>
      <c r="BB181" s="93" t="s">
        <v>4228</v>
      </c>
      <c r="BC181" s="93" t="s">
        <v>3731</v>
      </c>
      <c r="BD181" s="93" t="s">
        <v>6247</v>
      </c>
      <c r="BE181" s="93" t="s">
        <v>6248</v>
      </c>
      <c r="BF181" s="93" t="s">
        <v>6249</v>
      </c>
      <c r="BG181" s="93" t="s">
        <v>5121</v>
      </c>
      <c r="BH181" s="93" t="s">
        <v>6104</v>
      </c>
      <c r="BI181" s="98"/>
      <c r="BJ181" s="98"/>
      <c r="BK181" s="98"/>
      <c r="BL181" s="93"/>
      <c r="BM181" s="93"/>
      <c r="BN181" s="93"/>
      <c r="BO181" s="93"/>
      <c r="BP181" s="99"/>
      <c r="BQ181" s="93"/>
      <c r="BR181" s="98"/>
      <c r="BS181" s="376" t="s">
        <v>6250</v>
      </c>
      <c r="BT181" s="93" t="s">
        <v>6251</v>
      </c>
      <c r="BU181" s="376"/>
      <c r="BV181" s="93" t="s">
        <v>6252</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2936</v>
      </c>
      <c r="CU181" s="93" t="s">
        <v>1573</v>
      </c>
      <c r="CV181" s="93" t="s">
        <v>6031</v>
      </c>
      <c r="CW181" s="98"/>
      <c r="CX181" s="93" t="s">
        <v>6253</v>
      </c>
      <c r="CY181" s="98"/>
      <c r="CZ181" s="98"/>
      <c r="DA181" s="98"/>
      <c r="DB181" s="98"/>
      <c r="DC181" s="98"/>
      <c r="DD181" s="98"/>
      <c r="DE181" s="98"/>
      <c r="DF181" s="256"/>
      <c r="DG181" s="93" t="s">
        <v>3212</v>
      </c>
      <c r="DH181" s="98"/>
      <c r="DI181" s="98"/>
      <c r="DJ181" s="98"/>
      <c r="DK181" s="98"/>
      <c r="DL181" s="98"/>
      <c r="DM181" s="98"/>
      <c r="DN181" s="98"/>
      <c r="DO181" s="98"/>
      <c r="DP181" s="93" t="s">
        <v>6254</v>
      </c>
      <c r="DQ181" s="93"/>
      <c r="DR181" s="376"/>
      <c r="DS181" s="98"/>
      <c r="DT181" s="98"/>
      <c r="DU181" s="98"/>
      <c r="DV181" s="98"/>
      <c r="DW181" s="98"/>
      <c r="DX181" s="98"/>
      <c r="DY181" s="98"/>
      <c r="DZ181" s="98"/>
      <c r="EA181" s="98"/>
      <c r="EB181" s="281"/>
    </row>
    <row r="182">
      <c r="A182" s="162" t="s">
        <v>6255</v>
      </c>
      <c r="B182" s="103" t="s">
        <v>6256</v>
      </c>
      <c r="C182" s="104" t="s">
        <v>1260</v>
      </c>
      <c r="D182" s="105" t="s">
        <v>1260</v>
      </c>
      <c r="E182" s="106" t="s">
        <v>1260</v>
      </c>
      <c r="F182" s="107" t="s">
        <v>1260</v>
      </c>
      <c r="G182" s="103" t="s">
        <v>5801</v>
      </c>
      <c r="H182" s="218"/>
      <c r="I182" s="163" t="s">
        <v>6257</v>
      </c>
      <c r="J182" s="163" t="s">
        <v>299</v>
      </c>
      <c r="K182" s="163" t="s">
        <v>122</v>
      </c>
      <c r="L182" s="163" t="s">
        <v>3907</v>
      </c>
      <c r="M182" s="163" t="s">
        <v>6258</v>
      </c>
      <c r="N182" s="218"/>
      <c r="O182" s="163" t="s">
        <v>4089</v>
      </c>
      <c r="P182" s="163" t="s">
        <v>1620</v>
      </c>
      <c r="Q182" s="218"/>
      <c r="R182" s="218"/>
      <c r="S182" s="218"/>
      <c r="T182" s="218"/>
      <c r="U182" s="218"/>
      <c r="V182" s="218"/>
      <c r="W182" s="92"/>
      <c r="X182" s="193" t="s">
        <v>6259</v>
      </c>
      <c r="Y182" s="193" t="s">
        <v>6260</v>
      </c>
      <c r="Z182" s="193" t="s">
        <v>388</v>
      </c>
      <c r="AA182" s="265"/>
      <c r="AB182" s="193" t="s">
        <v>6261</v>
      </c>
      <c r="AC182" s="265"/>
      <c r="AD182" s="265"/>
      <c r="AE182" s="265"/>
      <c r="AF182" s="193" t="s">
        <v>2917</v>
      </c>
      <c r="AG182" s="265"/>
      <c r="AH182" s="265"/>
      <c r="AI182" s="265"/>
      <c r="AJ182" s="265"/>
      <c r="AK182" s="96"/>
      <c r="AL182" s="266"/>
      <c r="AM182" s="266"/>
      <c r="AN182" s="266"/>
      <c r="AO182" s="266"/>
      <c r="AP182" s="266"/>
      <c r="AQ182" s="266"/>
      <c r="AR182" s="266"/>
      <c r="AS182" s="266"/>
      <c r="AT182" s="164" t="s">
        <v>4340</v>
      </c>
      <c r="AU182" s="164" t="s">
        <v>2811</v>
      </c>
      <c r="AV182" s="266"/>
      <c r="AW182" s="266"/>
      <c r="AX182" s="266"/>
      <c r="AY182" s="266"/>
      <c r="AZ182" s="266"/>
      <c r="BA182" s="170" t="s">
        <v>3695</v>
      </c>
      <c r="BB182" s="170" t="s">
        <v>4994</v>
      </c>
      <c r="BC182" s="169"/>
      <c r="BD182" s="170" t="s">
        <v>5580</v>
      </c>
      <c r="BE182" s="169"/>
      <c r="BF182" s="169"/>
      <c r="BG182" s="169"/>
      <c r="BH182" s="170" t="s">
        <v>772</v>
      </c>
      <c r="BI182" s="169"/>
      <c r="BJ182" s="170" t="s">
        <v>6262</v>
      </c>
      <c r="BK182" s="170" t="s">
        <v>994</v>
      </c>
      <c r="BL182" s="169"/>
      <c r="BM182" s="169"/>
      <c r="BN182" s="169"/>
      <c r="BO182" s="169"/>
      <c r="BP182" s="268"/>
      <c r="BQ182" s="271"/>
      <c r="BR182" s="271"/>
      <c r="BS182" s="271"/>
      <c r="BT182" s="171" t="s">
        <v>903</v>
      </c>
      <c r="BU182" s="271"/>
      <c r="BV182" s="271"/>
      <c r="BW182" s="271"/>
      <c r="BX182" s="171" t="s">
        <v>6263</v>
      </c>
      <c r="BY182" s="171" t="s">
        <v>6264</v>
      </c>
      <c r="BZ182" s="171" t="s">
        <v>3793</v>
      </c>
      <c r="CA182" s="271"/>
      <c r="CB182" s="271"/>
      <c r="CC182" s="271"/>
      <c r="CD182" s="271"/>
      <c r="CE182" s="272"/>
      <c r="CF182" s="173" t="s">
        <v>6265</v>
      </c>
      <c r="CG182" s="173" t="s">
        <v>3435</v>
      </c>
      <c r="CH182" s="173" t="s">
        <v>755</v>
      </c>
      <c r="CI182" s="173" t="s">
        <v>6266</v>
      </c>
      <c r="CJ182" s="173"/>
      <c r="CK182" s="275"/>
      <c r="CL182" s="173" t="s">
        <v>3686</v>
      </c>
      <c r="CM182" s="173" t="s">
        <v>6133</v>
      </c>
      <c r="CN182" s="275"/>
      <c r="CO182" s="275"/>
      <c r="CP182" s="275"/>
      <c r="CQ182" s="275"/>
      <c r="CR182" s="275"/>
      <c r="CS182" s="92"/>
      <c r="CT182" s="201" t="s">
        <v>5015</v>
      </c>
      <c r="CU182" s="201" t="s">
        <v>1860</v>
      </c>
      <c r="CV182" s="201" t="s">
        <v>3042</v>
      </c>
      <c r="CW182" s="201" t="s">
        <v>6267</v>
      </c>
      <c r="CX182" s="201" t="s">
        <v>6268</v>
      </c>
      <c r="CY182" s="276"/>
      <c r="CZ182" s="201" t="s">
        <v>6269</v>
      </c>
      <c r="DA182" s="201" t="s">
        <v>6270</v>
      </c>
      <c r="DB182" s="276"/>
      <c r="DC182" s="276"/>
      <c r="DD182" s="276"/>
      <c r="DE182" s="276"/>
      <c r="DF182" s="277"/>
      <c r="DG182" s="278"/>
      <c r="DH182" s="278"/>
      <c r="DI182" s="278"/>
      <c r="DJ182" s="278"/>
      <c r="DK182" s="278"/>
      <c r="DL182" s="278"/>
      <c r="DM182" s="278"/>
      <c r="DN182" s="278"/>
      <c r="DO182" s="278"/>
      <c r="DP182" s="202" t="s">
        <v>6271</v>
      </c>
      <c r="DQ182" s="202"/>
      <c r="DR182" s="278"/>
      <c r="DS182" s="278"/>
      <c r="DT182" s="278"/>
      <c r="DU182" s="278"/>
      <c r="DV182" s="278"/>
      <c r="DW182" s="278"/>
      <c r="DX182" s="278"/>
      <c r="DY182" s="278"/>
      <c r="DZ182" s="278"/>
      <c r="EA182" s="278"/>
      <c r="EB182" s="312"/>
    </row>
    <row r="183">
      <c r="A183" s="780" t="s">
        <v>6272</v>
      </c>
      <c r="B183" s="82" t="s">
        <v>6273</v>
      </c>
      <c r="C183" s="83" t="s">
        <v>1260</v>
      </c>
      <c r="D183" s="84" t="s">
        <v>1260</v>
      </c>
      <c r="E183" s="85" t="s">
        <v>1260</v>
      </c>
      <c r="F183" s="86" t="s">
        <v>1260</v>
      </c>
      <c r="G183" s="82" t="s">
        <v>218</v>
      </c>
      <c r="H183" s="93" t="s">
        <v>6274</v>
      </c>
      <c r="I183" s="93" t="s">
        <v>6275</v>
      </c>
      <c r="J183" s="93" t="s">
        <v>2019</v>
      </c>
      <c r="K183" s="93" t="s">
        <v>5931</v>
      </c>
      <c r="L183" s="93" t="s">
        <v>6276</v>
      </c>
      <c r="M183" s="98"/>
      <c r="N183" s="98"/>
      <c r="O183" s="98"/>
      <c r="P183" s="93" t="s">
        <v>6277</v>
      </c>
      <c r="Q183" s="98"/>
      <c r="R183" s="98"/>
      <c r="S183" s="98"/>
      <c r="T183" s="98"/>
      <c r="U183" s="98"/>
      <c r="V183" s="98"/>
      <c r="W183" s="92"/>
      <c r="X183" s="98"/>
      <c r="Y183" s="98"/>
      <c r="Z183" s="93" t="s">
        <v>4256</v>
      </c>
      <c r="AA183" s="98"/>
      <c r="AB183" s="98"/>
      <c r="AC183" s="98"/>
      <c r="AD183" s="98"/>
      <c r="AE183" s="98"/>
      <c r="AF183" s="93" t="s">
        <v>5158</v>
      </c>
      <c r="AG183" s="98"/>
      <c r="AH183" s="98"/>
      <c r="AI183" s="98"/>
      <c r="AJ183" s="98"/>
      <c r="AK183" s="96"/>
      <c r="AL183" s="98"/>
      <c r="AM183" s="98"/>
      <c r="AN183" s="98"/>
      <c r="AO183" s="98"/>
      <c r="AP183" s="98"/>
      <c r="AQ183" s="98"/>
      <c r="AR183" s="98"/>
      <c r="AS183" s="98"/>
      <c r="AT183" s="98"/>
      <c r="AU183" s="93" t="s">
        <v>5466</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2916</v>
      </c>
      <c r="BU183" s="98"/>
      <c r="BV183" s="98"/>
      <c r="BW183" s="98"/>
      <c r="BX183" s="98"/>
      <c r="BY183" s="98"/>
      <c r="BZ183" s="98"/>
      <c r="CA183" s="98"/>
      <c r="CB183" s="98"/>
      <c r="CC183" s="98"/>
      <c r="CD183" s="98"/>
      <c r="CE183" s="256"/>
      <c r="CF183" s="98"/>
      <c r="CG183" s="93" t="s">
        <v>3141</v>
      </c>
      <c r="CH183" s="98"/>
      <c r="CI183" s="98"/>
      <c r="CJ183" s="98" t="s">
        <v>3174</v>
      </c>
      <c r="CK183" s="98"/>
      <c r="CL183" s="98"/>
      <c r="CM183" s="93" t="s">
        <v>5202</v>
      </c>
      <c r="CN183" s="98"/>
      <c r="CO183" s="98"/>
      <c r="CP183" s="98"/>
      <c r="CQ183" s="98"/>
      <c r="CR183" s="98"/>
      <c r="CS183" s="92"/>
      <c r="CT183" s="98"/>
      <c r="CU183" s="93" t="s">
        <v>4987</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6278</v>
      </c>
      <c r="B184" s="103" t="s">
        <v>6279</v>
      </c>
      <c r="C184" s="104" t="s">
        <v>1260</v>
      </c>
      <c r="D184" s="105" t="s">
        <v>1260</v>
      </c>
      <c r="E184" s="106" t="s">
        <v>1260</v>
      </c>
      <c r="F184" s="107" t="s">
        <v>1260</v>
      </c>
      <c r="G184" s="103" t="s">
        <v>332</v>
      </c>
      <c r="H184" s="218"/>
      <c r="I184" s="218"/>
      <c r="J184" s="218"/>
      <c r="K184" s="163" t="s">
        <v>6280</v>
      </c>
      <c r="L184" s="218"/>
      <c r="M184" s="218"/>
      <c r="N184" s="218"/>
      <c r="O184" s="163" t="s">
        <v>5317</v>
      </c>
      <c r="P184" s="218"/>
      <c r="Q184" s="218"/>
      <c r="R184" s="218"/>
      <c r="S184" s="218"/>
      <c r="T184" s="218"/>
      <c r="U184" s="218"/>
      <c r="V184" s="218"/>
      <c r="W184" s="92"/>
      <c r="X184" s="193" t="s">
        <v>1288</v>
      </c>
      <c r="Y184" s="265"/>
      <c r="Z184" s="193" t="s">
        <v>4909</v>
      </c>
      <c r="AA184" s="265"/>
      <c r="AB184" s="193" t="s">
        <v>4732</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6281</v>
      </c>
      <c r="B185" s="82" t="s">
        <v>6282</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5045</v>
      </c>
      <c r="BW185" s="98"/>
      <c r="BX185" s="98"/>
      <c r="BY185" s="98"/>
      <c r="BZ185" s="93"/>
      <c r="CA185" s="98"/>
      <c r="CB185" s="98"/>
      <c r="CC185" s="87" t="s">
        <v>2154</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6284</v>
      </c>
      <c r="B186" s="103" t="s">
        <v>6285</v>
      </c>
      <c r="C186" s="104" t="s">
        <v>1260</v>
      </c>
      <c r="D186" s="105" t="s">
        <v>1260</v>
      </c>
      <c r="E186" s="106" t="s">
        <v>1260</v>
      </c>
      <c r="F186" s="107" t="s">
        <v>436</v>
      </c>
      <c r="G186" s="103" t="s">
        <v>436</v>
      </c>
      <c r="H186" s="218"/>
      <c r="I186" s="111" t="s">
        <v>6286</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6287</v>
      </c>
      <c r="B187" s="82" t="s">
        <v>6288</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1260</v>
      </c>
      <c r="D189" s="84" t="s">
        <v>545</v>
      </c>
      <c r="E189" s="85" t="s">
        <v>1260</v>
      </c>
      <c r="F189" s="86" t="s">
        <v>330</v>
      </c>
      <c r="G189" s="82" t="s">
        <v>331</v>
      </c>
      <c r="H189" s="101"/>
      <c r="I189" s="94"/>
      <c r="J189" s="101"/>
      <c r="K189" s="101" t="s">
        <v>1886</v>
      </c>
      <c r="L189" s="101" t="s">
        <v>5608</v>
      </c>
      <c r="M189" s="101"/>
      <c r="N189" s="101"/>
      <c r="O189" s="101" t="s">
        <v>2820</v>
      </c>
      <c r="P189" s="101"/>
      <c r="Q189" s="98"/>
      <c r="R189" s="98"/>
      <c r="S189" s="98"/>
      <c r="T189" s="98"/>
      <c r="U189" s="98"/>
      <c r="V189" s="98"/>
      <c r="W189" s="92"/>
      <c r="X189" s="88" t="s">
        <v>3537</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1260</v>
      </c>
      <c r="D190" s="105" t="s">
        <v>1260</v>
      </c>
      <c r="E190" s="106" t="s">
        <v>1260</v>
      </c>
      <c r="F190" s="107" t="s">
        <v>1260</v>
      </c>
      <c r="G190" s="103" t="s">
        <v>6073</v>
      </c>
      <c r="H190" s="218"/>
      <c r="I190" s="163" t="s">
        <v>6299</v>
      </c>
      <c r="J190" s="163" t="s">
        <v>4217</v>
      </c>
      <c r="K190" s="163" t="s">
        <v>4299</v>
      </c>
      <c r="L190" s="163" t="s">
        <v>6300</v>
      </c>
      <c r="M190" s="218"/>
      <c r="N190" s="218"/>
      <c r="O190" s="163" t="s">
        <v>1223</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1906</v>
      </c>
      <c r="AV190" s="266"/>
      <c r="AW190" s="266"/>
      <c r="AX190" s="266"/>
      <c r="AY190" s="266"/>
      <c r="AZ190" s="266"/>
      <c r="BA190" s="169"/>
      <c r="BB190" s="170" t="s">
        <v>6302</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1260</v>
      </c>
      <c r="D191" s="84" t="s">
        <v>1260</v>
      </c>
      <c r="E191" s="85" t="s">
        <v>1260</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1787</v>
      </c>
      <c r="AA191" s="98"/>
      <c r="AB191" s="88" t="s">
        <v>6309</v>
      </c>
      <c r="AC191" s="93" t="s">
        <v>3053</v>
      </c>
      <c r="AD191" s="98"/>
      <c r="AE191" s="98"/>
      <c r="AF191" s="93" t="s">
        <v>1119</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3481</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1260</v>
      </c>
      <c r="D192" s="105" t="s">
        <v>1260</v>
      </c>
      <c r="E192" s="106" t="s">
        <v>1260</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1260</v>
      </c>
      <c r="D193" s="84" t="s">
        <v>1260</v>
      </c>
      <c r="E193" s="85" t="s">
        <v>1260</v>
      </c>
      <c r="F193" s="86" t="s">
        <v>1260</v>
      </c>
      <c r="G193" s="82" t="s">
        <v>4594</v>
      </c>
      <c r="H193" s="93" t="s">
        <v>6317</v>
      </c>
      <c r="I193" s="93" t="s">
        <v>2471</v>
      </c>
      <c r="J193" s="93" t="s">
        <v>1209</v>
      </c>
      <c r="K193" s="93" t="s">
        <v>6318</v>
      </c>
      <c r="L193" s="93" t="s">
        <v>6319</v>
      </c>
      <c r="M193" s="93" t="s">
        <v>6320</v>
      </c>
      <c r="N193" s="93" t="s">
        <v>6321</v>
      </c>
      <c r="O193" s="93" t="s">
        <v>6322</v>
      </c>
      <c r="P193" s="93" t="s">
        <v>4126</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1791</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2242</v>
      </c>
      <c r="BS193" s="98" t="s">
        <v>6337</v>
      </c>
      <c r="BT193" s="93" t="s">
        <v>5965</v>
      </c>
      <c r="BU193" s="98" t="s">
        <v>6338</v>
      </c>
      <c r="BV193" s="98" t="s">
        <v>6339</v>
      </c>
      <c r="BW193" s="93" t="s">
        <v>6340</v>
      </c>
      <c r="BX193" s="93" t="s">
        <v>6341</v>
      </c>
      <c r="BY193" s="98"/>
      <c r="BZ193" s="93" t="s">
        <v>5165</v>
      </c>
      <c r="CA193" s="98"/>
      <c r="CB193" s="98"/>
      <c r="CC193" s="98"/>
      <c r="CD193" s="98"/>
      <c r="CE193" s="256"/>
      <c r="CF193" s="93" t="s">
        <v>5567</v>
      </c>
      <c r="CG193" s="93" t="s">
        <v>1567</v>
      </c>
      <c r="CH193" s="93" t="s">
        <v>2470</v>
      </c>
      <c r="CI193" s="93" t="s">
        <v>3534</v>
      </c>
      <c r="CJ193" s="93" t="s">
        <v>369</v>
      </c>
      <c r="CK193" s="93" t="s">
        <v>6342</v>
      </c>
      <c r="CL193" s="93" t="s">
        <v>6343</v>
      </c>
      <c r="CM193" s="93" t="s">
        <v>3818</v>
      </c>
      <c r="CN193" s="98"/>
      <c r="CO193" s="98"/>
      <c r="CP193" s="98"/>
      <c r="CQ193" s="98"/>
      <c r="CR193" s="98"/>
      <c r="CS193" s="92"/>
      <c r="CT193" s="98" t="s">
        <v>6344</v>
      </c>
      <c r="CU193" s="98" t="s">
        <v>2255</v>
      </c>
      <c r="CV193" s="98" t="s">
        <v>1104</v>
      </c>
      <c r="CW193" s="98" t="s">
        <v>6345</v>
      </c>
      <c r="CX193" s="98" t="s">
        <v>6346</v>
      </c>
      <c r="CY193" s="98" t="s">
        <v>4497</v>
      </c>
      <c r="CZ193" s="98" t="s">
        <v>6347</v>
      </c>
      <c r="DA193" s="93" t="s">
        <v>3359</v>
      </c>
      <c r="DB193" s="98"/>
      <c r="DC193" s="98"/>
      <c r="DD193" s="98"/>
      <c r="DE193" s="98"/>
      <c r="DF193" s="256"/>
      <c r="DG193" s="98"/>
      <c r="DH193" s="98"/>
      <c r="DI193" s="98"/>
      <c r="DJ193" s="98"/>
      <c r="DK193" s="98" t="s">
        <v>5478</v>
      </c>
      <c r="DL193" s="93"/>
      <c r="DM193" s="93" t="s">
        <v>6348</v>
      </c>
      <c r="DN193" s="93" t="s">
        <v>3809</v>
      </c>
      <c r="DO193" s="93" t="s">
        <v>2941</v>
      </c>
      <c r="DP193" s="98"/>
      <c r="DQ193" s="98"/>
      <c r="DR193" s="98"/>
      <c r="DS193" s="98"/>
      <c r="DT193" s="98"/>
      <c r="DU193" s="98"/>
      <c r="DV193" s="98"/>
      <c r="DW193" s="98"/>
      <c r="DX193" s="98"/>
      <c r="DY193" s="98"/>
      <c r="DZ193" s="98"/>
      <c r="EA193" s="98"/>
      <c r="EB193" s="281"/>
    </row>
    <row r="194">
      <c r="A194" s="162" t="s">
        <v>6349</v>
      </c>
      <c r="B194" s="103" t="s">
        <v>6350</v>
      </c>
      <c r="C194" s="104" t="s">
        <v>1260</v>
      </c>
      <c r="D194" s="105" t="s">
        <v>1260</v>
      </c>
      <c r="E194" s="106" t="s">
        <v>1260</v>
      </c>
      <c r="F194" s="107" t="s">
        <v>330</v>
      </c>
      <c r="G194" s="103" t="s">
        <v>914</v>
      </c>
      <c r="H194" s="111" t="s">
        <v>4957</v>
      </c>
      <c r="I194" s="218"/>
      <c r="J194" s="163" t="s">
        <v>2256</v>
      </c>
      <c r="K194" s="111" t="s">
        <v>2345</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1891</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1260</v>
      </c>
      <c r="D195" s="84" t="s">
        <v>1260</v>
      </c>
      <c r="E195" s="85" t="s">
        <v>1260</v>
      </c>
      <c r="F195" s="86" t="s">
        <v>1260</v>
      </c>
      <c r="G195" s="82" t="s">
        <v>3581</v>
      </c>
      <c r="H195" s="98"/>
      <c r="I195" s="93" t="s">
        <v>6355</v>
      </c>
      <c r="J195" s="93" t="s">
        <v>1298</v>
      </c>
      <c r="K195" s="93" t="s">
        <v>1059</v>
      </c>
      <c r="L195" s="93" t="s">
        <v>6356</v>
      </c>
      <c r="M195" s="93" t="s">
        <v>6357</v>
      </c>
      <c r="N195" s="93" t="s">
        <v>6358</v>
      </c>
      <c r="O195" s="93" t="s">
        <v>6359</v>
      </c>
      <c r="P195" s="93" t="s">
        <v>4608</v>
      </c>
      <c r="Q195" s="98"/>
      <c r="R195" s="98"/>
      <c r="S195" s="98"/>
      <c r="T195" s="98"/>
      <c r="U195" s="98"/>
      <c r="V195" s="98"/>
      <c r="W195" s="92"/>
      <c r="X195" s="93" t="s">
        <v>334</v>
      </c>
      <c r="Y195" s="93" t="s">
        <v>2165</v>
      </c>
      <c r="Z195" s="93" t="s">
        <v>3268</v>
      </c>
      <c r="AA195" s="93" t="s">
        <v>6360</v>
      </c>
      <c r="AB195" s="93" t="s">
        <v>6361</v>
      </c>
      <c r="AC195" s="93" t="s">
        <v>3231</v>
      </c>
      <c r="AD195" s="98"/>
      <c r="AE195" s="93" t="s">
        <v>6362</v>
      </c>
      <c r="AF195" s="93" t="s">
        <v>1360</v>
      </c>
      <c r="AG195" s="98"/>
      <c r="AH195" s="98"/>
      <c r="AI195" s="98"/>
      <c r="AJ195" s="98"/>
      <c r="AK195" s="96"/>
      <c r="AL195" s="93" t="s">
        <v>5021</v>
      </c>
      <c r="AM195" s="93" t="s">
        <v>1375</v>
      </c>
      <c r="AN195" s="93" t="s">
        <v>6363</v>
      </c>
      <c r="AO195" s="93" t="s">
        <v>6364</v>
      </c>
      <c r="AP195" s="93" t="s">
        <v>6365</v>
      </c>
      <c r="AQ195" s="93"/>
      <c r="AR195" s="93" t="s">
        <v>4687</v>
      </c>
      <c r="AS195" s="93" t="s">
        <v>6366</v>
      </c>
      <c r="AT195" s="93" t="s">
        <v>3786</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6088</v>
      </c>
      <c r="BI195" s="93"/>
      <c r="BJ195" s="93"/>
      <c r="BK195" s="93" t="s">
        <v>851</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2810</v>
      </c>
      <c r="CI195" s="93" t="s">
        <v>6381</v>
      </c>
      <c r="CJ195" s="93" t="s">
        <v>4216</v>
      </c>
      <c r="CK195" s="93" t="s">
        <v>6382</v>
      </c>
      <c r="CL195" s="93" t="s">
        <v>197</v>
      </c>
      <c r="CM195" s="93" t="s">
        <v>1433</v>
      </c>
      <c r="CN195" s="98"/>
      <c r="CO195" s="98"/>
      <c r="CP195" s="98"/>
      <c r="CQ195" s="98"/>
      <c r="CR195" s="98"/>
      <c r="CS195" s="92"/>
      <c r="CT195" s="93" t="s">
        <v>6383</v>
      </c>
      <c r="CU195" s="93" t="s">
        <v>2023</v>
      </c>
      <c r="CV195" s="93" t="s">
        <v>1738</v>
      </c>
      <c r="CW195" s="93" t="s">
        <v>6384</v>
      </c>
      <c r="CX195" s="93" t="s">
        <v>6385</v>
      </c>
      <c r="CY195" s="93" t="s">
        <v>6386</v>
      </c>
      <c r="CZ195" s="93" t="s">
        <v>1515</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1260</v>
      </c>
      <c r="D196" s="105" t="s">
        <v>1260</v>
      </c>
      <c r="E196" s="106" t="s">
        <v>1260</v>
      </c>
      <c r="F196" s="107" t="s">
        <v>1260</v>
      </c>
      <c r="G196" s="103" t="s">
        <v>1202</v>
      </c>
      <c r="H196" s="218"/>
      <c r="I196" s="163" t="s">
        <v>6391</v>
      </c>
      <c r="J196" s="163" t="s">
        <v>6392</v>
      </c>
      <c r="K196" s="163" t="s">
        <v>1966</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1260</v>
      </c>
      <c r="D197" s="84" t="s">
        <v>1260</v>
      </c>
      <c r="E197" s="85" t="s">
        <v>1260</v>
      </c>
      <c r="F197" s="86" t="s">
        <v>1260</v>
      </c>
      <c r="G197" s="82" t="s">
        <v>3985</v>
      </c>
      <c r="H197" s="93" t="s">
        <v>6399</v>
      </c>
      <c r="I197" s="93" t="s">
        <v>6400</v>
      </c>
      <c r="J197" s="93" t="s">
        <v>6401</v>
      </c>
      <c r="K197" s="93" t="s">
        <v>1620</v>
      </c>
      <c r="L197" s="93" t="s">
        <v>4003</v>
      </c>
      <c r="M197" s="93" t="s">
        <v>6402</v>
      </c>
      <c r="N197" s="93" t="s">
        <v>6403</v>
      </c>
      <c r="O197" s="93" t="s">
        <v>4410</v>
      </c>
      <c r="P197" s="93" t="s">
        <v>4651</v>
      </c>
      <c r="Q197" s="98"/>
      <c r="R197" s="98"/>
      <c r="S197" s="98"/>
      <c r="T197" s="98"/>
      <c r="U197" s="98"/>
      <c r="V197" s="98"/>
      <c r="W197" s="92"/>
      <c r="X197" s="93" t="s">
        <v>6404</v>
      </c>
      <c r="Y197" s="93" t="s">
        <v>1012</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2525</v>
      </c>
      <c r="BD197" s="98"/>
      <c r="BE197" s="98"/>
      <c r="BF197" s="98"/>
      <c r="BG197" s="98"/>
      <c r="BH197" s="93" t="s">
        <v>3866</v>
      </c>
      <c r="BI197" s="98"/>
      <c r="BJ197" s="98"/>
      <c r="BK197" s="93" t="s">
        <v>6406</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6407</v>
      </c>
      <c r="CG197" s="93" t="s">
        <v>5831</v>
      </c>
      <c r="CH197" s="93" t="s">
        <v>786</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1955</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4156</v>
      </c>
      <c r="C199" s="83" t="s">
        <v>1260</v>
      </c>
      <c r="D199" s="84" t="s">
        <v>1260</v>
      </c>
      <c r="E199" s="85" t="s">
        <v>1260</v>
      </c>
      <c r="F199" s="86" t="s">
        <v>1260</v>
      </c>
      <c r="G199" s="82" t="s">
        <v>2693</v>
      </c>
      <c r="H199" s="93"/>
      <c r="I199" s="93" t="s">
        <v>6412</v>
      </c>
      <c r="J199" s="93" t="s">
        <v>3212</v>
      </c>
      <c r="K199" s="93" t="s">
        <v>1886</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2299</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1727</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6223</v>
      </c>
      <c r="DR199" s="98"/>
      <c r="DS199" s="98"/>
      <c r="DT199" s="98"/>
      <c r="DU199" s="98"/>
      <c r="DV199" s="98"/>
      <c r="DW199" s="98"/>
      <c r="DX199" s="98"/>
      <c r="DY199" s="98"/>
      <c r="DZ199" s="98"/>
      <c r="EA199" s="98"/>
      <c r="EB199" s="393"/>
    </row>
    <row r="200">
      <c r="A200" s="769" t="s">
        <v>6417</v>
      </c>
      <c r="B200" s="103" t="s">
        <v>3315</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6418</v>
      </c>
      <c r="B201" s="82" t="s">
        <v>6419</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6420</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6421</v>
      </c>
      <c r="B202" s="103" t="s">
        <v>2079</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6422</v>
      </c>
      <c r="B203" s="82" t="s">
        <v>2338</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6423</v>
      </c>
      <c r="B204" s="103" t="s">
        <v>3681</v>
      </c>
      <c r="C204" s="104" t="s">
        <v>1260</v>
      </c>
      <c r="D204" s="105" t="s">
        <v>1260</v>
      </c>
      <c r="E204" s="106" t="s">
        <v>1260</v>
      </c>
      <c r="F204" s="107" t="s">
        <v>218</v>
      </c>
      <c r="G204" s="103" t="s">
        <v>218</v>
      </c>
      <c r="H204" s="786" t="s">
        <v>6424</v>
      </c>
      <c r="I204" s="163"/>
      <c r="J204" s="218"/>
      <c r="K204" s="787" t="s">
        <v>4333</v>
      </c>
      <c r="L204" s="163"/>
      <c r="M204" s="218"/>
      <c r="N204" s="218"/>
      <c r="O204" s="163"/>
      <c r="P204" s="218"/>
      <c r="Q204" s="218"/>
      <c r="R204" s="218"/>
      <c r="S204" s="218"/>
      <c r="T204" s="218"/>
      <c r="U204" s="218"/>
      <c r="V204" s="218"/>
      <c r="W204" s="92"/>
      <c r="X204" s="265"/>
      <c r="Y204" s="788" t="s">
        <v>6191</v>
      </c>
      <c r="Z204" s="265"/>
      <c r="AA204" s="265"/>
      <c r="AB204" s="265"/>
      <c r="AC204" s="265"/>
      <c r="AD204" s="265"/>
      <c r="AE204" s="265"/>
      <c r="AF204" s="265"/>
      <c r="AG204" s="265"/>
      <c r="AH204" s="265"/>
      <c r="AI204" s="265"/>
      <c r="AJ204" s="265"/>
      <c r="AK204" s="96"/>
      <c r="AL204" s="266"/>
      <c r="AM204" s="789" t="s">
        <v>3085</v>
      </c>
      <c r="AN204" s="266"/>
      <c r="AO204" s="789" t="s">
        <v>6425</v>
      </c>
      <c r="AP204" s="266"/>
      <c r="AQ204" s="266"/>
      <c r="AR204" s="266"/>
      <c r="AS204" s="266"/>
      <c r="AT204" s="266"/>
      <c r="AU204" s="266"/>
      <c r="AV204" s="266"/>
      <c r="AW204" s="266"/>
      <c r="AX204" s="789" t="s">
        <v>520</v>
      </c>
      <c r="AY204" s="266"/>
      <c r="AZ204" s="266"/>
      <c r="BA204" s="784" t="s">
        <v>6426</v>
      </c>
      <c r="BB204" s="169"/>
      <c r="BC204" s="784" t="s">
        <v>4700</v>
      </c>
      <c r="BD204" s="169"/>
      <c r="BE204" s="169"/>
      <c r="BF204" s="169"/>
      <c r="BG204" s="169"/>
      <c r="BH204" s="169"/>
      <c r="BI204" s="169"/>
      <c r="BJ204" s="169"/>
      <c r="BK204" s="169"/>
      <c r="BL204" s="169"/>
      <c r="BM204" s="784" t="s">
        <v>6427</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6428</v>
      </c>
      <c r="DP204" s="278"/>
      <c r="DQ204" s="278"/>
      <c r="DR204" s="278"/>
      <c r="DS204" s="278"/>
      <c r="DT204" s="278"/>
      <c r="DU204" s="278"/>
      <c r="DV204" s="278"/>
      <c r="DW204" s="278"/>
      <c r="DX204" s="278"/>
      <c r="DY204" s="278"/>
      <c r="DZ204" s="278"/>
      <c r="EA204" s="278"/>
      <c r="EB204" s="791" t="s">
        <v>1839</v>
      </c>
    </row>
    <row r="205">
      <c r="A205" s="145" t="s">
        <v>6429</v>
      </c>
      <c r="B205" s="82" t="s">
        <v>2078</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6430</v>
      </c>
      <c r="B206" s="103" t="s">
        <v>1504</v>
      </c>
      <c r="C206" s="104" t="s">
        <v>1260</v>
      </c>
      <c r="D206" s="105" t="s">
        <v>1260</v>
      </c>
      <c r="E206" s="106" t="s">
        <v>1260</v>
      </c>
      <c r="F206" s="107" t="s">
        <v>1260</v>
      </c>
      <c r="G206" s="103" t="s">
        <v>330</v>
      </c>
      <c r="H206" s="218"/>
      <c r="I206" s="163" t="s">
        <v>6431</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6432</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6433</v>
      </c>
      <c r="B207" s="82" t="s">
        <v>5079</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6434</v>
      </c>
      <c r="B208" s="103" t="s">
        <v>5686</v>
      </c>
      <c r="C208" s="104" t="s">
        <v>1260</v>
      </c>
      <c r="D208" s="105" t="s">
        <v>1260</v>
      </c>
      <c r="E208" s="106" t="s">
        <v>1260</v>
      </c>
      <c r="F208" s="107" t="s">
        <v>1260</v>
      </c>
      <c r="G208" s="103" t="s">
        <v>330</v>
      </c>
      <c r="H208" s="218"/>
      <c r="I208" s="163"/>
      <c r="J208" s="218"/>
      <c r="K208" s="163" t="s">
        <v>4942</v>
      </c>
      <c r="L208" s="163" t="s">
        <v>6435</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6436</v>
      </c>
      <c r="B209" s="82" t="s">
        <v>4948</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6437</v>
      </c>
      <c r="B210" s="103" t="s">
        <v>3985</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6044</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6438</v>
      </c>
      <c r="CG210" s="173" t="s">
        <v>4106</v>
      </c>
      <c r="CH210" s="173" t="s">
        <v>6439</v>
      </c>
      <c r="CI210" s="275"/>
      <c r="CJ210" s="275" t="s">
        <v>6440</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6441</v>
      </c>
      <c r="DL210" s="202"/>
      <c r="DM210" s="278"/>
      <c r="DN210" s="278"/>
      <c r="DO210" s="278"/>
      <c r="DP210" s="278"/>
      <c r="DQ210" s="278"/>
      <c r="DR210" s="278"/>
      <c r="DS210" s="278"/>
      <c r="DT210" s="278"/>
      <c r="DU210" s="278"/>
      <c r="DV210" s="278"/>
      <c r="DW210" s="278"/>
      <c r="DX210" s="278"/>
      <c r="DY210" s="278"/>
      <c r="DZ210" s="278"/>
      <c r="EA210" s="278"/>
      <c r="EB210" s="630"/>
    </row>
    <row r="211">
      <c r="A211" s="81" t="s">
        <v>6442</v>
      </c>
      <c r="B211" s="82" t="s">
        <v>219</v>
      </c>
      <c r="C211" s="83" t="s">
        <v>1260</v>
      </c>
      <c r="D211" s="84" t="s">
        <v>1260</v>
      </c>
      <c r="E211" s="85" t="s">
        <v>1260</v>
      </c>
      <c r="F211" s="86" t="s">
        <v>436</v>
      </c>
      <c r="G211" s="82" t="s">
        <v>436</v>
      </c>
      <c r="H211" s="88" t="s">
        <v>6443</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6444</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6445</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6446</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6447</v>
      </c>
      <c r="B214" s="103" t="s">
        <v>988</v>
      </c>
      <c r="C214" s="104" t="s">
        <v>1260</v>
      </c>
      <c r="D214" s="105" t="s">
        <v>1260</v>
      </c>
      <c r="E214" s="106" t="s">
        <v>1260</v>
      </c>
      <c r="F214" s="107" t="s">
        <v>1260</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6448</v>
      </c>
      <c r="B215" s="82" t="s">
        <v>988</v>
      </c>
      <c r="C215" s="83" t="s">
        <v>1260</v>
      </c>
      <c r="D215" s="84" t="s">
        <v>1260</v>
      </c>
      <c r="E215" s="85" t="s">
        <v>1260</v>
      </c>
      <c r="F215" s="86" t="s">
        <v>1260</v>
      </c>
      <c r="G215" s="82" t="s">
        <v>438</v>
      </c>
      <c r="H215" s="98"/>
      <c r="I215" s="98"/>
      <c r="J215" s="98"/>
      <c r="K215" s="93" t="s">
        <v>2817</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2264</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6449</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6450</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6451</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E41"/>
    <hyperlink r:id="rId2394" ref="AF41"/>
    <hyperlink r:id="rId2395" ref="AJ41"/>
    <hyperlink r:id="rId2396" ref="AM41"/>
    <hyperlink r:id="rId2397" ref="AT41"/>
    <hyperlink r:id="rId2398" ref="AU41"/>
    <hyperlink r:id="rId2399" ref="AV41"/>
    <hyperlink r:id="rId2400" ref="AX41"/>
    <hyperlink r:id="rId2401" ref="BA41"/>
    <hyperlink r:id="rId2402" ref="BB41"/>
    <hyperlink r:id="rId2403" ref="BC41"/>
    <hyperlink r:id="rId2404" ref="BD41"/>
    <hyperlink r:id="rId2405" ref="BE41"/>
    <hyperlink r:id="rId2406" ref="BF41"/>
    <hyperlink r:id="rId2407" ref="BK41"/>
    <hyperlink r:id="rId2408" ref="BO41"/>
    <hyperlink r:id="rId2409" ref="BQ41"/>
    <hyperlink r:id="rId2410" ref="BR41"/>
    <hyperlink r:id="rId2411" ref="BS41"/>
    <hyperlink r:id="rId2412" ref="BT41"/>
    <hyperlink r:id="rId2413" ref="BU41"/>
    <hyperlink r:id="rId2414" ref="BV41"/>
    <hyperlink r:id="rId2415" ref="BY41"/>
    <hyperlink r:id="rId2416" ref="BZ41"/>
    <hyperlink r:id="rId2417" ref="CA41"/>
    <hyperlink r:id="rId2418" ref="CB41"/>
    <hyperlink r:id="rId2419" ref="CC41"/>
    <hyperlink r:id="rId2420" ref="CF41"/>
    <hyperlink r:id="rId2421" ref="CG41"/>
    <hyperlink r:id="rId2422" ref="CH41"/>
    <hyperlink r:id="rId2423" ref="CI41"/>
    <hyperlink r:id="rId2424" ref="CJ41"/>
    <hyperlink r:id="rId2425" ref="CK41"/>
    <hyperlink r:id="rId2426" ref="CL41"/>
    <hyperlink r:id="rId2427" ref="CM41"/>
    <hyperlink r:id="rId2428" ref="CO41"/>
    <hyperlink r:id="rId2429" ref="CQ41"/>
    <hyperlink r:id="rId2430" ref="CT41"/>
    <hyperlink r:id="rId2431" ref="CU41"/>
    <hyperlink r:id="rId2432" ref="CW41"/>
    <hyperlink r:id="rId2433" ref="CX41"/>
    <hyperlink r:id="rId2434" ref="CY41"/>
    <hyperlink r:id="rId2435" ref="CZ41"/>
    <hyperlink r:id="rId2436" ref="DA41"/>
    <hyperlink r:id="rId2437" ref="DD41"/>
    <hyperlink r:id="rId2438" ref="DG41"/>
    <hyperlink r:id="rId2439" ref="DM41"/>
    <hyperlink r:id="rId2440" ref="DN41"/>
    <hyperlink r:id="rId2441" ref="DP41"/>
    <hyperlink r:id="rId2442" ref="DQ41"/>
    <hyperlink r:id="rId2443" ref="DV41"/>
    <hyperlink r:id="rId2444" ref="DX41"/>
    <hyperlink r:id="rId2445" ref="EA41"/>
    <hyperlink r:id="rId2446" ref="Q42"/>
    <hyperlink r:id="rId2447" ref="V42"/>
    <hyperlink r:id="rId2448" ref="AJ42"/>
    <hyperlink r:id="rId2449" ref="AP42"/>
    <hyperlink r:id="rId2450" ref="AQ42"/>
    <hyperlink r:id="rId2451" ref="AS42"/>
    <hyperlink r:id="rId2452" ref="AW42"/>
    <hyperlink r:id="rId2453" ref="AX42"/>
    <hyperlink r:id="rId2454" ref="AY42"/>
    <hyperlink r:id="rId2455" ref="BO42"/>
    <hyperlink r:id="rId2456" ref="BT42"/>
    <hyperlink r:id="rId2457" ref="BZ42"/>
    <hyperlink r:id="rId2458" ref="CD42"/>
    <hyperlink r:id="rId2459" ref="CO42"/>
    <hyperlink r:id="rId2460" ref="CQ42"/>
    <hyperlink r:id="rId2461" ref="CR42"/>
    <hyperlink r:id="rId2462" ref="DE42"/>
    <hyperlink r:id="rId2463" ref="DJ42"/>
    <hyperlink r:id="rId2464" ref="DW42"/>
    <hyperlink r:id="rId2465" ref="DY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K45"/>
    <hyperlink r:id="rId2548" ref="M45"/>
    <hyperlink r:id="rId2549" ref="N45"/>
    <hyperlink r:id="rId2550" ref="O45"/>
    <hyperlink r:id="rId2551" ref="P45"/>
    <hyperlink r:id="rId2552" ref="S45"/>
    <hyperlink r:id="rId2553" ref="X45"/>
    <hyperlink r:id="rId2554" ref="AC45"/>
    <hyperlink r:id="rId2555" ref="AF45"/>
    <hyperlink r:id="rId2556" ref="AM45"/>
    <hyperlink r:id="rId2557" ref="AS45"/>
    <hyperlink r:id="rId2558" ref="BA45"/>
    <hyperlink r:id="rId2559" ref="BC45"/>
    <hyperlink r:id="rId2560" ref="BD45"/>
    <hyperlink r:id="rId2561" ref="BH45"/>
    <hyperlink r:id="rId2562" ref="BK45"/>
    <hyperlink r:id="rId2563" ref="BQ45"/>
    <hyperlink r:id="rId2564" ref="BR45"/>
    <hyperlink r:id="rId2565" ref="BS45"/>
    <hyperlink r:id="rId2566" ref="BT45"/>
    <hyperlink r:id="rId2567" ref="BU45"/>
    <hyperlink r:id="rId2568" ref="BV45"/>
    <hyperlink r:id="rId2569" ref="CA45"/>
    <hyperlink r:id="rId2570" ref="CC45"/>
    <hyperlink r:id="rId2571" ref="CD45"/>
    <hyperlink r:id="rId2572" ref="CL45"/>
    <hyperlink r:id="rId2573" ref="CO45"/>
    <hyperlink r:id="rId2574" ref="CW45"/>
    <hyperlink r:id="rId2575" ref="CZ45"/>
    <hyperlink r:id="rId2576" ref="DK45"/>
    <hyperlink r:id="rId2577" ref="DQ45"/>
    <hyperlink r:id="rId2578" ref="DX45"/>
    <hyperlink r:id="rId2579" ref="I46"/>
    <hyperlink r:id="rId2580" ref="J46"/>
    <hyperlink r:id="rId2581" ref="K46"/>
    <hyperlink r:id="rId2582" ref="L46"/>
    <hyperlink r:id="rId2583" ref="M46"/>
    <hyperlink r:id="rId2584" ref="N46"/>
    <hyperlink r:id="rId2585" ref="O46"/>
    <hyperlink r:id="rId2586" ref="X46"/>
    <hyperlink r:id="rId2587" ref="Z46"/>
    <hyperlink r:id="rId2588" ref="AA46"/>
    <hyperlink r:id="rId2589" ref="AB46"/>
    <hyperlink r:id="rId2590" ref="AF46"/>
    <hyperlink r:id="rId2591" ref="AM46"/>
    <hyperlink r:id="rId2592" ref="AU46"/>
    <hyperlink r:id="rId2593" ref="BA46"/>
    <hyperlink r:id="rId2594" ref="BB46"/>
    <hyperlink r:id="rId2595" ref="BD46"/>
    <hyperlink r:id="rId2596" ref="BH46"/>
    <hyperlink r:id="rId2597" ref="BI46"/>
    <hyperlink r:id="rId2598" ref="BJ46"/>
    <hyperlink r:id="rId2599" ref="BQ46"/>
    <hyperlink r:id="rId2600" ref="BS46"/>
    <hyperlink r:id="rId2601" ref="BV46"/>
    <hyperlink r:id="rId2602" ref="BX46"/>
    <hyperlink r:id="rId2603" ref="BY46"/>
    <hyperlink r:id="rId2604" ref="BZ46"/>
    <hyperlink r:id="rId2605" ref="CG46"/>
    <hyperlink r:id="rId2606" ref="CH46"/>
    <hyperlink r:id="rId2607" ref="CI46"/>
    <hyperlink r:id="rId2608" ref="CK46"/>
    <hyperlink r:id="rId2609" ref="CL46"/>
    <hyperlink r:id="rId2610" ref="CM46"/>
    <hyperlink r:id="rId2611" ref="CT46"/>
    <hyperlink r:id="rId2612" ref="CV46"/>
    <hyperlink r:id="rId2613" ref="CW46"/>
    <hyperlink r:id="rId2614" ref="CZ46"/>
    <hyperlink r:id="rId2615" ref="DA46"/>
    <hyperlink r:id="rId2616" ref="DP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Y137"/>
    <hyperlink r:id="rId3819" ref="CZ137"/>
    <hyperlink r:id="rId3820" ref="K138"/>
    <hyperlink r:id="rId3821" ref="CF138"/>
    <hyperlink r:id="rId3822" ref="L142"/>
    <hyperlink r:id="rId3823" ref="Q142"/>
    <hyperlink r:id="rId3824" ref="S142"/>
    <hyperlink r:id="rId3825" ref="AI142"/>
    <hyperlink r:id="rId3826" ref="AJ142"/>
    <hyperlink r:id="rId3827" ref="BM142"/>
    <hyperlink r:id="rId3828" ref="CB142"/>
    <hyperlink r:id="rId3829" ref="CC142"/>
    <hyperlink r:id="rId3830" ref="CG142"/>
    <hyperlink r:id="rId3831" ref="CR142"/>
    <hyperlink r:id="rId3832" ref="CZ142"/>
    <hyperlink r:id="rId3833" ref="DE142"/>
    <hyperlink r:id="rId3834" ref="O143"/>
    <hyperlink r:id="rId3835" ref="P143"/>
    <hyperlink r:id="rId3836" ref="Z143"/>
    <hyperlink r:id="rId3837" ref="AB143"/>
    <hyperlink r:id="rId3838" ref="AF143"/>
    <hyperlink r:id="rId3839" ref="AT143"/>
    <hyperlink r:id="rId3840" ref="BC143"/>
    <hyperlink r:id="rId3841" ref="BH143"/>
    <hyperlink r:id="rId3842" ref="BK143"/>
    <hyperlink r:id="rId3843" ref="BT143"/>
    <hyperlink r:id="rId3844" ref="BV143"/>
    <hyperlink r:id="rId3845" ref="BZ143"/>
    <hyperlink r:id="rId3846" ref="CI143"/>
    <hyperlink r:id="rId3847" ref="CJ143"/>
    <hyperlink r:id="rId3848" ref="CM143"/>
    <hyperlink r:id="rId3849" ref="CT143"/>
    <hyperlink r:id="rId3850" ref="CU143"/>
    <hyperlink r:id="rId3851" ref="DA143"/>
    <hyperlink r:id="rId3852" ref="DK143"/>
    <hyperlink r:id="rId3853" ref="K145"/>
    <hyperlink r:id="rId3854" ref="L145"/>
    <hyperlink r:id="rId3855" ref="O145"/>
    <hyperlink r:id="rId3856" ref="P145"/>
    <hyperlink r:id="rId3857" ref="Z145"/>
    <hyperlink r:id="rId3858" ref="AB145"/>
    <hyperlink r:id="rId3859" ref="AF145"/>
    <hyperlink r:id="rId3860" ref="AM145"/>
    <hyperlink r:id="rId3861" ref="AT145"/>
    <hyperlink r:id="rId3862" ref="AV145"/>
    <hyperlink r:id="rId3863" ref="BC145"/>
    <hyperlink r:id="rId3864" ref="BH145"/>
    <hyperlink r:id="rId3865" ref="BV145"/>
    <hyperlink r:id="rId3866" ref="CG145"/>
    <hyperlink r:id="rId3867" ref="CV145"/>
    <hyperlink r:id="rId3868" ref="DK145"/>
    <hyperlink r:id="rId3869" ref="K146"/>
    <hyperlink r:id="rId3870" ref="AM146"/>
    <hyperlink r:id="rId3871" ref="CB146"/>
    <hyperlink r:id="rId3872" ref="I147"/>
    <hyperlink r:id="rId3873" ref="J147"/>
    <hyperlink r:id="rId3874" ref="K147"/>
    <hyperlink r:id="rId3875" ref="L147"/>
    <hyperlink r:id="rId3876" ref="N147"/>
    <hyperlink r:id="rId3877" ref="P147"/>
    <hyperlink r:id="rId3878" ref="X147"/>
    <hyperlink r:id="rId3879" ref="AT147"/>
    <hyperlink r:id="rId3880" ref="AU147"/>
    <hyperlink r:id="rId3881" ref="BA147"/>
    <hyperlink r:id="rId3882" ref="BD147"/>
    <hyperlink r:id="rId3883" ref="BE147"/>
    <hyperlink r:id="rId3884" ref="BH147"/>
    <hyperlink r:id="rId3885" ref="CL147"/>
    <hyperlink r:id="rId3886" ref="CT147"/>
    <hyperlink r:id="rId3887" ref="CX147"/>
    <hyperlink r:id="rId3888" ref="CZ147"/>
    <hyperlink r:id="rId3889" ref="I149"/>
    <hyperlink r:id="rId3890" ref="J149"/>
    <hyperlink r:id="rId3891" ref="K149"/>
    <hyperlink r:id="rId3892" ref="L149"/>
    <hyperlink r:id="rId3893" ref="AB149"/>
    <hyperlink r:id="rId3894" ref="BH149"/>
    <hyperlink r:id="rId3895" ref="BT152"/>
    <hyperlink r:id="rId3896" ref="K154"/>
    <hyperlink r:id="rId3897" ref="L154"/>
    <hyperlink r:id="rId3898" ref="Z154"/>
    <hyperlink r:id="rId3899" ref="BS154"/>
    <hyperlink r:id="rId3900" ref="BT154"/>
    <hyperlink r:id="rId3901" ref="CG154"/>
    <hyperlink r:id="rId3902" ref="DA154"/>
    <hyperlink r:id="rId3903" ref="AC155"/>
    <hyperlink r:id="rId3904" ref="BH155"/>
    <hyperlink r:id="rId3905" ref="Z156"/>
    <hyperlink r:id="rId3906" ref="AU156"/>
    <hyperlink r:id="rId3907" ref="CM156"/>
    <hyperlink r:id="rId3908" ref="CY156"/>
    <hyperlink r:id="rId3909" ref="CZ156"/>
    <hyperlink r:id="rId3910" ref="AB160"/>
    <hyperlink r:id="rId3911" ref="BB160"/>
    <hyperlink r:id="rId3912" ref="BC161"/>
    <hyperlink r:id="rId3913" ref="P163"/>
    <hyperlink r:id="rId3914" ref="AU163"/>
    <hyperlink r:id="rId3915" ref="CF164"/>
    <hyperlink r:id="rId3916" ref="AB165"/>
    <hyperlink r:id="rId3917" ref="BH165"/>
    <hyperlink r:id="rId3918" ref="CF165"/>
    <hyperlink r:id="rId3919" ref="CM165"/>
    <hyperlink r:id="rId3920" ref="CZ165"/>
    <hyperlink r:id="rId3921" ref="K166"/>
    <hyperlink r:id="rId3922" ref="BK166"/>
    <hyperlink r:id="rId3923" ref="CV166"/>
    <hyperlink r:id="rId3924" ref="DA166"/>
    <hyperlink r:id="rId3925" ref="AG167"/>
    <hyperlink r:id="rId3926" ref="DC167"/>
    <hyperlink r:id="rId3927" ref="T172"/>
    <hyperlink r:id="rId3928" ref="BE172"/>
    <hyperlink r:id="rId3929" ref="BS172"/>
    <hyperlink r:id="rId3930" ref="CR172"/>
    <hyperlink r:id="rId3931" ref="DK173"/>
    <hyperlink r:id="rId3932" ref="P174"/>
    <hyperlink r:id="rId3933" ref="X174"/>
    <hyperlink r:id="rId3934" ref="Z174"/>
    <hyperlink r:id="rId3935" ref="AF174"/>
    <hyperlink r:id="rId3936" ref="AT174"/>
    <hyperlink r:id="rId3937" ref="BT174"/>
    <hyperlink r:id="rId3938" ref="K178"/>
    <hyperlink r:id="rId3939" ref="X178"/>
    <hyperlink r:id="rId3940" ref="Z178"/>
    <hyperlink r:id="rId3941" ref="BV178"/>
    <hyperlink r:id="rId3942" ref="BZ178"/>
    <hyperlink r:id="rId3943" ref="CF178"/>
    <hyperlink r:id="rId3944" ref="CL178"/>
    <hyperlink r:id="rId3945" ref="CM178"/>
    <hyperlink r:id="rId3946" ref="CZ178"/>
    <hyperlink r:id="rId3947" ref="Y179"/>
    <hyperlink r:id="rId3948" ref="BW179"/>
    <hyperlink r:id="rId3949" ref="CI179"/>
    <hyperlink r:id="rId3950" ref="N180"/>
    <hyperlink r:id="rId3951" ref="O180"/>
    <hyperlink r:id="rId3952" ref="P180"/>
    <hyperlink r:id="rId3953" ref="AA180"/>
    <hyperlink r:id="rId3954" ref="AC180"/>
    <hyperlink r:id="rId3955" ref="AE180"/>
    <hyperlink r:id="rId3956" ref="AF180"/>
    <hyperlink r:id="rId3957" ref="BQ180"/>
    <hyperlink r:id="rId3958" ref="BR180"/>
    <hyperlink r:id="rId3959" ref="BS180"/>
    <hyperlink r:id="rId3960" ref="BT180"/>
    <hyperlink r:id="rId3961" ref="BU180"/>
    <hyperlink r:id="rId3962" ref="BV180"/>
    <hyperlink r:id="rId3963" ref="BW180"/>
    <hyperlink r:id="rId3964" ref="BY180"/>
    <hyperlink r:id="rId3965" ref="BZ180"/>
    <hyperlink r:id="rId3966" ref="CF180"/>
    <hyperlink r:id="rId3967" ref="CG180"/>
    <hyperlink r:id="rId3968" ref="CH180"/>
    <hyperlink r:id="rId3969" ref="CI180"/>
    <hyperlink r:id="rId3970" ref="CJ180"/>
    <hyperlink r:id="rId3971" ref="CK180"/>
    <hyperlink r:id="rId3972" ref="CL180"/>
    <hyperlink r:id="rId3973" ref="CM180"/>
    <hyperlink r:id="rId3974" ref="DP180"/>
    <hyperlink r:id="rId3975" ref="DQ180"/>
    <hyperlink r:id="rId3976" ref="AR185"/>
    <hyperlink r:id="rId3977" ref="BV185"/>
    <hyperlink r:id="rId3978" ref="CC185"/>
    <hyperlink r:id="rId3979" ref="I186"/>
    <hyperlink r:id="rId3980" ref="K186"/>
    <hyperlink r:id="rId3981" ref="CZ188"/>
    <hyperlink r:id="rId3982" ref="X189"/>
    <hyperlink r:id="rId3983" ref="AD189"/>
    <hyperlink r:id="rId3984" ref="DK189"/>
    <hyperlink r:id="rId3985" ref="AB191"/>
    <hyperlink r:id="rId3986" ref="P192"/>
    <hyperlink r:id="rId3987" ref="AF192"/>
    <hyperlink r:id="rId3988" ref="H194"/>
    <hyperlink r:id="rId3989" ref="K194"/>
    <hyperlink r:id="rId3990" ref="BC194"/>
    <hyperlink r:id="rId3991" ref="AA198"/>
    <hyperlink r:id="rId3992" ref="AH201"/>
    <hyperlink r:id="rId3993" ref="DY202"/>
    <hyperlink r:id="rId3994" ref="BC203"/>
    <hyperlink r:id="rId3995" ref="DK203"/>
    <hyperlink r:id="rId3996" ref="H204"/>
    <hyperlink r:id="rId3997" ref="K204"/>
    <hyperlink r:id="rId3998" ref="Y204"/>
    <hyperlink r:id="rId3999" ref="AM204"/>
    <hyperlink r:id="rId4000" ref="AO204"/>
    <hyperlink r:id="rId4001" ref="AX204"/>
    <hyperlink r:id="rId4002" ref="BA204"/>
    <hyperlink r:id="rId4003" ref="BC204"/>
    <hyperlink r:id="rId4004" ref="BM204"/>
    <hyperlink r:id="rId4005" ref="CF204"/>
    <hyperlink r:id="rId4006" ref="DM204"/>
    <hyperlink r:id="rId4007" ref="DN204"/>
    <hyperlink r:id="rId4008" ref="DO204"/>
    <hyperlink r:id="rId4009" ref="EB204"/>
    <hyperlink r:id="rId4010" ref="H211"/>
    <hyperlink r:id="rId4011" ref="AV211"/>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6452</v>
      </c>
      <c r="C1" s="804" t="s">
        <v>6453</v>
      </c>
      <c r="D1" s="805" t="s">
        <v>1557</v>
      </c>
      <c r="E1" s="806" t="s">
        <v>6454</v>
      </c>
      <c r="F1" s="807" t="s">
        <v>2893</v>
      </c>
      <c r="G1" s="805" t="s">
        <v>6455</v>
      </c>
      <c r="H1" s="805" t="s">
        <v>1060</v>
      </c>
      <c r="I1" s="806" t="s">
        <v>6456</v>
      </c>
      <c r="J1" s="805" t="s">
        <v>6457</v>
      </c>
      <c r="K1" s="805" t="s">
        <v>6458</v>
      </c>
      <c r="L1" s="806" t="s">
        <v>6459</v>
      </c>
      <c r="M1" s="805" t="s">
        <v>739</v>
      </c>
      <c r="N1" s="805" t="s">
        <v>6460</v>
      </c>
      <c r="O1" s="805" t="s">
        <v>986</v>
      </c>
      <c r="P1" s="808" t="s">
        <v>6461</v>
      </c>
      <c r="Q1" s="805" t="s">
        <v>1807</v>
      </c>
      <c r="R1" s="805" t="s">
        <v>6462</v>
      </c>
      <c r="S1" s="805" t="s">
        <v>6463</v>
      </c>
      <c r="T1" s="806" t="s">
        <v>6464</v>
      </c>
      <c r="U1" s="805" t="s">
        <v>6465</v>
      </c>
      <c r="V1" s="805" t="s">
        <v>3124</v>
      </c>
      <c r="W1" s="805" t="s">
        <v>6466</v>
      </c>
      <c r="X1" s="805" t="s">
        <v>3983</v>
      </c>
      <c r="Y1" s="805" t="s">
        <v>6467</v>
      </c>
      <c r="Z1" s="805" t="s">
        <v>6468</v>
      </c>
      <c r="AA1" s="805" t="s">
        <v>4062</v>
      </c>
      <c r="AB1" s="805" t="s">
        <v>6469</v>
      </c>
      <c r="AC1" s="805" t="s">
        <v>6470</v>
      </c>
      <c r="AD1" s="805" t="s">
        <v>6471</v>
      </c>
      <c r="AE1" s="805" t="s">
        <v>1200</v>
      </c>
      <c r="AF1" s="805" t="s">
        <v>215</v>
      </c>
      <c r="AG1" s="805" t="s">
        <v>1724</v>
      </c>
      <c r="AH1" s="805" t="s">
        <v>2076</v>
      </c>
      <c r="AI1" s="805" t="s">
        <v>6472</v>
      </c>
      <c r="AJ1" s="805" t="s">
        <v>6473</v>
      </c>
      <c r="AK1" s="805" t="s">
        <v>1952</v>
      </c>
      <c r="AL1" s="805" t="s">
        <v>6474</v>
      </c>
      <c r="AM1" s="805" t="s">
        <v>6475</v>
      </c>
      <c r="AN1" s="805" t="s">
        <v>6099</v>
      </c>
      <c r="AO1" s="805" t="s">
        <v>6476</v>
      </c>
      <c r="AP1" s="805" t="s">
        <v>6477</v>
      </c>
      <c r="AQ1" s="805" t="s">
        <v>5705</v>
      </c>
      <c r="AR1" s="805" t="s">
        <v>3216</v>
      </c>
      <c r="AS1" s="805" t="s">
        <v>6478</v>
      </c>
      <c r="AT1" s="805" t="s">
        <v>6479</v>
      </c>
      <c r="AU1" s="805" t="s">
        <v>3915</v>
      </c>
      <c r="AV1" s="805" t="s">
        <v>5403</v>
      </c>
      <c r="AW1" s="809" t="s">
        <v>4791</v>
      </c>
      <c r="AX1" s="805" t="s">
        <v>644</v>
      </c>
      <c r="AY1" s="805" t="s">
        <v>6480</v>
      </c>
      <c r="AZ1" s="806" t="s">
        <v>6481</v>
      </c>
      <c r="BA1" s="805" t="s">
        <v>6482</v>
      </c>
      <c r="BB1" s="805" t="s">
        <v>6483</v>
      </c>
      <c r="BC1" s="805" t="s">
        <v>1635</v>
      </c>
      <c r="BD1" s="809" t="s">
        <v>6449</v>
      </c>
      <c r="BE1" s="805" t="s">
        <v>912</v>
      </c>
      <c r="BF1" s="805"/>
      <c r="BG1" s="805"/>
      <c r="BH1" s="810"/>
      <c r="BI1" s="810"/>
      <c r="BJ1" s="810"/>
    </row>
    <row r="2" ht="15.75" customHeight="1">
      <c r="A2" s="811" t="s">
        <v>6484</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6485</v>
      </c>
      <c r="B4" s="821" t="s">
        <v>6486</v>
      </c>
      <c r="C4" s="822" t="s">
        <v>333</v>
      </c>
      <c r="D4" s="823" t="s">
        <v>838</v>
      </c>
      <c r="E4" s="824" t="s">
        <v>333</v>
      </c>
      <c r="F4" s="825"/>
      <c r="G4" s="826" t="s">
        <v>1261</v>
      </c>
      <c r="H4" s="827" t="s">
        <v>5838</v>
      </c>
      <c r="I4" s="827" t="str">
        <f>HYPERLINK("https://youtu.be/BAG8a3WI9KM","52.27")</f>
        <v>52.27</v>
      </c>
      <c r="J4" s="827" t="s">
        <v>2573</v>
      </c>
      <c r="K4" s="828" t="s">
        <v>1991</v>
      </c>
      <c r="L4" s="827" t="s">
        <v>441</v>
      </c>
      <c r="M4" s="828" t="s">
        <v>743</v>
      </c>
      <c r="N4" s="827" t="str">
        <f>HYPERLINK("https://youtu.be/qv_H1NgDIQ8","53.73")</f>
        <v>53.73</v>
      </c>
      <c r="O4" s="827" t="s">
        <v>2860</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6487</v>
      </c>
      <c r="B5" s="821" t="s">
        <v>6488</v>
      </c>
      <c r="C5" s="822" t="s">
        <v>6489</v>
      </c>
      <c r="D5" s="831" t="s">
        <v>6490</v>
      </c>
      <c r="E5" s="831" t="s">
        <v>6491</v>
      </c>
      <c r="F5" s="832"/>
      <c r="G5" s="826" t="s">
        <v>6492</v>
      </c>
      <c r="H5" s="831"/>
      <c r="I5" s="831" t="s">
        <v>6493</v>
      </c>
      <c r="J5" s="831"/>
      <c r="K5" s="831" t="s">
        <v>4900</v>
      </c>
      <c r="L5" s="831"/>
      <c r="M5" s="831"/>
      <c r="N5" s="831" t="s">
        <v>6494</v>
      </c>
      <c r="O5" s="831" t="str">
        <f>HYPERLINK("https://youtu.be/y9FQ4EcrohI", "1:21.52")</f>
        <v>1:21.52</v>
      </c>
      <c r="P5" s="829" t="s">
        <v>6495</v>
      </c>
      <c r="Q5" s="831"/>
      <c r="R5" s="831" t="s">
        <v>6489</v>
      </c>
      <c r="S5" s="831" t="s">
        <v>2537</v>
      </c>
      <c r="T5" s="831"/>
      <c r="U5" s="831"/>
      <c r="V5" s="831"/>
      <c r="W5" s="831"/>
      <c r="X5" s="831"/>
      <c r="Y5" s="831"/>
      <c r="Z5" s="831"/>
      <c r="AA5" s="831" t="s">
        <v>6496</v>
      </c>
      <c r="AB5" s="831"/>
      <c r="AC5" s="831"/>
      <c r="AD5" s="831" t="s">
        <v>6497</v>
      </c>
      <c r="AE5" s="831"/>
      <c r="AF5" s="831"/>
      <c r="AG5" s="831"/>
      <c r="AH5" s="831"/>
      <c r="AI5" s="831"/>
      <c r="AJ5" s="831"/>
      <c r="AK5" s="831"/>
      <c r="AL5" s="831"/>
      <c r="AM5" s="831"/>
      <c r="AN5" s="831" t="s">
        <v>6101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6498</v>
      </c>
      <c r="C6" s="822" t="s">
        <v>334</v>
      </c>
      <c r="D6" s="836" t="s">
        <v>1562</v>
      </c>
      <c r="E6" s="827" t="s">
        <v>334</v>
      </c>
      <c r="F6" s="837" t="s">
        <v>1593</v>
      </c>
      <c r="G6" s="826" t="s">
        <v>1262</v>
      </c>
      <c r="H6" s="827" t="s">
        <v>2876</v>
      </c>
      <c r="I6" s="827" t="str">
        <f>HYPERLINK("https://youtu.be/ZP_d48CVxG0","1:19.30")</f>
        <v>1:19.30</v>
      </c>
      <c r="J6" s="828"/>
      <c r="K6" s="828"/>
      <c r="L6" s="828" t="s">
        <v>100</v>
      </c>
      <c r="M6" s="828" t="s">
        <v>744</v>
      </c>
      <c r="N6" s="828" t="s">
        <v>4595</v>
      </c>
      <c r="O6" s="827" t="s">
        <v>992</v>
      </c>
      <c r="P6" s="829" t="s">
        <v>6499</v>
      </c>
      <c r="Q6" s="828" t="s">
        <v>100</v>
      </c>
      <c r="R6" s="828"/>
      <c r="S6" s="828"/>
      <c r="T6" s="828"/>
      <c r="U6" s="828"/>
      <c r="V6" s="827" t="s">
        <v>6500</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6501</v>
      </c>
      <c r="B7" s="839" t="s">
        <v>6486</v>
      </c>
      <c r="C7" s="822" t="s">
        <v>6502</v>
      </c>
      <c r="D7" s="831" t="s">
        <v>2874</v>
      </c>
      <c r="E7" s="831" t="s">
        <v>6502</v>
      </c>
      <c r="F7" s="840" t="s">
        <v>1156</v>
      </c>
      <c r="G7" s="841"/>
      <c r="H7" s="831"/>
      <c r="I7" s="831" t="s">
        <v>1377</v>
      </c>
      <c r="J7" s="831"/>
      <c r="K7" s="831"/>
      <c r="L7" s="831" t="s">
        <v>1142</v>
      </c>
      <c r="M7" s="831" t="s">
        <v>1142</v>
      </c>
      <c r="N7" s="831" t="s">
        <v>6503</v>
      </c>
      <c r="O7" s="831"/>
      <c r="P7" s="829"/>
      <c r="Q7" s="831" t="s">
        <v>924</v>
      </c>
      <c r="R7" s="831" t="s">
        <v>3785</v>
      </c>
      <c r="S7" s="831" t="s">
        <v>6504</v>
      </c>
      <c r="T7" s="831" t="s">
        <v>6505</v>
      </c>
      <c r="U7" s="831"/>
      <c r="V7" s="831"/>
      <c r="W7" s="831" t="s">
        <v>924</v>
      </c>
      <c r="X7" s="831"/>
      <c r="Y7" s="831" t="s">
        <v>3549</v>
      </c>
      <c r="Z7" s="831" t="s">
        <v>1156</v>
      </c>
      <c r="AA7" s="831"/>
      <c r="AB7" s="831"/>
      <c r="AC7" s="831" t="s">
        <v>187</v>
      </c>
      <c r="AD7" s="831"/>
      <c r="AE7" s="831" t="s">
        <v>1142</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6506</v>
      </c>
      <c r="B8" s="839" t="s">
        <v>6488</v>
      </c>
      <c r="C8" s="822" t="s">
        <v>2318</v>
      </c>
      <c r="D8" s="842"/>
      <c r="E8" s="842"/>
      <c r="F8" s="825"/>
      <c r="G8" s="826" t="s">
        <v>1413</v>
      </c>
      <c r="H8" s="842"/>
      <c r="I8" s="842"/>
      <c r="J8" s="842"/>
      <c r="K8" s="842"/>
      <c r="L8" s="842"/>
      <c r="M8" s="842"/>
      <c r="N8" s="842"/>
      <c r="O8" s="842" t="s">
        <v>633</v>
      </c>
      <c r="P8" s="842"/>
      <c r="Q8" s="842"/>
      <c r="R8" s="842" t="s">
        <v>2318</v>
      </c>
      <c r="S8" s="842"/>
      <c r="T8" s="842"/>
      <c r="U8" s="842"/>
      <c r="V8" s="842"/>
      <c r="W8" s="842"/>
      <c r="X8" s="842"/>
      <c r="Y8" s="842"/>
      <c r="Z8" s="842"/>
      <c r="AA8" s="842"/>
      <c r="AB8" s="842"/>
      <c r="AC8" s="842" t="s">
        <v>2582</v>
      </c>
      <c r="AD8" s="842"/>
      <c r="AE8" s="842"/>
      <c r="AF8" s="842"/>
      <c r="AG8" s="842"/>
      <c r="AH8" s="842"/>
      <c r="AI8" s="842"/>
      <c r="AJ8" s="842"/>
      <c r="AK8" s="842"/>
      <c r="AL8" s="842"/>
      <c r="AM8" s="842"/>
      <c r="AN8" s="842" t="s">
        <v>6507</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6498</v>
      </c>
      <c r="C9" s="822" t="s">
        <v>6508</v>
      </c>
      <c r="D9" s="828"/>
      <c r="E9" s="827" t="s">
        <v>1242</v>
      </c>
      <c r="F9" s="843" t="s">
        <v>262</v>
      </c>
      <c r="G9" s="826" t="s">
        <v>2231</v>
      </c>
      <c r="H9" s="828"/>
      <c r="I9" s="828"/>
      <c r="J9" s="828"/>
      <c r="K9" s="828"/>
      <c r="L9" s="828"/>
      <c r="M9" s="828"/>
      <c r="N9" s="828"/>
      <c r="O9" s="827" t="s">
        <v>6508</v>
      </c>
      <c r="P9" s="829"/>
      <c r="Q9" s="828"/>
      <c r="R9" s="828"/>
      <c r="S9" s="828"/>
      <c r="T9" s="828"/>
      <c r="U9" s="828"/>
      <c r="V9" s="828"/>
      <c r="W9" s="828"/>
      <c r="X9" s="828"/>
      <c r="Y9" s="827" t="s">
        <v>6509</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6510</v>
      </c>
      <c r="B10" s="821" t="s">
        <v>6511</v>
      </c>
      <c r="C10" s="822" t="s">
        <v>2764</v>
      </c>
      <c r="D10" s="831" t="s">
        <v>1706</v>
      </c>
      <c r="E10" s="831" t="s">
        <v>2764</v>
      </c>
      <c r="F10" s="844" t="s">
        <v>6512</v>
      </c>
      <c r="G10" s="826" t="s">
        <v>6513</v>
      </c>
      <c r="H10" s="831"/>
      <c r="I10" s="831" t="s">
        <v>6514</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6515</v>
      </c>
      <c r="AB10" s="831"/>
      <c r="AC10" s="831"/>
      <c r="AD10" s="831"/>
      <c r="AE10" s="831"/>
      <c r="AF10" s="831"/>
      <c r="AG10" s="831"/>
      <c r="AH10" s="831"/>
      <c r="AI10" s="831"/>
      <c r="AJ10" s="831"/>
      <c r="AK10" s="831"/>
      <c r="AL10" s="831" t="s">
        <v>1960</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6516</v>
      </c>
      <c r="C11" s="822" t="s">
        <v>4242</v>
      </c>
      <c r="D11" s="836" t="s">
        <v>1563</v>
      </c>
      <c r="E11" s="827" t="s">
        <v>335</v>
      </c>
      <c r="F11" s="840" t="s">
        <v>2895</v>
      </c>
      <c r="G11" s="826" t="s">
        <v>1263</v>
      </c>
      <c r="H11" s="827" t="s">
        <v>4242</v>
      </c>
      <c r="I11" s="828" t="s">
        <v>6517</v>
      </c>
      <c r="J11" s="827" t="s">
        <v>724</v>
      </c>
      <c r="K11" s="828"/>
      <c r="L11" s="828" t="s">
        <v>2340</v>
      </c>
      <c r="M11" s="827" t="s">
        <v>2100</v>
      </c>
      <c r="N11" s="828" t="s">
        <v>6518</v>
      </c>
      <c r="O11" s="827" t="s">
        <v>6519</v>
      </c>
      <c r="P11" s="829" t="s">
        <v>2764</v>
      </c>
      <c r="Q11" s="828" t="s">
        <v>3803</v>
      </c>
      <c r="R11" s="828"/>
      <c r="S11" s="827" t="s">
        <v>6520</v>
      </c>
      <c r="T11" s="828" t="s">
        <v>1507</v>
      </c>
      <c r="U11" s="828"/>
      <c r="V11" s="828"/>
      <c r="W11" s="828"/>
      <c r="X11" s="828"/>
      <c r="Y11" s="828"/>
      <c r="Z11" s="828"/>
      <c r="AA11" s="828"/>
      <c r="AB11" s="828"/>
      <c r="AC11" s="828"/>
      <c r="AD11" s="827" t="s">
        <v>1071</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6501</v>
      </c>
      <c r="B12" s="846" t="s">
        <v>6511</v>
      </c>
      <c r="C12" s="822" t="s">
        <v>6108</v>
      </c>
      <c r="D12" s="831" t="s">
        <v>1363</v>
      </c>
      <c r="E12" s="831" t="s">
        <v>6108</v>
      </c>
      <c r="F12" s="844" t="s">
        <v>6280</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2272</v>
      </c>
      <c r="R12" s="831" t="s">
        <v>3918</v>
      </c>
      <c r="S12" s="831"/>
      <c r="T12" s="831"/>
      <c r="U12" s="831" t="s">
        <v>5504</v>
      </c>
      <c r="V12" s="831"/>
      <c r="W12" s="831"/>
      <c r="X12" s="831" t="s">
        <v>4495</v>
      </c>
      <c r="Y12" s="831"/>
      <c r="Z12" s="831"/>
      <c r="AA12" s="831" t="s">
        <v>6280</v>
      </c>
      <c r="AB12" s="831"/>
      <c r="AC12" s="831"/>
      <c r="AD12" s="831" t="s">
        <v>660</v>
      </c>
      <c r="AE12" s="831" t="s">
        <v>6521</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6516</v>
      </c>
      <c r="C13" s="822" t="s">
        <v>994</v>
      </c>
      <c r="D13" s="836" t="s">
        <v>1564</v>
      </c>
      <c r="E13" s="831" t="s">
        <v>443</v>
      </c>
      <c r="F13" s="840" t="s">
        <v>1564</v>
      </c>
      <c r="G13" s="826" t="s">
        <v>1264</v>
      </c>
      <c r="H13" s="828" t="s">
        <v>994</v>
      </c>
      <c r="I13" s="831" t="str">
        <f>HYPERLINK("https://clips.twitch.tv/BusyTriangularAlmondRuleFive","13.97")</f>
        <v>13.97</v>
      </c>
      <c r="J13" s="831" t="s">
        <v>1264</v>
      </c>
      <c r="K13" s="831" t="s">
        <v>1880</v>
      </c>
      <c r="L13" s="831" t="s">
        <v>443</v>
      </c>
      <c r="M13" s="831" t="str">
        <f>HYPERLINK("https://youtu.be/v-0tSrJ8Kf0","13.80")</f>
        <v>13.80</v>
      </c>
      <c r="N13" s="831" t="str">
        <f>HYPERLINK("https://youtu.be/Kv9otnDdZKc","13.93")</f>
        <v>13.93</v>
      </c>
      <c r="O13" s="831" t="s">
        <v>994</v>
      </c>
      <c r="P13" s="829" t="s">
        <v>2372</v>
      </c>
      <c r="Q13" s="831" t="s">
        <v>1880</v>
      </c>
      <c r="R13" s="831"/>
      <c r="S13" s="827" t="s">
        <v>2539</v>
      </c>
      <c r="T13" s="831"/>
      <c r="U13" s="831" t="s">
        <v>2581</v>
      </c>
      <c r="V13" s="831"/>
      <c r="W13" s="831"/>
      <c r="X13" s="831"/>
      <c r="Y13" s="831"/>
      <c r="Z13" s="831"/>
      <c r="AA13" s="831" t="s">
        <v>1425</v>
      </c>
      <c r="AB13" s="831"/>
      <c r="AC13" s="831"/>
      <c r="AD13" s="831" t="s">
        <v>1730</v>
      </c>
      <c r="AE13" s="831"/>
      <c r="AF13" s="831"/>
      <c r="AG13" s="831" t="s">
        <v>1730</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6506</v>
      </c>
      <c r="B14" s="848" t="s">
        <v>6522</v>
      </c>
      <c r="C14" s="822" t="s">
        <v>6523</v>
      </c>
      <c r="D14" s="831" t="s">
        <v>5446</v>
      </c>
      <c r="E14" s="831"/>
      <c r="F14" s="844" t="s">
        <v>2138</v>
      </c>
      <c r="G14" s="841"/>
      <c r="H14" s="831"/>
      <c r="I14" s="831"/>
      <c r="J14" s="831"/>
      <c r="K14" s="831"/>
      <c r="L14" s="831"/>
      <c r="M14" s="831" t="s">
        <v>6523</v>
      </c>
      <c r="N14" s="831"/>
      <c r="O14" s="831"/>
      <c r="P14" s="829"/>
      <c r="Q14" s="831"/>
      <c r="R14" s="831"/>
      <c r="S14" s="831" t="s">
        <v>6524</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6525</v>
      </c>
      <c r="C15" s="822" t="s">
        <v>6526</v>
      </c>
      <c r="D15" s="828" t="s">
        <v>6527</v>
      </c>
      <c r="E15" s="827" t="s">
        <v>1098</v>
      </c>
      <c r="F15" s="843" t="s">
        <v>6528</v>
      </c>
      <c r="G15" s="826" t="s">
        <v>2212</v>
      </c>
      <c r="H15" s="828" t="s">
        <v>6529</v>
      </c>
      <c r="I15" s="828"/>
      <c r="J15" s="827" t="s">
        <v>6530</v>
      </c>
      <c r="K15" s="828"/>
      <c r="L15" s="828" t="s">
        <v>6530</v>
      </c>
      <c r="M15" s="828"/>
      <c r="N15" s="828"/>
      <c r="O15" s="827" t="s">
        <v>1916</v>
      </c>
      <c r="P15" s="829" t="s">
        <v>6531</v>
      </c>
      <c r="Q15" s="828" t="s">
        <v>6532</v>
      </c>
      <c r="R15" s="828"/>
      <c r="S15" s="828"/>
      <c r="T15" s="828" t="s">
        <v>6523</v>
      </c>
      <c r="U15" s="828"/>
      <c r="V15" s="828"/>
      <c r="W15" s="828" t="s">
        <v>6530</v>
      </c>
      <c r="X15" s="828"/>
      <c r="Y15" s="827" t="s">
        <v>1916</v>
      </c>
      <c r="Z15" s="828"/>
      <c r="AA15" s="828"/>
      <c r="AB15" s="828"/>
      <c r="AC15" s="828"/>
      <c r="AD15" s="828"/>
      <c r="AE15" s="828"/>
      <c r="AF15" s="827" t="s">
        <v>6526</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6533</v>
      </c>
      <c r="B16" s="821" t="s">
        <v>6534</v>
      </c>
      <c r="C16" s="822" t="s">
        <v>1785</v>
      </c>
      <c r="D16" s="831" t="s">
        <v>4638</v>
      </c>
      <c r="E16" s="831" t="s">
        <v>1175</v>
      </c>
      <c r="F16" s="832"/>
      <c r="G16" s="826" t="s">
        <v>4437</v>
      </c>
      <c r="H16" s="831"/>
      <c r="I16" s="831" t="s">
        <v>4194</v>
      </c>
      <c r="J16" s="831"/>
      <c r="K16" s="831" t="s">
        <v>6535</v>
      </c>
      <c r="L16" s="831"/>
      <c r="M16" s="831" t="s">
        <v>6536</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6537</v>
      </c>
      <c r="C17" s="822" t="s">
        <v>2800</v>
      </c>
      <c r="D17" s="831"/>
      <c r="E17" s="831" t="s">
        <v>968</v>
      </c>
      <c r="F17" s="825"/>
      <c r="G17" s="841"/>
      <c r="H17" s="831"/>
      <c r="I17" s="831"/>
      <c r="J17" s="831"/>
      <c r="K17" s="831" t="s">
        <v>6538</v>
      </c>
      <c r="L17" s="831"/>
      <c r="M17" s="831"/>
      <c r="N17" s="831"/>
      <c r="O17" s="831"/>
      <c r="P17" s="829"/>
      <c r="Q17" s="831" t="s">
        <v>6539</v>
      </c>
      <c r="R17" s="831" t="s">
        <v>6540</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6541</v>
      </c>
      <c r="C18" s="822" t="s">
        <v>6542</v>
      </c>
      <c r="D18" s="831" t="s">
        <v>1565</v>
      </c>
      <c r="E18" s="831" t="s">
        <v>6542</v>
      </c>
      <c r="F18" s="844" t="s">
        <v>1848</v>
      </c>
      <c r="G18" s="826" t="s">
        <v>1265</v>
      </c>
      <c r="H18" s="831" t="s">
        <v>4300</v>
      </c>
      <c r="I18" s="831" t="str">
        <f>HYPERLINK("https://clips.twitch.tv/EnergeticBeautifulMallardRalpherZ","42.96")</f>
        <v>42.96</v>
      </c>
      <c r="J18" s="831" t="s">
        <v>138</v>
      </c>
      <c r="K18" s="831" t="s">
        <v>1433</v>
      </c>
      <c r="L18" s="831" t="s">
        <v>625</v>
      </c>
      <c r="M18" s="831" t="s">
        <v>589</v>
      </c>
      <c r="N18" s="831" t="s">
        <v>1821</v>
      </c>
      <c r="O18" s="831" t="s">
        <v>655</v>
      </c>
      <c r="P18" s="829" t="s">
        <v>3318</v>
      </c>
      <c r="Q18" s="831" t="s">
        <v>1565</v>
      </c>
      <c r="R18" s="831"/>
      <c r="S18" s="831" t="s">
        <v>2540</v>
      </c>
      <c r="T18" s="831"/>
      <c r="U18" s="831" t="s">
        <v>6543</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6544</v>
      </c>
      <c r="B19" s="821" t="s">
        <v>6545</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6546</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6547</v>
      </c>
      <c r="C21" s="822" t="s">
        <v>6523</v>
      </c>
      <c r="D21" s="850"/>
      <c r="E21" s="850" t="s">
        <v>728</v>
      </c>
      <c r="F21" s="825"/>
      <c r="G21" s="841" t="s">
        <v>4146</v>
      </c>
      <c r="H21" s="850"/>
      <c r="I21" s="850"/>
      <c r="J21" s="850"/>
      <c r="K21" s="850"/>
      <c r="L21" s="850"/>
      <c r="M21" s="850"/>
      <c r="N21" s="850"/>
      <c r="O21" s="850"/>
      <c r="P21" s="851"/>
      <c r="Q21" s="850" t="s">
        <v>6548</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6549</v>
      </c>
      <c r="C22" s="822" t="s">
        <v>6550</v>
      </c>
      <c r="D22" s="831"/>
      <c r="E22" s="831" t="s">
        <v>3818</v>
      </c>
      <c r="F22" s="843" t="s">
        <v>4224</v>
      </c>
      <c r="G22" s="841"/>
      <c r="H22" s="831" t="s">
        <v>6551</v>
      </c>
      <c r="I22" s="831"/>
      <c r="J22" s="831"/>
      <c r="K22" s="831"/>
      <c r="L22" s="831" t="s">
        <v>785</v>
      </c>
      <c r="M22" s="831"/>
      <c r="N22" s="831"/>
      <c r="O22" s="831"/>
      <c r="P22" s="829"/>
      <c r="Q22" s="831" t="s">
        <v>2910</v>
      </c>
      <c r="R22" s="831"/>
      <c r="S22" s="831"/>
      <c r="T22" s="831"/>
      <c r="U22" s="831"/>
      <c r="V22" s="831"/>
      <c r="W22" s="831"/>
      <c r="X22" s="831"/>
      <c r="Y22" s="831" t="s">
        <v>6552</v>
      </c>
      <c r="Z22" s="831"/>
      <c r="AA22" s="831"/>
      <c r="AB22" s="831"/>
      <c r="AC22" s="831"/>
      <c r="AD22" s="831"/>
      <c r="AE22" s="831"/>
      <c r="AF22" s="831" t="s">
        <v>6550</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6553</v>
      </c>
      <c r="B23" s="821" t="s">
        <v>6554</v>
      </c>
      <c r="C23" s="822" t="s">
        <v>250</v>
      </c>
      <c r="D23" s="831"/>
      <c r="E23" s="831" t="s">
        <v>250</v>
      </c>
      <c r="F23" s="825"/>
      <c r="G23" s="841"/>
      <c r="H23" s="831"/>
      <c r="I23" s="831"/>
      <c r="J23" s="831"/>
      <c r="K23" s="831"/>
      <c r="L23" s="831"/>
      <c r="M23" s="831"/>
      <c r="N23" s="831" t="s">
        <v>6555</v>
      </c>
      <c r="O23" s="831"/>
      <c r="P23" s="829"/>
      <c r="Q23" s="831" t="s">
        <v>6556</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6557</v>
      </c>
      <c r="C24" s="822" t="s">
        <v>6558</v>
      </c>
      <c r="D24" s="831"/>
      <c r="E24" s="831" t="s">
        <v>1103</v>
      </c>
      <c r="F24" s="840" t="s">
        <v>3477</v>
      </c>
      <c r="G24" s="841"/>
      <c r="H24" s="831"/>
      <c r="I24" s="831"/>
      <c r="J24" s="831"/>
      <c r="K24" s="831"/>
      <c r="L24" s="831"/>
      <c r="M24" s="831"/>
      <c r="N24" s="831"/>
      <c r="O24" s="831"/>
      <c r="P24" s="829"/>
      <c r="Q24" s="831" t="s">
        <v>1103</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6559</v>
      </c>
      <c r="C25" s="822" t="s">
        <v>2767</v>
      </c>
      <c r="D25" s="827" t="s">
        <v>1567</v>
      </c>
      <c r="E25" s="831" t="s">
        <v>6560</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6561</v>
      </c>
      <c r="C26" s="822" t="s">
        <v>6562</v>
      </c>
      <c r="D26" s="831"/>
      <c r="E26" s="831" t="s">
        <v>6562</v>
      </c>
      <c r="F26" s="832"/>
      <c r="G26" s="826" t="s">
        <v>1267</v>
      </c>
      <c r="H26" s="831"/>
      <c r="I26" s="831"/>
      <c r="J26" s="831" t="s">
        <v>6563</v>
      </c>
      <c r="K26" s="831" t="s">
        <v>6564</v>
      </c>
      <c r="L26" s="831"/>
      <c r="M26" s="831"/>
      <c r="N26" s="831"/>
      <c r="O26" s="831" t="s">
        <v>6565</v>
      </c>
      <c r="P26" s="829" t="s">
        <v>6566</v>
      </c>
      <c r="Q26" s="831" t="s">
        <v>6567</v>
      </c>
      <c r="R26" s="831"/>
      <c r="S26" s="831" t="s">
        <v>2542</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6501</v>
      </c>
      <c r="B27" s="839" t="s">
        <v>6568</v>
      </c>
      <c r="C27" s="822" t="s">
        <v>5317</v>
      </c>
      <c r="D27" s="831" t="s">
        <v>479</v>
      </c>
      <c r="E27" s="831" t="s">
        <v>5317</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6569</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6570</v>
      </c>
      <c r="C28" s="822" t="s">
        <v>2830</v>
      </c>
      <c r="D28" s="831"/>
      <c r="E28" s="831" t="s">
        <v>2830</v>
      </c>
      <c r="F28" s="832"/>
      <c r="G28" s="841"/>
      <c r="H28" s="831"/>
      <c r="I28" s="831"/>
      <c r="J28" s="831"/>
      <c r="K28" s="831" t="s">
        <v>6571</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6572</v>
      </c>
      <c r="C29" s="822" t="s">
        <v>4233</v>
      </c>
      <c r="D29" s="831"/>
      <c r="E29" s="831" t="s">
        <v>1894</v>
      </c>
      <c r="F29" s="855" t="s">
        <v>6571</v>
      </c>
      <c r="G29" s="841"/>
      <c r="H29" s="831"/>
      <c r="I29" s="831" t="s">
        <v>4844</v>
      </c>
      <c r="J29" s="831" t="s">
        <v>772</v>
      </c>
      <c r="K29" s="831" t="s">
        <v>3478</v>
      </c>
      <c r="L29" s="831"/>
      <c r="M29" s="831" t="s">
        <v>1449</v>
      </c>
      <c r="N29" s="831" t="s">
        <v>6571</v>
      </c>
      <c r="O29" s="831"/>
      <c r="P29" s="829"/>
      <c r="Q29" s="831"/>
      <c r="R29" s="831"/>
      <c r="S29" s="831"/>
      <c r="T29" s="831"/>
      <c r="U29" s="831"/>
      <c r="V29" s="831"/>
      <c r="W29" s="831"/>
      <c r="X29" s="831" t="s">
        <v>450</v>
      </c>
      <c r="Y29" s="831"/>
      <c r="Z29" s="831"/>
      <c r="AA29" s="831" t="s">
        <v>6573</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6574</v>
      </c>
      <c r="C30" s="822" t="s">
        <v>1970</v>
      </c>
      <c r="D30" s="831"/>
      <c r="E30" s="831" t="s">
        <v>1429</v>
      </c>
      <c r="F30" s="832"/>
      <c r="G30" s="826" t="s">
        <v>110</v>
      </c>
      <c r="H30" s="831"/>
      <c r="I30" s="831" t="s">
        <v>1894</v>
      </c>
      <c r="J30" s="831" t="s">
        <v>1970</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2385</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6575</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6576</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6577</v>
      </c>
      <c r="C33" s="822" t="s">
        <v>3130</v>
      </c>
      <c r="D33" s="831"/>
      <c r="E33" s="831" t="s">
        <v>3478</v>
      </c>
      <c r="F33" s="825"/>
      <c r="G33" s="841"/>
      <c r="H33" s="831"/>
      <c r="I33" s="831"/>
      <c r="J33" s="831" t="s">
        <v>3130</v>
      </c>
      <c r="K33" s="831" t="s">
        <v>3806</v>
      </c>
      <c r="L33" s="831"/>
      <c r="M33" s="831" t="s">
        <v>4875</v>
      </c>
      <c r="N33" s="831"/>
      <c r="O33" s="831"/>
      <c r="P33" s="829"/>
      <c r="Q33" s="831" t="s">
        <v>6578</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6579</v>
      </c>
      <c r="C34" s="822" t="s">
        <v>3163</v>
      </c>
      <c r="D34" s="831"/>
      <c r="E34" s="831" t="s">
        <v>3779</v>
      </c>
      <c r="F34" s="832"/>
      <c r="G34" s="841"/>
      <c r="H34" s="831"/>
      <c r="I34" s="831"/>
      <c r="J34" s="831" t="s">
        <v>3163</v>
      </c>
      <c r="K34" s="831" t="s">
        <v>6580</v>
      </c>
      <c r="L34" s="831" t="s">
        <v>2265</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6581</v>
      </c>
      <c r="C35" s="822" t="s">
        <v>2309</v>
      </c>
      <c r="D35" s="831" t="s">
        <v>1568</v>
      </c>
      <c r="E35" s="831" t="s">
        <v>3130</v>
      </c>
      <c r="F35" s="855" t="s">
        <v>2812</v>
      </c>
      <c r="G35" s="841"/>
      <c r="H35" s="831"/>
      <c r="I35" s="831" t="s">
        <v>6582</v>
      </c>
      <c r="J35" s="831" t="s">
        <v>2309</v>
      </c>
      <c r="K35" s="831" t="s">
        <v>2265</v>
      </c>
      <c r="L35" s="831"/>
      <c r="M35" s="831" t="s">
        <v>6580</v>
      </c>
      <c r="N35" s="831"/>
      <c r="O35" s="831"/>
      <c r="P35" s="829"/>
      <c r="Q35" s="831" t="s">
        <v>1746</v>
      </c>
      <c r="R35" s="831"/>
      <c r="S35" s="831"/>
      <c r="T35" s="831"/>
      <c r="U35" s="831" t="s">
        <v>5774</v>
      </c>
      <c r="V35" s="827" t="s">
        <v>3130</v>
      </c>
      <c r="W35" s="831"/>
      <c r="X35" s="831"/>
      <c r="Y35" s="831"/>
      <c r="Z35" s="831"/>
      <c r="AA35" s="831" t="s">
        <v>1658</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6583</v>
      </c>
      <c r="C36" s="822" t="s">
        <v>762</v>
      </c>
      <c r="D36" s="831"/>
      <c r="E36" s="831" t="s">
        <v>3889</v>
      </c>
      <c r="F36" s="840" t="s">
        <v>2701</v>
      </c>
      <c r="G36" s="826" t="s">
        <v>3690</v>
      </c>
      <c r="H36" s="831" t="s">
        <v>762</v>
      </c>
      <c r="I36" s="831" t="s">
        <v>1960</v>
      </c>
      <c r="J36" s="831" t="s">
        <v>1138</v>
      </c>
      <c r="K36" s="831" t="s">
        <v>4814</v>
      </c>
      <c r="L36" s="831"/>
      <c r="M36" s="831"/>
      <c r="N36" s="831"/>
      <c r="O36" s="831" t="s">
        <v>1960</v>
      </c>
      <c r="P36" s="829" t="s">
        <v>2481</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1733</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6506</v>
      </c>
      <c r="B37" s="839" t="s">
        <v>6584</v>
      </c>
      <c r="C37" s="822" t="s">
        <v>4287</v>
      </c>
      <c r="D37" s="831" t="s">
        <v>6585</v>
      </c>
      <c r="E37" s="831" t="s">
        <v>4287</v>
      </c>
      <c r="F37" s="855" t="s">
        <v>2513</v>
      </c>
      <c r="G37" s="826" t="s">
        <v>3019</v>
      </c>
      <c r="H37" s="831"/>
      <c r="I37" s="831"/>
      <c r="J37" s="831"/>
      <c r="K37" s="831" t="s">
        <v>352</v>
      </c>
      <c r="L37" s="831"/>
      <c r="M37" s="831"/>
      <c r="N37" s="831"/>
      <c r="O37" s="831"/>
      <c r="P37" s="829"/>
      <c r="Q37" s="831" t="s">
        <v>3110</v>
      </c>
      <c r="R37" s="831"/>
      <c r="S37" s="831"/>
      <c r="T37" s="831"/>
      <c r="U37" s="831"/>
      <c r="V37" s="831"/>
      <c r="W37" s="831"/>
      <c r="X37" s="831" t="s">
        <v>6586</v>
      </c>
      <c r="Y37" s="831" t="s">
        <v>1803</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6587</v>
      </c>
      <c r="C38" s="822" t="s">
        <v>2530</v>
      </c>
      <c r="D38" s="831" t="s">
        <v>3165</v>
      </c>
      <c r="E38" s="831" t="s">
        <v>3562</v>
      </c>
      <c r="F38" s="840" t="s">
        <v>4542</v>
      </c>
      <c r="G38" s="826" t="s">
        <v>711</v>
      </c>
      <c r="H38" s="831" t="s">
        <v>6588</v>
      </c>
      <c r="I38" s="831"/>
      <c r="J38" s="831" t="s">
        <v>937</v>
      </c>
      <c r="K38" s="831" t="s">
        <v>1182</v>
      </c>
      <c r="L38" s="831"/>
      <c r="M38" s="831"/>
      <c r="N38" s="831"/>
      <c r="O38" s="831"/>
      <c r="P38" s="829"/>
      <c r="Q38" s="831" t="s">
        <v>293</v>
      </c>
      <c r="R38" s="831"/>
      <c r="S38" s="831" t="s">
        <v>1084</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6589</v>
      </c>
      <c r="B39" s="821" t="s">
        <v>6590</v>
      </c>
      <c r="C39" s="822" t="s">
        <v>1001</v>
      </c>
      <c r="D39" s="831" t="s">
        <v>5201</v>
      </c>
      <c r="E39" s="831" t="s">
        <v>6591</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1001</v>
      </c>
      <c r="T39" s="831"/>
      <c r="U39" s="831" t="s">
        <v>5330</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6592</v>
      </c>
      <c r="C40" s="822">
        <v>15.96</v>
      </c>
      <c r="D40" s="828" t="s">
        <v>1569</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6593</v>
      </c>
      <c r="B41" s="821" t="s">
        <v>6594</v>
      </c>
      <c r="C41" s="822" t="s">
        <v>4908</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6595</v>
      </c>
      <c r="B42" s="821" t="s">
        <v>6596</v>
      </c>
      <c r="C42" s="822" t="s">
        <v>2396</v>
      </c>
      <c r="D42" s="860" t="s">
        <v>1360</v>
      </c>
      <c r="E42" s="831" t="s">
        <v>2396</v>
      </c>
      <c r="F42" s="825"/>
      <c r="G42" s="841"/>
      <c r="H42" s="831"/>
      <c r="I42" s="831" t="str">
        <f>HYPERLINK("https://youtu.be/t-1yqXLdZMA","38.05")</f>
        <v>38.05</v>
      </c>
      <c r="J42" s="831" t="s">
        <v>6597</v>
      </c>
      <c r="K42" s="831" t="s">
        <v>2267</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6598</v>
      </c>
      <c r="B43" s="839" t="s">
        <v>6596</v>
      </c>
      <c r="C43" s="861" t="s">
        <v>6599</v>
      </c>
      <c r="D43" s="862" t="s">
        <v>6599</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6600</v>
      </c>
      <c r="B44" s="821" t="s">
        <v>6596</v>
      </c>
      <c r="C44" s="822" t="s">
        <v>3273</v>
      </c>
      <c r="D44" s="836" t="s">
        <v>647</v>
      </c>
      <c r="E44" s="831" t="s">
        <v>2779</v>
      </c>
      <c r="F44" s="825"/>
      <c r="G44" s="841"/>
      <c r="H44" s="831"/>
      <c r="I44" s="831" t="s">
        <v>1727</v>
      </c>
      <c r="J44" s="831"/>
      <c r="K44" s="831" t="s">
        <v>2241</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6601</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6602</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6603</v>
      </c>
      <c r="C47" s="822" t="s">
        <v>5315</v>
      </c>
      <c r="D47" s="862" t="s">
        <v>6053</v>
      </c>
      <c r="E47" s="829"/>
      <c r="F47" s="832"/>
      <c r="G47" s="841"/>
      <c r="H47" s="829"/>
      <c r="I47" s="863" t="s">
        <v>5315</v>
      </c>
      <c r="J47" s="863" t="s">
        <v>2268</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6598</v>
      </c>
      <c r="B48" s="839" t="s">
        <v>6596</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6604</v>
      </c>
      <c r="C49" s="866" t="s">
        <v>6605</v>
      </c>
      <c r="D49" s="862" t="s">
        <v>6606</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6605</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6486</v>
      </c>
      <c r="C50" s="822" t="s">
        <v>347</v>
      </c>
      <c r="D50" s="836" t="s">
        <v>6607</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6608</v>
      </c>
      <c r="B52" s="874" t="s">
        <v>6609</v>
      </c>
      <c r="C52" s="861" t="s">
        <v>1843</v>
      </c>
      <c r="D52" s="831"/>
      <c r="E52" s="831" t="s">
        <v>1483</v>
      </c>
      <c r="F52" s="825"/>
      <c r="G52" s="826" t="s">
        <v>1945</v>
      </c>
      <c r="H52" s="831"/>
      <c r="I52" s="831" t="s">
        <v>6132</v>
      </c>
      <c r="J52" s="831" t="s">
        <v>1843</v>
      </c>
      <c r="K52" s="831" t="s">
        <v>4587</v>
      </c>
      <c r="L52" s="831" t="s">
        <v>838</v>
      </c>
      <c r="M52" s="831" t="s">
        <v>753</v>
      </c>
      <c r="N52" s="831" t="s">
        <v>2925</v>
      </c>
      <c r="O52" s="831"/>
      <c r="P52" s="829" t="s">
        <v>3412</v>
      </c>
      <c r="Q52" s="831" t="s">
        <v>1139</v>
      </c>
      <c r="R52" s="831" t="s">
        <v>6610</v>
      </c>
      <c r="S52" s="831"/>
      <c r="T52" s="831"/>
      <c r="U52" s="831" t="s">
        <v>2650</v>
      </c>
      <c r="V52" s="831" t="s">
        <v>3449</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6611</v>
      </c>
      <c r="C53" s="861" t="s">
        <v>3220</v>
      </c>
      <c r="D53" s="831"/>
      <c r="E53" s="831" t="s">
        <v>3220</v>
      </c>
      <c r="F53" s="879"/>
      <c r="G53" s="841"/>
      <c r="H53" s="831"/>
      <c r="I53" s="831"/>
      <c r="J53" s="831"/>
      <c r="K53" s="831"/>
      <c r="L53" s="831"/>
      <c r="M53" s="831"/>
      <c r="N53" s="831"/>
      <c r="O53" s="831" t="s">
        <v>401</v>
      </c>
      <c r="P53" s="829" t="s">
        <v>1305</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6612</v>
      </c>
      <c r="C54" s="861">
        <v>52.89</v>
      </c>
      <c r="D54" s="880" t="s">
        <v>4600</v>
      </c>
      <c r="E54" s="881"/>
      <c r="F54" s="825"/>
      <c r="G54" s="841"/>
      <c r="H54" s="881"/>
      <c r="I54" s="881"/>
      <c r="J54" s="881"/>
      <c r="K54" s="881"/>
      <c r="L54" s="881"/>
      <c r="M54" s="881"/>
      <c r="N54" s="882" t="s">
        <v>6613</v>
      </c>
      <c r="O54" s="881"/>
      <c r="P54" s="829"/>
      <c r="Q54" s="881"/>
      <c r="R54" s="881"/>
      <c r="S54" s="881"/>
      <c r="T54" s="881"/>
      <c r="U54" s="881"/>
      <c r="V54" s="881" t="s">
        <v>1927</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6614</v>
      </c>
      <c r="C55" s="861" t="s">
        <v>236</v>
      </c>
      <c r="D55" s="831" t="s">
        <v>492</v>
      </c>
      <c r="E55" s="880" t="s">
        <v>348</v>
      </c>
      <c r="F55" s="844" t="s">
        <v>2898</v>
      </c>
      <c r="G55" s="826" t="s">
        <v>1273</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6506</v>
      </c>
      <c r="B56" s="884" t="s">
        <v>6609</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6611</v>
      </c>
      <c r="C57" s="861" t="s">
        <v>467</v>
      </c>
      <c r="D57" s="880"/>
      <c r="E57" s="880" t="s">
        <v>6615</v>
      </c>
      <c r="F57" s="885"/>
      <c r="G57" s="841"/>
      <c r="H57" s="880" t="s">
        <v>467</v>
      </c>
      <c r="I57" s="880"/>
      <c r="J57" s="880"/>
      <c r="K57" s="880"/>
      <c r="L57" s="880"/>
      <c r="M57" s="880"/>
      <c r="N57" s="880"/>
      <c r="O57" s="880"/>
      <c r="P57" s="829" t="s">
        <v>6616</v>
      </c>
      <c r="Q57" s="880" t="s">
        <v>2139</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6612</v>
      </c>
      <c r="C58" s="861" t="s">
        <v>1371</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6614</v>
      </c>
      <c r="C59" s="861" t="s">
        <v>413</v>
      </c>
      <c r="D59" s="880"/>
      <c r="E59" s="880" t="s">
        <v>2873</v>
      </c>
      <c r="F59" s="886" t="s">
        <v>3234</v>
      </c>
      <c r="G59" s="826" t="s">
        <v>6617</v>
      </c>
      <c r="H59" s="826" t="s">
        <v>620</v>
      </c>
      <c r="I59" s="880"/>
      <c r="J59" s="880"/>
      <c r="K59" s="880"/>
      <c r="L59" s="880"/>
      <c r="M59" s="880"/>
      <c r="N59" s="880"/>
      <c r="O59" s="826" t="s">
        <v>3864</v>
      </c>
      <c r="P59" s="829" t="s">
        <v>6618</v>
      </c>
      <c r="Q59" s="880" t="s">
        <v>6539</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6501</v>
      </c>
      <c r="B60" s="888" t="s">
        <v>6486</v>
      </c>
      <c r="C60" s="861" t="s">
        <v>4121</v>
      </c>
      <c r="D60" s="833"/>
      <c r="E60" s="833"/>
      <c r="F60" s="844" t="s">
        <v>6619</v>
      </c>
      <c r="G60" s="841"/>
      <c r="H60" s="889" t="s">
        <v>1739</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6620</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6487</v>
      </c>
      <c r="B62" s="874" t="s">
        <v>6486</v>
      </c>
      <c r="C62" s="892" t="s">
        <v>2613</v>
      </c>
      <c r="D62" s="858" t="s">
        <v>6621</v>
      </c>
      <c r="E62" s="858"/>
      <c r="F62" s="893" t="s">
        <v>2613</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6501</v>
      </c>
      <c r="B63" s="884" t="s">
        <v>6622</v>
      </c>
      <c r="C63" s="861" t="s">
        <v>3674</v>
      </c>
      <c r="D63" s="858"/>
      <c r="E63" s="858"/>
      <c r="F63" s="825"/>
      <c r="G63" s="841"/>
      <c r="H63" s="826">
        <v>35.06</v>
      </c>
      <c r="I63" s="858"/>
      <c r="J63" s="858"/>
      <c r="K63" s="858"/>
      <c r="L63" s="858"/>
      <c r="M63" s="858"/>
      <c r="N63" s="858"/>
      <c r="O63" s="858"/>
      <c r="P63" s="859"/>
      <c r="Q63" s="858"/>
      <c r="R63" s="858"/>
      <c r="S63" s="858"/>
      <c r="T63" s="858"/>
      <c r="U63" s="858"/>
      <c r="V63" s="858" t="s">
        <v>6623</v>
      </c>
      <c r="W63" s="858"/>
      <c r="X63" s="858"/>
      <c r="Y63" s="858"/>
      <c r="Z63" s="858"/>
      <c r="AA63" s="858"/>
      <c r="AB63" s="858"/>
      <c r="AC63" s="858"/>
      <c r="AD63" s="858"/>
      <c r="AE63" s="858"/>
      <c r="AF63" s="858"/>
      <c r="AG63" s="858"/>
      <c r="AH63" s="858"/>
      <c r="AI63" s="858"/>
      <c r="AJ63" s="858"/>
      <c r="AK63" s="858"/>
      <c r="AL63" s="858"/>
      <c r="AM63" s="858"/>
      <c r="AN63" s="858"/>
      <c r="AO63" s="824" t="s">
        <v>6624</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6625</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6626</v>
      </c>
      <c r="C65" s="896" t="s">
        <v>3147</v>
      </c>
      <c r="D65" s="829" t="s">
        <v>6539</v>
      </c>
      <c r="E65" s="829"/>
      <c r="F65" s="844" t="s">
        <v>3147</v>
      </c>
      <c r="G65" s="841"/>
      <c r="H65" s="863" t="s">
        <v>1254</v>
      </c>
      <c r="I65" s="829"/>
      <c r="J65" s="829"/>
      <c r="K65" s="829"/>
      <c r="L65" s="829"/>
      <c r="M65" s="829"/>
      <c r="N65" s="829"/>
      <c r="O65" s="829"/>
      <c r="P65" s="829"/>
      <c r="Q65" s="829"/>
      <c r="R65" s="827" t="s">
        <v>6619</v>
      </c>
      <c r="S65" s="829"/>
      <c r="T65" s="829"/>
      <c r="U65" s="829"/>
      <c r="V65" s="827" t="s">
        <v>6627</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6506</v>
      </c>
      <c r="B66" s="884" t="s">
        <v>6622</v>
      </c>
      <c r="C66" s="866" t="s">
        <v>1033</v>
      </c>
      <c r="D66" s="829" t="s">
        <v>4203</v>
      </c>
      <c r="E66" s="829"/>
      <c r="F66" s="825"/>
      <c r="G66" s="841"/>
      <c r="H66" s="829"/>
      <c r="I66" s="829"/>
      <c r="J66" s="863" t="s">
        <v>6190</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1033</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6628</v>
      </c>
      <c r="C67" s="861" t="s">
        <v>2320</v>
      </c>
      <c r="D67" s="831" t="s">
        <v>2347</v>
      </c>
      <c r="E67" s="831" t="s">
        <v>3512</v>
      </c>
      <c r="F67" s="893" t="s">
        <v>2966</v>
      </c>
      <c r="G67" s="841"/>
      <c r="H67" s="831" t="s">
        <v>572</v>
      </c>
      <c r="I67" s="831"/>
      <c r="J67" s="831" t="s">
        <v>6629</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6630</v>
      </c>
      <c r="B68" s="874" t="s">
        <v>6631</v>
      </c>
      <c r="C68" s="861" t="str">
        <f>HYPERLINK("https://youtu.be/4OqNmNgyDyw","16.24")</f>
        <v>16.24</v>
      </c>
      <c r="D68" s="897"/>
      <c r="E68" s="897" t="s">
        <v>1210</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6017</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6632</v>
      </c>
      <c r="C69" s="861" t="s">
        <v>4070</v>
      </c>
      <c r="D69" s="831" t="s">
        <v>528</v>
      </c>
      <c r="E69" s="831"/>
      <c r="F69" s="893" t="s">
        <v>3193</v>
      </c>
      <c r="G69" s="826" t="s">
        <v>2169</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6633</v>
      </c>
      <c r="C70" s="861" t="s">
        <v>660</v>
      </c>
      <c r="D70" s="831" t="s">
        <v>1275</v>
      </c>
      <c r="E70" s="858" t="s">
        <v>839</v>
      </c>
      <c r="F70" s="844" t="s">
        <v>4821</v>
      </c>
      <c r="G70" s="826" t="s">
        <v>1275</v>
      </c>
      <c r="H70" s="858" t="s">
        <v>1211</v>
      </c>
      <c r="I70" s="858" t="s">
        <v>1432</v>
      </c>
      <c r="J70" s="858" t="s">
        <v>4299</v>
      </c>
      <c r="K70" s="858" t="s">
        <v>2999</v>
      </c>
      <c r="L70" s="858" t="s">
        <v>6634</v>
      </c>
      <c r="M70" s="858" t="s">
        <v>5751</v>
      </c>
      <c r="N70" s="858" t="s">
        <v>356</v>
      </c>
      <c r="O70" s="858" t="s">
        <v>6635</v>
      </c>
      <c r="P70" s="859"/>
      <c r="Q70" s="858" t="s">
        <v>1886</v>
      </c>
      <c r="R70" s="858"/>
      <c r="S70" s="858" t="s">
        <v>1612</v>
      </c>
      <c r="T70" s="858"/>
      <c r="U70" s="858"/>
      <c r="V70" s="858"/>
      <c r="W70" s="858"/>
      <c r="X70" s="858"/>
      <c r="Y70" s="858"/>
      <c r="Z70" s="858"/>
      <c r="AA70" s="858" t="s">
        <v>4070</v>
      </c>
      <c r="AB70" s="858"/>
      <c r="AC70" s="858"/>
      <c r="AD70" s="858"/>
      <c r="AE70" s="858"/>
      <c r="AF70" s="858"/>
      <c r="AG70" s="858"/>
      <c r="AH70" s="858" t="s">
        <v>660</v>
      </c>
      <c r="AI70" s="858"/>
      <c r="AJ70" s="858" t="s">
        <v>6636</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6637</v>
      </c>
      <c r="B71" s="874" t="s">
        <v>6638</v>
      </c>
      <c r="C71" s="861" t="s">
        <v>2154</v>
      </c>
      <c r="D71" s="831"/>
      <c r="E71" s="831" t="s">
        <v>2154</v>
      </c>
      <c r="F71" s="879"/>
      <c r="G71" s="826" t="s">
        <v>6416</v>
      </c>
      <c r="H71" s="831"/>
      <c r="I71" s="831" t="s">
        <v>6639</v>
      </c>
      <c r="J71" s="831"/>
      <c r="K71" s="831" t="s">
        <v>6061</v>
      </c>
      <c r="L71" s="831"/>
      <c r="M71" s="831"/>
      <c r="N71" s="831" t="s">
        <v>6640</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6641</v>
      </c>
      <c r="C72" s="861" t="s">
        <v>351</v>
      </c>
      <c r="D72" s="831" t="s">
        <v>1482</v>
      </c>
      <c r="E72" s="831" t="s">
        <v>351</v>
      </c>
      <c r="F72" s="837" t="s">
        <v>2899</v>
      </c>
      <c r="G72" s="826" t="s">
        <v>1276</v>
      </c>
      <c r="H72" s="831" t="s">
        <v>1544</v>
      </c>
      <c r="I72" s="831" t="s">
        <v>1433</v>
      </c>
      <c r="J72" s="831" t="s">
        <v>4943</v>
      </c>
      <c r="K72" s="831" t="s">
        <v>6642</v>
      </c>
      <c r="L72" s="831" t="s">
        <v>840</v>
      </c>
      <c r="M72" s="831" t="s">
        <v>755</v>
      </c>
      <c r="N72" s="831" t="s">
        <v>1364</v>
      </c>
      <c r="O72" s="831" t="s">
        <v>2317</v>
      </c>
      <c r="P72" s="829" t="s">
        <v>3810</v>
      </c>
      <c r="Q72" s="831" t="s">
        <v>6643</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6501</v>
      </c>
      <c r="B73" s="884" t="s">
        <v>6644</v>
      </c>
      <c r="C73" s="866" t="s">
        <v>6645</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6645</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6646</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6647</v>
      </c>
      <c r="C75" s="861" t="s">
        <v>5985</v>
      </c>
      <c r="D75" s="831" t="s">
        <v>1574</v>
      </c>
      <c r="E75" s="831" t="s">
        <v>756</v>
      </c>
      <c r="F75" s="837" t="s">
        <v>2900</v>
      </c>
      <c r="G75" s="826" t="s">
        <v>1277</v>
      </c>
      <c r="H75" s="831" t="s">
        <v>5985</v>
      </c>
      <c r="I75" s="831" t="str">
        <f>HYPERLINK("https://www.youtube.com/watch?v=Imyo7x5mfG4&amp;feature=youtu.be","30.15")</f>
        <v>30.15</v>
      </c>
      <c r="J75" s="831" t="s">
        <v>1651</v>
      </c>
      <c r="K75" s="831" t="s">
        <v>1891</v>
      </c>
      <c r="L75" s="831" t="s">
        <v>118</v>
      </c>
      <c r="M75" s="831" t="s">
        <v>756</v>
      </c>
      <c r="N75" s="831" t="s">
        <v>118</v>
      </c>
      <c r="O75" s="831" t="s">
        <v>1004</v>
      </c>
      <c r="P75" s="829" t="s">
        <v>3359</v>
      </c>
      <c r="Q75" s="831" t="s">
        <v>4976</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6648</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6506</v>
      </c>
      <c r="B76" s="884" t="s">
        <v>6638</v>
      </c>
      <c r="C76" s="861" t="s">
        <v>3988</v>
      </c>
      <c r="D76" s="831"/>
      <c r="E76" s="831" t="s">
        <v>3988</v>
      </c>
      <c r="F76" s="879"/>
      <c r="G76" s="826" t="s">
        <v>2467</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1886</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6649</v>
      </c>
      <c r="C77" s="861" t="s">
        <v>2724</v>
      </c>
      <c r="D77" s="831" t="s">
        <v>2526</v>
      </c>
      <c r="E77" s="831" t="s">
        <v>2394</v>
      </c>
      <c r="F77" s="855" t="s">
        <v>4083</v>
      </c>
      <c r="G77" s="826" t="s">
        <v>6650</v>
      </c>
      <c r="H77" s="831"/>
      <c r="I77" s="831"/>
      <c r="J77" s="831"/>
      <c r="K77" s="831"/>
      <c r="L77" s="831"/>
      <c r="M77" s="831" t="s">
        <v>6651</v>
      </c>
      <c r="N77" s="831"/>
      <c r="O77" s="831"/>
      <c r="P77" s="829" t="s">
        <v>6652</v>
      </c>
      <c r="Q77" s="831"/>
      <c r="R77" s="831"/>
      <c r="S77" s="831" t="s">
        <v>3848</v>
      </c>
      <c r="T77" s="831"/>
      <c r="U77" s="831"/>
      <c r="V77" s="831"/>
      <c r="W77" s="831" t="s">
        <v>6652</v>
      </c>
      <c r="X77" s="831" t="s">
        <v>2070</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6653</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1981</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6544</v>
      </c>
      <c r="B79" s="874" t="s">
        <v>6654</v>
      </c>
      <c r="C79" s="861" t="s">
        <v>2211</v>
      </c>
      <c r="D79" s="831"/>
      <c r="E79" s="831" t="s">
        <v>2211</v>
      </c>
      <c r="F79" s="879"/>
      <c r="G79" s="826" t="s">
        <v>6655</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6656</v>
      </c>
      <c r="C80" s="861" t="s">
        <v>2614</v>
      </c>
      <c r="D80" s="831" t="s">
        <v>3548</v>
      </c>
      <c r="E80" s="831" t="s">
        <v>2614</v>
      </c>
      <c r="F80" s="825"/>
      <c r="G80" s="841"/>
      <c r="H80" s="831"/>
      <c r="I80" s="831"/>
      <c r="J80" s="831"/>
      <c r="K80" s="831" t="s">
        <v>6657</v>
      </c>
      <c r="L80" s="831" t="s">
        <v>5139</v>
      </c>
      <c r="M80" s="831"/>
      <c r="N80" s="831" t="str">
        <f>HYPERLINK("https://youtu.be/HUwmtKe7cOY","56.54")</f>
        <v>56.54</v>
      </c>
      <c r="O80" s="831"/>
      <c r="P80" s="829" t="s">
        <v>3689</v>
      </c>
      <c r="Q80" s="831"/>
      <c r="R80" s="831"/>
      <c r="S80" s="831"/>
      <c r="T80" s="831"/>
      <c r="U80" s="831" t="s">
        <v>2273</v>
      </c>
      <c r="V80" s="831" t="s">
        <v>6658</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6659</v>
      </c>
      <c r="C81" s="861" t="s">
        <v>880</v>
      </c>
      <c r="D81" s="831" t="s">
        <v>1575</v>
      </c>
      <c r="E81" s="831" t="s">
        <v>5483</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6660</v>
      </c>
      <c r="B82" s="874" t="s">
        <v>6661</v>
      </c>
      <c r="C82" s="861" t="s">
        <v>3445</v>
      </c>
      <c r="D82" s="831"/>
      <c r="E82" s="831" t="s">
        <v>6662</v>
      </c>
      <c r="F82" s="825"/>
      <c r="G82" s="826" t="s">
        <v>5213</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6663</v>
      </c>
      <c r="C83" s="861" t="s">
        <v>1576</v>
      </c>
      <c r="D83" s="831" t="s">
        <v>1576</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6664</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6665</v>
      </c>
      <c r="C84" s="861" t="s">
        <v>6386</v>
      </c>
      <c r="D84" s="880"/>
      <c r="E84" s="880" t="s">
        <v>6666</v>
      </c>
      <c r="F84" s="825"/>
      <c r="G84" s="826" t="s">
        <v>1279</v>
      </c>
      <c r="H84" s="880" t="s">
        <v>1077</v>
      </c>
      <c r="I84" s="880" t="s">
        <v>3003</v>
      </c>
      <c r="J84" s="880"/>
      <c r="K84" s="880" t="s">
        <v>6667</v>
      </c>
      <c r="L84" s="880" t="s">
        <v>759</v>
      </c>
      <c r="M84" s="880" t="s">
        <v>759</v>
      </c>
      <c r="N84" s="880" t="s">
        <v>6386</v>
      </c>
      <c r="O84" s="880" t="s">
        <v>664</v>
      </c>
      <c r="P84" s="829" t="s">
        <v>6668</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6669</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6670</v>
      </c>
      <c r="B85" s="888" t="s">
        <v>6486</v>
      </c>
      <c r="C85" s="892" t="s">
        <v>6671</v>
      </c>
      <c r="D85" s="827" t="s">
        <v>6672</v>
      </c>
      <c r="E85" s="880"/>
      <c r="F85" s="893" t="s">
        <v>6671</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6673</v>
      </c>
      <c r="B86" s="888" t="s">
        <v>6486</v>
      </c>
      <c r="C86" s="902" t="s">
        <v>6674</v>
      </c>
      <c r="D86" s="827" t="s">
        <v>6675</v>
      </c>
      <c r="E86" s="880"/>
      <c r="F86" s="855" t="s">
        <v>6674</v>
      </c>
      <c r="G86" s="841"/>
      <c r="H86" s="880"/>
      <c r="I86" s="880"/>
      <c r="J86" s="880"/>
      <c r="K86" s="880"/>
      <c r="L86" s="880"/>
      <c r="M86" s="880"/>
      <c r="N86" s="880"/>
      <c r="O86" s="880"/>
      <c r="P86" s="829"/>
      <c r="Q86" s="880"/>
      <c r="R86" s="880"/>
      <c r="S86" s="880"/>
      <c r="T86" s="880"/>
      <c r="U86" s="880"/>
      <c r="V86" s="827" t="s">
        <v>6676</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6589</v>
      </c>
      <c r="B87" s="874" t="s">
        <v>6590</v>
      </c>
      <c r="C87" s="861" t="s">
        <v>5267</v>
      </c>
      <c r="D87" s="831" t="s">
        <v>6677</v>
      </c>
      <c r="E87" s="831" t="s">
        <v>5267</v>
      </c>
      <c r="F87" s="879"/>
      <c r="G87" s="841"/>
      <c r="H87" s="831" t="s">
        <v>5267</v>
      </c>
      <c r="I87" s="831" t="s">
        <v>5122</v>
      </c>
      <c r="J87" s="831"/>
      <c r="K87" s="831" t="s">
        <v>4668</v>
      </c>
      <c r="L87" s="831"/>
      <c r="M87" s="831" t="s">
        <v>3272</v>
      </c>
      <c r="N87" s="831" t="str">
        <f>HYPERLINK("https://youtu.be/HjDDp_Mj_yI","16.74")</f>
        <v>16.74</v>
      </c>
      <c r="O87" s="831"/>
      <c r="P87" s="829" t="s">
        <v>5158</v>
      </c>
      <c r="Q87" s="831"/>
      <c r="R87" s="831" t="s">
        <v>5267</v>
      </c>
      <c r="S87" s="831"/>
      <c r="T87" s="831"/>
      <c r="U87" s="831" t="s">
        <v>5122</v>
      </c>
      <c r="V87" s="831"/>
      <c r="W87" s="831"/>
      <c r="X87" s="831"/>
      <c r="Y87" s="831"/>
      <c r="Z87" s="831"/>
      <c r="AA87" s="831"/>
      <c r="AB87" s="831"/>
      <c r="AC87" s="831"/>
      <c r="AD87" s="831" t="s">
        <v>5267</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6678</v>
      </c>
      <c r="C88" s="861" t="s">
        <v>1693</v>
      </c>
      <c r="D88" s="831"/>
      <c r="E88" s="831" t="s">
        <v>1693</v>
      </c>
      <c r="F88" s="825"/>
      <c r="G88" s="841"/>
      <c r="H88" s="831" t="s">
        <v>1693</v>
      </c>
      <c r="I88" s="831"/>
      <c r="J88" s="831"/>
      <c r="K88" s="831"/>
      <c r="L88" s="831"/>
      <c r="M88" s="831" t="s">
        <v>1693</v>
      </c>
      <c r="N88" s="831"/>
      <c r="O88" s="831"/>
      <c r="P88" s="829"/>
      <c r="Q88" s="831" t="s">
        <v>2750</v>
      </c>
      <c r="R88" s="831" t="s">
        <v>1693</v>
      </c>
      <c r="S88" s="831"/>
      <c r="T88" s="831"/>
      <c r="U88" s="831"/>
      <c r="V88" s="831"/>
      <c r="W88" s="831"/>
      <c r="X88" s="831"/>
      <c r="Y88" s="831"/>
      <c r="Z88" s="831"/>
      <c r="AA88" s="831"/>
      <c r="AB88" s="831"/>
      <c r="AC88" s="831"/>
      <c r="AD88" s="831" t="s">
        <v>6679</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6680</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6681</v>
      </c>
      <c r="C90" s="861" t="s">
        <v>1078</v>
      </c>
      <c r="D90" s="831" t="s">
        <v>1577</v>
      </c>
      <c r="E90" s="827" t="s">
        <v>356</v>
      </c>
      <c r="F90" s="825"/>
      <c r="G90" s="826" t="s">
        <v>1280</v>
      </c>
      <c r="H90" s="827" t="s">
        <v>1078</v>
      </c>
      <c r="I90" s="828"/>
      <c r="J90" s="827" t="s">
        <v>6682</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6683</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6593</v>
      </c>
      <c r="B92" s="874" t="s">
        <v>6684</v>
      </c>
      <c r="C92" s="861" t="s">
        <v>357</v>
      </c>
      <c r="D92" s="836" t="s">
        <v>1578</v>
      </c>
      <c r="E92" s="831" t="s">
        <v>1671</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6685</v>
      </c>
      <c r="B93" s="874" t="s">
        <v>6596</v>
      </c>
      <c r="C93" s="861" t="s">
        <v>6686</v>
      </c>
      <c r="D93" s="862" t="s">
        <v>1705</v>
      </c>
      <c r="E93" s="831" t="s">
        <v>358</v>
      </c>
      <c r="F93" s="825"/>
      <c r="G93" s="841"/>
      <c r="H93" s="831"/>
      <c r="I93" s="831"/>
      <c r="J93" s="831"/>
      <c r="K93" s="831"/>
      <c r="L93" s="831" t="s">
        <v>4236</v>
      </c>
      <c r="M93" s="831" t="str">
        <f>HYPERLINK("https://www.youtube.com/watch?v=8BrDAvD-IV4","1:01.54")</f>
        <v>1:01.54</v>
      </c>
      <c r="N93" s="831" t="s">
        <v>1656</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6687</v>
      </c>
      <c r="B94" s="888" t="s">
        <v>6596</v>
      </c>
      <c r="C94" s="861" t="s">
        <v>6688</v>
      </c>
      <c r="D94" s="862" t="s">
        <v>6688</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6486</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6689</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6485</v>
      </c>
      <c r="B97" s="910"/>
      <c r="C97" s="911" t="s">
        <v>4190</v>
      </c>
      <c r="D97" s="836" t="s">
        <v>1581</v>
      </c>
      <c r="E97" s="912" t="s">
        <v>2432</v>
      </c>
      <c r="F97" s="825"/>
      <c r="G97" s="826" t="s">
        <v>5879</v>
      </c>
      <c r="H97" s="912"/>
      <c r="I97" s="912" t="str">
        <f>HYPERLINK("https://youtu.be/ycBfir2aflI","41.70")</f>
        <v>41.70</v>
      </c>
      <c r="J97" s="912" t="s">
        <v>6517</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6501</v>
      </c>
      <c r="B98" s="917"/>
      <c r="C98" s="911" t="s">
        <v>1620</v>
      </c>
      <c r="D98" s="836" t="s">
        <v>1582</v>
      </c>
      <c r="E98" s="918"/>
      <c r="F98" s="919"/>
      <c r="G98" s="826" t="s">
        <v>6615</v>
      </c>
      <c r="H98" s="918"/>
      <c r="I98" s="918" t="s">
        <v>3364</v>
      </c>
      <c r="J98" s="918" t="s">
        <v>4140</v>
      </c>
      <c r="K98" s="918" t="s">
        <v>1235</v>
      </c>
      <c r="L98" s="918" t="s">
        <v>847</v>
      </c>
      <c r="M98" s="918" t="s">
        <v>763</v>
      </c>
      <c r="N98" s="918" t="s">
        <v>3656</v>
      </c>
      <c r="O98" s="918" t="s">
        <v>1620</v>
      </c>
      <c r="P98" s="920" t="s">
        <v>2739</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6506</v>
      </c>
      <c r="B99" s="921"/>
      <c r="C99" s="911" t="s">
        <v>3387</v>
      </c>
      <c r="D99" s="922" t="s">
        <v>4499</v>
      </c>
      <c r="E99" s="918"/>
      <c r="F99" s="825"/>
      <c r="G99" s="826" t="s">
        <v>5935</v>
      </c>
      <c r="H99" s="918"/>
      <c r="I99" s="918"/>
      <c r="J99" s="918" t="s">
        <v>3387</v>
      </c>
      <c r="K99" s="918"/>
      <c r="L99" s="918" t="s">
        <v>3512</v>
      </c>
      <c r="M99" s="918"/>
      <c r="N99" s="918"/>
      <c r="O99" s="918"/>
      <c r="P99" s="920"/>
      <c r="Q99" s="918"/>
      <c r="R99" s="918"/>
      <c r="S99" s="918"/>
      <c r="T99" s="918" t="s">
        <v>1971</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6690</v>
      </c>
      <c r="B100" s="923" t="s">
        <v>6691</v>
      </c>
      <c r="C100" s="911" t="s">
        <v>1519</v>
      </c>
      <c r="D100" s="860" t="s">
        <v>6692</v>
      </c>
      <c r="E100" s="918"/>
      <c r="F100" s="825"/>
      <c r="G100" s="826" t="s">
        <v>1285</v>
      </c>
      <c r="H100" s="918"/>
      <c r="I100" s="918" t="s">
        <v>6693</v>
      </c>
      <c r="J100" s="918" t="s">
        <v>6694</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6695</v>
      </c>
      <c r="C101" s="911" t="s">
        <v>6696</v>
      </c>
      <c r="D101" s="836" t="s">
        <v>1583</v>
      </c>
      <c r="E101" s="918"/>
      <c r="F101" s="919"/>
      <c r="G101" s="841"/>
      <c r="H101" s="918"/>
      <c r="I101" s="918"/>
      <c r="J101" s="918" t="s">
        <v>6696</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6630</v>
      </c>
      <c r="B102" s="923" t="s">
        <v>6697</v>
      </c>
      <c r="C102" s="911" t="s">
        <v>5580</v>
      </c>
      <c r="D102" s="860" t="s">
        <v>6698</v>
      </c>
      <c r="E102" s="918"/>
      <c r="F102" s="825"/>
      <c r="G102" s="826" t="s">
        <v>610</v>
      </c>
      <c r="H102" s="918"/>
      <c r="I102" s="918"/>
      <c r="J102" s="918" t="s">
        <v>6699</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6700</v>
      </c>
      <c r="BB102" s="918"/>
      <c r="BC102" s="918"/>
      <c r="BD102" s="915"/>
      <c r="BE102" s="918"/>
      <c r="BF102" s="914"/>
      <c r="BG102" s="914"/>
      <c r="BH102" s="915"/>
      <c r="BI102" s="915"/>
      <c r="BJ102" s="915"/>
    </row>
    <row r="103" ht="15.75" customHeight="1">
      <c r="A103" s="909" t="s">
        <v>6637</v>
      </c>
      <c r="B103" s="923" t="s">
        <v>6701</v>
      </c>
      <c r="C103" s="911" t="s">
        <v>6702</v>
      </c>
      <c r="D103" s="860" t="s">
        <v>3653</v>
      </c>
      <c r="E103" s="918"/>
      <c r="F103" s="919"/>
      <c r="G103" s="826" t="s">
        <v>131</v>
      </c>
      <c r="H103" s="918"/>
      <c r="I103" s="918" t="s">
        <v>6703</v>
      </c>
      <c r="J103" s="918" t="s">
        <v>6704</v>
      </c>
      <c r="K103" s="918" t="s">
        <v>3541</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6501</v>
      </c>
      <c r="B104" s="917" t="s">
        <v>6701</v>
      </c>
      <c r="C104" s="822" t="s">
        <v>6705</v>
      </c>
      <c r="D104" s="862" t="s">
        <v>6619</v>
      </c>
      <c r="E104" s="912" t="s">
        <v>365</v>
      </c>
      <c r="F104" s="825"/>
      <c r="G104" s="826" t="s">
        <v>6706</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6705</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6506</v>
      </c>
      <c r="B105" s="926" t="s">
        <v>6691</v>
      </c>
      <c r="C105" s="911" t="s">
        <v>1703</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6707</v>
      </c>
      <c r="B106" s="927" t="s">
        <v>6486</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6660</v>
      </c>
      <c r="B107" s="923" t="s">
        <v>6596</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6708</v>
      </c>
      <c r="C108" s="911" t="s">
        <v>1261</v>
      </c>
      <c r="D108" s="836" t="s">
        <v>1586</v>
      </c>
      <c r="E108" s="918"/>
      <c r="F108" s="825"/>
      <c r="G108" s="826" t="s">
        <v>1288</v>
      </c>
      <c r="H108" s="918"/>
      <c r="I108" s="918" t="s">
        <v>6709</v>
      </c>
      <c r="J108" s="918" t="s">
        <v>1261</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6589</v>
      </c>
      <c r="B109" s="923" t="s">
        <v>6590</v>
      </c>
      <c r="C109" s="911" t="s">
        <v>1059</v>
      </c>
      <c r="D109" s="912" t="s">
        <v>1555</v>
      </c>
      <c r="E109" s="912" t="s">
        <v>5935</v>
      </c>
      <c r="F109" s="929" t="s">
        <v>5440</v>
      </c>
      <c r="G109" s="841"/>
      <c r="H109" s="912" t="s">
        <v>5935</v>
      </c>
      <c r="I109" s="912" t="str">
        <f>HYPERLINK("https://youtu.be/NIfI1hsvvFQ","19.73")</f>
        <v>19.73</v>
      </c>
      <c r="J109" s="912" t="s">
        <v>1059</v>
      </c>
      <c r="K109" s="912" t="s">
        <v>2556</v>
      </c>
      <c r="L109" s="912"/>
      <c r="M109" s="912" t="s">
        <v>1665</v>
      </c>
      <c r="N109" s="912" t="str">
        <f>HYPERLINK("https://youtu.be/vlD8b3WQME8","20.08")</f>
        <v>20.08</v>
      </c>
      <c r="O109" s="912"/>
      <c r="P109" s="913" t="s">
        <v>3084</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6592</v>
      </c>
      <c r="C110" s="911" t="s">
        <v>472</v>
      </c>
      <c r="D110" s="831" t="s">
        <v>931</v>
      </c>
      <c r="E110" s="912" t="s">
        <v>674</v>
      </c>
      <c r="F110" s="837" t="s">
        <v>2034</v>
      </c>
      <c r="G110" s="826" t="s">
        <v>1753</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6593</v>
      </c>
      <c r="B111" s="923" t="s">
        <v>6710</v>
      </c>
      <c r="C111" s="911" t="s">
        <v>2198</v>
      </c>
      <c r="D111" s="918"/>
      <c r="E111" s="918"/>
      <c r="F111" s="919"/>
      <c r="G111" s="826" t="s">
        <v>4226</v>
      </c>
      <c r="H111" s="918"/>
      <c r="I111" s="918"/>
      <c r="J111" s="918"/>
      <c r="K111" s="918" t="s">
        <v>3897</v>
      </c>
      <c r="L111" s="918"/>
      <c r="M111" s="918"/>
      <c r="N111" s="918" t="s">
        <v>5320</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6104</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6711</v>
      </c>
      <c r="C112" s="911" t="s">
        <v>963</v>
      </c>
      <c r="D112" s="918" t="s">
        <v>3873</v>
      </c>
      <c r="E112" s="918"/>
      <c r="F112" s="825"/>
      <c r="G112" s="826" t="s">
        <v>823</v>
      </c>
      <c r="H112" s="918"/>
      <c r="I112" s="918"/>
      <c r="J112" s="918" t="s">
        <v>179</v>
      </c>
      <c r="K112" s="918" t="s">
        <v>118</v>
      </c>
      <c r="L112" s="918" t="s">
        <v>293</v>
      </c>
      <c r="M112" s="918"/>
      <c r="N112" s="918"/>
      <c r="O112" s="918"/>
      <c r="P112" s="920" t="s">
        <v>2516</v>
      </c>
      <c r="Q112" s="918" t="s">
        <v>2743</v>
      </c>
      <c r="R112" s="918" t="s">
        <v>933</v>
      </c>
      <c r="S112" s="918"/>
      <c r="T112" s="918"/>
      <c r="U112" s="918" t="s">
        <v>6712</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6713</v>
      </c>
      <c r="C113" s="911" t="s">
        <v>6714</v>
      </c>
      <c r="D113" s="831" t="s">
        <v>1587</v>
      </c>
      <c r="E113" s="912" t="s">
        <v>6714</v>
      </c>
      <c r="F113" s="844" t="s">
        <v>1980</v>
      </c>
      <c r="G113" s="841"/>
      <c r="H113" s="912"/>
      <c r="I113" s="912" t="s">
        <v>256</v>
      </c>
      <c r="J113" s="912" t="s">
        <v>4723</v>
      </c>
      <c r="K113" s="912" t="s">
        <v>933</v>
      </c>
      <c r="L113" s="912"/>
      <c r="M113" s="912" t="s">
        <v>770</v>
      </c>
      <c r="N113" s="912"/>
      <c r="O113" s="912" t="s">
        <v>4260</v>
      </c>
      <c r="P113" s="913" t="s">
        <v>5967</v>
      </c>
      <c r="Q113" s="912" t="s">
        <v>6715</v>
      </c>
      <c r="R113" s="912" t="s">
        <v>3305</v>
      </c>
      <c r="S113" s="912"/>
      <c r="T113" s="912" t="s">
        <v>6716</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6717</v>
      </c>
      <c r="C114" s="911" t="s">
        <v>6718</v>
      </c>
      <c r="D114" s="918"/>
      <c r="E114" s="918"/>
      <c r="F114" s="825"/>
      <c r="G114" s="841"/>
      <c r="H114" s="918"/>
      <c r="I114" s="918"/>
      <c r="J114" s="918"/>
      <c r="K114" s="918"/>
      <c r="L114" s="918"/>
      <c r="M114" s="918"/>
      <c r="N114" s="918"/>
      <c r="O114" s="918"/>
      <c r="P114" s="920"/>
      <c r="Q114" s="918"/>
      <c r="R114" s="918"/>
      <c r="S114" s="918" t="s">
        <v>6719</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6720</v>
      </c>
      <c r="B115" s="927" t="s">
        <v>6596</v>
      </c>
      <c r="C115" s="911" t="s">
        <v>853</v>
      </c>
      <c r="D115" s="836" t="s">
        <v>1589</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6687</v>
      </c>
      <c r="B116" s="917" t="s">
        <v>6596</v>
      </c>
      <c r="C116" s="861" t="s">
        <v>6721</v>
      </c>
      <c r="D116" s="862" t="s">
        <v>6721</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6722</v>
      </c>
      <c r="B117" s="927" t="s">
        <v>6486</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6691</v>
      </c>
      <c r="C118" s="911" t="s">
        <v>2831</v>
      </c>
      <c r="D118" s="836" t="s">
        <v>6723</v>
      </c>
      <c r="E118" s="918"/>
      <c r="F118" s="825"/>
      <c r="G118" s="841"/>
      <c r="H118" s="918"/>
      <c r="I118" s="918" t="s">
        <v>6724</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6725</v>
      </c>
      <c r="B120" s="938"/>
      <c r="C120" s="911" t="s">
        <v>4042</v>
      </c>
      <c r="D120" s="912" t="s">
        <v>6726</v>
      </c>
      <c r="E120" s="912" t="s">
        <v>6727</v>
      </c>
      <c r="F120" s="844" t="s">
        <v>6728</v>
      </c>
      <c r="G120" s="841"/>
      <c r="H120" s="912" t="s">
        <v>4042</v>
      </c>
      <c r="I120" s="912"/>
      <c r="J120" s="912"/>
      <c r="K120" s="912"/>
      <c r="L120" s="912" t="s">
        <v>6727</v>
      </c>
      <c r="M120" s="912"/>
      <c r="N120" s="912"/>
      <c r="O120" s="912"/>
      <c r="P120" s="913" t="s">
        <v>6729</v>
      </c>
      <c r="Q120" s="912"/>
      <c r="R120" s="912"/>
      <c r="S120" s="912" t="s">
        <v>6730</v>
      </c>
      <c r="T120" s="912"/>
      <c r="U120" s="912"/>
      <c r="V120" s="912"/>
      <c r="W120" s="912" t="s">
        <v>6729</v>
      </c>
      <c r="X120" s="912"/>
      <c r="Y120" s="912"/>
      <c r="Z120" s="912" t="s">
        <v>6728</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6485</v>
      </c>
      <c r="B121" s="940" t="s">
        <v>6731</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6732</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6733</v>
      </c>
      <c r="C123" s="896" t="s">
        <v>1185</v>
      </c>
      <c r="D123" s="831" t="s">
        <v>658</v>
      </c>
      <c r="E123" s="918"/>
      <c r="F123" s="844" t="s">
        <v>1185</v>
      </c>
      <c r="G123" s="826" t="s">
        <v>1355</v>
      </c>
      <c r="H123" s="918"/>
      <c r="I123" s="918"/>
      <c r="J123" s="918" t="s">
        <v>2652</v>
      </c>
      <c r="K123" s="918" t="s">
        <v>6734</v>
      </c>
      <c r="L123" s="918"/>
      <c r="M123" s="918"/>
      <c r="N123" s="918"/>
      <c r="O123" s="918"/>
      <c r="P123" s="920" t="s">
        <v>6735</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6736</v>
      </c>
      <c r="C124" s="822" t="s">
        <v>1086</v>
      </c>
      <c r="D124" s="918"/>
      <c r="E124" s="918"/>
      <c r="F124" s="825"/>
      <c r="G124" s="826" t="s">
        <v>1293</v>
      </c>
      <c r="H124" s="853" t="s">
        <v>1086</v>
      </c>
      <c r="I124" s="918"/>
      <c r="J124" s="918"/>
      <c r="K124" s="918"/>
      <c r="L124" s="918"/>
      <c r="M124" s="918"/>
      <c r="N124" s="918"/>
      <c r="O124" s="853" t="s">
        <v>1019</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6501</v>
      </c>
      <c r="B125" s="945" t="s">
        <v>6486</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6506</v>
      </c>
      <c r="B126" s="949" t="s">
        <v>6486</v>
      </c>
      <c r="C126" s="911" t="s">
        <v>6737</v>
      </c>
      <c r="D126" s="918"/>
      <c r="E126" s="918"/>
      <c r="F126" s="844" t="s">
        <v>2075</v>
      </c>
      <c r="G126" s="826" t="s">
        <v>6738</v>
      </c>
      <c r="H126" s="826" t="s">
        <v>6737</v>
      </c>
      <c r="I126" s="918"/>
      <c r="J126" s="918"/>
      <c r="K126" s="918"/>
      <c r="L126" s="918"/>
      <c r="M126" s="918"/>
      <c r="N126" s="918"/>
      <c r="O126" s="918"/>
      <c r="P126" s="920"/>
      <c r="Q126" s="918"/>
      <c r="R126" s="918"/>
      <c r="S126" s="918" t="s">
        <v>6737</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6487</v>
      </c>
      <c r="B127" s="938"/>
      <c r="C127" s="911" t="s">
        <v>775</v>
      </c>
      <c r="D127" s="831" t="s">
        <v>864</v>
      </c>
      <c r="E127" s="918"/>
      <c r="F127" s="950" t="s">
        <v>1903</v>
      </c>
      <c r="G127" s="826" t="s">
        <v>1294</v>
      </c>
      <c r="H127" s="918"/>
      <c r="I127" s="853" t="str">
        <f>HYPERLINK("https://youtu.be/6f5dBhAmU1g","42.10")</f>
        <v>42.10</v>
      </c>
      <c r="J127" s="918" t="s">
        <v>6739</v>
      </c>
      <c r="K127" s="918" t="s">
        <v>2135</v>
      </c>
      <c r="L127" s="853" t="s">
        <v>856</v>
      </c>
      <c r="M127" s="853" t="s">
        <v>775</v>
      </c>
      <c r="N127" s="918" t="s">
        <v>4685</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6501</v>
      </c>
      <c r="B128" s="949" t="s">
        <v>6486</v>
      </c>
      <c r="C128" s="911" t="str">
        <f>HYPERLINK("https://youtu.be/sDPkawvhuRo","28.54")</f>
        <v>28.54</v>
      </c>
      <c r="D128" s="831" t="s">
        <v>1590</v>
      </c>
      <c r="E128" s="918"/>
      <c r="F128" s="844" t="s">
        <v>2319</v>
      </c>
      <c r="G128" s="826" t="s">
        <v>374</v>
      </c>
      <c r="H128" s="853" t="s">
        <v>1114</v>
      </c>
      <c r="I128" s="918" t="s">
        <v>1452</v>
      </c>
      <c r="J128" s="918" t="s">
        <v>2319</v>
      </c>
      <c r="K128" s="918" t="s">
        <v>405</v>
      </c>
      <c r="L128" s="853" t="s">
        <v>143</v>
      </c>
      <c r="M128" s="853" t="s">
        <v>374</v>
      </c>
      <c r="N128" s="918" t="s">
        <v>3546</v>
      </c>
      <c r="O128" s="853" t="s">
        <v>256</v>
      </c>
      <c r="P128" s="920" t="s">
        <v>298</v>
      </c>
      <c r="Q128" s="918"/>
      <c r="R128" s="918"/>
      <c r="S128" s="918" t="s">
        <v>1084</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6506</v>
      </c>
      <c r="B129" s="949" t="s">
        <v>6486</v>
      </c>
      <c r="C129" s="911" t="s">
        <v>6740</v>
      </c>
      <c r="D129" s="912"/>
      <c r="E129" s="912" t="s">
        <v>6740</v>
      </c>
      <c r="F129" s="946" t="s">
        <v>1552</v>
      </c>
      <c r="G129" s="826" t="s">
        <v>6741</v>
      </c>
      <c r="H129" s="912"/>
      <c r="I129" s="912"/>
      <c r="J129" s="912"/>
      <c r="K129" s="912"/>
      <c r="L129" s="912" t="s">
        <v>2948</v>
      </c>
      <c r="M129" s="912" t="s">
        <v>6741</v>
      </c>
      <c r="N129" s="912"/>
      <c r="O129" s="912"/>
      <c r="P129" s="913" t="s">
        <v>6740</v>
      </c>
      <c r="Q129" s="912" t="s">
        <v>486</v>
      </c>
      <c r="R129" s="912"/>
      <c r="S129" s="912"/>
      <c r="T129" s="912"/>
      <c r="U129" s="912"/>
      <c r="V129" s="912"/>
      <c r="W129" s="912"/>
      <c r="X129" s="912"/>
      <c r="Y129" s="912" t="s">
        <v>6742</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6630</v>
      </c>
      <c r="B130" s="940" t="s">
        <v>6743</v>
      </c>
      <c r="C130" s="911" t="s">
        <v>6744</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6745</v>
      </c>
      <c r="C131" s="911" t="s">
        <v>1812</v>
      </c>
      <c r="D131" s="918" t="s">
        <v>2558</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1645</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6746</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6747</v>
      </c>
      <c r="C133" s="911" t="s">
        <v>375</v>
      </c>
      <c r="D133" s="831" t="s">
        <v>776</v>
      </c>
      <c r="E133" s="826" t="s">
        <v>375</v>
      </c>
      <c r="F133" s="837" t="s">
        <v>2903</v>
      </c>
      <c r="G133" s="826" t="s">
        <v>1295</v>
      </c>
      <c r="H133" s="951" t="s">
        <v>6748</v>
      </c>
      <c r="I133" s="826" t="s">
        <v>5359</v>
      </c>
      <c r="J133" s="841"/>
      <c r="K133" s="841"/>
      <c r="L133" s="826" t="s">
        <v>857</v>
      </c>
      <c r="M133" s="826" t="s">
        <v>4882</v>
      </c>
      <c r="N133" s="841"/>
      <c r="O133" s="826" t="s">
        <v>6749</v>
      </c>
      <c r="P133" s="913" t="s">
        <v>5074</v>
      </c>
      <c r="Q133" s="841"/>
      <c r="R133" s="826" t="s">
        <v>1759</v>
      </c>
      <c r="S133" s="841"/>
      <c r="T133" s="841"/>
      <c r="U133" s="841"/>
      <c r="V133" s="826" t="s">
        <v>1869</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6750</v>
      </c>
      <c r="AV133" s="841"/>
      <c r="AW133" s="833"/>
      <c r="AX133" s="841"/>
      <c r="AY133" s="841"/>
      <c r="AZ133" s="841"/>
      <c r="BA133" s="841"/>
      <c r="BB133" s="841"/>
      <c r="BC133" s="841"/>
      <c r="BD133" s="833"/>
      <c r="BE133" s="841"/>
      <c r="BF133" s="914"/>
      <c r="BG133" s="914"/>
      <c r="BH133" s="833"/>
      <c r="BI133" s="833"/>
      <c r="BJ133" s="833"/>
    </row>
    <row r="134" ht="15.75" customHeight="1">
      <c r="A134" s="937" t="s">
        <v>6533</v>
      </c>
      <c r="B134" s="940" t="s">
        <v>6751</v>
      </c>
      <c r="C134" s="911" t="s">
        <v>565</v>
      </c>
      <c r="D134" s="918" t="s">
        <v>4332</v>
      </c>
      <c r="E134" s="918"/>
      <c r="F134" s="825"/>
      <c r="G134" s="841"/>
      <c r="H134" s="918"/>
      <c r="I134" s="918"/>
      <c r="J134" s="826" t="s">
        <v>5564</v>
      </c>
      <c r="K134" s="918" t="s">
        <v>1743</v>
      </c>
      <c r="L134" s="918"/>
      <c r="M134" s="918"/>
      <c r="N134" s="918" t="str">
        <f>HYPERLINK("https://youtu.be/wzsts4r5VHY","56.24")</f>
        <v>56.24</v>
      </c>
      <c r="O134" s="826" t="s">
        <v>6752</v>
      </c>
      <c r="P134" s="920"/>
      <c r="Q134" s="918"/>
      <c r="R134" s="918"/>
      <c r="S134" s="918" t="s">
        <v>565</v>
      </c>
      <c r="T134" s="918"/>
      <c r="U134" s="918"/>
      <c r="V134" s="918"/>
      <c r="W134" s="918"/>
      <c r="X134" s="918"/>
      <c r="Y134" s="918"/>
      <c r="Z134" s="918"/>
      <c r="AA134" s="918"/>
      <c r="AB134" s="918"/>
      <c r="AC134" s="918"/>
      <c r="AD134" s="918" t="s">
        <v>6753</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6754</v>
      </c>
      <c r="C135" s="911" t="s">
        <v>4535</v>
      </c>
      <c r="D135" s="952"/>
      <c r="E135" s="952"/>
      <c r="F135" s="941"/>
      <c r="G135" s="841"/>
      <c r="H135" s="952"/>
      <c r="I135" s="952"/>
      <c r="J135" s="826" t="s">
        <v>6755</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6756</v>
      </c>
      <c r="C136" s="911" t="s">
        <v>6757</v>
      </c>
      <c r="D136" s="831" t="s">
        <v>792</v>
      </c>
      <c r="E136" s="953" t="s">
        <v>777</v>
      </c>
      <c r="F136" s="855" t="s">
        <v>145</v>
      </c>
      <c r="G136" s="826" t="s">
        <v>849</v>
      </c>
      <c r="H136" s="912" t="s">
        <v>777</v>
      </c>
      <c r="I136" s="912" t="s">
        <v>503</v>
      </c>
      <c r="J136" s="912"/>
      <c r="K136" s="912"/>
      <c r="L136" s="912" t="s">
        <v>858</v>
      </c>
      <c r="M136" s="912" t="s">
        <v>1835</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6544</v>
      </c>
      <c r="B137" s="940" t="s">
        <v>6758</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6759</v>
      </c>
      <c r="C138" s="911" t="s">
        <v>6760</v>
      </c>
      <c r="D138" s="831" t="s">
        <v>579</v>
      </c>
      <c r="E138" s="918"/>
      <c r="F138" s="825"/>
      <c r="G138" s="826" t="s">
        <v>1297</v>
      </c>
      <c r="H138" s="918"/>
      <c r="I138" s="918"/>
      <c r="J138" s="826" t="s">
        <v>1436</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6553</v>
      </c>
      <c r="B139" s="940" t="s">
        <v>6761</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6762</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6501</v>
      </c>
      <c r="B141" s="945" t="s">
        <v>6761</v>
      </c>
      <c r="C141" s="911" t="s">
        <v>4079</v>
      </c>
      <c r="D141" s="912" t="s">
        <v>5307</v>
      </c>
      <c r="E141" s="912" t="s">
        <v>4079</v>
      </c>
      <c r="F141" s="941"/>
      <c r="G141" s="826" t="s">
        <v>2819</v>
      </c>
      <c r="H141" s="912"/>
      <c r="I141" s="912"/>
      <c r="J141" s="912"/>
      <c r="K141" s="912" t="s">
        <v>474</v>
      </c>
      <c r="L141" s="912"/>
      <c r="M141" s="912" t="s">
        <v>2311</v>
      </c>
      <c r="N141" s="912" t="s">
        <v>1322</v>
      </c>
      <c r="O141" s="912"/>
      <c r="P141" s="913"/>
      <c r="Q141" s="912"/>
      <c r="R141" s="912"/>
      <c r="S141" s="912"/>
      <c r="T141" s="912"/>
      <c r="U141" s="912"/>
      <c r="V141" s="912"/>
      <c r="W141" s="912"/>
      <c r="X141" s="912" t="s">
        <v>6763</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1928</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6762</v>
      </c>
      <c r="C142" s="911" t="s">
        <v>1446</v>
      </c>
      <c r="D142" s="836" t="s">
        <v>1592</v>
      </c>
      <c r="E142" s="912" t="s">
        <v>5363</v>
      </c>
      <c r="F142" s="837" t="s">
        <v>148</v>
      </c>
      <c r="G142" s="826" t="s">
        <v>3305</v>
      </c>
      <c r="H142" s="922" t="s">
        <v>136</v>
      </c>
      <c r="I142" s="912" t="str">
        <f>HYPERLINK("https://youtu.be/NPrbRwZDn1I","27.54")</f>
        <v>27.54</v>
      </c>
      <c r="J142" s="912" t="s">
        <v>504</v>
      </c>
      <c r="K142" s="912" t="s">
        <v>6715</v>
      </c>
      <c r="L142" s="912"/>
      <c r="M142" s="912" t="s">
        <v>5363</v>
      </c>
      <c r="N142" s="912" t="str">
        <f>HYPERLINK("https://youtu.be/gwRV1gD1ndo","27.79")</f>
        <v>27.79</v>
      </c>
      <c r="O142" s="912" t="s">
        <v>1256</v>
      </c>
      <c r="P142" s="913" t="s">
        <v>430</v>
      </c>
      <c r="Q142" s="912" t="s">
        <v>408</v>
      </c>
      <c r="R142" s="912"/>
      <c r="S142" s="826" t="s">
        <v>397</v>
      </c>
      <c r="T142" s="912"/>
      <c r="U142" s="912" t="s">
        <v>6764</v>
      </c>
      <c r="V142" s="912"/>
      <c r="W142" s="912"/>
      <c r="X142" s="912" t="s">
        <v>1084</v>
      </c>
      <c r="Y142" s="912"/>
      <c r="Z142" s="912"/>
      <c r="AA142" s="912"/>
      <c r="AB142" s="912"/>
      <c r="AC142" s="912"/>
      <c r="AD142" s="912"/>
      <c r="AE142" s="912"/>
      <c r="AF142" s="912"/>
      <c r="AG142" s="912"/>
      <c r="AH142" s="912" t="s">
        <v>2361</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6506</v>
      </c>
      <c r="B143" s="945" t="s">
        <v>6486</v>
      </c>
      <c r="C143" s="911" t="s">
        <v>6765</v>
      </c>
      <c r="D143" s="952"/>
      <c r="E143" s="952"/>
      <c r="F143" s="941"/>
      <c r="G143" s="826" t="s">
        <v>2686</v>
      </c>
      <c r="H143" s="952"/>
      <c r="I143" s="952"/>
      <c r="J143" s="952"/>
      <c r="K143" s="952"/>
      <c r="L143" s="952"/>
      <c r="M143" s="952"/>
      <c r="N143" s="952"/>
      <c r="O143" s="853" t="s">
        <v>6765</v>
      </c>
      <c r="P143" s="913"/>
      <c r="Q143" s="952"/>
      <c r="R143" s="952"/>
      <c r="S143" s="952"/>
      <c r="T143" s="952"/>
      <c r="U143" s="952"/>
      <c r="V143" s="952"/>
      <c r="W143" s="952"/>
      <c r="X143" s="952"/>
      <c r="Y143" s="952"/>
      <c r="Z143" s="952"/>
      <c r="AA143" s="952"/>
      <c r="AB143" s="952"/>
      <c r="AC143" s="952"/>
      <c r="AD143" s="952"/>
      <c r="AE143" s="952"/>
      <c r="AF143" s="952"/>
      <c r="AG143" s="952" t="s">
        <v>6764</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6766</v>
      </c>
      <c r="B144" s="949" t="s">
        <v>6767</v>
      </c>
      <c r="C144" s="911" t="s">
        <v>6768</v>
      </c>
      <c r="D144" s="912" t="s">
        <v>6769</v>
      </c>
      <c r="E144" s="912" t="s">
        <v>6768</v>
      </c>
      <c r="F144" s="825"/>
      <c r="G144" s="841"/>
      <c r="H144" s="912"/>
      <c r="I144" s="912" t="s">
        <v>6770</v>
      </c>
      <c r="J144" s="912" t="s">
        <v>6771</v>
      </c>
      <c r="K144" s="912"/>
      <c r="L144" s="912" t="s">
        <v>862</v>
      </c>
      <c r="M144" s="912"/>
      <c r="N144" s="912" t="s">
        <v>6772</v>
      </c>
      <c r="O144" s="912"/>
      <c r="P144" s="913"/>
      <c r="Q144" s="912"/>
      <c r="R144" s="912"/>
      <c r="S144" s="912"/>
      <c r="T144" s="912" t="s">
        <v>6773</v>
      </c>
      <c r="U144" s="912" t="s">
        <v>5017</v>
      </c>
      <c r="V144" s="912"/>
      <c r="W144" s="912"/>
      <c r="X144" s="912"/>
      <c r="Y144" s="912"/>
      <c r="Z144" s="912"/>
      <c r="AA144" s="912"/>
      <c r="AB144" s="912"/>
      <c r="AC144" s="912"/>
      <c r="AD144" s="912"/>
      <c r="AE144" s="912"/>
      <c r="AF144" s="912"/>
      <c r="AG144" s="912"/>
      <c r="AH144" s="912"/>
      <c r="AI144" s="912" t="s">
        <v>6774</v>
      </c>
      <c r="AJ144" s="912"/>
      <c r="AK144" s="912"/>
      <c r="AL144" s="912"/>
      <c r="AM144" s="912"/>
      <c r="AN144" s="912"/>
      <c r="AO144" s="914"/>
      <c r="AP144" s="912"/>
      <c r="AQ144" s="912"/>
      <c r="AR144" s="912"/>
      <c r="AS144" s="912"/>
      <c r="AT144" s="912"/>
      <c r="AU144" s="912"/>
      <c r="AV144" s="912"/>
      <c r="AW144" s="939"/>
      <c r="AX144" s="912"/>
      <c r="AY144" s="912"/>
      <c r="AZ144" s="912" t="s">
        <v>6775</v>
      </c>
      <c r="BA144" s="912"/>
      <c r="BB144" s="912"/>
      <c r="BC144" s="912"/>
      <c r="BD144" s="939"/>
      <c r="BE144" s="912"/>
      <c r="BF144" s="914"/>
      <c r="BG144" s="914"/>
      <c r="BH144" s="939"/>
      <c r="BI144" s="939"/>
      <c r="BJ144" s="939"/>
    </row>
    <row r="145" ht="15.75" customHeight="1">
      <c r="A145" s="942"/>
      <c r="B145" s="943" t="s">
        <v>6776</v>
      </c>
      <c r="C145" s="911" t="s">
        <v>6777</v>
      </c>
      <c r="D145" s="918"/>
      <c r="E145" s="918"/>
      <c r="F145" s="941"/>
      <c r="G145" s="841"/>
      <c r="H145" s="918"/>
      <c r="I145" s="918"/>
      <c r="J145" s="918"/>
      <c r="K145" s="918" t="s">
        <v>6778</v>
      </c>
      <c r="L145" s="918"/>
      <c r="M145" s="918"/>
      <c r="N145" s="918"/>
      <c r="O145" s="918" t="s">
        <v>6777</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6779</v>
      </c>
      <c r="C146" s="911" t="s">
        <v>6780</v>
      </c>
      <c r="D146" s="880" t="s">
        <v>1594</v>
      </c>
      <c r="E146" s="826" t="s">
        <v>380</v>
      </c>
      <c r="F146" s="837" t="s">
        <v>2876</v>
      </c>
      <c r="G146" s="841"/>
      <c r="H146" s="841" t="s">
        <v>6781</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6782</v>
      </c>
      <c r="C147" s="822" t="s">
        <v>3584</v>
      </c>
      <c r="D147" s="836" t="s">
        <v>1593</v>
      </c>
      <c r="E147" s="918"/>
      <c r="F147" s="941"/>
      <c r="G147" s="826" t="s">
        <v>1299</v>
      </c>
      <c r="H147" s="918"/>
      <c r="I147" s="918"/>
      <c r="J147" s="918"/>
      <c r="K147" s="918"/>
      <c r="L147" s="918"/>
      <c r="M147" s="918" t="s">
        <v>6783</v>
      </c>
      <c r="N147" s="918"/>
      <c r="O147" s="918" t="s">
        <v>1024</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6784</v>
      </c>
      <c r="B148" s="949" t="s">
        <v>6767</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6776</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6779</v>
      </c>
      <c r="C150" s="822" t="s">
        <v>2586</v>
      </c>
      <c r="D150" s="954" t="s">
        <v>6785</v>
      </c>
      <c r="E150" s="954"/>
      <c r="F150" s="855" t="s">
        <v>3785</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6782</v>
      </c>
      <c r="C151" s="822" t="s">
        <v>1433</v>
      </c>
      <c r="D151" s="954"/>
      <c r="E151" s="954"/>
      <c r="F151" s="941"/>
      <c r="G151" s="826" t="s">
        <v>6786</v>
      </c>
      <c r="H151" s="954" t="s">
        <v>6787</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6788</v>
      </c>
      <c r="B152" s="949" t="s">
        <v>6789</v>
      </c>
      <c r="C152" s="911" t="s">
        <v>6790</v>
      </c>
      <c r="D152" s="954" t="s">
        <v>2283</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6791</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6792</v>
      </c>
      <c r="B154" s="949" t="s">
        <v>6793</v>
      </c>
      <c r="C154" s="822" t="s">
        <v>6794</v>
      </c>
      <c r="D154" s="954"/>
      <c r="E154" s="954"/>
      <c r="F154" s="844" t="s">
        <v>6795</v>
      </c>
      <c r="G154" s="826" t="s">
        <v>6796</v>
      </c>
      <c r="H154" s="912" t="s">
        <v>6797</v>
      </c>
      <c r="I154" s="954" t="s">
        <v>6798</v>
      </c>
      <c r="J154" s="954"/>
      <c r="K154" s="954"/>
      <c r="L154" s="954"/>
      <c r="M154" s="912" t="s">
        <v>1326</v>
      </c>
      <c r="N154" s="954"/>
      <c r="O154" s="954"/>
      <c r="P154" s="913"/>
      <c r="Q154" s="954"/>
      <c r="R154" s="954"/>
      <c r="S154" s="826" t="s">
        <v>6794</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6799</v>
      </c>
      <c r="C155" s="911" t="s">
        <v>6800</v>
      </c>
      <c r="D155" s="954"/>
      <c r="E155" s="954"/>
      <c r="F155" s="946" t="s">
        <v>6801</v>
      </c>
      <c r="G155" s="841"/>
      <c r="H155" s="912" t="s">
        <v>6802</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6803</v>
      </c>
      <c r="C156" s="911" t="s">
        <v>6804</v>
      </c>
      <c r="D156" s="954"/>
      <c r="E156" s="954"/>
      <c r="F156" s="844" t="s">
        <v>6805</v>
      </c>
      <c r="G156" s="841"/>
      <c r="H156" s="912" t="s">
        <v>6804</v>
      </c>
      <c r="I156" s="954" t="s">
        <v>6806</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6807</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2345</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6589</v>
      </c>
      <c r="B158" s="955" t="s">
        <v>6808</v>
      </c>
      <c r="C158" s="911" t="s">
        <v>2565</v>
      </c>
      <c r="D158" s="918" t="s">
        <v>2565</v>
      </c>
      <c r="E158" s="918"/>
      <c r="F158" s="946" t="s">
        <v>2850</v>
      </c>
      <c r="G158" s="826" t="s">
        <v>2796</v>
      </c>
      <c r="H158" s="912" t="s">
        <v>2565</v>
      </c>
      <c r="I158" s="918"/>
      <c r="J158" s="918"/>
      <c r="K158" s="918" t="s">
        <v>3740</v>
      </c>
      <c r="L158" s="918"/>
      <c r="M158" s="918"/>
      <c r="N158" s="918"/>
      <c r="O158" s="918" t="s">
        <v>2565</v>
      </c>
      <c r="P158" s="920" t="s">
        <v>2850</v>
      </c>
      <c r="Q158" s="918"/>
      <c r="R158" s="918" t="s">
        <v>2565</v>
      </c>
      <c r="S158" s="918" t="s">
        <v>2565</v>
      </c>
      <c r="T158" s="918"/>
      <c r="U158" s="918"/>
      <c r="V158" s="918"/>
      <c r="W158" s="918"/>
      <c r="X158" s="918"/>
      <c r="Y158" s="918"/>
      <c r="Z158" s="918"/>
      <c r="AA158" s="826" t="s">
        <v>4083</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6809</v>
      </c>
      <c r="C159" s="911" t="s">
        <v>2435</v>
      </c>
      <c r="D159" s="831" t="s">
        <v>1595</v>
      </c>
      <c r="E159" s="912" t="s">
        <v>6810</v>
      </c>
      <c r="F159" s="844" t="s">
        <v>6811</v>
      </c>
      <c r="G159" s="841"/>
      <c r="H159" s="912" t="s">
        <v>6812</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6593</v>
      </c>
      <c r="B160" s="955" t="s">
        <v>6813</v>
      </c>
      <c r="C160" s="911" t="s">
        <v>656</v>
      </c>
      <c r="D160" s="836" t="s">
        <v>1140</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6506</v>
      </c>
      <c r="B161" s="949" t="s">
        <v>6486</v>
      </c>
      <c r="C161" s="911" t="s">
        <v>6814</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6815</v>
      </c>
      <c r="B162" s="955" t="s">
        <v>6816</v>
      </c>
      <c r="C162" s="911" t="s">
        <v>6817</v>
      </c>
      <c r="D162" s="918" t="s">
        <v>5921</v>
      </c>
      <c r="E162" s="918"/>
      <c r="F162" s="825"/>
      <c r="G162" s="841"/>
      <c r="H162" s="918"/>
      <c r="I162" s="918"/>
      <c r="J162" s="918"/>
      <c r="K162" s="918" t="s">
        <v>6169</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6818</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6598</v>
      </c>
      <c r="B164" s="949" t="s">
        <v>6816</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6818</v>
      </c>
      <c r="C165" s="956" t="s">
        <v>6819</v>
      </c>
      <c r="D165" s="956" t="s">
        <v>6819</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6600</v>
      </c>
      <c r="B166" s="955" t="s">
        <v>6486</v>
      </c>
      <c r="C166" s="911" t="s">
        <v>1527</v>
      </c>
      <c r="D166" s="860" t="s">
        <v>1596</v>
      </c>
      <c r="E166" s="912" t="s">
        <v>6820</v>
      </c>
      <c r="F166" s="825"/>
      <c r="G166" s="841"/>
      <c r="H166" s="912"/>
      <c r="I166" s="912"/>
      <c r="J166" s="912"/>
      <c r="K166" s="912" t="s">
        <v>1459</v>
      </c>
      <c r="L166" s="912"/>
      <c r="M166" s="912"/>
      <c r="N166" s="912"/>
      <c r="O166" s="912"/>
      <c r="P166" s="913"/>
      <c r="Q166" s="912"/>
      <c r="R166" s="912"/>
      <c r="S166" s="912"/>
      <c r="T166" s="912"/>
      <c r="U166" s="912"/>
      <c r="V166" s="826" t="s">
        <v>3153</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6598</v>
      </c>
      <c r="B167" s="945" t="s">
        <v>6486</v>
      </c>
      <c r="C167" s="861" t="s">
        <v>6821</v>
      </c>
      <c r="D167" s="862" t="s">
        <v>6821</v>
      </c>
      <c r="E167" s="912"/>
      <c r="F167" s="825"/>
      <c r="G167" s="841"/>
      <c r="H167" s="912"/>
      <c r="I167" s="912"/>
      <c r="J167" s="912"/>
      <c r="K167" s="912"/>
      <c r="L167" s="912"/>
      <c r="M167" s="912"/>
      <c r="N167" s="912"/>
      <c r="O167" s="912"/>
      <c r="P167" s="913"/>
      <c r="Q167" s="912"/>
      <c r="R167" s="912"/>
      <c r="S167" s="912"/>
      <c r="T167" s="912"/>
      <c r="U167" s="912"/>
      <c r="V167" s="826" t="s">
        <v>6822</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6486</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6823</v>
      </c>
      <c r="B170" s="964" t="s">
        <v>6824</v>
      </c>
      <c r="C170" s="911" t="s">
        <v>6825</v>
      </c>
      <c r="D170" s="831" t="s">
        <v>6795</v>
      </c>
      <c r="E170" s="831" t="s">
        <v>6826</v>
      </c>
      <c r="F170" s="844" t="s">
        <v>6827</v>
      </c>
      <c r="G170" s="826" t="s">
        <v>6828</v>
      </c>
      <c r="H170" s="831" t="s">
        <v>6826</v>
      </c>
      <c r="I170" s="831"/>
      <c r="J170" s="831" t="s">
        <v>6829</v>
      </c>
      <c r="K170" s="831" t="s">
        <v>6830</v>
      </c>
      <c r="L170" s="831" t="s">
        <v>6827</v>
      </c>
      <c r="M170" s="831" t="s">
        <v>6827</v>
      </c>
      <c r="N170" s="831"/>
      <c r="O170" s="831"/>
      <c r="P170" s="829" t="s">
        <v>6826</v>
      </c>
      <c r="Q170" s="831"/>
      <c r="R170" s="831" t="s">
        <v>2236</v>
      </c>
      <c r="S170" s="831" t="s">
        <v>6831</v>
      </c>
      <c r="T170" s="831"/>
      <c r="U170" s="831"/>
      <c r="V170" s="831"/>
      <c r="W170" s="831"/>
      <c r="X170" s="831"/>
      <c r="Y170" s="831"/>
      <c r="Z170" s="831"/>
      <c r="AA170" s="831"/>
      <c r="AB170" s="831" t="s">
        <v>6797</v>
      </c>
      <c r="AC170" s="831" t="s">
        <v>6828</v>
      </c>
      <c r="AD170" s="831"/>
      <c r="AE170" s="831"/>
      <c r="AF170" s="831" t="s">
        <v>6825</v>
      </c>
      <c r="AG170" s="831"/>
      <c r="AH170" s="831"/>
      <c r="AI170" s="831"/>
      <c r="AJ170" s="831"/>
      <c r="AK170" s="831" t="s">
        <v>6830</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6832</v>
      </c>
      <c r="C171" s="911" t="s">
        <v>6833</v>
      </c>
      <c r="D171" s="831"/>
      <c r="E171" s="831" t="s">
        <v>6829</v>
      </c>
      <c r="F171" s="968"/>
      <c r="G171" s="841"/>
      <c r="H171" s="831" t="s">
        <v>6833</v>
      </c>
      <c r="I171" s="831"/>
      <c r="J171" s="831"/>
      <c r="K171" s="831"/>
      <c r="L171" s="831"/>
      <c r="M171" s="831"/>
      <c r="N171" s="831"/>
      <c r="O171" s="831"/>
      <c r="P171" s="829" t="s">
        <v>6834</v>
      </c>
      <c r="Q171" s="831"/>
      <c r="R171" s="831"/>
      <c r="S171" s="831"/>
      <c r="T171" s="831" t="s">
        <v>6829</v>
      </c>
      <c r="U171" s="831"/>
      <c r="V171" s="831"/>
      <c r="W171" s="831"/>
      <c r="X171" s="831"/>
      <c r="Y171" s="831"/>
      <c r="Z171" s="831" t="s">
        <v>6826</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6835</v>
      </c>
      <c r="B172" s="964" t="s">
        <v>6486</v>
      </c>
      <c r="C172" s="911" t="s">
        <v>1852</v>
      </c>
      <c r="D172" s="831" t="s">
        <v>5335</v>
      </c>
      <c r="E172" s="831" t="s">
        <v>6080</v>
      </c>
      <c r="F172" s="844" t="s">
        <v>6836</v>
      </c>
      <c r="G172" s="826" t="s">
        <v>6837</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1852</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6501</v>
      </c>
      <c r="B173" s="970" t="s">
        <v>6486</v>
      </c>
      <c r="C173" s="911" t="s">
        <v>6838</v>
      </c>
      <c r="D173" s="897"/>
      <c r="E173" s="897" t="s">
        <v>6839</v>
      </c>
      <c r="F173" s="971" t="s">
        <v>6840</v>
      </c>
      <c r="G173" s="841"/>
      <c r="H173" s="897" t="s">
        <v>6838</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6487</v>
      </c>
      <c r="B174" s="972" t="s">
        <v>6841</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6842</v>
      </c>
      <c r="C175" s="911" t="s">
        <v>6843</v>
      </c>
      <c r="D175" s="831" t="s">
        <v>6844</v>
      </c>
      <c r="E175" s="831" t="s">
        <v>6843</v>
      </c>
      <c r="F175" s="844" t="s">
        <v>2905</v>
      </c>
      <c r="G175" s="826" t="s">
        <v>1305</v>
      </c>
      <c r="H175" s="831" t="s">
        <v>6132</v>
      </c>
      <c r="I175" s="831"/>
      <c r="J175" s="831" t="s">
        <v>608</v>
      </c>
      <c r="K175" s="831" t="s">
        <v>353</v>
      </c>
      <c r="L175" s="831"/>
      <c r="M175" s="831"/>
      <c r="N175" s="831" t="s">
        <v>2494</v>
      </c>
      <c r="O175" s="831" t="s">
        <v>6845</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6501</v>
      </c>
      <c r="B176" s="974" t="s">
        <v>6846</v>
      </c>
      <c r="C176" s="911" t="s">
        <v>6847</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6848</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6849</v>
      </c>
      <c r="C177" s="911" t="s">
        <v>6850</v>
      </c>
      <c r="D177" s="831" t="s">
        <v>1599</v>
      </c>
      <c r="E177" s="831" t="s">
        <v>6850</v>
      </c>
      <c r="F177" s="837" t="s">
        <v>2906</v>
      </c>
      <c r="G177" s="826" t="s">
        <v>1306</v>
      </c>
      <c r="H177" s="831" t="s">
        <v>3050</v>
      </c>
      <c r="I177" s="831" t="s">
        <v>1463</v>
      </c>
      <c r="J177" s="831" t="s">
        <v>3881</v>
      </c>
      <c r="K177" s="831" t="s">
        <v>5311</v>
      </c>
      <c r="L177" s="831" t="s">
        <v>868</v>
      </c>
      <c r="M177" s="831" t="s">
        <v>2862</v>
      </c>
      <c r="N177" s="831" t="s">
        <v>1914</v>
      </c>
      <c r="O177" s="831" t="s">
        <v>4751</v>
      </c>
      <c r="P177" s="829" t="s">
        <v>1914</v>
      </c>
      <c r="Q177" s="831"/>
      <c r="R177" s="831"/>
      <c r="S177" s="831"/>
      <c r="T177" s="831"/>
      <c r="U177" s="831" t="s">
        <v>6851</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6852</v>
      </c>
      <c r="C178" s="911" t="s">
        <v>3899</v>
      </c>
      <c r="D178" s="831"/>
      <c r="E178" s="831" t="s">
        <v>3899</v>
      </c>
      <c r="F178" s="825"/>
      <c r="G178" s="841"/>
      <c r="H178" s="831"/>
      <c r="I178" s="831" t="s">
        <v>5250</v>
      </c>
      <c r="J178" s="831"/>
      <c r="K178" s="831"/>
      <c r="L178" s="831"/>
      <c r="M178" s="831" t="s">
        <v>1030</v>
      </c>
      <c r="N178" s="831" t="s">
        <v>4426</v>
      </c>
      <c r="O178" s="831" t="s">
        <v>1030</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6853</v>
      </c>
      <c r="B179" s="974" t="s">
        <v>6631</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6854</v>
      </c>
      <c r="C180" s="911" t="s">
        <v>4710</v>
      </c>
      <c r="D180" s="976" t="s">
        <v>177</v>
      </c>
      <c r="E180" s="831" t="s">
        <v>4710</v>
      </c>
      <c r="F180" s="825"/>
      <c r="G180" s="826" t="s">
        <v>177</v>
      </c>
      <c r="H180" s="831"/>
      <c r="I180" s="831"/>
      <c r="J180" s="831"/>
      <c r="K180" s="831"/>
      <c r="L180" s="831"/>
      <c r="M180" s="831"/>
      <c r="N180" s="831"/>
      <c r="O180" s="831"/>
      <c r="P180" s="829"/>
      <c r="Q180" s="831"/>
      <c r="R180" s="831"/>
      <c r="S180" s="831" t="s">
        <v>1995</v>
      </c>
      <c r="T180" s="831"/>
      <c r="U180" s="831"/>
      <c r="V180" s="831"/>
      <c r="W180" s="831"/>
      <c r="X180" s="831"/>
      <c r="Y180" s="831" t="s">
        <v>1043</v>
      </c>
      <c r="Z180" s="831" t="s">
        <v>1111</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6855</v>
      </c>
      <c r="B181" s="974" t="s">
        <v>6631</v>
      </c>
      <c r="C181" s="911" t="s">
        <v>6856</v>
      </c>
      <c r="D181" s="973"/>
      <c r="E181" s="973"/>
      <c r="F181" s="971" t="s">
        <v>6857</v>
      </c>
      <c r="G181" s="841"/>
      <c r="H181" s="973" t="s">
        <v>6856</v>
      </c>
      <c r="I181" s="973"/>
      <c r="J181" s="973" t="s">
        <v>6858</v>
      </c>
      <c r="K181" s="973"/>
      <c r="L181" s="973"/>
      <c r="M181" s="973"/>
      <c r="N181" s="973"/>
      <c r="O181" s="973"/>
      <c r="P181" s="847"/>
      <c r="Q181" s="973"/>
      <c r="R181" s="973"/>
      <c r="S181" s="973"/>
      <c r="T181" s="973"/>
      <c r="U181" s="973"/>
      <c r="V181" s="973"/>
      <c r="W181" s="973"/>
      <c r="X181" s="973" t="s">
        <v>6840</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6854</v>
      </c>
      <c r="C182" s="911" t="s">
        <v>6859</v>
      </c>
      <c r="D182" s="828" t="s">
        <v>6860</v>
      </c>
      <c r="E182" s="827" t="s">
        <v>6859</v>
      </c>
      <c r="F182" s="825"/>
      <c r="G182" s="841"/>
      <c r="H182" s="828" t="s">
        <v>6859</v>
      </c>
      <c r="I182" s="828"/>
      <c r="J182" s="828"/>
      <c r="K182" s="828"/>
      <c r="L182" s="828"/>
      <c r="M182" s="828"/>
      <c r="N182" s="828"/>
      <c r="O182" s="828"/>
      <c r="P182" s="829"/>
      <c r="Q182" s="828"/>
      <c r="R182" s="828"/>
      <c r="S182" s="828"/>
      <c r="T182" s="828"/>
      <c r="U182" s="828"/>
      <c r="V182" s="828"/>
      <c r="W182" s="828"/>
      <c r="X182" s="828"/>
      <c r="Y182" s="827" t="s">
        <v>6859</v>
      </c>
      <c r="Z182" s="828"/>
      <c r="AA182" s="828"/>
      <c r="AB182" s="828"/>
      <c r="AC182" s="828"/>
      <c r="AD182" s="828"/>
      <c r="AE182" s="828"/>
      <c r="AF182" s="828"/>
      <c r="AG182" s="828" t="s">
        <v>6861</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6510</v>
      </c>
      <c r="B183" s="972" t="s">
        <v>6862</v>
      </c>
      <c r="C183" s="911" t="s">
        <v>2572</v>
      </c>
      <c r="D183" s="973"/>
      <c r="E183" s="973"/>
      <c r="F183" s="968"/>
      <c r="G183" s="826" t="s">
        <v>6863</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6864</v>
      </c>
      <c r="C184" s="911" t="s">
        <v>821</v>
      </c>
      <c r="D184" s="973" t="s">
        <v>3500</v>
      </c>
      <c r="E184" s="973"/>
      <c r="F184" s="844" t="s">
        <v>2184</v>
      </c>
      <c r="G184" s="841"/>
      <c r="H184" s="973"/>
      <c r="I184" s="973" t="s">
        <v>6003</v>
      </c>
      <c r="J184" s="973"/>
      <c r="K184" s="973" t="s">
        <v>3299</v>
      </c>
      <c r="L184" s="973"/>
      <c r="M184" s="973"/>
      <c r="N184" s="973" t="s">
        <v>6865</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6866</v>
      </c>
      <c r="C185" s="911" t="s">
        <v>494</v>
      </c>
      <c r="D185" s="831" t="s">
        <v>2751</v>
      </c>
      <c r="E185" s="973"/>
      <c r="F185" s="971" t="s">
        <v>1711</v>
      </c>
      <c r="G185" s="826" t="s">
        <v>629</v>
      </c>
      <c r="H185" s="973" t="s">
        <v>785</v>
      </c>
      <c r="I185" s="973"/>
      <c r="J185" s="973" t="s">
        <v>5512</v>
      </c>
      <c r="K185" s="973"/>
      <c r="L185" s="973" t="s">
        <v>869</v>
      </c>
      <c r="M185" s="973"/>
      <c r="N185" s="973"/>
      <c r="O185" s="973" t="s">
        <v>1031</v>
      </c>
      <c r="P185" s="847"/>
      <c r="Q185" s="973" t="s">
        <v>6277</v>
      </c>
      <c r="R185" s="973"/>
      <c r="S185" s="973"/>
      <c r="T185" s="973" t="s">
        <v>494</v>
      </c>
      <c r="U185" s="973" t="s">
        <v>585</v>
      </c>
      <c r="V185" s="827" t="s">
        <v>3157</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6501</v>
      </c>
      <c r="B186" s="974" t="s">
        <v>6867</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6868</v>
      </c>
      <c r="C187" s="911" t="s">
        <v>6805</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6869</v>
      </c>
      <c r="C188" s="911" t="s">
        <v>6870</v>
      </c>
      <c r="D188" s="973" t="s">
        <v>1552</v>
      </c>
      <c r="E188" s="973"/>
      <c r="F188" s="855" t="s">
        <v>6871</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1981</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6872</v>
      </c>
      <c r="C189" s="911" t="s">
        <v>2236</v>
      </c>
      <c r="D189" s="858" t="s">
        <v>6873</v>
      </c>
      <c r="E189" s="973"/>
      <c r="F189" s="971" t="s">
        <v>587</v>
      </c>
      <c r="G189" s="841"/>
      <c r="H189" s="973" t="s">
        <v>3041</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6637</v>
      </c>
      <c r="B190" s="979" t="s">
        <v>6874</v>
      </c>
      <c r="C190" s="911" t="s">
        <v>5336</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6875</v>
      </c>
      <c r="C191" s="911" t="s">
        <v>5378</v>
      </c>
      <c r="D191" s="973" t="s">
        <v>3420</v>
      </c>
      <c r="E191" s="973"/>
      <c r="F191" s="971" t="s">
        <v>657</v>
      </c>
      <c r="G191" s="826" t="s">
        <v>6432</v>
      </c>
      <c r="H191" s="973"/>
      <c r="I191" s="973"/>
      <c r="J191" s="973"/>
      <c r="K191" s="973" t="s">
        <v>5587</v>
      </c>
      <c r="L191" s="973" t="s">
        <v>175</v>
      </c>
      <c r="M191" s="973"/>
      <c r="N191" s="973" t="s">
        <v>4641</v>
      </c>
      <c r="O191" s="973"/>
      <c r="P191" s="847"/>
      <c r="Q191" s="973"/>
      <c r="R191" s="973"/>
      <c r="S191" s="973"/>
      <c r="T191" s="973" t="s">
        <v>3440</v>
      </c>
      <c r="U191" s="973" t="s">
        <v>6876</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6877</v>
      </c>
      <c r="C192" s="911" t="s">
        <v>1165</v>
      </c>
      <c r="D192" s="973"/>
      <c r="E192" s="973"/>
      <c r="F192" s="825"/>
      <c r="G192" s="841"/>
      <c r="H192" s="973"/>
      <c r="I192" s="973" t="s">
        <v>1165</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6878</v>
      </c>
      <c r="C193" s="911" t="s">
        <v>364</v>
      </c>
      <c r="D193" s="828" t="s">
        <v>5690</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6879</v>
      </c>
      <c r="C194" s="911" t="s">
        <v>870</v>
      </c>
      <c r="D194" s="831" t="s">
        <v>160</v>
      </c>
      <c r="E194" s="858"/>
      <c r="F194" s="855" t="s">
        <v>2907</v>
      </c>
      <c r="G194" s="826" t="s">
        <v>1307</v>
      </c>
      <c r="H194" s="912" t="s">
        <v>6880</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6501</v>
      </c>
      <c r="B195" s="974" t="s">
        <v>6874</v>
      </c>
      <c r="C195" s="911" t="s">
        <v>1497</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6881</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6882</v>
      </c>
      <c r="BC195" s="858"/>
      <c r="BD195" s="965"/>
      <c r="BE195" s="858"/>
      <c r="BF195" s="875"/>
      <c r="BG195" s="875"/>
      <c r="BH195" s="965"/>
      <c r="BI195" s="965"/>
      <c r="BJ195" s="965"/>
    </row>
    <row r="196" ht="15.75" customHeight="1">
      <c r="A196" s="966"/>
      <c r="B196" s="967" t="s">
        <v>6875</v>
      </c>
      <c r="C196" s="911" t="s">
        <v>6883</v>
      </c>
      <c r="D196" s="858" t="s">
        <v>326</v>
      </c>
      <c r="E196" s="858" t="s">
        <v>3697</v>
      </c>
      <c r="F196" s="971" t="s">
        <v>4927</v>
      </c>
      <c r="G196" s="826" t="s">
        <v>6884</v>
      </c>
      <c r="H196" s="858"/>
      <c r="I196" s="858" t="s">
        <v>6885</v>
      </c>
      <c r="J196" s="858"/>
      <c r="K196" s="858"/>
      <c r="L196" s="858" t="s">
        <v>3697</v>
      </c>
      <c r="M196" s="858"/>
      <c r="N196" s="858" t="s">
        <v>6886</v>
      </c>
      <c r="O196" s="858"/>
      <c r="P196" s="859" t="s">
        <v>3788</v>
      </c>
      <c r="Q196" s="858"/>
      <c r="R196" s="880" t="s">
        <v>6887</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6877</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6878</v>
      </c>
      <c r="C198" s="911" t="s">
        <v>2754</v>
      </c>
      <c r="D198" s="831" t="s">
        <v>542</v>
      </c>
      <c r="E198" s="831" t="s">
        <v>2754</v>
      </c>
      <c r="F198" s="855" t="s">
        <v>6887</v>
      </c>
      <c r="G198" s="841"/>
      <c r="H198" s="831"/>
      <c r="I198" s="831" t="s">
        <v>1464</v>
      </c>
      <c r="J198" s="831" t="s">
        <v>6888</v>
      </c>
      <c r="K198" s="831" t="s">
        <v>4223</v>
      </c>
      <c r="L198" s="831"/>
      <c r="M198" s="831" t="s">
        <v>6889</v>
      </c>
      <c r="N198" s="831" t="s">
        <v>4490</v>
      </c>
      <c r="O198" s="831" t="s">
        <v>4760</v>
      </c>
      <c r="P198" s="827" t="s">
        <v>6067</v>
      </c>
      <c r="Q198" s="831"/>
      <c r="R198" s="827" t="s">
        <v>5715</v>
      </c>
      <c r="S198" s="831"/>
      <c r="T198" s="831"/>
      <c r="U198" s="831"/>
      <c r="V198" s="831"/>
      <c r="W198" s="831" t="s">
        <v>2522</v>
      </c>
      <c r="X198" s="831" t="s">
        <v>6890</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6879</v>
      </c>
      <c r="C199" s="911" t="s">
        <v>2128</v>
      </c>
      <c r="D199" s="831" t="s">
        <v>1600</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6506</v>
      </c>
      <c r="B200" s="974" t="s">
        <v>6486</v>
      </c>
      <c r="C200" s="911" t="s">
        <v>981</v>
      </c>
      <c r="D200" s="828" t="s">
        <v>5854</v>
      </c>
      <c r="E200" s="827" t="s">
        <v>378</v>
      </c>
      <c r="F200" s="844" t="s">
        <v>6891</v>
      </c>
      <c r="G200" s="826" t="s">
        <v>6892</v>
      </c>
      <c r="H200" s="828" t="s">
        <v>2234</v>
      </c>
      <c r="I200" s="828"/>
      <c r="J200" s="828"/>
      <c r="K200" s="828"/>
      <c r="L200" s="828" t="s">
        <v>6893</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6894</v>
      </c>
      <c r="B201" s="974" t="s">
        <v>6486</v>
      </c>
      <c r="C201" s="911" t="s">
        <v>6895</v>
      </c>
      <c r="D201" s="828"/>
      <c r="E201" s="827" t="s">
        <v>6895</v>
      </c>
      <c r="F201" s="971" t="s">
        <v>6896</v>
      </c>
      <c r="G201" s="841"/>
      <c r="H201" s="828" t="s">
        <v>6897</v>
      </c>
      <c r="I201" s="828"/>
      <c r="J201" s="828" t="s">
        <v>6898</v>
      </c>
      <c r="K201" s="828"/>
      <c r="L201" s="828"/>
      <c r="M201" s="828"/>
      <c r="N201" s="828"/>
      <c r="O201" s="827" t="s">
        <v>6895</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6707</v>
      </c>
      <c r="B202" s="972" t="s">
        <v>6899</v>
      </c>
      <c r="C202" s="911" t="s">
        <v>6900</v>
      </c>
      <c r="D202" s="831" t="s">
        <v>1601</v>
      </c>
      <c r="E202" s="831" t="s">
        <v>6900</v>
      </c>
      <c r="F202" s="975" t="s">
        <v>2908</v>
      </c>
      <c r="G202" s="826" t="s">
        <v>1309</v>
      </c>
      <c r="H202" s="831" t="s">
        <v>1100</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6506</v>
      </c>
      <c r="B203" s="974" t="s">
        <v>6486</v>
      </c>
      <c r="C203" s="911" t="s">
        <v>4446</v>
      </c>
      <c r="D203" s="831" t="s">
        <v>3383</v>
      </c>
      <c r="E203" s="831" t="s">
        <v>4446</v>
      </c>
      <c r="F203" s="855" t="s">
        <v>1793</v>
      </c>
      <c r="G203" s="826" t="s">
        <v>898</v>
      </c>
      <c r="H203" s="831" t="s">
        <v>1053</v>
      </c>
      <c r="I203" s="831"/>
      <c r="J203" s="831"/>
      <c r="K203" s="831"/>
      <c r="L203" s="831" t="s">
        <v>311</v>
      </c>
      <c r="M203" s="831"/>
      <c r="N203" s="831"/>
      <c r="O203" s="831"/>
      <c r="P203" s="829"/>
      <c r="Q203" s="831"/>
      <c r="R203" s="831"/>
      <c r="S203" s="831" t="s">
        <v>6901</v>
      </c>
      <c r="T203" s="831"/>
      <c r="U203" s="831"/>
      <c r="V203" s="831"/>
      <c r="W203" s="831" t="s">
        <v>6902</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6553</v>
      </c>
      <c r="B204" s="972" t="s">
        <v>6903</v>
      </c>
      <c r="C204" s="982" t="s">
        <v>6904</v>
      </c>
      <c r="D204" s="973"/>
      <c r="E204" s="973"/>
      <c r="F204" s="975" t="s">
        <v>6904</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6905</v>
      </c>
      <c r="C205" s="911" t="s">
        <v>6739</v>
      </c>
      <c r="D205" s="973"/>
      <c r="E205" s="973"/>
      <c r="F205" s="825"/>
      <c r="G205" s="841"/>
      <c r="H205" s="973" t="s">
        <v>6739</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6589</v>
      </c>
      <c r="B206" s="972" t="s">
        <v>6906</v>
      </c>
      <c r="C206" s="911" t="s">
        <v>1868</v>
      </c>
      <c r="D206" s="973" t="s">
        <v>4146</v>
      </c>
      <c r="E206" s="973"/>
      <c r="F206" s="971" t="s">
        <v>6907</v>
      </c>
      <c r="G206" s="826" t="s">
        <v>3016</v>
      </c>
      <c r="H206" s="973"/>
      <c r="I206" s="973"/>
      <c r="J206" s="973"/>
      <c r="K206" s="973" t="s">
        <v>1127</v>
      </c>
      <c r="L206" s="973"/>
      <c r="M206" s="973"/>
      <c r="N206" s="973" t="s">
        <v>6908</v>
      </c>
      <c r="O206" s="912" t="s">
        <v>6909</v>
      </c>
      <c r="P206" s="847" t="s">
        <v>6910</v>
      </c>
      <c r="Q206" s="973"/>
      <c r="R206" s="973" t="s">
        <v>976</v>
      </c>
      <c r="S206" s="973" t="s">
        <v>6910</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6911</v>
      </c>
      <c r="C207" s="911" t="s">
        <v>392</v>
      </c>
      <c r="D207" s="831" t="s">
        <v>1529</v>
      </c>
      <c r="E207" s="973"/>
      <c r="F207" s="855" t="s">
        <v>2910</v>
      </c>
      <c r="G207" s="826" t="s">
        <v>1311</v>
      </c>
      <c r="H207" s="973"/>
      <c r="I207" s="973"/>
      <c r="J207" s="973"/>
      <c r="K207" s="973"/>
      <c r="L207" s="912" t="s">
        <v>875</v>
      </c>
      <c r="M207" s="912" t="s">
        <v>165</v>
      </c>
      <c r="N207" s="973"/>
      <c r="O207" s="912" t="s">
        <v>1920</v>
      </c>
      <c r="P207" s="847" t="s">
        <v>1468</v>
      </c>
      <c r="Q207" s="973"/>
      <c r="R207" s="973" t="s">
        <v>3178</v>
      </c>
      <c r="S207" s="973"/>
      <c r="T207" s="973" t="s">
        <v>1098</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6593</v>
      </c>
      <c r="B208" s="972" t="s">
        <v>6912</v>
      </c>
      <c r="C208" s="911" t="s">
        <v>1469</v>
      </c>
      <c r="D208" s="862" t="s">
        <v>1603</v>
      </c>
      <c r="E208" s="973"/>
      <c r="F208" s="968"/>
      <c r="G208" s="841"/>
      <c r="H208" s="973"/>
      <c r="I208" s="973" t="s">
        <v>1469</v>
      </c>
      <c r="J208" s="973" t="s">
        <v>6913</v>
      </c>
      <c r="K208" s="973" t="s">
        <v>6914</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6915</v>
      </c>
      <c r="BD208" s="965"/>
      <c r="BE208" s="973"/>
      <c r="BF208" s="875"/>
      <c r="BG208" s="875"/>
      <c r="BH208" s="965"/>
      <c r="BI208" s="965"/>
      <c r="BJ208" s="965"/>
    </row>
    <row r="209" ht="15.75" customHeight="1">
      <c r="A209" s="963" t="s">
        <v>6815</v>
      </c>
      <c r="B209" s="972" t="s">
        <v>6486</v>
      </c>
      <c r="C209" s="911" t="str">
        <f>HYPERLINK("https://www.youtube.com/watch?v=_HQgQjbTLjM","1:11.32")</f>
        <v>1:11.32</v>
      </c>
      <c r="D209" s="836" t="s">
        <v>1604</v>
      </c>
      <c r="E209" s="973"/>
      <c r="F209" s="968"/>
      <c r="G209" s="826" t="s">
        <v>1313</v>
      </c>
      <c r="H209" s="973"/>
      <c r="I209" s="973" t="s">
        <v>1479</v>
      </c>
      <c r="J209" s="973" t="s">
        <v>6916</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6598</v>
      </c>
      <c r="B210" s="974" t="s">
        <v>6486</v>
      </c>
      <c r="C210" s="866" t="s">
        <v>6917</v>
      </c>
      <c r="D210" s="827" t="s">
        <v>6917</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6918</v>
      </c>
      <c r="B211" s="974" t="s">
        <v>6919</v>
      </c>
      <c r="C211" s="911" t="s">
        <v>6920</v>
      </c>
      <c r="D211" s="973"/>
      <c r="E211" s="973"/>
      <c r="F211" s="968"/>
      <c r="G211" s="841"/>
      <c r="H211" s="973"/>
      <c r="I211" s="973"/>
      <c r="J211" s="973" t="s">
        <v>6920</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6921</v>
      </c>
      <c r="C212" s="911" t="s">
        <v>2416</v>
      </c>
      <c r="D212" s="973"/>
      <c r="E212" s="973"/>
      <c r="F212" s="825"/>
      <c r="G212" s="841"/>
      <c r="H212" s="973"/>
      <c r="I212" s="973"/>
      <c r="J212" s="973" t="s">
        <v>2416</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6685</v>
      </c>
      <c r="B213" s="972" t="s">
        <v>6486</v>
      </c>
      <c r="C213" s="911" t="s">
        <v>138</v>
      </c>
      <c r="D213" s="831" t="s">
        <v>138</v>
      </c>
      <c r="E213" s="831" t="s">
        <v>308</v>
      </c>
      <c r="F213" s="825"/>
      <c r="G213" s="841"/>
      <c r="H213" s="831"/>
      <c r="I213" s="831"/>
      <c r="J213" s="831" t="s">
        <v>583</v>
      </c>
      <c r="K213" s="831" t="s">
        <v>3560</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1135</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6598</v>
      </c>
      <c r="B214" s="974" t="s">
        <v>6486</v>
      </c>
      <c r="C214" s="866" t="s">
        <v>6922</v>
      </c>
      <c r="D214" s="827" t="s">
        <v>6922</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6923</v>
      </c>
      <c r="C215" s="911" t="s">
        <v>1471</v>
      </c>
      <c r="D215" s="836" t="s">
        <v>6924</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6925</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6485</v>
      </c>
      <c r="B217" s="991" t="s">
        <v>6486</v>
      </c>
      <c r="C217" s="911" t="s">
        <v>957</v>
      </c>
      <c r="D217" s="831" t="s">
        <v>1606</v>
      </c>
      <c r="E217" s="918"/>
      <c r="F217" s="855" t="s">
        <v>6926</v>
      </c>
      <c r="G217" s="826" t="s">
        <v>1315</v>
      </c>
      <c r="H217" s="912" t="s">
        <v>1104</v>
      </c>
      <c r="I217" s="918" t="s">
        <v>6927</v>
      </c>
      <c r="J217" s="912" t="s">
        <v>4550</v>
      </c>
      <c r="K217" s="912" t="s">
        <v>1734</v>
      </c>
      <c r="L217" s="912" t="s">
        <v>880</v>
      </c>
      <c r="M217" s="912" t="s">
        <v>254</v>
      </c>
      <c r="N217" s="918" t="s">
        <v>4405</v>
      </c>
      <c r="O217" s="912" t="s">
        <v>1177</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6690</v>
      </c>
      <c r="B218" s="991" t="s">
        <v>6928</v>
      </c>
      <c r="C218" s="911" t="s">
        <v>148</v>
      </c>
      <c r="D218" s="831" t="s">
        <v>1607</v>
      </c>
      <c r="E218" s="912" t="s">
        <v>148</v>
      </c>
      <c r="F218" s="950" t="s">
        <v>2911</v>
      </c>
      <c r="G218" s="826" t="s">
        <v>3182</v>
      </c>
      <c r="H218" s="912" t="s">
        <v>2170</v>
      </c>
      <c r="I218" s="912" t="s">
        <v>1607</v>
      </c>
      <c r="J218" s="912" t="s">
        <v>6764</v>
      </c>
      <c r="K218" s="912" t="s">
        <v>2170</v>
      </c>
      <c r="L218" s="912" t="s">
        <v>881</v>
      </c>
      <c r="M218" s="912" t="s">
        <v>1242</v>
      </c>
      <c r="N218" s="912" t="s">
        <v>374</v>
      </c>
      <c r="O218" s="912" t="s">
        <v>2755</v>
      </c>
      <c r="P218" s="913" t="s">
        <v>2349</v>
      </c>
      <c r="Q218" s="912" t="s">
        <v>933</v>
      </c>
      <c r="R218" s="912"/>
      <c r="S218" s="912"/>
      <c r="T218" s="912"/>
      <c r="U218" s="912" t="s">
        <v>2311</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6510</v>
      </c>
      <c r="B219" s="991" t="s">
        <v>6486</v>
      </c>
      <c r="C219" s="911" t="str">
        <f>HYPERLINK("https://www.youtube.com/watch?v=aWzlUqH0LaM","41.87")</f>
        <v>41.87</v>
      </c>
      <c r="D219" s="922"/>
      <c r="E219" s="918"/>
      <c r="F219" s="825"/>
      <c r="G219" s="826" t="s">
        <v>6929</v>
      </c>
      <c r="H219" s="912" t="s">
        <v>308</v>
      </c>
      <c r="I219" s="912" t="s">
        <v>1642</v>
      </c>
      <c r="J219" s="918"/>
      <c r="K219" s="912" t="s">
        <v>6405</v>
      </c>
      <c r="L219" s="912" t="s">
        <v>4421</v>
      </c>
      <c r="M219" s="912" t="str">
        <f>HYPERLINK("https://www.youtube.com/watch?v=aWzlUqH0LaM","41.87")</f>
        <v>41.87</v>
      </c>
      <c r="N219" s="918" t="s">
        <v>2151</v>
      </c>
      <c r="O219" s="912" t="s">
        <v>1541</v>
      </c>
      <c r="P219" s="920" t="s">
        <v>3318</v>
      </c>
      <c r="Q219" s="918"/>
      <c r="R219" s="918"/>
      <c r="S219" s="918"/>
      <c r="T219" s="918"/>
      <c r="U219" s="918" t="s">
        <v>6930</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6637</v>
      </c>
      <c r="B220" s="991" t="s">
        <v>6931</v>
      </c>
      <c r="C220" s="911" t="str">
        <f>HYPERLINK("https://youtu.be/F-20O1FDNbI","1:45.11")</f>
        <v>1:45.11</v>
      </c>
      <c r="D220" s="918" t="s">
        <v>6932</v>
      </c>
      <c r="E220" s="918"/>
      <c r="F220" s="993"/>
      <c r="G220" s="826" t="s">
        <v>6933</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6934</v>
      </c>
      <c r="C221" s="911" t="s">
        <v>506</v>
      </c>
      <c r="D221" s="831" t="s">
        <v>6935</v>
      </c>
      <c r="E221" s="918"/>
      <c r="F221" s="855" t="s">
        <v>6936</v>
      </c>
      <c r="G221" s="826" t="s">
        <v>1318</v>
      </c>
      <c r="H221" s="918" t="s">
        <v>6937</v>
      </c>
      <c r="I221" s="918"/>
      <c r="J221" s="912" t="s">
        <v>6938</v>
      </c>
      <c r="K221" s="918"/>
      <c r="L221" s="918" t="s">
        <v>883</v>
      </c>
      <c r="M221" s="912" t="s">
        <v>793</v>
      </c>
      <c r="N221" s="918"/>
      <c r="O221" s="918"/>
      <c r="P221" s="920" t="s">
        <v>4181</v>
      </c>
      <c r="Q221" s="918"/>
      <c r="R221" s="918"/>
      <c r="S221" s="918"/>
      <c r="T221" s="912" t="s">
        <v>506</v>
      </c>
      <c r="U221" s="918" t="s">
        <v>6153</v>
      </c>
      <c r="V221" s="918"/>
      <c r="W221" s="918"/>
      <c r="X221" s="918"/>
      <c r="Y221" s="918"/>
      <c r="Z221" s="918"/>
      <c r="AA221" s="918"/>
      <c r="AB221" s="918" t="s">
        <v>6939</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6940</v>
      </c>
      <c r="C222" s="911" t="s">
        <v>6941</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6941</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6942</v>
      </c>
      <c r="C223" s="911" t="s">
        <v>3018</v>
      </c>
      <c r="D223" s="918"/>
      <c r="E223" s="918"/>
      <c r="F223" s="837" t="s">
        <v>2913</v>
      </c>
      <c r="G223" s="841"/>
      <c r="H223" s="912" t="s">
        <v>6943</v>
      </c>
      <c r="I223" s="918"/>
      <c r="J223" s="918"/>
      <c r="K223" s="918"/>
      <c r="L223" s="918"/>
      <c r="M223" s="918"/>
      <c r="N223" s="918"/>
      <c r="O223" s="918"/>
      <c r="P223" s="920"/>
      <c r="Q223" s="918"/>
      <c r="R223" s="918"/>
      <c r="S223" s="918"/>
      <c r="T223" s="918"/>
      <c r="U223" s="918"/>
      <c r="V223" s="918"/>
      <c r="W223" s="918"/>
      <c r="X223" s="918"/>
      <c r="Y223" s="918"/>
      <c r="Z223" s="918"/>
      <c r="AA223" s="918"/>
      <c r="AB223" s="912" t="s">
        <v>6944</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6501</v>
      </c>
      <c r="B224" s="998" t="s">
        <v>6931</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6934</v>
      </c>
      <c r="C225" s="1002" t="s">
        <v>6945</v>
      </c>
      <c r="D225" s="1003" t="s">
        <v>6945</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6940</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6942</v>
      </c>
      <c r="C227" s="822" t="s">
        <v>765</v>
      </c>
      <c r="D227" s="999"/>
      <c r="E227" s="999"/>
      <c r="F227" s="844" t="s">
        <v>6946</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6506</v>
      </c>
      <c r="B228" s="998" t="s">
        <v>6947</v>
      </c>
      <c r="C228" s="911" t="s">
        <v>6948</v>
      </c>
      <c r="D228" s="1004">
        <v>13.23</v>
      </c>
      <c r="E228" s="999"/>
      <c r="F228" s="1005" t="s">
        <v>6949</v>
      </c>
      <c r="G228" s="826" t="s">
        <v>6950</v>
      </c>
      <c r="H228" s="999"/>
      <c r="I228" s="999"/>
      <c r="J228" s="1006" t="s">
        <v>4083</v>
      </c>
      <c r="K228" s="999"/>
      <c r="L228" s="999"/>
      <c r="M228" s="999"/>
      <c r="N228" s="999"/>
      <c r="O228" s="999"/>
      <c r="P228" s="1000"/>
      <c r="Q228" s="999"/>
      <c r="R228" s="1006" t="s">
        <v>6796</v>
      </c>
      <c r="S228" s="999"/>
      <c r="T228" s="999"/>
      <c r="U228" s="999"/>
      <c r="V228" s="999"/>
      <c r="W228" s="1006" t="s">
        <v>2565</v>
      </c>
      <c r="X228" s="999"/>
      <c r="Y228" s="999"/>
      <c r="Z228" s="999"/>
      <c r="AA228" s="999"/>
      <c r="AB228" s="1006" t="s">
        <v>6948</v>
      </c>
      <c r="AC228" s="999"/>
      <c r="AD228" s="999"/>
      <c r="AE228" s="999"/>
      <c r="AF228" s="999"/>
      <c r="AG228" s="999"/>
      <c r="AH228" s="999"/>
      <c r="AI228" s="999"/>
      <c r="AJ228" s="999"/>
      <c r="AK228" s="999" t="s">
        <v>6951</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6952</v>
      </c>
      <c r="C229" s="911" t="s">
        <v>486</v>
      </c>
      <c r="D229" s="912"/>
      <c r="E229" s="912" t="s">
        <v>800</v>
      </c>
      <c r="F229" s="825"/>
      <c r="G229" s="826" t="s">
        <v>6953</v>
      </c>
      <c r="H229" s="912" t="s">
        <v>486</v>
      </c>
      <c r="I229" s="912"/>
      <c r="J229" s="912"/>
      <c r="K229" s="912"/>
      <c r="L229" s="912" t="s">
        <v>6948</v>
      </c>
      <c r="M229" s="912"/>
      <c r="N229" s="912"/>
      <c r="O229" s="912"/>
      <c r="P229" s="913"/>
      <c r="Q229" s="912"/>
      <c r="R229" s="912"/>
      <c r="S229" s="912" t="s">
        <v>6954</v>
      </c>
      <c r="T229" s="912"/>
      <c r="U229" s="912"/>
      <c r="V229" s="912"/>
      <c r="W229" s="912"/>
      <c r="X229" s="912"/>
      <c r="Y229" s="912" t="s">
        <v>6796</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6707</v>
      </c>
      <c r="B230" s="991" t="s">
        <v>6486</v>
      </c>
      <c r="C230" s="1007" t="s">
        <v>6955</v>
      </c>
      <c r="D230" s="918"/>
      <c r="E230" s="918"/>
      <c r="F230" s="1008" t="s">
        <v>6955</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6956</v>
      </c>
      <c r="B231" s="1010" t="s">
        <v>6486</v>
      </c>
      <c r="C231" s="896" t="s">
        <v>6957</v>
      </c>
      <c r="D231" s="826" t="s">
        <v>6958</v>
      </c>
      <c r="E231" s="918"/>
      <c r="F231" s="844" t="s">
        <v>6959</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6553</v>
      </c>
      <c r="B232" s="991" t="s">
        <v>6960</v>
      </c>
      <c r="C232" s="911" t="s">
        <v>6961</v>
      </c>
      <c r="D232" s="918" t="s">
        <v>4176</v>
      </c>
      <c r="E232" s="918"/>
      <c r="F232" s="993"/>
      <c r="G232" s="841"/>
      <c r="H232" s="918"/>
      <c r="I232" s="918"/>
      <c r="J232" s="918"/>
      <c r="K232" s="912" t="s">
        <v>5348</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6962</v>
      </c>
      <c r="C233" s="1012" t="s">
        <v>2167</v>
      </c>
      <c r="D233" s="831" t="s">
        <v>1927</v>
      </c>
      <c r="E233" s="918"/>
      <c r="F233" s="837" t="s">
        <v>2167</v>
      </c>
      <c r="G233" s="826" t="s">
        <v>1319</v>
      </c>
      <c r="H233" s="918"/>
      <c r="I233" s="918" t="s">
        <v>4303</v>
      </c>
      <c r="J233" s="912" t="s">
        <v>6963</v>
      </c>
      <c r="K233" s="912" t="s">
        <v>3449</v>
      </c>
      <c r="L233" s="918"/>
      <c r="M233" s="918"/>
      <c r="N233" s="918" t="s">
        <v>4286</v>
      </c>
      <c r="O233" s="912" t="s">
        <v>1319</v>
      </c>
      <c r="P233" s="920" t="s">
        <v>2136</v>
      </c>
      <c r="Q233" s="918" t="s">
        <v>1927</v>
      </c>
      <c r="R233" s="826" t="s">
        <v>175</v>
      </c>
      <c r="S233" s="826" t="s">
        <v>1139</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6964</v>
      </c>
      <c r="C234" s="911" t="s">
        <v>401</v>
      </c>
      <c r="D234" s="912"/>
      <c r="E234" s="912" t="s">
        <v>401</v>
      </c>
      <c r="F234" s="993"/>
      <c r="G234" s="841"/>
      <c r="H234" s="912" t="s">
        <v>2248</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6501</v>
      </c>
      <c r="B235" s="1013" t="s">
        <v>6965</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6966</v>
      </c>
      <c r="C236" s="899" t="s">
        <v>1781</v>
      </c>
      <c r="D236" s="912"/>
      <c r="E236" s="912" t="s">
        <v>4219</v>
      </c>
      <c r="F236" s="1005" t="s">
        <v>2350</v>
      </c>
      <c r="G236" s="841"/>
      <c r="H236" s="912"/>
      <c r="I236" s="912"/>
      <c r="J236" s="912"/>
      <c r="K236" s="912"/>
      <c r="L236" s="912"/>
      <c r="M236" s="912"/>
      <c r="N236" s="912"/>
      <c r="O236" s="912"/>
      <c r="P236" s="913"/>
      <c r="Q236" s="912"/>
      <c r="R236" s="912" t="s">
        <v>2239</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1781</v>
      </c>
      <c r="AX236" s="912"/>
      <c r="AY236" s="912"/>
      <c r="AZ236" s="912"/>
      <c r="BA236" s="912"/>
      <c r="BB236" s="912"/>
      <c r="BC236" s="912"/>
      <c r="BD236" s="833"/>
      <c r="BE236" s="912"/>
      <c r="BF236" s="914"/>
      <c r="BG236" s="914"/>
      <c r="BH236" s="833"/>
      <c r="BI236" s="833"/>
      <c r="BJ236" s="833"/>
    </row>
    <row r="237" ht="15.75" customHeight="1">
      <c r="A237" s="1011"/>
      <c r="B237" s="995" t="s">
        <v>6967</v>
      </c>
      <c r="C237" s="911" t="s">
        <v>5278</v>
      </c>
      <c r="D237" s="918" t="s">
        <v>1627</v>
      </c>
      <c r="E237" s="918"/>
      <c r="F237" s="844" t="s">
        <v>2318</v>
      </c>
      <c r="G237" s="826" t="s">
        <v>1695</v>
      </c>
      <c r="H237" s="918"/>
      <c r="I237" s="918" t="s">
        <v>2407</v>
      </c>
      <c r="J237" s="918"/>
      <c r="K237" s="826" t="s">
        <v>1411</v>
      </c>
      <c r="L237" s="918"/>
      <c r="M237" s="918"/>
      <c r="N237" s="918" t="s">
        <v>3253</v>
      </c>
      <c r="O237" s="918"/>
      <c r="P237" s="920" t="s">
        <v>6968</v>
      </c>
      <c r="Q237" s="918"/>
      <c r="R237" s="918" t="s">
        <v>5278</v>
      </c>
      <c r="S237" s="918"/>
      <c r="T237" s="918"/>
      <c r="U237" s="918" t="s">
        <v>3729</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6969</v>
      </c>
      <c r="C238" s="911" t="s">
        <v>6970</v>
      </c>
      <c r="D238" s="831" t="s">
        <v>1611</v>
      </c>
      <c r="E238" s="918"/>
      <c r="F238" s="993"/>
      <c r="G238" s="841"/>
      <c r="H238" s="912" t="s">
        <v>2513</v>
      </c>
      <c r="I238" s="918"/>
      <c r="J238" s="912" t="s">
        <v>1079</v>
      </c>
      <c r="K238" s="918"/>
      <c r="L238" s="912" t="s">
        <v>885</v>
      </c>
      <c r="M238" s="912" t="s">
        <v>240</v>
      </c>
      <c r="N238" s="918"/>
      <c r="O238" s="912" t="s">
        <v>3019</v>
      </c>
      <c r="P238" s="920"/>
      <c r="Q238" s="918" t="s">
        <v>6971</v>
      </c>
      <c r="R238" s="826" t="s">
        <v>2137</v>
      </c>
      <c r="S238" s="918"/>
      <c r="T238" s="918"/>
      <c r="U238" s="918"/>
      <c r="V238" s="918"/>
      <c r="W238" s="918"/>
      <c r="X238" s="918"/>
      <c r="Y238" s="918"/>
      <c r="Z238" s="918"/>
      <c r="AA238" s="918"/>
      <c r="AB238" s="918"/>
      <c r="AC238" s="918"/>
      <c r="AD238" s="918"/>
      <c r="AE238" s="918"/>
      <c r="AF238" s="918"/>
      <c r="AG238" s="918"/>
      <c r="AH238" s="826" t="s">
        <v>6970</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6506</v>
      </c>
      <c r="B239" s="1013" t="s">
        <v>6972</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6973</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6974</v>
      </c>
      <c r="C240" s="911" t="s">
        <v>1348</v>
      </c>
      <c r="D240" s="912" t="s">
        <v>1308</v>
      </c>
      <c r="E240" s="912" t="s">
        <v>1348</v>
      </c>
      <c r="F240" s="993"/>
      <c r="G240" s="826" t="s">
        <v>3268</v>
      </c>
      <c r="H240" s="826" t="s">
        <v>5448</v>
      </c>
      <c r="I240" s="912"/>
      <c r="J240" s="912" t="s">
        <v>1793</v>
      </c>
      <c r="K240" s="912" t="s">
        <v>735</v>
      </c>
      <c r="L240" s="912" t="s">
        <v>529</v>
      </c>
      <c r="M240" s="912"/>
      <c r="N240" s="912"/>
      <c r="O240" s="912"/>
      <c r="P240" s="913"/>
      <c r="Q240" s="912"/>
      <c r="R240" s="826" t="s">
        <v>812</v>
      </c>
      <c r="S240" s="912" t="s">
        <v>1346</v>
      </c>
      <c r="T240" s="912"/>
      <c r="U240" s="912"/>
      <c r="V240" s="912"/>
      <c r="W240" s="912" t="s">
        <v>4446</v>
      </c>
      <c r="X240" s="912"/>
      <c r="Y240" s="912"/>
      <c r="Z240" s="912"/>
      <c r="AA240" s="912"/>
      <c r="AB240" s="912"/>
      <c r="AC240" s="912"/>
      <c r="AD240" s="912"/>
      <c r="AE240" s="912"/>
      <c r="AF240" s="912" t="s">
        <v>6975</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6976</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6589</v>
      </c>
      <c r="B242" s="991" t="s">
        <v>6906</v>
      </c>
      <c r="C242" s="911" t="s">
        <v>5440</v>
      </c>
      <c r="D242" s="912" t="s">
        <v>1417</v>
      </c>
      <c r="E242" s="912" t="s">
        <v>2556</v>
      </c>
      <c r="F242" s="855" t="s">
        <v>4101</v>
      </c>
      <c r="G242" s="841"/>
      <c r="H242" s="912" t="s">
        <v>5440</v>
      </c>
      <c r="I242" s="912"/>
      <c r="J242" s="912"/>
      <c r="K242" s="912" t="s">
        <v>5519</v>
      </c>
      <c r="L242" s="912"/>
      <c r="M242" s="912"/>
      <c r="N242" s="912" t="s">
        <v>5202</v>
      </c>
      <c r="O242" s="912" t="s">
        <v>4101</v>
      </c>
      <c r="P242" s="913" t="s">
        <v>5478</v>
      </c>
      <c r="Q242" s="912"/>
      <c r="R242" s="912" t="s">
        <v>5440</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6678</v>
      </c>
      <c r="C243" s="911" t="s">
        <v>3036</v>
      </c>
      <c r="D243" s="912"/>
      <c r="E243" s="912" t="s">
        <v>4239</v>
      </c>
      <c r="F243" s="1005" t="s">
        <v>6977</v>
      </c>
      <c r="G243" s="841"/>
      <c r="H243" s="912" t="s">
        <v>3036</v>
      </c>
      <c r="I243" s="912" t="str">
        <f>HYPERLINK("https://youtu.be/yGR2akJEjQQ","19.18")</f>
        <v>19.18</v>
      </c>
      <c r="J243" s="912"/>
      <c r="K243" s="912"/>
      <c r="L243" s="912"/>
      <c r="M243" s="912"/>
      <c r="N243" s="912"/>
      <c r="O243" s="912"/>
      <c r="P243" s="913"/>
      <c r="Q243" s="912"/>
      <c r="R243" s="826" t="s">
        <v>5362</v>
      </c>
      <c r="S243" s="912"/>
      <c r="T243" s="912" t="s">
        <v>2411</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6978</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6979</v>
      </c>
      <c r="C245" s="911" t="s">
        <v>1043</v>
      </c>
      <c r="D245" s="831" t="s">
        <v>1612</v>
      </c>
      <c r="E245" s="826" t="s">
        <v>403</v>
      </c>
      <c r="F245" s="837" t="s">
        <v>1779</v>
      </c>
      <c r="G245" s="826" t="s">
        <v>1247</v>
      </c>
      <c r="H245" s="826" t="s">
        <v>1043</v>
      </c>
      <c r="I245" s="826" t="s">
        <v>403</v>
      </c>
      <c r="J245" s="841"/>
      <c r="K245" s="826" t="s">
        <v>2196</v>
      </c>
      <c r="L245" s="826" t="s">
        <v>510</v>
      </c>
      <c r="M245" s="841"/>
      <c r="N245" s="841"/>
      <c r="O245" s="826" t="s">
        <v>1852</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6980</v>
      </c>
      <c r="C246" s="822" t="s">
        <v>4987</v>
      </c>
      <c r="D246" s="918"/>
      <c r="E246" s="918"/>
      <c r="F246" s="844" t="s">
        <v>1995</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6981</v>
      </c>
      <c r="B247" s="991" t="s">
        <v>6486</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6600</v>
      </c>
      <c r="B248" s="991" t="s">
        <v>6596</v>
      </c>
      <c r="C248" s="911" t="s">
        <v>6230</v>
      </c>
      <c r="D248" s="836" t="s">
        <v>1615</v>
      </c>
      <c r="E248" s="918"/>
      <c r="F248" s="993"/>
      <c r="G248" s="841"/>
      <c r="H248" s="918"/>
      <c r="I248" s="918" t="s">
        <v>1853</v>
      </c>
      <c r="J248" s="912" t="s">
        <v>1470</v>
      </c>
      <c r="K248" s="918" t="s">
        <v>6982</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6598</v>
      </c>
      <c r="B249" s="1016" t="s">
        <v>6596</v>
      </c>
      <c r="C249" s="861" t="s">
        <v>6983</v>
      </c>
      <c r="D249" s="862" t="s">
        <v>6983</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6984</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6985</v>
      </c>
      <c r="C251" s="911" t="s">
        <v>293</v>
      </c>
      <c r="D251" s="836" t="s">
        <v>1614</v>
      </c>
      <c r="E251" s="826" t="s">
        <v>405</v>
      </c>
      <c r="F251" s="993"/>
      <c r="G251" s="826" t="s">
        <v>1322</v>
      </c>
      <c r="H251" s="826" t="s">
        <v>798</v>
      </c>
      <c r="I251" s="841"/>
      <c r="J251" s="826" t="s">
        <v>352</v>
      </c>
      <c r="K251" s="841"/>
      <c r="L251" s="841" t="s">
        <v>3421</v>
      </c>
      <c r="M251" s="826" t="s">
        <v>798</v>
      </c>
      <c r="N251" s="841"/>
      <c r="O251" s="826" t="s">
        <v>1044</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6486</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6986</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6485</v>
      </c>
      <c r="B254" s="1024" t="s">
        <v>6987</v>
      </c>
      <c r="C254" s="911" t="s">
        <v>1758</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6988</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6989</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6990</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6991</v>
      </c>
      <c r="C256" s="911" t="s">
        <v>427</v>
      </c>
      <c r="D256" s="918" t="s">
        <v>4531</v>
      </c>
      <c r="E256" s="918"/>
      <c r="F256" s="825"/>
      <c r="G256" s="841"/>
      <c r="H256" s="918"/>
      <c r="I256" s="918" t="s">
        <v>6992</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6993</v>
      </c>
      <c r="C257" s="911" t="s">
        <v>3810</v>
      </c>
      <c r="D257" s="918"/>
      <c r="E257" s="918"/>
      <c r="F257" s="1029"/>
      <c r="G257" s="826" t="s">
        <v>6305</v>
      </c>
      <c r="H257" s="918"/>
      <c r="I257" s="912" t="s">
        <v>6994</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6995</v>
      </c>
      <c r="C258" s="911" t="s">
        <v>1997</v>
      </c>
      <c r="D258" s="912"/>
      <c r="E258" s="912" t="s">
        <v>1541</v>
      </c>
      <c r="F258" s="844" t="s">
        <v>859</v>
      </c>
      <c r="G258" s="841"/>
      <c r="H258" s="912" t="s">
        <v>1997</v>
      </c>
      <c r="I258" s="912"/>
      <c r="J258" s="912" t="s">
        <v>2158</v>
      </c>
      <c r="K258" s="912"/>
      <c r="L258" s="913" t="s">
        <v>6996</v>
      </c>
      <c r="M258" s="912"/>
      <c r="N258" s="912"/>
      <c r="O258" s="912" t="s">
        <v>1401</v>
      </c>
      <c r="P258" s="913" t="s">
        <v>6997</v>
      </c>
      <c r="Q258" s="912"/>
      <c r="R258" s="912"/>
      <c r="S258" s="912"/>
      <c r="T258" s="912" t="s">
        <v>2147</v>
      </c>
      <c r="U258" s="912"/>
      <c r="V258" s="912"/>
      <c r="W258" s="912"/>
      <c r="X258" s="912"/>
      <c r="Y258" s="912" t="s">
        <v>1848</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6998</v>
      </c>
      <c r="C259" s="911" t="s">
        <v>2158</v>
      </c>
      <c r="D259" s="912"/>
      <c r="E259" s="912" t="s">
        <v>2158</v>
      </c>
      <c r="F259" s="1028" t="s">
        <v>6999</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7000</v>
      </c>
      <c r="C260" s="911" t="s">
        <v>357</v>
      </c>
      <c r="D260" s="912"/>
      <c r="E260" s="912" t="s">
        <v>801</v>
      </c>
      <c r="F260" s="844" t="s">
        <v>1401</v>
      </c>
      <c r="G260" s="841"/>
      <c r="H260" s="913" t="s">
        <v>5497</v>
      </c>
      <c r="I260" s="912"/>
      <c r="J260" s="912"/>
      <c r="K260" s="912"/>
      <c r="L260" s="912"/>
      <c r="M260" s="912"/>
      <c r="N260" s="912"/>
      <c r="O260" s="912" t="s">
        <v>6006</v>
      </c>
      <c r="P260" s="913"/>
      <c r="Q260" s="912"/>
      <c r="R260" s="912"/>
      <c r="S260" s="912"/>
      <c r="T260" s="912"/>
      <c r="U260" s="912"/>
      <c r="V260" s="912"/>
      <c r="W260" s="913" t="s">
        <v>7001</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7002</v>
      </c>
      <c r="C261" s="896" t="s">
        <v>2914</v>
      </c>
      <c r="D261" s="912" t="s">
        <v>934</v>
      </c>
      <c r="E261" s="912" t="s">
        <v>7003</v>
      </c>
      <c r="F261" s="844" t="s">
        <v>2914</v>
      </c>
      <c r="G261" s="826" t="s">
        <v>7004</v>
      </c>
      <c r="H261" s="912"/>
      <c r="I261" s="912"/>
      <c r="J261" s="912"/>
      <c r="K261" s="912"/>
      <c r="L261" s="912"/>
      <c r="M261" s="912"/>
      <c r="N261" s="912"/>
      <c r="O261" s="912" t="s">
        <v>7005</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6487</v>
      </c>
      <c r="B262" s="1024" t="s">
        <v>6486</v>
      </c>
      <c r="C262" s="896" t="s">
        <v>7006</v>
      </c>
      <c r="D262" s="918"/>
      <c r="E262" s="918"/>
      <c r="F262" s="844" t="s">
        <v>7006</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6630</v>
      </c>
      <c r="B263" s="1024" t="s">
        <v>7007</v>
      </c>
      <c r="C263" s="911" t="s">
        <v>1627</v>
      </c>
      <c r="D263" s="918" t="s">
        <v>1759</v>
      </c>
      <c r="E263" s="918"/>
      <c r="F263" s="1029"/>
      <c r="G263" s="826" t="s">
        <v>4259</v>
      </c>
      <c r="H263" s="918"/>
      <c r="I263" s="912" t="str">
        <f>HYPERLINK("https://youtu.be/_GZXmZdCc5s","31.80")</f>
        <v>31.80</v>
      </c>
      <c r="J263" s="918"/>
      <c r="K263" s="912" t="s">
        <v>7008</v>
      </c>
      <c r="L263" s="918"/>
      <c r="M263" s="912" t="s">
        <v>1627</v>
      </c>
      <c r="N263" s="912" t="str">
        <f>HYPERLINK("https://youtu.be/kUsh0nBBuMY","32.45")</f>
        <v>32.45</v>
      </c>
      <c r="O263" s="918"/>
      <c r="P263" s="920" t="s">
        <v>2213</v>
      </c>
      <c r="Q263" s="918"/>
      <c r="R263" s="918" t="s">
        <v>1088</v>
      </c>
      <c r="S263" s="918"/>
      <c r="T263" s="918"/>
      <c r="U263" s="918" t="s">
        <v>819</v>
      </c>
      <c r="V263" s="826" t="s">
        <v>7009</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1120</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7010</v>
      </c>
      <c r="C264" s="911" t="s">
        <v>458</v>
      </c>
      <c r="D264" s="918"/>
      <c r="E264" s="918"/>
      <c r="F264" s="825"/>
      <c r="G264" s="841"/>
      <c r="H264" s="918"/>
      <c r="I264" s="918"/>
      <c r="J264" s="918"/>
      <c r="K264" s="826" t="s">
        <v>2314</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7011</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7012</v>
      </c>
      <c r="C266" s="911" t="s">
        <v>3546</v>
      </c>
      <c r="D266" s="912" t="s">
        <v>240</v>
      </c>
      <c r="E266" s="912" t="s">
        <v>3546</v>
      </c>
      <c r="F266" s="837" t="s">
        <v>179</v>
      </c>
      <c r="G266" s="826" t="s">
        <v>1327</v>
      </c>
      <c r="H266" s="912" t="s">
        <v>1543</v>
      </c>
      <c r="I266" s="912" t="s">
        <v>203</v>
      </c>
      <c r="J266" s="912" t="s">
        <v>2137</v>
      </c>
      <c r="K266" s="912" t="s">
        <v>5411</v>
      </c>
      <c r="L266" s="912" t="s">
        <v>841</v>
      </c>
      <c r="M266" s="912" t="s">
        <v>275</v>
      </c>
      <c r="N266" s="912" t="s">
        <v>5693</v>
      </c>
      <c r="O266" s="912" t="s">
        <v>717</v>
      </c>
      <c r="P266" s="913" t="s">
        <v>424</v>
      </c>
      <c r="Q266" s="912" t="s">
        <v>4024</v>
      </c>
      <c r="R266" s="912"/>
      <c r="S266" s="912"/>
      <c r="T266" s="912"/>
      <c r="U266" s="912" t="s">
        <v>7013</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6533</v>
      </c>
      <c r="B267" s="1024" t="s">
        <v>7014</v>
      </c>
      <c r="C267" s="911" t="s">
        <v>7015</v>
      </c>
      <c r="D267" s="912" t="s">
        <v>6643</v>
      </c>
      <c r="E267" s="912" t="s">
        <v>4142</v>
      </c>
      <c r="F267" s="1031" t="s">
        <v>7016</v>
      </c>
      <c r="G267" s="826" t="s">
        <v>7017</v>
      </c>
      <c r="H267" s="912"/>
      <c r="I267" s="912" t="str">
        <f>HYPERLINK("https://youtu.be/fNmQmNF7N9I","46.93")</f>
        <v>46.93</v>
      </c>
      <c r="J267" s="912" t="s">
        <v>7015</v>
      </c>
      <c r="K267" s="912" t="s">
        <v>535</v>
      </c>
      <c r="L267" s="912" t="s">
        <v>7018</v>
      </c>
      <c r="M267" s="912" t="s">
        <v>1578</v>
      </c>
      <c r="N267" s="912"/>
      <c r="O267" s="912"/>
      <c r="P267" s="913"/>
      <c r="Q267" s="912"/>
      <c r="R267" s="912"/>
      <c r="S267" s="912" t="s">
        <v>3876</v>
      </c>
      <c r="T267" s="912" t="s">
        <v>6992</v>
      </c>
      <c r="U267" s="912" t="s">
        <v>7019</v>
      </c>
      <c r="V267" s="912"/>
      <c r="W267" s="912" t="s">
        <v>4317</v>
      </c>
      <c r="X267" s="912" t="s">
        <v>7020</v>
      </c>
      <c r="Y267" s="912"/>
      <c r="Z267" s="912"/>
      <c r="AA267" s="912" t="s">
        <v>7021</v>
      </c>
      <c r="AB267" s="912" t="s">
        <v>7022</v>
      </c>
      <c r="AC267" s="912"/>
      <c r="AD267" s="912"/>
      <c r="AE267" s="912"/>
      <c r="AF267" s="912"/>
      <c r="AG267" s="912"/>
      <c r="AH267" s="912"/>
      <c r="AI267" s="912"/>
      <c r="AJ267" s="912"/>
      <c r="AK267" s="912"/>
      <c r="AL267" s="912"/>
      <c r="AM267" s="912"/>
      <c r="AN267" s="912"/>
      <c r="AO267" s="914"/>
      <c r="AP267" s="912" t="s">
        <v>7023</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7024</v>
      </c>
      <c r="C268" s="911" t="s">
        <v>3862</v>
      </c>
      <c r="D268" s="912" t="s">
        <v>5131</v>
      </c>
      <c r="E268" s="912" t="s">
        <v>3422</v>
      </c>
      <c r="F268" s="855" t="s">
        <v>7025</v>
      </c>
      <c r="G268" s="826" t="s">
        <v>7026</v>
      </c>
      <c r="H268" s="912"/>
      <c r="I268" s="912" t="str">
        <f>HYPERLINK(" https://youtu.be/dsDcBzsPA5s","45.74")</f>
        <v>45.74</v>
      </c>
      <c r="J268" s="912" t="s">
        <v>3862</v>
      </c>
      <c r="K268" s="912" t="s">
        <v>7027</v>
      </c>
      <c r="L268" s="912" t="s">
        <v>3919</v>
      </c>
      <c r="M268" s="912" t="s">
        <v>1701</v>
      </c>
      <c r="N268" s="912" t="s">
        <v>1998</v>
      </c>
      <c r="O268" s="912" t="s">
        <v>3846</v>
      </c>
      <c r="P268" s="913" t="s">
        <v>3460</v>
      </c>
      <c r="Q268" s="912" t="s">
        <v>7028</v>
      </c>
      <c r="R268" s="912"/>
      <c r="S268" s="912" t="s">
        <v>7029</v>
      </c>
      <c r="T268" s="912" t="s">
        <v>283</v>
      </c>
      <c r="U268" s="912" t="s">
        <v>7001</v>
      </c>
      <c r="V268" s="912"/>
      <c r="W268" s="912" t="s">
        <v>704</v>
      </c>
      <c r="X268" s="912" t="s">
        <v>7030</v>
      </c>
      <c r="Y268" s="912"/>
      <c r="Z268" s="912"/>
      <c r="AA268" s="912"/>
      <c r="AB268" s="912" t="s">
        <v>6702</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7031</v>
      </c>
      <c r="C269" s="911" t="s">
        <v>1047</v>
      </c>
      <c r="D269" s="912" t="s">
        <v>4588</v>
      </c>
      <c r="E269" s="912" t="s">
        <v>409</v>
      </c>
      <c r="F269" s="1031" t="s">
        <v>186</v>
      </c>
      <c r="G269" s="826" t="s">
        <v>1328</v>
      </c>
      <c r="H269" s="912" t="s">
        <v>2041</v>
      </c>
      <c r="I269" s="912" t="str">
        <f>HYPERLINK("https://youtu.be/9O9oqhlyCxY","45.20")</f>
        <v>45.20</v>
      </c>
      <c r="J269" s="912" t="s">
        <v>7032</v>
      </c>
      <c r="K269" s="826" t="s">
        <v>3568</v>
      </c>
      <c r="L269" s="912" t="s">
        <v>319</v>
      </c>
      <c r="M269" s="912" t="s">
        <v>1402</v>
      </c>
      <c r="N269" s="912" t="s">
        <v>6994</v>
      </c>
      <c r="O269" s="912" t="s">
        <v>1047</v>
      </c>
      <c r="P269" s="913"/>
      <c r="Q269" s="912" t="s">
        <v>1856</v>
      </c>
      <c r="R269" s="912"/>
      <c r="S269" s="912" t="s">
        <v>427</v>
      </c>
      <c r="T269" s="912" t="s">
        <v>518</v>
      </c>
      <c r="U269" s="912"/>
      <c r="V269" s="912"/>
      <c r="W269" s="912" t="s">
        <v>616</v>
      </c>
      <c r="X269" s="912"/>
      <c r="Y269" s="912"/>
      <c r="Z269" s="912"/>
      <c r="AA269" s="912" t="s">
        <v>4314</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6707</v>
      </c>
      <c r="B270" s="1033" t="s">
        <v>7033</v>
      </c>
      <c r="C270" s="911" t="s">
        <v>969</v>
      </c>
      <c r="D270" s="836" t="s">
        <v>1619</v>
      </c>
      <c r="E270" s="1034" t="s">
        <v>410</v>
      </c>
      <c r="F270" s="837" t="s">
        <v>2915</v>
      </c>
      <c r="G270" s="826" t="s">
        <v>1329</v>
      </c>
      <c r="H270" s="1034" t="s">
        <v>4529</v>
      </c>
      <c r="I270" s="1034"/>
      <c r="J270" s="1034"/>
      <c r="K270" s="1034"/>
      <c r="L270" s="1034"/>
      <c r="M270" s="1034"/>
      <c r="N270" s="1034"/>
      <c r="O270" s="1034" t="s">
        <v>1048</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6501</v>
      </c>
      <c r="B271" s="1037" t="s">
        <v>7033</v>
      </c>
      <c r="C271" s="911" t="s">
        <v>6891</v>
      </c>
      <c r="D271" s="1034" t="s">
        <v>148</v>
      </c>
      <c r="E271" s="1034" t="s">
        <v>411</v>
      </c>
      <c r="F271" s="837" t="s">
        <v>2916</v>
      </c>
      <c r="G271" s="841"/>
      <c r="H271" s="1034" t="s">
        <v>6891</v>
      </c>
      <c r="I271" s="1034"/>
      <c r="J271" s="1034"/>
      <c r="K271" s="1034"/>
      <c r="L271" s="1034" t="s">
        <v>890</v>
      </c>
      <c r="M271" s="1034" t="s">
        <v>188</v>
      </c>
      <c r="N271" s="1034"/>
      <c r="O271" s="1034" t="s">
        <v>1049</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6506</v>
      </c>
      <c r="B272" s="1039" t="s">
        <v>6486</v>
      </c>
      <c r="C272" s="911" t="s">
        <v>5651</v>
      </c>
      <c r="D272" s="912" t="s">
        <v>5665</v>
      </c>
      <c r="E272" s="912" t="s">
        <v>2824</v>
      </c>
      <c r="F272" s="844" t="s">
        <v>3933</v>
      </c>
      <c r="G272" s="826" t="s">
        <v>5620</v>
      </c>
      <c r="H272" s="912" t="s">
        <v>5651</v>
      </c>
      <c r="I272" s="912"/>
      <c r="J272" s="912" t="s">
        <v>5202</v>
      </c>
      <c r="K272" s="912"/>
      <c r="L272" s="912" t="s">
        <v>7034</v>
      </c>
      <c r="M272" s="912"/>
      <c r="N272" s="912"/>
      <c r="O272" s="912" t="s">
        <v>5651</v>
      </c>
      <c r="P272" s="913"/>
      <c r="Q272" s="912"/>
      <c r="R272" s="826" t="s">
        <v>7035</v>
      </c>
      <c r="S272" s="912"/>
      <c r="T272" s="912" t="s">
        <v>5651</v>
      </c>
      <c r="U272" s="912"/>
      <c r="V272" s="912"/>
      <c r="W272" s="912" t="s">
        <v>4101</v>
      </c>
      <c r="X272" s="912" t="s">
        <v>6003</v>
      </c>
      <c r="Y272" s="912" t="s">
        <v>7036</v>
      </c>
      <c r="Z272" s="912" t="s">
        <v>6075</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6660</v>
      </c>
      <c r="B273" s="1040" t="s">
        <v>7037</v>
      </c>
      <c r="C273" s="911" t="s">
        <v>7038</v>
      </c>
      <c r="D273" s="831" t="s">
        <v>1484</v>
      </c>
      <c r="E273" s="912" t="s">
        <v>4403</v>
      </c>
      <c r="F273" s="837" t="s">
        <v>189</v>
      </c>
      <c r="G273" s="826" t="s">
        <v>1331</v>
      </c>
      <c r="H273" s="912" t="s">
        <v>7038</v>
      </c>
      <c r="I273" s="912" t="s">
        <v>1484</v>
      </c>
      <c r="J273" s="912" t="s">
        <v>3705</v>
      </c>
      <c r="K273" s="912"/>
      <c r="L273" s="912" t="s">
        <v>891</v>
      </c>
      <c r="M273" s="912"/>
      <c r="N273" s="912"/>
      <c r="O273" s="912" t="s">
        <v>7039</v>
      </c>
      <c r="P273" s="913"/>
      <c r="Q273" s="912" t="s">
        <v>189</v>
      </c>
      <c r="R273" s="912"/>
      <c r="S273" s="912"/>
      <c r="T273" s="912" t="s">
        <v>521</v>
      </c>
      <c r="U273" s="912"/>
      <c r="V273" s="912"/>
      <c r="W273" s="912" t="s">
        <v>7040</v>
      </c>
      <c r="X273" s="912"/>
      <c r="Y273" s="912"/>
      <c r="Z273" s="912"/>
      <c r="AA273" s="912"/>
      <c r="AB273" s="912"/>
      <c r="AC273" s="912"/>
      <c r="AD273" s="912"/>
      <c r="AE273" s="912"/>
      <c r="AF273" s="912" t="s">
        <v>7041</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6670</v>
      </c>
      <c r="B274" s="1039" t="s">
        <v>7037</v>
      </c>
      <c r="C274" s="911" t="s">
        <v>7042</v>
      </c>
      <c r="D274" s="912" t="s">
        <v>7043</v>
      </c>
      <c r="E274" s="912"/>
      <c r="F274" s="844" t="s">
        <v>7044</v>
      </c>
      <c r="G274" s="841"/>
      <c r="H274" s="913" t="s">
        <v>7042</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6589</v>
      </c>
      <c r="B275" s="1024" t="s">
        <v>7045</v>
      </c>
      <c r="C275" s="911" t="s">
        <v>4200</v>
      </c>
      <c r="D275" s="841"/>
      <c r="E275" s="826" t="s">
        <v>4275</v>
      </c>
      <c r="F275" s="1029"/>
      <c r="G275" s="826" t="s">
        <v>3269</v>
      </c>
      <c r="H275" s="826" t="s">
        <v>4200</v>
      </c>
      <c r="I275" s="841"/>
      <c r="J275" s="841"/>
      <c r="K275" s="841"/>
      <c r="L275" s="841"/>
      <c r="M275" s="841"/>
      <c r="N275" s="841" t="s">
        <v>4372</v>
      </c>
      <c r="O275" s="841"/>
      <c r="P275" s="913" t="s">
        <v>7046</v>
      </c>
      <c r="Q275" s="841"/>
      <c r="R275" s="841"/>
      <c r="S275" s="841"/>
      <c r="T275" s="841"/>
      <c r="U275" s="841"/>
      <c r="V275" s="826" t="s">
        <v>6977</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7047</v>
      </c>
      <c r="C276" s="911" t="s">
        <v>4425</v>
      </c>
      <c r="D276" s="912" t="s">
        <v>1620</v>
      </c>
      <c r="E276" s="912" t="s">
        <v>2745</v>
      </c>
      <c r="F276" s="844" t="s">
        <v>2917</v>
      </c>
      <c r="G276" s="841"/>
      <c r="H276" s="913" t="s">
        <v>1371</v>
      </c>
      <c r="I276" s="912"/>
      <c r="J276" s="912"/>
      <c r="K276" s="912"/>
      <c r="L276" s="912"/>
      <c r="M276" s="912"/>
      <c r="N276" s="912"/>
      <c r="O276" s="912"/>
      <c r="P276" s="913" t="s">
        <v>5205</v>
      </c>
      <c r="Q276" s="912" t="s">
        <v>2589</v>
      </c>
      <c r="R276" s="912" t="s">
        <v>1620</v>
      </c>
      <c r="S276" s="912"/>
      <c r="T276" s="912" t="s">
        <v>4425</v>
      </c>
      <c r="U276" s="912"/>
      <c r="V276" s="912"/>
      <c r="W276" s="912"/>
      <c r="X276" s="912"/>
      <c r="Y276" s="912"/>
      <c r="Z276" s="912"/>
      <c r="AA276" s="912" t="s">
        <v>1747</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7048</v>
      </c>
      <c r="C277" s="911" t="s">
        <v>620</v>
      </c>
      <c r="D277" s="912"/>
      <c r="E277" s="912" t="s">
        <v>368</v>
      </c>
      <c r="F277" s="1031" t="s">
        <v>2917</v>
      </c>
      <c r="G277" s="826" t="s">
        <v>3693</v>
      </c>
      <c r="H277" s="913" t="s">
        <v>6242</v>
      </c>
      <c r="I277" s="912"/>
      <c r="J277" s="912" t="s">
        <v>1620</v>
      </c>
      <c r="K277" s="912"/>
      <c r="L277" s="912"/>
      <c r="M277" s="912" t="s">
        <v>1188</v>
      </c>
      <c r="N277" s="912"/>
      <c r="O277" s="912" t="s">
        <v>3693</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6593</v>
      </c>
      <c r="B278" s="1024" t="s">
        <v>6486</v>
      </c>
      <c r="C278" s="911" t="s">
        <v>7049</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7050</v>
      </c>
      <c r="B279" s="1024" t="s">
        <v>6486</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6598</v>
      </c>
      <c r="B280" s="1039" t="s">
        <v>6486</v>
      </c>
      <c r="C280" s="822" t="s">
        <v>7051</v>
      </c>
      <c r="D280" s="826" t="s">
        <v>7051</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6722</v>
      </c>
      <c r="B281" s="1024" t="s">
        <v>6691</v>
      </c>
      <c r="C281" s="911" t="s">
        <v>4158</v>
      </c>
      <c r="D281" s="860" t="s">
        <v>1621</v>
      </c>
      <c r="E281" s="918"/>
      <c r="F281" s="1029"/>
      <c r="G281" s="826" t="s">
        <v>1645</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6695</v>
      </c>
      <c r="C282" s="911" t="s">
        <v>4758</v>
      </c>
      <c r="D282" s="918"/>
      <c r="E282" s="918"/>
      <c r="F282" s="825"/>
      <c r="G282" s="826" t="s">
        <v>1334</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6486</v>
      </c>
      <c r="C283" s="911" t="s">
        <v>7052</v>
      </c>
      <c r="D283" s="918" t="s">
        <v>7053</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7054</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7055</v>
      </c>
      <c r="B285" s="1050" t="s">
        <v>7056</v>
      </c>
      <c r="C285" s="822" t="s">
        <v>7057</v>
      </c>
      <c r="D285" s="1051"/>
      <c r="E285" s="841"/>
      <c r="F285" s="1052"/>
      <c r="G285" s="826" t="s">
        <v>4774</v>
      </c>
      <c r="H285" s="841"/>
      <c r="I285" s="841"/>
      <c r="J285" s="841"/>
      <c r="K285" s="841"/>
      <c r="L285" s="841"/>
      <c r="M285" s="841"/>
      <c r="N285" s="841"/>
      <c r="O285" s="841"/>
      <c r="P285" s="913"/>
      <c r="Q285" s="841"/>
      <c r="R285" s="841"/>
      <c r="S285" s="841"/>
      <c r="T285" s="841"/>
      <c r="U285" s="841"/>
      <c r="V285" s="826" t="s">
        <v>7057</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7058</v>
      </c>
      <c r="C286" s="911" t="s">
        <v>7059</v>
      </c>
      <c r="D286" s="912" t="s">
        <v>7060</v>
      </c>
      <c r="E286" s="912" t="s">
        <v>7059</v>
      </c>
      <c r="F286" s="825"/>
      <c r="H286" s="912"/>
      <c r="I286" s="912"/>
      <c r="J286" s="912"/>
      <c r="K286" s="913" t="s">
        <v>7061</v>
      </c>
      <c r="L286" s="912"/>
      <c r="M286" s="912"/>
      <c r="N286" s="912"/>
      <c r="O286" s="912"/>
      <c r="P286" s="913" t="s">
        <v>7062</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7063</v>
      </c>
      <c r="C287" s="911" t="s">
        <v>423</v>
      </c>
      <c r="D287" s="831" t="s">
        <v>1626</v>
      </c>
      <c r="E287" s="826" t="s">
        <v>423</v>
      </c>
      <c r="F287" s="837" t="s">
        <v>2919</v>
      </c>
      <c r="G287" s="826" t="s">
        <v>1343</v>
      </c>
      <c r="H287" s="826" t="s">
        <v>7064</v>
      </c>
      <c r="I287" s="826" t="str">
        <f>HYPERLINK("https://youtu.be/ZpzmhXUsVhA","1:19.38")</f>
        <v>1:19.38</v>
      </c>
      <c r="J287" s="841"/>
      <c r="K287" s="826" t="s">
        <v>3574</v>
      </c>
      <c r="L287" s="841" t="s">
        <v>900</v>
      </c>
      <c r="M287" s="841" t="s">
        <v>5945</v>
      </c>
      <c r="N287" s="841" t="s">
        <v>7065</v>
      </c>
      <c r="O287" s="826" t="s">
        <v>7066</v>
      </c>
      <c r="P287" s="913" t="s">
        <v>7067</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7068</v>
      </c>
      <c r="B288" s="1057" t="s">
        <v>7056</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7058</v>
      </c>
      <c r="C289" s="911" t="s">
        <v>5467</v>
      </c>
      <c r="D289" s="912" t="s">
        <v>1019</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7063</v>
      </c>
      <c r="C290" s="911" t="s">
        <v>2175</v>
      </c>
      <c r="D290" s="1059" t="s">
        <v>7069</v>
      </c>
      <c r="E290" s="912" t="s">
        <v>4078</v>
      </c>
      <c r="F290" s="886" t="s">
        <v>2065</v>
      </c>
      <c r="G290" s="826" t="s">
        <v>2775</v>
      </c>
      <c r="H290" s="951" t="s">
        <v>4685</v>
      </c>
      <c r="I290" s="912"/>
      <c r="J290" s="912"/>
      <c r="K290" s="912"/>
      <c r="L290" s="912"/>
      <c r="M290" s="912"/>
      <c r="N290" s="912"/>
      <c r="O290" s="912" t="s">
        <v>2175</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7070</v>
      </c>
      <c r="B291" s="1060" t="s">
        <v>7071</v>
      </c>
      <c r="C291" s="911" t="s">
        <v>4246</v>
      </c>
      <c r="D291" s="1015" t="s">
        <v>1797</v>
      </c>
      <c r="E291" s="912" t="s">
        <v>4246</v>
      </c>
      <c r="F291" s="825"/>
      <c r="G291" s="841"/>
      <c r="H291" s="912"/>
      <c r="I291" s="912"/>
      <c r="J291" s="912"/>
      <c r="K291" s="912" t="s">
        <v>2332</v>
      </c>
      <c r="L291" s="912"/>
      <c r="M291" s="912"/>
      <c r="N291" s="912"/>
      <c r="O291" s="912"/>
      <c r="P291" s="913" t="s">
        <v>7072</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7073</v>
      </c>
      <c r="C292" s="911" t="s">
        <v>7013</v>
      </c>
      <c r="D292" s="831" t="s">
        <v>1627</v>
      </c>
      <c r="E292" s="826" t="s">
        <v>424</v>
      </c>
      <c r="F292" s="950" t="s">
        <v>2920</v>
      </c>
      <c r="G292" s="826" t="s">
        <v>1344</v>
      </c>
      <c r="H292" s="826" t="s">
        <v>2069</v>
      </c>
      <c r="I292" s="841"/>
      <c r="J292" s="841"/>
      <c r="K292" s="841"/>
      <c r="L292" s="826" t="s">
        <v>901</v>
      </c>
      <c r="M292" s="841" t="s">
        <v>817</v>
      </c>
      <c r="N292" s="841"/>
      <c r="O292" s="826" t="s">
        <v>7013</v>
      </c>
      <c r="P292" s="913" t="s">
        <v>1447</v>
      </c>
      <c r="Q292" s="841"/>
      <c r="R292" s="841"/>
      <c r="S292" s="841"/>
      <c r="T292" s="841" t="s">
        <v>1611</v>
      </c>
      <c r="U292" s="841"/>
      <c r="V292" s="841"/>
      <c r="W292" s="841"/>
      <c r="X292" s="841"/>
      <c r="Y292" s="841"/>
      <c r="Z292" s="826" t="s">
        <v>5278</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7074</v>
      </c>
      <c r="B293" s="1050" t="s">
        <v>7075</v>
      </c>
      <c r="C293" s="911" t="s">
        <v>6122</v>
      </c>
      <c r="D293" s="912"/>
      <c r="E293" s="912" t="s">
        <v>6122</v>
      </c>
      <c r="F293" s="825"/>
      <c r="G293" s="841"/>
      <c r="H293" s="912"/>
      <c r="I293" s="912" t="s">
        <v>6948</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7076</v>
      </c>
      <c r="C294" s="911" t="s">
        <v>6870</v>
      </c>
      <c r="D294" s="912"/>
      <c r="E294" s="912" t="s">
        <v>1412</v>
      </c>
      <c r="F294" s="879"/>
      <c r="G294" s="841"/>
      <c r="H294" s="912"/>
      <c r="I294" s="912" t="s">
        <v>6870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7077</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7078</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7079</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7080</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6501</v>
      </c>
      <c r="B299" s="1060" t="s">
        <v>6596</v>
      </c>
      <c r="C299" s="911" t="s">
        <v>3290</v>
      </c>
      <c r="D299" s="912"/>
      <c r="E299" s="912" t="s">
        <v>3729</v>
      </c>
      <c r="F299" s="825"/>
      <c r="G299" s="841"/>
      <c r="H299" s="912" t="s">
        <v>3290</v>
      </c>
      <c r="I299" s="912" t="s">
        <v>7081</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1695</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7082</v>
      </c>
      <c r="B300" s="1063"/>
      <c r="C300" s="822" t="s">
        <v>7083</v>
      </c>
      <c r="D300" s="918"/>
      <c r="E300" s="918"/>
      <c r="F300" s="879"/>
      <c r="G300" s="841"/>
      <c r="H300" s="826" t="s">
        <v>7083</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7084</v>
      </c>
      <c r="B301" s="1060" t="s">
        <v>7085</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1693</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7086</v>
      </c>
      <c r="C302" s="911" t="s">
        <v>3959</v>
      </c>
      <c r="D302" s="953"/>
      <c r="E302" s="953" t="s">
        <v>4167</v>
      </c>
      <c r="F302" s="879"/>
      <c r="G302" s="841"/>
      <c r="H302" s="953"/>
      <c r="I302" s="826" t="s">
        <v>3959</v>
      </c>
      <c r="J302" s="953"/>
      <c r="K302" s="953"/>
      <c r="L302" s="953"/>
      <c r="M302" s="953" t="s">
        <v>6539</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7087</v>
      </c>
      <c r="B303" s="1062" t="s">
        <v>7088</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7089</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7090</v>
      </c>
      <c r="B305" s="1062" t="s">
        <v>7091</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7092</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7093</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7094</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7094</v>
      </c>
      <c r="C309" s="911" t="s">
        <v>7095</v>
      </c>
      <c r="D309" s="918"/>
      <c r="E309" s="918"/>
      <c r="F309" s="825"/>
      <c r="G309" s="841"/>
      <c r="H309" s="918"/>
      <c r="I309" s="826" t="s">
        <v>7095</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7096</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7097</v>
      </c>
      <c r="B311" s="1050" t="s">
        <v>6488</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7098</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7099</v>
      </c>
      <c r="C313" s="911" t="s">
        <v>2961</v>
      </c>
      <c r="D313" s="826" t="s">
        <v>405</v>
      </c>
      <c r="E313" s="826" t="s">
        <v>5264</v>
      </c>
      <c r="F313" s="844" t="s">
        <v>4807</v>
      </c>
      <c r="G313" s="841"/>
      <c r="H313" s="841" t="s">
        <v>2036</v>
      </c>
      <c r="I313" s="841"/>
      <c r="J313" s="841"/>
      <c r="K313" s="841"/>
      <c r="L313" s="841"/>
      <c r="M313" s="841"/>
      <c r="N313" s="841"/>
      <c r="O313" s="841"/>
      <c r="P313" s="913"/>
      <c r="Q313" s="841"/>
      <c r="R313" s="826" t="s">
        <v>5264</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7100</v>
      </c>
      <c r="B314" s="1050" t="s">
        <v>6590</v>
      </c>
      <c r="C314" s="911" t="s">
        <v>7101</v>
      </c>
      <c r="D314" s="841"/>
      <c r="E314" s="826" t="s">
        <v>7101</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6592</v>
      </c>
      <c r="C315" s="911" t="s">
        <v>6309</v>
      </c>
      <c r="D315" s="841" t="s">
        <v>5074</v>
      </c>
      <c r="E315" s="826" t="s">
        <v>4471</v>
      </c>
      <c r="F315" s="844" t="s">
        <v>7102</v>
      </c>
      <c r="G315" s="841"/>
      <c r="H315" s="826" t="s">
        <v>6309</v>
      </c>
      <c r="I315" s="841"/>
      <c r="J315" s="841"/>
      <c r="K315" s="841"/>
      <c r="L315" s="841"/>
      <c r="M315" s="841"/>
      <c r="N315" s="841"/>
      <c r="O315" s="841"/>
      <c r="P315" s="913"/>
      <c r="Q315" s="841"/>
      <c r="R315" s="826" t="s">
        <v>6749</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6749</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7103</v>
      </c>
      <c r="B316" s="1050" t="s">
        <v>6486</v>
      </c>
      <c r="C316" s="911" t="s">
        <v>2380</v>
      </c>
      <c r="D316" s="852"/>
      <c r="E316" s="1066" t="s">
        <v>1785</v>
      </c>
      <c r="F316" s="893" t="s">
        <v>2890</v>
      </c>
      <c r="G316" s="841"/>
      <c r="H316" s="1066" t="s">
        <v>2380</v>
      </c>
      <c r="I316" s="852"/>
      <c r="J316" s="1066" t="s">
        <v>1785</v>
      </c>
      <c r="K316" s="852"/>
      <c r="L316" s="1066" t="s">
        <v>7104</v>
      </c>
      <c r="M316" s="1066" t="s">
        <v>4871</v>
      </c>
      <c r="N316" s="852"/>
      <c r="O316" s="852"/>
      <c r="P316" s="851"/>
      <c r="Q316" s="852"/>
      <c r="R316" s="852"/>
      <c r="S316" s="852"/>
      <c r="T316" s="852"/>
      <c r="U316" s="852"/>
      <c r="V316" s="852"/>
      <c r="W316" s="1066" t="s">
        <v>2775</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7105</v>
      </c>
      <c r="B317" s="1050" t="s">
        <v>7106</v>
      </c>
      <c r="C317" s="911" t="s">
        <v>7107</v>
      </c>
      <c r="D317" s="841"/>
      <c r="E317" s="826" t="s">
        <v>7107</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7108</v>
      </c>
      <c r="C318" s="911" t="s">
        <v>7109</v>
      </c>
      <c r="D318" s="841"/>
      <c r="E318" s="826" t="s">
        <v>7110</v>
      </c>
      <c r="F318" s="893" t="s">
        <v>7111</v>
      </c>
      <c r="G318" s="841"/>
      <c r="H318" s="841" t="s">
        <v>1428</v>
      </c>
      <c r="I318" s="841"/>
      <c r="J318" s="841"/>
      <c r="K318" s="841"/>
      <c r="L318" s="841"/>
      <c r="M318" s="841"/>
      <c r="N318" s="841"/>
      <c r="O318" s="841"/>
      <c r="P318" s="913"/>
      <c r="Q318" s="841"/>
      <c r="R318" s="841"/>
      <c r="S318" s="841"/>
      <c r="T318" s="841"/>
      <c r="U318" s="841"/>
      <c r="V318" s="841"/>
      <c r="W318" s="841"/>
      <c r="X318" s="841"/>
      <c r="Y318" s="826" t="s">
        <v>7109</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7112</v>
      </c>
      <c r="B319" s="1050" t="s">
        <v>7113</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7114</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7115</v>
      </c>
      <c r="C321" s="911" t="s">
        <v>7116</v>
      </c>
      <c r="D321" s="841"/>
      <c r="E321" s="826" t="s">
        <v>7116</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7117</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7118</v>
      </c>
      <c r="C323" s="911" t="s">
        <v>1180</v>
      </c>
      <c r="D323" s="841"/>
      <c r="E323" s="826" t="s">
        <v>1180</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7119</v>
      </c>
      <c r="C324" s="911" t="s">
        <v>7120</v>
      </c>
      <c r="D324" s="841"/>
      <c r="E324" s="826" t="s">
        <v>3936</v>
      </c>
      <c r="F324" s="893" t="s">
        <v>1108</v>
      </c>
      <c r="G324" s="841"/>
      <c r="H324" s="826" t="s">
        <v>7120</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7121</v>
      </c>
      <c r="C325" s="911" t="s">
        <v>7122</v>
      </c>
      <c r="D325" s="918" t="s">
        <v>7123</v>
      </c>
      <c r="E325" s="918"/>
      <c r="F325" s="844" t="s">
        <v>7124</v>
      </c>
      <c r="G325" s="841"/>
      <c r="H325" s="826" t="s">
        <v>7125</v>
      </c>
      <c r="I325" s="918"/>
      <c r="J325" s="918"/>
      <c r="K325" s="918"/>
      <c r="L325" s="918"/>
      <c r="M325" s="918"/>
      <c r="N325" s="918"/>
      <c r="O325" s="918"/>
      <c r="P325" s="920"/>
      <c r="Q325" s="918"/>
      <c r="R325" s="826" t="s">
        <v>7126</v>
      </c>
      <c r="S325" s="918"/>
      <c r="T325" s="826" t="s">
        <v>7127</v>
      </c>
      <c r="U325" s="918"/>
      <c r="V325" s="918"/>
      <c r="W325" s="918"/>
      <c r="X325" s="918"/>
      <c r="Y325" s="826" t="s">
        <v>7122</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7128</v>
      </c>
      <c r="B326" s="1050" t="s">
        <v>6486</v>
      </c>
      <c r="C326" s="911" t="s">
        <v>529</v>
      </c>
      <c r="D326" s="922" t="s">
        <v>5464</v>
      </c>
      <c r="E326" s="918"/>
      <c r="F326" s="893" t="s">
        <v>5448</v>
      </c>
      <c r="G326" s="841"/>
      <c r="H326" s="826" t="s">
        <v>529</v>
      </c>
      <c r="I326" s="918"/>
      <c r="J326" s="826" t="s">
        <v>3974</v>
      </c>
      <c r="K326" s="918"/>
      <c r="L326" s="918"/>
      <c r="M326" s="918"/>
      <c r="N326" s="918"/>
      <c r="O326" s="918"/>
      <c r="P326" s="920"/>
      <c r="Q326" s="918"/>
      <c r="R326" s="918" t="s">
        <v>7129</v>
      </c>
      <c r="S326" s="918"/>
      <c r="T326" s="918"/>
      <c r="U326" s="918"/>
      <c r="V326" s="918"/>
      <c r="W326" s="918" t="s">
        <v>6277</v>
      </c>
      <c r="X326" s="918"/>
      <c r="Y326" s="918"/>
      <c r="Z326" s="918"/>
      <c r="AA326" s="918"/>
      <c r="AB326" s="918"/>
      <c r="AC326" s="826" t="s">
        <v>1117</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7130</v>
      </c>
      <c r="B327" s="1050" t="s">
        <v>7131</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7132</v>
      </c>
      <c r="C328" s="822" t="s">
        <v>7133</v>
      </c>
      <c r="D328" s="841" t="s">
        <v>1013</v>
      </c>
      <c r="E328" s="826" t="s">
        <v>7134</v>
      </c>
      <c r="F328" s="886" t="s">
        <v>7135</v>
      </c>
      <c r="G328" s="841"/>
      <c r="H328" s="841"/>
      <c r="I328" s="841"/>
      <c r="J328" s="826" t="s">
        <v>7136</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7137</v>
      </c>
      <c r="C329" s="822" t="s">
        <v>7138</v>
      </c>
      <c r="D329" s="841"/>
      <c r="E329" s="841"/>
      <c r="F329" s="844" t="s">
        <v>7139</v>
      </c>
      <c r="G329" s="841"/>
      <c r="H329" s="841" t="s">
        <v>7140</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7138</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7141</v>
      </c>
      <c r="B330" s="1062" t="s">
        <v>7142</v>
      </c>
      <c r="C330" s="911" t="s">
        <v>5665</v>
      </c>
      <c r="D330" s="1068"/>
      <c r="E330" s="1068"/>
      <c r="F330" s="893" t="s">
        <v>4570</v>
      </c>
      <c r="G330" s="841"/>
      <c r="H330" s="826" t="s">
        <v>1392</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7143</v>
      </c>
      <c r="C331" s="911" t="s">
        <v>4605</v>
      </c>
      <c r="D331" s="841"/>
      <c r="E331" s="826" t="s">
        <v>6020</v>
      </c>
      <c r="F331" s="855" t="s">
        <v>898</v>
      </c>
      <c r="G331" s="841"/>
      <c r="H331" s="841"/>
      <c r="I331" s="841"/>
      <c r="J331" s="841"/>
      <c r="K331" s="841"/>
      <c r="L331" s="841"/>
      <c r="M331" s="841"/>
      <c r="N331" s="841"/>
      <c r="O331" s="841"/>
      <c r="P331" s="913"/>
      <c r="Q331" s="841"/>
      <c r="R331" s="826" t="s">
        <v>1710</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7144</v>
      </c>
      <c r="B332" s="1050" t="s">
        <v>6486</v>
      </c>
      <c r="C332" s="911" t="s">
        <v>7145</v>
      </c>
      <c r="D332" s="952"/>
      <c r="E332" s="952"/>
      <c r="F332" s="879"/>
      <c r="G332" s="841"/>
      <c r="H332" s="826" t="s">
        <v>7145</v>
      </c>
      <c r="I332" s="952"/>
      <c r="J332" s="952"/>
      <c r="K332" s="952"/>
      <c r="L332" s="952"/>
      <c r="M332" s="826" t="s">
        <v>7146</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7147</v>
      </c>
      <c r="B333" s="1050" t="s">
        <v>7148</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7149</v>
      </c>
      <c r="C334" s="911" t="s">
        <v>756</v>
      </c>
      <c r="D334" s="913"/>
      <c r="E334" s="913"/>
      <c r="F334" s="893" t="s">
        <v>1004</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6062</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7150</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6468</v>
      </c>
      <c r="B4" s="1101" t="s">
        <v>7188</v>
      </c>
      <c r="C4" s="1102" t="s">
        <v>330</v>
      </c>
      <c r="D4" s="1103" t="s">
        <v>1063</v>
      </c>
      <c r="E4" s="1104" t="s">
        <v>438</v>
      </c>
      <c r="F4" s="1105" t="s">
        <v>3367</v>
      </c>
      <c r="G4" s="1101" t="s">
        <v>5079</v>
      </c>
      <c r="H4" s="1106"/>
      <c r="I4" s="1107" t="s">
        <v>1262</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792</v>
      </c>
      <c r="AC4" s="1119" t="s">
        <v>2853</v>
      </c>
      <c r="AD4" s="1119" t="s">
        <v>1215</v>
      </c>
      <c r="AE4" s="1118" t="s">
        <v>2889</v>
      </c>
      <c r="AF4" s="1120"/>
      <c r="AG4" s="1119" t="s">
        <v>7195</v>
      </c>
      <c r="AH4" s="1121"/>
      <c r="AI4" s="1110"/>
      <c r="AJ4" s="1122"/>
      <c r="AK4" s="1122" t="s">
        <v>4007</v>
      </c>
      <c r="AL4" s="1123"/>
      <c r="AM4" s="1122" t="s">
        <v>4581</v>
      </c>
      <c r="AN4" s="1122"/>
      <c r="AO4" s="1124" t="s">
        <v>2380</v>
      </c>
      <c r="AP4" s="1123"/>
      <c r="AQ4" s="1125" t="s">
        <v>7196</v>
      </c>
      <c r="AR4" s="1122" t="s">
        <v>7197</v>
      </c>
      <c r="AS4" s="1122" t="s">
        <v>7198</v>
      </c>
      <c r="AT4" s="1123"/>
      <c r="AU4" s="1123"/>
      <c r="AV4" s="1123"/>
      <c r="AW4" s="1126" t="s">
        <v>4256</v>
      </c>
      <c r="AX4" s="1127" t="s">
        <v>3722</v>
      </c>
      <c r="AY4" s="1122" t="s">
        <v>7199</v>
      </c>
      <c r="AZ4" s="1110"/>
      <c r="BA4" s="1128"/>
      <c r="BB4" s="1129" t="s">
        <v>7200</v>
      </c>
      <c r="BC4" s="1130" t="s">
        <v>7201</v>
      </c>
      <c r="BD4" s="1128"/>
      <c r="BE4" s="1131" t="s">
        <v>7202</v>
      </c>
      <c r="BF4" s="1110"/>
      <c r="BG4" s="1132" t="s">
        <v>7203</v>
      </c>
      <c r="BH4" s="1133" t="s">
        <v>1869</v>
      </c>
      <c r="BI4" s="1133"/>
      <c r="BJ4" s="1133"/>
      <c r="BK4" s="1134" t="s">
        <v>1975</v>
      </c>
      <c r="BL4" s="1135"/>
      <c r="BM4" s="1133" t="s">
        <v>7204</v>
      </c>
      <c r="BN4" s="1110"/>
      <c r="BO4" s="1136" t="s">
        <v>6322</v>
      </c>
      <c r="BP4" s="1137"/>
      <c r="BQ4" s="1137"/>
      <c r="BR4" s="1138" t="s">
        <v>7205</v>
      </c>
      <c r="BS4" s="1137"/>
      <c r="BT4" s="1139" t="s">
        <v>148</v>
      </c>
      <c r="BU4" s="1137"/>
      <c r="BV4" s="1140" t="s">
        <v>3791</v>
      </c>
      <c r="BW4" s="1139" t="s">
        <v>5998</v>
      </c>
      <c r="BX4" s="1110"/>
      <c r="BY4" s="1141" t="s">
        <v>2678</v>
      </c>
      <c r="BZ4" s="1142" t="s">
        <v>4193</v>
      </c>
      <c r="CA4" s="1143"/>
      <c r="CB4" s="1143"/>
      <c r="CC4" s="1143"/>
      <c r="CD4" s="1142" t="s">
        <v>1402</v>
      </c>
      <c r="CE4" s="1144" t="s">
        <v>4662</v>
      </c>
      <c r="CF4" s="1142" t="s">
        <v>7206</v>
      </c>
      <c r="CG4" s="1143"/>
      <c r="CH4" s="1143"/>
      <c r="CI4" s="1143"/>
      <c r="CJ4" s="1143"/>
      <c r="CK4" s="1143"/>
    </row>
    <row r="5">
      <c r="A5" s="1100" t="s">
        <v>7207</v>
      </c>
      <c r="B5" s="1101" t="s">
        <v>7208</v>
      </c>
      <c r="C5" s="1102" t="s">
        <v>2693</v>
      </c>
      <c r="D5" s="1103" t="s">
        <v>646</v>
      </c>
      <c r="E5" s="1104" t="s">
        <v>545</v>
      </c>
      <c r="F5" s="1105" t="s">
        <v>2991</v>
      </c>
      <c r="G5" s="1101" t="s">
        <v>2097</v>
      </c>
      <c r="H5" s="1108" t="s">
        <v>2925</v>
      </c>
      <c r="I5" s="1106"/>
      <c r="J5" s="1145" t="s">
        <v>1956</v>
      </c>
      <c r="K5" s="1146" t="s">
        <v>7209</v>
      </c>
      <c r="L5" s="1145" t="s">
        <v>7210</v>
      </c>
      <c r="M5" s="1147" t="s">
        <v>3246</v>
      </c>
      <c r="N5" s="1106"/>
      <c r="O5" s="1148" t="s">
        <v>7211</v>
      </c>
      <c r="P5" s="1149"/>
      <c r="Q5" s="1150" t="s">
        <v>7212</v>
      </c>
      <c r="R5" s="1115" t="s">
        <v>1651</v>
      </c>
      <c r="S5" s="1111" t="s">
        <v>5038</v>
      </c>
      <c r="T5" s="1111" t="s">
        <v>5593</v>
      </c>
      <c r="U5" s="1111"/>
      <c r="V5" s="1119" t="s">
        <v>7213</v>
      </c>
      <c r="W5" s="1149"/>
      <c r="X5" s="1115" t="s">
        <v>2373</v>
      </c>
      <c r="Y5" s="1119" t="s">
        <v>7214</v>
      </c>
      <c r="Z5" s="1119" t="s">
        <v>7215</v>
      </c>
      <c r="AA5" s="1117" t="s">
        <v>4985</v>
      </c>
      <c r="AB5" s="1117" t="s">
        <v>7216</v>
      </c>
      <c r="AC5" s="1116" t="s">
        <v>2687</v>
      </c>
      <c r="AD5" s="1151" t="s">
        <v>4239</v>
      </c>
      <c r="AE5" s="1151" t="s">
        <v>2519</v>
      </c>
      <c r="AF5" s="1120"/>
      <c r="AG5" s="1117" t="s">
        <v>7217</v>
      </c>
      <c r="AH5" s="1121"/>
      <c r="AI5" s="1152"/>
      <c r="AJ5" s="1122"/>
      <c r="AK5" s="1123"/>
      <c r="AL5" s="1123"/>
      <c r="AM5" s="1153" t="s">
        <v>1208</v>
      </c>
      <c r="AN5" s="1122"/>
      <c r="AO5" s="1123"/>
      <c r="AP5" s="1124" t="s">
        <v>836</v>
      </c>
      <c r="AQ5" s="1122" t="s">
        <v>7218</v>
      </c>
      <c r="AR5" s="1123"/>
      <c r="AS5" s="1123"/>
      <c r="AT5" s="1154"/>
      <c r="AU5" s="1123"/>
      <c r="AV5" s="1123"/>
      <c r="AW5" s="1127" t="s">
        <v>4668</v>
      </c>
      <c r="AX5" s="1124" t="s">
        <v>1676</v>
      </c>
      <c r="AY5" s="1124" t="s">
        <v>2160</v>
      </c>
      <c r="AZ5" s="1110"/>
      <c r="BA5" s="1124" t="s">
        <v>7219</v>
      </c>
      <c r="BB5" s="1130" t="s">
        <v>7220</v>
      </c>
      <c r="BC5" s="1155" t="s">
        <v>291</v>
      </c>
      <c r="BD5" s="1156" t="s">
        <v>4244</v>
      </c>
      <c r="BE5" s="1129" t="s">
        <v>7221</v>
      </c>
      <c r="BF5" s="1110"/>
      <c r="BG5" s="1132" t="s">
        <v>2958</v>
      </c>
      <c r="BH5" s="1132" t="s">
        <v>694</v>
      </c>
      <c r="BI5" s="1157" t="s">
        <v>7222</v>
      </c>
      <c r="BJ5" s="1157" t="s">
        <v>7223</v>
      </c>
      <c r="BK5" s="1158" t="s">
        <v>7224</v>
      </c>
      <c r="BL5" s="1135"/>
      <c r="BM5" s="1159" t="s">
        <v>7225</v>
      </c>
      <c r="BN5" s="1152"/>
      <c r="BO5" s="1139" t="s">
        <v>5981</v>
      </c>
      <c r="BP5" s="1160"/>
      <c r="BQ5" s="1137"/>
      <c r="BR5" s="1138" t="s">
        <v>2683</v>
      </c>
      <c r="BS5" s="1137"/>
      <c r="BT5" s="1161"/>
      <c r="BU5" s="1140" t="s">
        <v>6259</v>
      </c>
      <c r="BV5" s="1138"/>
      <c r="BW5" s="1139" t="s">
        <v>7226</v>
      </c>
      <c r="BX5" s="1149"/>
      <c r="BY5" s="1162" t="s">
        <v>3377</v>
      </c>
      <c r="BZ5" s="1163" t="s">
        <v>7227</v>
      </c>
      <c r="CA5" s="1164" t="s">
        <v>7228</v>
      </c>
      <c r="CB5" s="1165"/>
      <c r="CC5" s="1166"/>
      <c r="CD5" s="1164" t="s">
        <v>7229</v>
      </c>
      <c r="CE5" s="1167" t="s">
        <v>7230</v>
      </c>
      <c r="CF5" s="1164" t="s">
        <v>1597</v>
      </c>
      <c r="CG5" s="1168" t="s">
        <v>5073</v>
      </c>
      <c r="CH5" s="1141" t="s">
        <v>7231</v>
      </c>
      <c r="CI5" s="1143"/>
      <c r="CJ5" s="1164" t="s">
        <v>2170</v>
      </c>
      <c r="CK5" s="1164" t="s">
        <v>3804</v>
      </c>
    </row>
    <row r="6">
      <c r="A6" s="1169" t="s">
        <v>434</v>
      </c>
      <c r="B6" s="1101" t="s">
        <v>7232</v>
      </c>
      <c r="C6" s="1102" t="s">
        <v>436</v>
      </c>
      <c r="D6" s="1103" t="s">
        <v>1063</v>
      </c>
      <c r="E6" s="1104" t="s">
        <v>1063</v>
      </c>
      <c r="F6" s="1105" t="s">
        <v>3985</v>
      </c>
      <c r="G6" s="1101" t="s">
        <v>1504</v>
      </c>
      <c r="H6" s="1170" t="s">
        <v>1610</v>
      </c>
      <c r="I6" s="1145" t="s">
        <v>3011</v>
      </c>
      <c r="J6" s="1109" t="s">
        <v>7233</v>
      </c>
      <c r="K6" s="1171" t="s">
        <v>5772</v>
      </c>
      <c r="L6" s="1170" t="s">
        <v>5444</v>
      </c>
      <c r="M6" s="1106"/>
      <c r="N6" s="1106"/>
      <c r="O6" s="1108" t="s">
        <v>7234</v>
      </c>
      <c r="P6" s="1149"/>
      <c r="Q6" s="1172" t="s">
        <v>7235</v>
      </c>
      <c r="R6" s="1172" t="s">
        <v>2679</v>
      </c>
      <c r="S6" s="1112"/>
      <c r="T6" s="1150" t="s">
        <v>230</v>
      </c>
      <c r="U6" s="1173"/>
      <c r="V6" s="1113" t="s">
        <v>7236</v>
      </c>
      <c r="W6" s="1149"/>
      <c r="X6" s="1151" t="s">
        <v>3200</v>
      </c>
      <c r="Y6" s="1151" t="s">
        <v>7237</v>
      </c>
      <c r="Z6" s="1151" t="s">
        <v>2553</v>
      </c>
      <c r="AA6" s="1174" t="s">
        <v>7238</v>
      </c>
      <c r="AB6" s="1116" t="s">
        <v>119</v>
      </c>
      <c r="AC6" s="1174" t="s">
        <v>1321</v>
      </c>
      <c r="AD6" s="1119" t="s">
        <v>1215</v>
      </c>
      <c r="AE6" s="1119" t="s">
        <v>6573</v>
      </c>
      <c r="AF6" s="1175"/>
      <c r="AG6" s="1176" t="s">
        <v>7239</v>
      </c>
      <c r="AH6" s="1121"/>
      <c r="AI6" s="1152"/>
      <c r="AJ6" s="1122"/>
      <c r="AK6" s="1122" t="s">
        <v>7240</v>
      </c>
      <c r="AL6" s="1123"/>
      <c r="AM6" s="1154" t="s">
        <v>3168</v>
      </c>
      <c r="AN6" s="1153" t="s">
        <v>3446</v>
      </c>
      <c r="AO6" s="1122" t="s">
        <v>7241</v>
      </c>
      <c r="AP6" s="1154" t="s">
        <v>2458</v>
      </c>
      <c r="AQ6" s="1177" t="s">
        <v>7242</v>
      </c>
      <c r="AR6" s="1122" t="s">
        <v>7243</v>
      </c>
      <c r="AS6" s="1123"/>
      <c r="AT6" s="1124" t="s">
        <v>4828</v>
      </c>
      <c r="AU6" s="1123"/>
      <c r="AV6" s="1123"/>
      <c r="AW6" s="1127" t="s">
        <v>4987</v>
      </c>
      <c r="AX6" s="1153" t="s">
        <v>1304</v>
      </c>
      <c r="AY6" s="1123"/>
      <c r="AZ6" s="1110"/>
      <c r="BA6" s="1178"/>
      <c r="BB6" s="1130" t="s">
        <v>7244</v>
      </c>
      <c r="BC6" s="1131" t="s">
        <v>6635</v>
      </c>
      <c r="BD6" s="1178"/>
      <c r="BE6" s="1179" t="s">
        <v>7245</v>
      </c>
      <c r="BF6" s="1110"/>
      <c r="BG6" s="1180" t="s">
        <v>3256</v>
      </c>
      <c r="BH6" s="1132" t="s">
        <v>1306</v>
      </c>
      <c r="BI6" s="1181" t="s">
        <v>5844</v>
      </c>
      <c r="BJ6" s="1182"/>
      <c r="BK6" s="1132" t="s">
        <v>7246</v>
      </c>
      <c r="BL6" s="1135"/>
      <c r="BM6" s="1133" t="s">
        <v>7247</v>
      </c>
      <c r="BN6" s="1149"/>
      <c r="BO6" s="1183" t="s">
        <v>4095</v>
      </c>
      <c r="BP6" s="1138"/>
      <c r="BQ6" s="1184" t="s">
        <v>1768</v>
      </c>
      <c r="BR6" s="1138" t="s">
        <v>7248</v>
      </c>
      <c r="BS6" s="1137"/>
      <c r="BT6" s="1184" t="s">
        <v>2033</v>
      </c>
      <c r="BU6" s="1137"/>
      <c r="BV6" s="1138" t="s">
        <v>5780</v>
      </c>
      <c r="BW6" s="1138" t="s">
        <v>2125</v>
      </c>
      <c r="BX6" s="1149"/>
      <c r="BY6" s="1168" t="s">
        <v>299</v>
      </c>
      <c r="BZ6" s="1142" t="s">
        <v>3441</v>
      </c>
      <c r="CA6" s="1165"/>
      <c r="CB6" s="1165"/>
      <c r="CC6" s="1165"/>
      <c r="CD6" s="1143"/>
      <c r="CE6" s="1143"/>
      <c r="CF6" s="1143"/>
      <c r="CG6" s="1143"/>
      <c r="CH6" s="1143"/>
      <c r="CI6" s="1143"/>
      <c r="CJ6" s="1165"/>
      <c r="CK6" s="1165"/>
    </row>
    <row r="7">
      <c r="A7" s="1185" t="s">
        <v>1557</v>
      </c>
      <c r="B7" s="1101" t="s">
        <v>7249</v>
      </c>
      <c r="C7" s="1102" t="s">
        <v>438</v>
      </c>
      <c r="D7" s="1103" t="s">
        <v>646</v>
      </c>
      <c r="E7" s="1104" t="s">
        <v>332</v>
      </c>
      <c r="F7" s="1105" t="s">
        <v>2809</v>
      </c>
      <c r="G7" s="1101" t="s">
        <v>5707</v>
      </c>
      <c r="H7" s="1170" t="s">
        <v>1296</v>
      </c>
      <c r="I7" s="1147" t="s">
        <v>7250</v>
      </c>
      <c r="J7" s="1106"/>
      <c r="K7" s="1107" t="s">
        <v>7251</v>
      </c>
      <c r="L7" s="1147" t="s">
        <v>7252</v>
      </c>
      <c r="M7" s="1106"/>
      <c r="N7" s="1108" t="s">
        <v>7253</v>
      </c>
      <c r="O7" s="1106"/>
      <c r="P7" s="1149"/>
      <c r="Q7" s="1111" t="s">
        <v>4148</v>
      </c>
      <c r="R7" s="1150" t="s">
        <v>3110</v>
      </c>
      <c r="S7" s="1173" t="s">
        <v>5755</v>
      </c>
      <c r="T7" s="1186" t="s">
        <v>5304</v>
      </c>
      <c r="U7" s="1186" t="s">
        <v>7254</v>
      </c>
      <c r="V7" s="1172" t="s">
        <v>7255</v>
      </c>
      <c r="W7" s="1149"/>
      <c r="X7" s="1174" t="s">
        <v>840</v>
      </c>
      <c r="Y7" s="1174" t="s">
        <v>7256</v>
      </c>
      <c r="Z7" s="1151" t="s">
        <v>6698</v>
      </c>
      <c r="AA7" s="1187" t="s">
        <v>4884</v>
      </c>
      <c r="AB7" s="1116" t="s">
        <v>4908</v>
      </c>
      <c r="AC7" s="1116" t="s">
        <v>5083</v>
      </c>
      <c r="AD7" s="1174" t="s">
        <v>4913</v>
      </c>
      <c r="AE7" s="1116" t="s">
        <v>6538</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3457</v>
      </c>
      <c r="BD7" s="1178"/>
      <c r="BE7" s="1179" t="s">
        <v>7268</v>
      </c>
      <c r="BF7" s="1110"/>
      <c r="BG7" s="1180" t="s">
        <v>3256</v>
      </c>
      <c r="BH7" s="1132" t="s">
        <v>7269</v>
      </c>
      <c r="BI7" s="1133" t="s">
        <v>771</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2397</v>
      </c>
      <c r="CC7" s="1195"/>
      <c r="CD7" s="1142" t="s">
        <v>2826</v>
      </c>
      <c r="CE7" s="1196" t="s">
        <v>7279</v>
      </c>
      <c r="CF7" s="1162" t="s">
        <v>7052</v>
      </c>
      <c r="CG7" s="1162" t="s">
        <v>7280</v>
      </c>
      <c r="CH7" s="1164" t="s">
        <v>7281</v>
      </c>
      <c r="CI7" s="1164" t="s">
        <v>3543</v>
      </c>
      <c r="CJ7" s="1162" t="s">
        <v>4995</v>
      </c>
      <c r="CK7" s="1165"/>
    </row>
    <row r="8">
      <c r="A8" s="1197" t="s">
        <v>7282</v>
      </c>
      <c r="B8" s="1198" t="s">
        <v>7283</v>
      </c>
      <c r="C8" s="1102" t="s">
        <v>332</v>
      </c>
      <c r="D8" s="1103" t="s">
        <v>646</v>
      </c>
      <c r="E8" s="1104" t="s">
        <v>1202</v>
      </c>
      <c r="F8" s="1105" t="s">
        <v>3581</v>
      </c>
      <c r="G8" s="1101" t="s">
        <v>3801</v>
      </c>
      <c r="H8" s="1199" t="s">
        <v>6988</v>
      </c>
      <c r="I8" s="1170" t="s">
        <v>7284</v>
      </c>
      <c r="J8" s="1199" t="s">
        <v>3657</v>
      </c>
      <c r="K8" s="1170" t="s">
        <v>7285</v>
      </c>
      <c r="L8" s="1200" t="s">
        <v>1956</v>
      </c>
      <c r="M8" s="1145" t="s">
        <v>7286</v>
      </c>
      <c r="N8" s="1170" t="s">
        <v>7287</v>
      </c>
      <c r="O8" s="1170" t="s">
        <v>7288</v>
      </c>
      <c r="P8" s="1149"/>
      <c r="Q8" s="1115" t="s">
        <v>7289</v>
      </c>
      <c r="R8" s="1115" t="s">
        <v>2069</v>
      </c>
      <c r="S8" s="1113" t="s">
        <v>727</v>
      </c>
      <c r="T8" s="1115" t="s">
        <v>5134</v>
      </c>
      <c r="U8" s="1172" t="s">
        <v>7290</v>
      </c>
      <c r="V8" s="1113" t="s">
        <v>7291</v>
      </c>
      <c r="W8" s="1149"/>
      <c r="X8" s="1118" t="s">
        <v>919</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2185</v>
      </c>
      <c r="AN8" s="1122" t="s">
        <v>4619</v>
      </c>
      <c r="AO8" s="1122" t="s">
        <v>7298</v>
      </c>
      <c r="AP8" s="1127" t="s">
        <v>7299</v>
      </c>
      <c r="AQ8" s="1122" t="s">
        <v>7300</v>
      </c>
      <c r="AR8" s="1153" t="s">
        <v>7301</v>
      </c>
      <c r="AS8" s="1127" t="s">
        <v>3159</v>
      </c>
      <c r="AT8" s="1177" t="s">
        <v>7302</v>
      </c>
      <c r="AU8" s="1124" t="s">
        <v>7303</v>
      </c>
      <c r="AV8" s="1177" t="s">
        <v>7304</v>
      </c>
      <c r="AW8" s="1127" t="s">
        <v>2769</v>
      </c>
      <c r="AX8" s="1177" t="s">
        <v>2237</v>
      </c>
      <c r="AY8" s="1177" t="s">
        <v>7305</v>
      </c>
      <c r="AZ8" s="1110"/>
      <c r="BA8" s="1131" t="s">
        <v>7306</v>
      </c>
      <c r="BB8" s="1156" t="s">
        <v>7307</v>
      </c>
      <c r="BC8" s="1203" t="s">
        <v>3213</v>
      </c>
      <c r="BD8" s="1204"/>
      <c r="BE8" s="1130" t="s">
        <v>7308</v>
      </c>
      <c r="BF8" s="1110"/>
      <c r="BG8" s="1157" t="s">
        <v>7309</v>
      </c>
      <c r="BH8" s="1205" t="s">
        <v>3458</v>
      </c>
      <c r="BI8" s="1132" t="s">
        <v>609</v>
      </c>
      <c r="BJ8" s="1133" t="s">
        <v>7310</v>
      </c>
      <c r="BK8" s="1132" t="s">
        <v>7311</v>
      </c>
      <c r="BL8" s="1132" t="s">
        <v>7312</v>
      </c>
      <c r="BM8" s="1132" t="s">
        <v>7313</v>
      </c>
      <c r="BN8" s="1149"/>
      <c r="BO8" s="1139" t="s">
        <v>2458</v>
      </c>
      <c r="BP8" s="1140" t="s">
        <v>5652</v>
      </c>
      <c r="BQ8" s="1139" t="s">
        <v>6003</v>
      </c>
      <c r="BR8" s="1139" t="s">
        <v>3969</v>
      </c>
      <c r="BS8" s="1139" t="s">
        <v>816</v>
      </c>
      <c r="BT8" s="1139" t="s">
        <v>1375</v>
      </c>
      <c r="BU8" s="1184" t="s">
        <v>3969</v>
      </c>
      <c r="BV8" s="1183" t="s">
        <v>7314</v>
      </c>
      <c r="BW8" s="1139" t="s">
        <v>7315</v>
      </c>
      <c r="BX8" s="1149"/>
      <c r="BY8" s="1168" t="s">
        <v>7316</v>
      </c>
      <c r="BZ8" s="1162" t="s">
        <v>5164</v>
      </c>
      <c r="CA8" s="1196" t="s">
        <v>2342</v>
      </c>
      <c r="CB8" s="1162" t="s">
        <v>3493</v>
      </c>
      <c r="CC8" s="1162"/>
      <c r="CD8" s="1206"/>
      <c r="CE8" s="1168" t="s">
        <v>2687</v>
      </c>
      <c r="CF8" s="1168" t="s">
        <v>6943</v>
      </c>
      <c r="CG8" s="1168" t="s">
        <v>7317</v>
      </c>
      <c r="CH8" s="1168" t="s">
        <v>2200</v>
      </c>
      <c r="CI8" s="1196" t="s">
        <v>7318</v>
      </c>
      <c r="CJ8" s="1196" t="s">
        <v>3147</v>
      </c>
      <c r="CK8" s="1162"/>
    </row>
    <row r="9">
      <c r="A9" s="1169" t="s">
        <v>1419</v>
      </c>
      <c r="B9" s="1101" t="s">
        <v>7319</v>
      </c>
      <c r="C9" s="1102" t="s">
        <v>436</v>
      </c>
      <c r="D9" s="1103" t="s">
        <v>436</v>
      </c>
      <c r="E9" s="1104" t="s">
        <v>1063</v>
      </c>
      <c r="F9" s="1105" t="s">
        <v>217</v>
      </c>
      <c r="G9" s="1101" t="s">
        <v>1726</v>
      </c>
      <c r="H9" s="1106"/>
      <c r="I9" s="1170" t="s">
        <v>7320</v>
      </c>
      <c r="J9" s="1171"/>
      <c r="K9" s="1145" t="s">
        <v>7321</v>
      </c>
      <c r="L9" s="1199" t="s">
        <v>3024</v>
      </c>
      <c r="M9" s="1106"/>
      <c r="N9" s="1106"/>
      <c r="O9" s="1147" t="s">
        <v>7322</v>
      </c>
      <c r="P9" s="1149"/>
      <c r="Q9" s="1115" t="s">
        <v>6774</v>
      </c>
      <c r="R9" s="1112"/>
      <c r="S9" s="1112"/>
      <c r="T9" s="1207" t="s">
        <v>5714</v>
      </c>
      <c r="U9" s="1111"/>
      <c r="V9" s="1186" t="s">
        <v>7323</v>
      </c>
      <c r="W9" s="1149"/>
      <c r="X9" s="1151" t="s">
        <v>589</v>
      </c>
      <c r="Y9" s="1208" t="s">
        <v>6693</v>
      </c>
      <c r="Z9" s="1174" t="s">
        <v>2892</v>
      </c>
      <c r="AA9" s="1174" t="s">
        <v>5477</v>
      </c>
      <c r="AB9" s="1151" t="s">
        <v>2346</v>
      </c>
      <c r="AC9" s="1174" t="s">
        <v>7324</v>
      </c>
      <c r="AD9" s="1209" t="s">
        <v>2411</v>
      </c>
      <c r="AE9" s="1151" t="s">
        <v>1094</v>
      </c>
      <c r="AF9" s="1175"/>
      <c r="AG9" s="1118" t="s">
        <v>7325</v>
      </c>
      <c r="AH9" s="1210" t="s">
        <v>7326</v>
      </c>
      <c r="AI9" s="1152"/>
      <c r="AJ9" s="1123"/>
      <c r="AK9" s="1154" t="s">
        <v>7327</v>
      </c>
      <c r="AL9" s="1153" t="s">
        <v>5869</v>
      </c>
      <c r="AM9" s="1127" t="s">
        <v>657</v>
      </c>
      <c r="AN9" s="1211"/>
      <c r="AO9" s="1127" t="s">
        <v>5679</v>
      </c>
      <c r="AP9" s="1154" t="s">
        <v>7328</v>
      </c>
      <c r="AQ9" s="1212" t="s">
        <v>5727</v>
      </c>
      <c r="AR9" s="1123"/>
      <c r="AS9" s="1123"/>
      <c r="AT9" s="1154"/>
      <c r="AU9" s="1123"/>
      <c r="AV9" s="1154" t="s">
        <v>7329</v>
      </c>
      <c r="AW9" s="1154" t="s">
        <v>892</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912</v>
      </c>
      <c r="B10" s="1101" t="s">
        <v>7319</v>
      </c>
      <c r="C10" s="1102" t="s">
        <v>914</v>
      </c>
      <c r="D10" s="1103" t="s">
        <v>437</v>
      </c>
      <c r="E10" s="1104" t="s">
        <v>330</v>
      </c>
      <c r="F10" s="1105" t="s">
        <v>6073</v>
      </c>
      <c r="G10" s="1101" t="s">
        <v>2923</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1215</v>
      </c>
      <c r="AE10" s="1188"/>
      <c r="AF10" s="1188"/>
      <c r="AG10" s="1116" t="s">
        <v>7352</v>
      </c>
      <c r="AH10" s="1121"/>
      <c r="AI10" s="1149"/>
      <c r="AJ10" s="1123"/>
      <c r="AK10" s="1123"/>
      <c r="AL10" s="1123"/>
      <c r="AM10" s="1124" t="s">
        <v>6132</v>
      </c>
      <c r="AN10" s="1123"/>
      <c r="AO10" s="1153" t="s">
        <v>1989</v>
      </c>
      <c r="AP10" s="1177" t="s">
        <v>7353</v>
      </c>
      <c r="AQ10" s="1124" t="s">
        <v>7354</v>
      </c>
      <c r="AR10" s="1123"/>
      <c r="AS10" s="1123"/>
      <c r="AT10" s="1154"/>
      <c r="AU10" s="1123"/>
      <c r="AV10" s="1123"/>
      <c r="AW10" s="1124" t="s">
        <v>3135</v>
      </c>
      <c r="AX10" s="1123"/>
      <c r="AY10" s="1123"/>
      <c r="AZ10" s="1110"/>
      <c r="BA10" s="1213"/>
      <c r="BB10" s="1213"/>
      <c r="BC10" s="1156" t="s">
        <v>6521</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958</v>
      </c>
      <c r="BU10" s="1137"/>
      <c r="BV10" s="1138" t="s">
        <v>3992</v>
      </c>
      <c r="BW10" s="1138" t="s">
        <v>7360</v>
      </c>
      <c r="BX10" s="1149"/>
      <c r="BY10" s="1142" t="s">
        <v>896</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1063</v>
      </c>
      <c r="E11" s="1104" t="s">
        <v>437</v>
      </c>
      <c r="F11" s="1105" t="s">
        <v>3856</v>
      </c>
      <c r="G11" s="1101" t="s">
        <v>1504</v>
      </c>
      <c r="H11" s="1221" t="s">
        <v>2753</v>
      </c>
      <c r="I11" s="1108" t="s">
        <v>7363</v>
      </c>
      <c r="J11" s="1108" t="s">
        <v>7364</v>
      </c>
      <c r="K11" s="1199" t="s">
        <v>713</v>
      </c>
      <c r="L11" s="1222" t="s">
        <v>7365</v>
      </c>
      <c r="M11" s="1106"/>
      <c r="N11" s="1106"/>
      <c r="O11" s="1147" t="s">
        <v>7366</v>
      </c>
      <c r="P11" s="1149"/>
      <c r="Q11" s="1115" t="s">
        <v>7367</v>
      </c>
      <c r="R11" s="1112"/>
      <c r="S11" s="1112"/>
      <c r="T11" s="1172" t="s">
        <v>5267</v>
      </c>
      <c r="U11" s="1111"/>
      <c r="V11" s="1186" t="s">
        <v>7368</v>
      </c>
      <c r="W11" s="1149"/>
      <c r="X11" s="1188"/>
      <c r="Y11" s="1174" t="s">
        <v>7369</v>
      </c>
      <c r="Z11" s="1208" t="s">
        <v>7365</v>
      </c>
      <c r="AA11" s="1208" t="s">
        <v>7370</v>
      </c>
      <c r="AB11" s="1119" t="s">
        <v>3420</v>
      </c>
      <c r="AC11" s="1174" t="s">
        <v>2723</v>
      </c>
      <c r="AD11" s="1151" t="s">
        <v>2389</v>
      </c>
      <c r="AE11" s="1117" t="s">
        <v>1249</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3718</v>
      </c>
      <c r="BD11" s="1178"/>
      <c r="BE11" s="1214" t="s">
        <v>7381</v>
      </c>
      <c r="BF11" s="1110"/>
      <c r="BG11" s="1134" t="s">
        <v>7382</v>
      </c>
      <c r="BH11" s="1180" t="s">
        <v>5368</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2784</v>
      </c>
      <c r="CC11" s="1232"/>
      <c r="CD11" s="1195" t="s">
        <v>1175</v>
      </c>
      <c r="CE11" s="1143"/>
      <c r="CF11" s="1195" t="s">
        <v>7389</v>
      </c>
      <c r="CG11" s="1143"/>
      <c r="CH11" s="1162" t="s">
        <v>4778</v>
      </c>
      <c r="CI11" s="1143"/>
      <c r="CJ11" s="1165"/>
      <c r="CK11" s="1165"/>
    </row>
    <row r="12">
      <c r="A12" s="1100" t="s">
        <v>2367</v>
      </c>
      <c r="B12" s="1101" t="s">
        <v>7390</v>
      </c>
      <c r="C12" s="1102" t="s">
        <v>436</v>
      </c>
      <c r="D12" s="1103" t="s">
        <v>438</v>
      </c>
      <c r="E12" s="1104" t="s">
        <v>437</v>
      </c>
      <c r="F12" s="1105" t="s">
        <v>2097</v>
      </c>
      <c r="G12" s="1101" t="s">
        <v>2097</v>
      </c>
      <c r="H12" s="1170" t="s">
        <v>1208</v>
      </c>
      <c r="I12" s="1170" t="s">
        <v>7391</v>
      </c>
      <c r="J12" s="1199" t="s">
        <v>3657</v>
      </c>
      <c r="K12" s="1170" t="s">
        <v>1957</v>
      </c>
      <c r="L12" s="1106"/>
      <c r="M12" s="1106"/>
      <c r="N12" s="1106"/>
      <c r="O12" s="1199" t="s">
        <v>7392</v>
      </c>
      <c r="P12" s="1149"/>
      <c r="Q12" s="1115" t="s">
        <v>7393</v>
      </c>
      <c r="R12" s="1112"/>
      <c r="S12" s="1172" t="s">
        <v>7394</v>
      </c>
      <c r="T12" s="1115" t="s">
        <v>5211</v>
      </c>
      <c r="U12" s="1115" t="s">
        <v>7395</v>
      </c>
      <c r="V12" s="1115" t="s">
        <v>7396</v>
      </c>
      <c r="W12" s="1149"/>
      <c r="X12" s="1151" t="s">
        <v>2644</v>
      </c>
      <c r="Y12" s="1118" t="s">
        <v>7397</v>
      </c>
      <c r="Z12" s="1151" t="s">
        <v>7398</v>
      </c>
      <c r="AA12" s="1151" t="s">
        <v>7293</v>
      </c>
      <c r="AB12" s="1151" t="s">
        <v>6237</v>
      </c>
      <c r="AC12" s="1151" t="s">
        <v>7399</v>
      </c>
      <c r="AD12" s="1151" t="s">
        <v>1059</v>
      </c>
      <c r="AE12" s="1151" t="s">
        <v>7400</v>
      </c>
      <c r="AF12" s="1175"/>
      <c r="AG12" s="1151" t="s">
        <v>7401</v>
      </c>
      <c r="AH12" s="1121"/>
      <c r="AI12" s="1149"/>
      <c r="AJ12" s="1223"/>
      <c r="AK12" s="1177" t="s">
        <v>2081</v>
      </c>
      <c r="AL12" s="1123"/>
      <c r="AM12" s="1127" t="s">
        <v>4222</v>
      </c>
      <c r="AN12" s="1123"/>
      <c r="AO12" s="1123"/>
      <c r="AP12" s="1127" t="s">
        <v>3459</v>
      </c>
      <c r="AQ12" s="1123"/>
      <c r="AR12" s="1124" t="s">
        <v>7402</v>
      </c>
      <c r="AS12" s="1127" t="s">
        <v>7403</v>
      </c>
      <c r="AT12" s="1154"/>
      <c r="AU12" s="1153" t="s">
        <v>7404</v>
      </c>
      <c r="AV12" s="1123"/>
      <c r="AW12" s="1127" t="s">
        <v>5332</v>
      </c>
      <c r="AX12" s="1127" t="s">
        <v>4741</v>
      </c>
      <c r="AY12" s="1127" t="s">
        <v>7405</v>
      </c>
      <c r="AZ12" s="1110"/>
      <c r="BA12" s="1130" t="s">
        <v>7406</v>
      </c>
      <c r="BB12" s="1130" t="s">
        <v>7407</v>
      </c>
      <c r="BC12" s="1130" t="s">
        <v>5257</v>
      </c>
      <c r="BD12" s="1178"/>
      <c r="BE12" s="1130" t="s">
        <v>7408</v>
      </c>
      <c r="BF12" s="1110"/>
      <c r="BG12" s="1132" t="s">
        <v>7409</v>
      </c>
      <c r="BH12" s="1132" t="s">
        <v>3356</v>
      </c>
      <c r="BI12" s="1132" t="s">
        <v>2170</v>
      </c>
      <c r="BJ12" s="1233" t="s">
        <v>7410</v>
      </c>
      <c r="BK12" s="1132" t="s">
        <v>2876</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3166</v>
      </c>
      <c r="CG12" s="1196" t="s">
        <v>7416</v>
      </c>
      <c r="CH12" s="1143"/>
      <c r="CI12" s="1162" t="s">
        <v>4736</v>
      </c>
      <c r="CJ12" s="1165"/>
      <c r="CK12" s="1165"/>
    </row>
    <row r="13">
      <c r="A13" s="1100" t="s">
        <v>1952</v>
      </c>
      <c r="B13" s="1101" t="s">
        <v>7417</v>
      </c>
      <c r="C13" s="1102" t="s">
        <v>1260</v>
      </c>
      <c r="D13" s="1103" t="s">
        <v>438</v>
      </c>
      <c r="E13" s="1104" t="s">
        <v>330</v>
      </c>
      <c r="F13" s="1105" t="s">
        <v>2693</v>
      </c>
      <c r="G13" s="1101" t="s">
        <v>5827</v>
      </c>
      <c r="H13" s="1106"/>
      <c r="I13" s="1107" t="s">
        <v>7418</v>
      </c>
      <c r="J13" s="1107"/>
      <c r="K13" s="1170" t="s">
        <v>1697</v>
      </c>
      <c r="L13" s="1107"/>
      <c r="M13" s="1107"/>
      <c r="N13" s="1106"/>
      <c r="O13" s="1170" t="s">
        <v>7419</v>
      </c>
      <c r="P13" s="1149"/>
      <c r="Q13" s="1112"/>
      <c r="R13" s="1114"/>
      <c r="S13" s="1115" t="s">
        <v>7420</v>
      </c>
      <c r="T13" s="1112"/>
      <c r="U13" s="1112"/>
      <c r="V13" s="1115" t="s">
        <v>7421</v>
      </c>
      <c r="W13" s="1149"/>
      <c r="X13" s="1119" t="s">
        <v>1378</v>
      </c>
      <c r="Y13" s="1188"/>
      <c r="Z13" s="1116" t="s">
        <v>7422</v>
      </c>
      <c r="AA13" s="1151" t="s">
        <v>7423</v>
      </c>
      <c r="AB13" s="1116" t="s">
        <v>3655</v>
      </c>
      <c r="AC13" s="1151" t="s">
        <v>1975</v>
      </c>
      <c r="AD13" s="1116" t="s">
        <v>4126</v>
      </c>
      <c r="AE13" s="1116" t="s">
        <v>7424</v>
      </c>
      <c r="AF13" s="1116"/>
      <c r="AG13" s="1151" t="s">
        <v>7425</v>
      </c>
      <c r="AH13" s="1121"/>
      <c r="AI13" s="1149"/>
      <c r="AJ13" s="1123"/>
      <c r="AK13" s="1123"/>
      <c r="AL13" s="1123"/>
      <c r="AM13" s="1177" t="s">
        <v>1422</v>
      </c>
      <c r="AN13" s="1123"/>
      <c r="AO13" s="1123"/>
      <c r="AP13" s="1122" t="s">
        <v>7426</v>
      </c>
      <c r="AQ13" s="1123"/>
      <c r="AR13" s="1123"/>
      <c r="AS13" s="1123"/>
      <c r="AT13" s="1154"/>
      <c r="AU13" s="1123"/>
      <c r="AV13" s="1123"/>
      <c r="AW13" s="1123"/>
      <c r="AX13" s="1127" t="s">
        <v>7427</v>
      </c>
      <c r="AY13" s="1122" t="s">
        <v>7428</v>
      </c>
      <c r="AZ13" s="1110"/>
      <c r="BA13" s="1179"/>
      <c r="BB13" s="1179"/>
      <c r="BC13" s="1130" t="s">
        <v>3272</v>
      </c>
      <c r="BD13" s="1128"/>
      <c r="BE13" s="1179" t="s">
        <v>7429</v>
      </c>
      <c r="BF13" s="1110"/>
      <c r="BG13" s="1133" t="s">
        <v>5979</v>
      </c>
      <c r="BH13" s="1134" t="s">
        <v>7102</v>
      </c>
      <c r="BI13" s="1135"/>
      <c r="BJ13" s="1192"/>
      <c r="BK13" s="1180" t="s">
        <v>7430</v>
      </c>
      <c r="BL13" s="1135"/>
      <c r="BM13" s="1132" t="s">
        <v>7431</v>
      </c>
      <c r="BN13" s="1149"/>
      <c r="BO13" s="1138" t="s">
        <v>7432</v>
      </c>
      <c r="BP13" s="1194"/>
      <c r="BQ13" s="1138"/>
      <c r="BR13" s="1183" t="s">
        <v>7433</v>
      </c>
      <c r="BS13" s="1138"/>
      <c r="BT13" s="1139" t="s">
        <v>1407</v>
      </c>
      <c r="BU13" s="1137"/>
      <c r="BV13" s="1184" t="s">
        <v>7434</v>
      </c>
      <c r="BW13" s="1139" t="s">
        <v>7435</v>
      </c>
      <c r="BX13" s="1149"/>
      <c r="BY13" s="1196" t="s">
        <v>462</v>
      </c>
      <c r="BZ13" s="1143"/>
      <c r="CA13" s="1165"/>
      <c r="CB13" s="1165"/>
      <c r="CC13" s="1165"/>
      <c r="CD13" s="1143"/>
      <c r="CE13" s="1143"/>
      <c r="CF13" s="1142" t="s">
        <v>4607</v>
      </c>
      <c r="CG13" s="1143"/>
      <c r="CH13" s="1143"/>
      <c r="CI13" s="1143"/>
      <c r="CJ13" s="1165"/>
      <c r="CK13" s="1165"/>
    </row>
    <row r="14">
      <c r="A14" s="1100" t="s">
        <v>6457</v>
      </c>
      <c r="B14" s="1101" t="s">
        <v>7436</v>
      </c>
      <c r="C14" s="1102" t="s">
        <v>1260</v>
      </c>
      <c r="D14" s="1103" t="s">
        <v>436</v>
      </c>
      <c r="E14" s="1104" t="s">
        <v>436</v>
      </c>
      <c r="F14" s="1105" t="s">
        <v>5555</v>
      </c>
      <c r="G14" s="1101" t="s">
        <v>1726</v>
      </c>
      <c r="H14" s="1170" t="s">
        <v>2116</v>
      </c>
      <c r="I14" s="1170" t="s">
        <v>7437</v>
      </c>
      <c r="J14" s="1106"/>
      <c r="K14" s="1106"/>
      <c r="L14" s="1170" t="s">
        <v>3311</v>
      </c>
      <c r="M14" s="1106"/>
      <c r="N14" s="1170" t="s">
        <v>7438</v>
      </c>
      <c r="O14" s="1106"/>
      <c r="P14" s="1149"/>
      <c r="Q14" s="1115" t="s">
        <v>243</v>
      </c>
      <c r="R14" s="1112"/>
      <c r="S14" s="1115" t="s">
        <v>7327</v>
      </c>
      <c r="T14" s="1115" t="s">
        <v>3672</v>
      </c>
      <c r="U14" s="1112"/>
      <c r="V14" s="1115" t="s">
        <v>7439</v>
      </c>
      <c r="W14" s="1149"/>
      <c r="X14" s="1151" t="s">
        <v>270</v>
      </c>
      <c r="Y14" s="1151" t="s">
        <v>7440</v>
      </c>
      <c r="Z14" s="1151" t="s">
        <v>2363</v>
      </c>
      <c r="AA14" s="1187" t="s">
        <v>7441</v>
      </c>
      <c r="AB14" s="1151" t="s">
        <v>7442</v>
      </c>
      <c r="AC14" s="1151" t="s">
        <v>1672</v>
      </c>
      <c r="AD14" s="1151" t="s">
        <v>5482</v>
      </c>
      <c r="AE14" s="1151" t="s">
        <v>7443</v>
      </c>
      <c r="AF14" s="1120"/>
      <c r="AG14" s="1116" t="s">
        <v>7444</v>
      </c>
      <c r="AH14" s="1121"/>
      <c r="AI14" s="1149"/>
      <c r="AJ14" s="1202"/>
      <c r="AK14" s="1127" t="s">
        <v>7445</v>
      </c>
      <c r="AL14" s="1127" t="s">
        <v>7446</v>
      </c>
      <c r="AM14" s="1127" t="s">
        <v>1213</v>
      </c>
      <c r="AN14" s="1122"/>
      <c r="AO14" s="1123"/>
      <c r="AP14" s="1127" t="s">
        <v>4003</v>
      </c>
      <c r="AQ14" s="1123"/>
      <c r="AR14" s="1127" t="s">
        <v>7447</v>
      </c>
      <c r="AS14" s="1177" t="s">
        <v>7448</v>
      </c>
      <c r="AT14" s="1153" t="s">
        <v>7449</v>
      </c>
      <c r="AU14" s="1177" t="s">
        <v>7450</v>
      </c>
      <c r="AV14" s="1123"/>
      <c r="AW14" s="1127" t="s">
        <v>368</v>
      </c>
      <c r="AX14" s="1127" t="s">
        <v>7451</v>
      </c>
      <c r="AY14" s="1127" t="s">
        <v>7452</v>
      </c>
      <c r="AZ14" s="1110"/>
      <c r="BA14" s="1213"/>
      <c r="BB14" s="1130" t="s">
        <v>7453</v>
      </c>
      <c r="BC14" s="1130" t="s">
        <v>7454</v>
      </c>
      <c r="BD14" s="1128"/>
      <c r="BE14" s="1130" t="s">
        <v>7455</v>
      </c>
      <c r="BF14" s="1110"/>
      <c r="BG14" s="1133" t="s">
        <v>4018</v>
      </c>
      <c r="BH14" s="1133" t="s">
        <v>4606</v>
      </c>
      <c r="BI14" s="1180" t="s">
        <v>1592</v>
      </c>
      <c r="BJ14" s="1192"/>
      <c r="BK14" s="1133" t="s">
        <v>4342</v>
      </c>
      <c r="BL14" s="1135"/>
      <c r="BM14" s="1133" t="s">
        <v>7456</v>
      </c>
      <c r="BN14" s="1149"/>
      <c r="BO14" s="1139" t="s">
        <v>3416</v>
      </c>
      <c r="BP14" s="1160"/>
      <c r="BQ14" s="1137"/>
      <c r="BR14" s="1137"/>
      <c r="BS14" s="1137"/>
      <c r="BT14" s="1139" t="s">
        <v>933</v>
      </c>
      <c r="BU14" s="1137"/>
      <c r="BV14" s="1138" t="s">
        <v>7457</v>
      </c>
      <c r="BW14" s="1138" t="s">
        <v>7458</v>
      </c>
      <c r="BX14" s="1149"/>
      <c r="BY14" s="1168" t="s">
        <v>1618</v>
      </c>
      <c r="BZ14" s="1142"/>
      <c r="CA14" s="1165"/>
      <c r="CB14" s="1165"/>
      <c r="CC14" s="1165"/>
      <c r="CD14" s="1143"/>
      <c r="CE14" s="1142" t="s">
        <v>7459</v>
      </c>
      <c r="CF14" s="1143"/>
      <c r="CG14" s="1143"/>
      <c r="CH14" s="1143"/>
      <c r="CI14" s="1143"/>
      <c r="CJ14" s="1165"/>
      <c r="CK14" s="1165"/>
    </row>
    <row r="15">
      <c r="A15" s="1235" t="s">
        <v>1724</v>
      </c>
      <c r="B15" s="1101" t="s">
        <v>7460</v>
      </c>
      <c r="C15" s="1102" t="s">
        <v>1260</v>
      </c>
      <c r="D15" s="1103" t="s">
        <v>436</v>
      </c>
      <c r="E15" s="1104" t="s">
        <v>545</v>
      </c>
      <c r="F15" s="1105" t="s">
        <v>3314</v>
      </c>
      <c r="G15" s="1101" t="s">
        <v>2222</v>
      </c>
      <c r="H15" s="1170" t="s">
        <v>2351</v>
      </c>
      <c r="I15" s="1236" t="s">
        <v>7461</v>
      </c>
      <c r="J15" s="1107" t="s">
        <v>1302</v>
      </c>
      <c r="K15" s="1107" t="s">
        <v>7462</v>
      </c>
      <c r="L15" s="1107" t="s">
        <v>2140</v>
      </c>
      <c r="M15" s="1106"/>
      <c r="N15" s="1107" t="s">
        <v>7463</v>
      </c>
      <c r="O15" s="1107" t="s">
        <v>7464</v>
      </c>
      <c r="P15" s="1149"/>
      <c r="Q15" s="1111" t="s">
        <v>7465</v>
      </c>
      <c r="R15" s="1111" t="s">
        <v>2450</v>
      </c>
      <c r="S15" s="1111" t="s">
        <v>7466</v>
      </c>
      <c r="T15" s="1111" t="s">
        <v>5632</v>
      </c>
      <c r="U15" s="1111" t="s">
        <v>7467</v>
      </c>
      <c r="V15" s="1111" t="s">
        <v>7468</v>
      </c>
      <c r="W15" s="1149"/>
      <c r="X15" s="1116" t="s">
        <v>3862</v>
      </c>
      <c r="Y15" s="1116" t="s">
        <v>7469</v>
      </c>
      <c r="Z15" s="1174" t="s">
        <v>7470</v>
      </c>
      <c r="AA15" s="1237" t="s">
        <v>7471</v>
      </c>
      <c r="AB15" s="1116" t="s">
        <v>7472</v>
      </c>
      <c r="AC15" s="1116" t="s">
        <v>7473</v>
      </c>
      <c r="AD15" s="1187" t="s">
        <v>1703</v>
      </c>
      <c r="AE15" s="1151" t="s">
        <v>5408</v>
      </c>
      <c r="AF15" s="1116" t="s">
        <v>2913</v>
      </c>
      <c r="AG15" s="1116" t="s">
        <v>7474</v>
      </c>
      <c r="AH15" s="1238" t="s">
        <v>7475</v>
      </c>
      <c r="AI15" s="1149"/>
      <c r="AJ15" s="1202"/>
      <c r="AK15" s="1127" t="s">
        <v>7476</v>
      </c>
      <c r="AL15" s="1122"/>
      <c r="AM15" s="1122" t="s">
        <v>3410</v>
      </c>
      <c r="AN15" s="1127" t="s">
        <v>1645</v>
      </c>
      <c r="AO15" s="1122" t="s">
        <v>4059</v>
      </c>
      <c r="AP15" s="1125" t="s">
        <v>7477</v>
      </c>
      <c r="AQ15" s="1122" t="s">
        <v>7478</v>
      </c>
      <c r="AR15" s="1177" t="s">
        <v>7479</v>
      </c>
      <c r="AS15" s="1122" t="s">
        <v>7480</v>
      </c>
      <c r="AT15" s="1190"/>
      <c r="AU15" s="1122"/>
      <c r="AV15" s="1122"/>
      <c r="AW15" s="1125" t="s">
        <v>303</v>
      </c>
      <c r="AX15" s="1190" t="s">
        <v>7481</v>
      </c>
      <c r="AY15" s="1122" t="s">
        <v>7482</v>
      </c>
      <c r="AZ15" s="1110"/>
      <c r="BA15" s="1179" t="s">
        <v>7483</v>
      </c>
      <c r="BB15" s="1179" t="s">
        <v>7484</v>
      </c>
      <c r="BC15" s="1179" t="s">
        <v>4202</v>
      </c>
      <c r="BD15" s="1179"/>
      <c r="BE15" s="1239" t="s">
        <v>7485</v>
      </c>
      <c r="BF15" s="1110"/>
      <c r="BG15" s="1133" t="s">
        <v>7486</v>
      </c>
      <c r="BH15" s="1133" t="s">
        <v>4879</v>
      </c>
      <c r="BI15" s="1132" t="s">
        <v>2069</v>
      </c>
      <c r="BJ15" s="1158" t="s">
        <v>7487</v>
      </c>
      <c r="BK15" s="1193" t="s">
        <v>7488</v>
      </c>
      <c r="BL15" s="1133"/>
      <c r="BM15" s="1133" t="s">
        <v>7489</v>
      </c>
      <c r="BN15" s="1149"/>
      <c r="BO15" s="1139" t="s">
        <v>7490</v>
      </c>
      <c r="BP15" s="1194"/>
      <c r="BQ15" s="1240" t="s">
        <v>4696</v>
      </c>
      <c r="BR15" s="1138" t="s">
        <v>7491</v>
      </c>
      <c r="BS15" s="1138"/>
      <c r="BT15" s="1161" t="s">
        <v>7492</v>
      </c>
      <c r="BU15" s="1194" t="s">
        <v>4714</v>
      </c>
      <c r="BV15" s="1138" t="s">
        <v>7493</v>
      </c>
      <c r="BW15" s="1138" t="s">
        <v>7494</v>
      </c>
      <c r="BX15" s="1149"/>
      <c r="BY15" s="1142" t="s">
        <v>2512</v>
      </c>
      <c r="BZ15" s="1142" t="s">
        <v>2064</v>
      </c>
      <c r="CA15" s="1165"/>
      <c r="CB15" s="1165"/>
      <c r="CC15" s="1165"/>
      <c r="CD15" s="1142"/>
      <c r="CE15" s="1142" t="s">
        <v>7495</v>
      </c>
      <c r="CF15" s="1142" t="s">
        <v>7496</v>
      </c>
      <c r="CG15" s="1142"/>
      <c r="CH15" s="1196" t="s">
        <v>7497</v>
      </c>
      <c r="CI15" s="1143"/>
      <c r="CJ15" s="1165"/>
      <c r="CK15" s="1165"/>
    </row>
    <row r="16">
      <c r="A16" s="1100" t="s">
        <v>7498</v>
      </c>
      <c r="B16" s="1101" t="s">
        <v>7499</v>
      </c>
      <c r="C16" s="1102" t="s">
        <v>1260</v>
      </c>
      <c r="D16" s="1103" t="s">
        <v>1260</v>
      </c>
      <c r="E16" s="1104" t="s">
        <v>1260</v>
      </c>
      <c r="F16" s="1105" t="s">
        <v>1260</v>
      </c>
      <c r="G16" s="1101" t="s">
        <v>3280</v>
      </c>
      <c r="H16" s="1106"/>
      <c r="I16" s="1147" t="s">
        <v>3152</v>
      </c>
      <c r="J16" s="1107"/>
      <c r="K16" s="1106"/>
      <c r="L16" s="1106"/>
      <c r="M16" s="1106"/>
      <c r="N16" s="1106"/>
      <c r="O16" s="1107" t="s">
        <v>7500</v>
      </c>
      <c r="P16" s="1149"/>
      <c r="Q16" s="1186" t="s">
        <v>1490</v>
      </c>
      <c r="R16" s="1112"/>
      <c r="S16" s="1112"/>
      <c r="T16" s="1186" t="s">
        <v>1119</v>
      </c>
      <c r="U16" s="1111"/>
      <c r="V16" s="1111" t="s">
        <v>7501</v>
      </c>
      <c r="W16" s="1149"/>
      <c r="X16" s="1208" t="s">
        <v>7502</v>
      </c>
      <c r="Y16" s="1116" t="s">
        <v>7503</v>
      </c>
      <c r="Z16" s="1208" t="s">
        <v>7365</v>
      </c>
      <c r="AA16" s="1174" t="s">
        <v>6489</v>
      </c>
      <c r="AB16" s="1174" t="s">
        <v>1652</v>
      </c>
      <c r="AC16" s="1174" t="s">
        <v>3543</v>
      </c>
      <c r="AD16" s="1208" t="s">
        <v>199</v>
      </c>
      <c r="AE16" s="1174" t="s">
        <v>4618</v>
      </c>
      <c r="AF16" s="1116"/>
      <c r="AG16" s="1174" t="s">
        <v>7504</v>
      </c>
      <c r="AH16" s="1121"/>
      <c r="AI16" s="1149"/>
      <c r="AJ16" s="1123"/>
      <c r="AK16" s="1154" t="s">
        <v>5588</v>
      </c>
      <c r="AL16" s="1190" t="s">
        <v>7505</v>
      </c>
      <c r="AM16" s="1154" t="s">
        <v>7506</v>
      </c>
      <c r="AN16" s="1123"/>
      <c r="AO16" s="1190" t="s">
        <v>904</v>
      </c>
      <c r="AP16" s="1154" t="s">
        <v>1571</v>
      </c>
      <c r="AQ16" s="1190" t="s">
        <v>7507</v>
      </c>
      <c r="AR16" s="1190" t="s">
        <v>7508</v>
      </c>
      <c r="AS16" s="1123"/>
      <c r="AT16" s="1154"/>
      <c r="AU16" s="1123"/>
      <c r="AV16" s="1123"/>
      <c r="AW16" s="1154" t="s">
        <v>1251</v>
      </c>
      <c r="AX16" s="1190" t="s">
        <v>7509</v>
      </c>
      <c r="AY16" s="1190" t="s">
        <v>7510</v>
      </c>
      <c r="AZ16" s="1110"/>
      <c r="BA16" s="1179"/>
      <c r="BB16" s="1239" t="s">
        <v>7511</v>
      </c>
      <c r="BC16" s="1213"/>
      <c r="BD16" s="1213"/>
      <c r="BE16" s="1239" t="s">
        <v>7512</v>
      </c>
      <c r="BF16" s="1110"/>
      <c r="BG16" s="1229" t="s">
        <v>7513</v>
      </c>
      <c r="BH16" s="1229" t="s">
        <v>2123</v>
      </c>
      <c r="BI16" s="1135"/>
      <c r="BJ16" s="1192"/>
      <c r="BK16" s="1135"/>
      <c r="BL16" s="1135"/>
      <c r="BM16" s="1133" t="s">
        <v>7514</v>
      </c>
      <c r="BN16" s="1149"/>
      <c r="BO16" s="1194" t="s">
        <v>1959</v>
      </c>
      <c r="BP16" s="1160"/>
      <c r="BQ16" s="1137"/>
      <c r="BR16" s="1194" t="s">
        <v>7515</v>
      </c>
      <c r="BS16" s="1137"/>
      <c r="BT16" s="1194" t="s">
        <v>3055</v>
      </c>
      <c r="BU16" s="1137"/>
      <c r="BV16" s="1194" t="s">
        <v>7516</v>
      </c>
      <c r="BW16" s="1194" t="s">
        <v>7517</v>
      </c>
      <c r="BX16" s="1149"/>
      <c r="BY16" s="1195" t="s">
        <v>3608</v>
      </c>
      <c r="BZ16" s="1143"/>
      <c r="CA16" s="1165"/>
      <c r="CB16" s="1165"/>
      <c r="CC16" s="1165"/>
      <c r="CD16" s="1143"/>
      <c r="CE16" s="1143"/>
      <c r="CF16" s="1143"/>
      <c r="CG16" s="1143"/>
      <c r="CH16" s="1143"/>
      <c r="CI16" s="1143"/>
      <c r="CJ16" s="1165"/>
      <c r="CK16" s="1165"/>
    </row>
    <row r="17">
      <c r="A17" s="1100" t="s">
        <v>7518</v>
      </c>
      <c r="B17" s="1101" t="s">
        <v>7519</v>
      </c>
      <c r="C17" s="1102" t="s">
        <v>1260</v>
      </c>
      <c r="D17" s="1103" t="s">
        <v>1260</v>
      </c>
      <c r="E17" s="1104" t="s">
        <v>1260</v>
      </c>
      <c r="F17" s="1105" t="s">
        <v>1063</v>
      </c>
      <c r="G17" s="1101" t="s">
        <v>5686</v>
      </c>
      <c r="H17" s="1106"/>
      <c r="I17" s="1106"/>
      <c r="J17" s="1107" t="s">
        <v>7520</v>
      </c>
      <c r="K17" s="1107" t="s">
        <v>7521</v>
      </c>
      <c r="L17" s="1170" t="s">
        <v>7522</v>
      </c>
      <c r="M17" s="1106"/>
      <c r="N17" s="1147" t="s">
        <v>7523</v>
      </c>
      <c r="O17" s="1107" t="s">
        <v>7524</v>
      </c>
      <c r="P17" s="1149"/>
      <c r="Q17" s="1186" t="s">
        <v>726</v>
      </c>
      <c r="R17" s="1112"/>
      <c r="S17" s="1112"/>
      <c r="T17" s="1112"/>
      <c r="U17" s="1111"/>
      <c r="V17" s="1115" t="s">
        <v>7444</v>
      </c>
      <c r="W17" s="1149"/>
      <c r="X17" s="1188"/>
      <c r="Y17" s="1151" t="s">
        <v>7525</v>
      </c>
      <c r="Z17" s="1174" t="s">
        <v>2395</v>
      </c>
      <c r="AA17" s="1241"/>
      <c r="AB17" s="1188"/>
      <c r="AC17" s="1174" t="s">
        <v>816</v>
      </c>
      <c r="AD17" s="1174" t="s">
        <v>5651</v>
      </c>
      <c r="AE17" s="1174" t="s">
        <v>6786</v>
      </c>
      <c r="AF17" s="1116"/>
      <c r="AG17" s="1174" t="s">
        <v>7526</v>
      </c>
      <c r="AH17" s="1121"/>
      <c r="AI17" s="1149"/>
      <c r="AJ17" s="1122"/>
      <c r="AK17" s="1190" t="s">
        <v>1475</v>
      </c>
      <c r="AL17" s="1123"/>
      <c r="AM17" s="1123"/>
      <c r="AN17" s="1123"/>
      <c r="AO17" s="1123"/>
      <c r="AP17" s="1190" t="s">
        <v>7527</v>
      </c>
      <c r="AQ17" s="1123"/>
      <c r="AR17" s="1123"/>
      <c r="AS17" s="1123"/>
      <c r="AT17" s="1154"/>
      <c r="AU17" s="1123"/>
      <c r="AV17" s="1123"/>
      <c r="AW17" s="1127" t="s">
        <v>6044</v>
      </c>
      <c r="AX17" s="1122" t="s">
        <v>7528</v>
      </c>
      <c r="AY17" s="1122" t="s">
        <v>6164</v>
      </c>
      <c r="AZ17" s="1110"/>
      <c r="BA17" s="1179" t="s">
        <v>7529</v>
      </c>
      <c r="BB17" s="1239" t="s">
        <v>7530</v>
      </c>
      <c r="BC17" s="1130" t="s">
        <v>510</v>
      </c>
      <c r="BD17" s="1128"/>
      <c r="BE17" s="1239" t="s">
        <v>7531</v>
      </c>
      <c r="BF17" s="1110"/>
      <c r="BG17" s="1133" t="s">
        <v>2793</v>
      </c>
      <c r="BH17" s="1229" t="s">
        <v>7532</v>
      </c>
      <c r="BI17" s="1133"/>
      <c r="BJ17" s="1229"/>
      <c r="BK17" s="1135"/>
      <c r="BL17" s="1135"/>
      <c r="BM17" s="1132" t="s">
        <v>7533</v>
      </c>
      <c r="BN17" s="1149"/>
      <c r="BO17" s="1194" t="s">
        <v>2897</v>
      </c>
      <c r="BP17" s="1160"/>
      <c r="BQ17" s="1137"/>
      <c r="BR17" s="1138" t="s">
        <v>7534</v>
      </c>
      <c r="BS17" s="1137"/>
      <c r="BT17" s="1194" t="s">
        <v>2319</v>
      </c>
      <c r="BU17" s="1137"/>
      <c r="BV17" s="1138" t="s">
        <v>249</v>
      </c>
      <c r="BW17" s="1138" t="s">
        <v>1580</v>
      </c>
      <c r="BX17" s="1149"/>
      <c r="BY17" s="1142" t="s">
        <v>4194</v>
      </c>
      <c r="BZ17" s="1168" t="s">
        <v>5911</v>
      </c>
      <c r="CA17" s="1165"/>
      <c r="CB17" s="1165"/>
      <c r="CC17" s="1165"/>
      <c r="CD17" s="1143"/>
      <c r="CE17" s="1142" t="s">
        <v>5753</v>
      </c>
      <c r="CF17" s="1195" t="s">
        <v>7535</v>
      </c>
      <c r="CG17" s="1143"/>
      <c r="CH17" s="1143"/>
      <c r="CI17" s="1142" t="s">
        <v>7536</v>
      </c>
      <c r="CJ17" s="1165"/>
      <c r="CK17" s="1165"/>
    </row>
    <row r="18">
      <c r="A18" s="1100" t="s">
        <v>1807</v>
      </c>
      <c r="B18" s="1101" t="s">
        <v>7537</v>
      </c>
      <c r="C18" s="1102" t="s">
        <v>1260</v>
      </c>
      <c r="D18" s="1103" t="s">
        <v>1260</v>
      </c>
      <c r="E18" s="1104" t="s">
        <v>1260</v>
      </c>
      <c r="F18" s="1105" t="s">
        <v>1260</v>
      </c>
      <c r="G18" s="1101" t="s">
        <v>5686</v>
      </c>
      <c r="H18" s="1106"/>
      <c r="I18" s="1107" t="s">
        <v>2622</v>
      </c>
      <c r="J18" s="1107" t="s">
        <v>3646</v>
      </c>
      <c r="K18" s="1107" t="s">
        <v>7538</v>
      </c>
      <c r="L18" s="1147" t="s">
        <v>7539</v>
      </c>
      <c r="M18" s="1106"/>
      <c r="N18" s="1147" t="s">
        <v>7540</v>
      </c>
      <c r="O18" s="1107" t="s">
        <v>7541</v>
      </c>
      <c r="P18" s="1149"/>
      <c r="Q18" s="1186" t="s">
        <v>2902</v>
      </c>
      <c r="R18" s="1112"/>
      <c r="S18" s="1112"/>
      <c r="T18" s="1186" t="s">
        <v>4988</v>
      </c>
      <c r="U18" s="1111"/>
      <c r="V18" s="1186" t="s">
        <v>7542</v>
      </c>
      <c r="W18" s="1149"/>
      <c r="X18" s="1174" t="s">
        <v>4051</v>
      </c>
      <c r="Y18" s="1174" t="s">
        <v>7543</v>
      </c>
      <c r="Z18" s="1174" t="s">
        <v>7544</v>
      </c>
      <c r="AA18" s="1174" t="s">
        <v>2967</v>
      </c>
      <c r="AB18" s="1174" t="s">
        <v>4656</v>
      </c>
      <c r="AC18" s="1116" t="s">
        <v>7545</v>
      </c>
      <c r="AD18" s="1174" t="s">
        <v>4605</v>
      </c>
      <c r="AE18" s="1174" t="s">
        <v>4838</v>
      </c>
      <c r="AF18" s="1116"/>
      <c r="AG18" s="1116" t="s">
        <v>7546</v>
      </c>
      <c r="AH18" s="1242" t="s">
        <v>7547</v>
      </c>
      <c r="AI18" s="1149"/>
      <c r="AJ18" s="1123"/>
      <c r="AK18" s="1123"/>
      <c r="AL18" s="1123"/>
      <c r="AM18" s="1122" t="s">
        <v>170</v>
      </c>
      <c r="AN18" s="1123"/>
      <c r="AO18" s="1190" t="s">
        <v>4314</v>
      </c>
      <c r="AP18" s="1122" t="s">
        <v>3330</v>
      </c>
      <c r="AQ18" s="1190" t="s">
        <v>7548</v>
      </c>
      <c r="AR18" s="1123"/>
      <c r="AS18" s="1123"/>
      <c r="AT18" s="1154"/>
      <c r="AU18" s="1123"/>
      <c r="AV18" s="1123"/>
      <c r="AW18" s="1190" t="s">
        <v>1011</v>
      </c>
      <c r="AX18" s="1190" t="s">
        <v>4828</v>
      </c>
      <c r="AY18" s="1123"/>
      <c r="AZ18" s="1110"/>
      <c r="BA18" s="1213"/>
      <c r="BB18" s="1213"/>
      <c r="BC18" s="1239" t="s">
        <v>6677</v>
      </c>
      <c r="BD18" s="1179"/>
      <c r="BE18" s="1179" t="s">
        <v>7549</v>
      </c>
      <c r="BF18" s="1110"/>
      <c r="BG18" s="1229" t="s">
        <v>1206</v>
      </c>
      <c r="BH18" s="1229" t="s">
        <v>2123</v>
      </c>
      <c r="BI18" s="1135"/>
      <c r="BJ18" s="1192"/>
      <c r="BK18" s="1133" t="s">
        <v>7550</v>
      </c>
      <c r="BL18" s="1135"/>
      <c r="BM18" s="1229" t="s">
        <v>7551</v>
      </c>
      <c r="BN18" s="1149"/>
      <c r="BO18" s="1194" t="s">
        <v>7552</v>
      </c>
      <c r="BP18" s="1160"/>
      <c r="BQ18" s="1137"/>
      <c r="BR18" s="1137"/>
      <c r="BS18" s="1137"/>
      <c r="BT18" s="1194" t="s">
        <v>3165</v>
      </c>
      <c r="BU18" s="1137"/>
      <c r="BV18" s="1137"/>
      <c r="BW18" s="1160" t="s">
        <v>7553</v>
      </c>
      <c r="BX18" s="1149"/>
      <c r="BY18" s="1142" t="s">
        <v>2932</v>
      </c>
      <c r="BZ18" s="1143"/>
      <c r="CA18" s="1165"/>
      <c r="CB18" s="1165"/>
      <c r="CC18" s="1165"/>
      <c r="CD18" s="1143"/>
      <c r="CE18" s="1143"/>
      <c r="CF18" s="1143"/>
      <c r="CG18" s="1143"/>
      <c r="CH18" s="1143"/>
      <c r="CI18" s="1143"/>
      <c r="CJ18" s="1165"/>
      <c r="CK18" s="1165"/>
    </row>
    <row r="19">
      <c r="A19" s="1100" t="s">
        <v>6466</v>
      </c>
      <c r="B19" s="1101" t="s">
        <v>7554</v>
      </c>
      <c r="C19" s="1102" t="s">
        <v>1260</v>
      </c>
      <c r="D19" s="1103" t="s">
        <v>545</v>
      </c>
      <c r="E19" s="1104" t="s">
        <v>1260</v>
      </c>
      <c r="F19" s="1105" t="s">
        <v>545</v>
      </c>
      <c r="G19" s="1101" t="s">
        <v>5827</v>
      </c>
      <c r="H19" s="1106"/>
      <c r="I19" s="1106"/>
      <c r="J19" s="1107" t="s">
        <v>7555</v>
      </c>
      <c r="K19" s="1107" t="s">
        <v>7556</v>
      </c>
      <c r="L19" s="1106"/>
      <c r="M19" s="1106"/>
      <c r="N19" s="1106"/>
      <c r="O19" s="1147" t="s">
        <v>7557</v>
      </c>
      <c r="P19" s="1149"/>
      <c r="Q19" s="1111" t="s">
        <v>7558</v>
      </c>
      <c r="R19" s="1112"/>
      <c r="S19" s="1111" t="s">
        <v>5755</v>
      </c>
      <c r="T19" s="1111" t="s">
        <v>5102</v>
      </c>
      <c r="U19" s="1111" t="s">
        <v>7559</v>
      </c>
      <c r="V19" s="1186" t="s">
        <v>7560</v>
      </c>
      <c r="W19" s="1149"/>
      <c r="X19" s="1188"/>
      <c r="Y19" s="1188"/>
      <c r="Z19" s="1116" t="s">
        <v>7561</v>
      </c>
      <c r="AA19" s="1241"/>
      <c r="AB19" s="1116" t="s">
        <v>2266</v>
      </c>
      <c r="AC19" s="1174" t="s">
        <v>7562</v>
      </c>
      <c r="AD19" s="1188"/>
      <c r="AE19" s="1188"/>
      <c r="AF19" s="1188"/>
      <c r="AG19" s="1174" t="s">
        <v>7563</v>
      </c>
      <c r="AH19" s="1121"/>
      <c r="AI19" s="1149"/>
      <c r="AJ19" s="1123"/>
      <c r="AK19" s="1123"/>
      <c r="AL19" s="1123"/>
      <c r="AM19" s="1122" t="s">
        <v>1315</v>
      </c>
      <c r="AN19" s="1122"/>
      <c r="AO19" s="1123"/>
      <c r="AP19" s="1123"/>
      <c r="AQ19" s="1123"/>
      <c r="AR19" s="1123"/>
      <c r="AS19" s="1123"/>
      <c r="AT19" s="1154"/>
      <c r="AU19" s="1123"/>
      <c r="AV19" s="1123"/>
      <c r="AW19" s="1122" t="s">
        <v>3861</v>
      </c>
      <c r="AX19" s="1190" t="s">
        <v>7564</v>
      </c>
      <c r="AY19" s="1123"/>
      <c r="AZ19" s="1110"/>
      <c r="BA19" s="1213"/>
      <c r="BB19" s="1179" t="s">
        <v>7565</v>
      </c>
      <c r="BC19" s="1179" t="s">
        <v>3669</v>
      </c>
      <c r="BD19" s="1179"/>
      <c r="BE19" s="1239" t="s">
        <v>7566</v>
      </c>
      <c r="BF19" s="1110"/>
      <c r="BG19" s="1133" t="s">
        <v>713</v>
      </c>
      <c r="BH19" s="1229" t="s">
        <v>4345</v>
      </c>
      <c r="BI19" s="1133" t="s">
        <v>1759</v>
      </c>
      <c r="BJ19" s="1133" t="s">
        <v>7567</v>
      </c>
      <c r="BK19" s="1133" t="s">
        <v>7568</v>
      </c>
      <c r="BL19" s="1135"/>
      <c r="BM19" s="1133" t="s">
        <v>7569</v>
      </c>
      <c r="BN19" s="1149"/>
      <c r="BO19" s="1138" t="s">
        <v>4688</v>
      </c>
      <c r="BP19" s="1160"/>
      <c r="BQ19" s="1137"/>
      <c r="BR19" s="1184" t="s">
        <v>7570</v>
      </c>
      <c r="BS19" s="1137"/>
      <c r="BT19" s="1138" t="s">
        <v>2361</v>
      </c>
      <c r="BU19" s="1137"/>
      <c r="BV19" s="1138" t="s">
        <v>7571</v>
      </c>
      <c r="BW19" s="1138" t="s">
        <v>2047</v>
      </c>
      <c r="BX19" s="1149"/>
      <c r="BY19" s="1142" t="s">
        <v>4564</v>
      </c>
      <c r="BZ19" s="1231"/>
      <c r="CA19" s="1165"/>
      <c r="CB19" s="1165"/>
      <c r="CC19" s="1165"/>
      <c r="CD19" s="1143"/>
      <c r="CE19" s="1143"/>
      <c r="CF19" s="1143"/>
      <c r="CG19" s="1143"/>
      <c r="CH19" s="1143"/>
      <c r="CI19" s="1143"/>
      <c r="CJ19" s="1165"/>
      <c r="CK19" s="1165"/>
    </row>
    <row r="20">
      <c r="A20" s="1243" t="s">
        <v>1060</v>
      </c>
      <c r="B20" s="1101" t="s">
        <v>7572</v>
      </c>
      <c r="C20" s="1102" t="s">
        <v>3314</v>
      </c>
      <c r="D20" s="1103" t="s">
        <v>436</v>
      </c>
      <c r="E20" s="1104" t="s">
        <v>436</v>
      </c>
      <c r="F20" s="1105" t="s">
        <v>218</v>
      </c>
      <c r="G20" s="1101" t="s">
        <v>6130</v>
      </c>
      <c r="H20" s="1145" t="s">
        <v>4740</v>
      </c>
      <c r="I20" s="1106"/>
      <c r="J20" s="1106"/>
      <c r="K20" s="1106"/>
      <c r="L20" s="1106"/>
      <c r="M20" s="1106"/>
      <c r="N20" s="1106"/>
      <c r="O20" s="1106"/>
      <c r="P20" s="1149"/>
      <c r="Q20" s="1112"/>
      <c r="R20" s="1113" t="s">
        <v>402</v>
      </c>
      <c r="S20" s="1112"/>
      <c r="T20" s="1219" t="s">
        <v>4789</v>
      </c>
      <c r="U20" s="1219" t="s">
        <v>1189</v>
      </c>
      <c r="V20" s="1112"/>
      <c r="W20" s="1149"/>
      <c r="X20" s="1188"/>
      <c r="Y20" s="1188"/>
      <c r="Z20" s="1118" t="s">
        <v>3322</v>
      </c>
      <c r="AA20" s="1241"/>
      <c r="AB20" s="1188"/>
      <c r="AC20" s="1188"/>
      <c r="AD20" s="1117" t="s">
        <v>1787</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1043</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3492</v>
      </c>
      <c r="BZ20" s="1142"/>
      <c r="CA20" s="1165"/>
      <c r="CB20" s="1165"/>
      <c r="CC20" s="1165"/>
      <c r="CD20" s="1143"/>
      <c r="CE20" s="1143"/>
      <c r="CF20" s="1143"/>
      <c r="CG20" s="1164" t="s">
        <v>7576</v>
      </c>
      <c r="CH20" s="1143"/>
      <c r="CI20" s="1143"/>
      <c r="CJ20" s="1165"/>
      <c r="CK20" s="1165"/>
    </row>
    <row r="21">
      <c r="A21" s="1100" t="s">
        <v>2921</v>
      </c>
      <c r="B21" s="1101" t="s">
        <v>7577</v>
      </c>
      <c r="C21" s="1102" t="s">
        <v>545</v>
      </c>
      <c r="D21" s="1103" t="s">
        <v>1260</v>
      </c>
      <c r="E21" s="1104" t="s">
        <v>1260</v>
      </c>
      <c r="F21" s="1105" t="s">
        <v>545</v>
      </c>
      <c r="G21" s="1101" t="s">
        <v>5097</v>
      </c>
      <c r="H21" s="1106"/>
      <c r="I21" s="1106"/>
      <c r="J21" s="1107" t="s">
        <v>309</v>
      </c>
      <c r="K21" s="1107" t="s">
        <v>7578</v>
      </c>
      <c r="L21" s="1107"/>
      <c r="M21" s="1106"/>
      <c r="N21" s="1106"/>
      <c r="O21" s="1107" t="s">
        <v>7579</v>
      </c>
      <c r="P21" s="1149"/>
      <c r="Q21" s="1111" t="s">
        <v>4861</v>
      </c>
      <c r="R21" s="1111" t="s">
        <v>3772</v>
      </c>
      <c r="S21" s="1111" t="s">
        <v>691</v>
      </c>
      <c r="T21" s="1111" t="s">
        <v>248</v>
      </c>
      <c r="U21" s="1112"/>
      <c r="V21" s="1111" t="s">
        <v>7580</v>
      </c>
      <c r="W21" s="1149"/>
      <c r="X21" s="1116" t="s">
        <v>6302</v>
      </c>
      <c r="Y21" s="1188"/>
      <c r="Z21" s="1116" t="s">
        <v>4892</v>
      </c>
      <c r="AA21" s="1116" t="s">
        <v>7581</v>
      </c>
      <c r="AB21" s="1116" t="s">
        <v>2940</v>
      </c>
      <c r="AC21" s="1116" t="s">
        <v>1672</v>
      </c>
      <c r="AD21" s="1116" t="s">
        <v>6523</v>
      </c>
      <c r="AE21" s="1116" t="s">
        <v>2779</v>
      </c>
      <c r="AF21" s="1116"/>
      <c r="AG21" s="1116" t="s">
        <v>7582</v>
      </c>
      <c r="AH21" s="1244" t="s">
        <v>2943</v>
      </c>
      <c r="AI21" s="1149"/>
      <c r="AJ21" s="1123"/>
      <c r="AK21" s="1123"/>
      <c r="AL21" s="1124" t="s">
        <v>7583</v>
      </c>
      <c r="AM21" s="1122" t="s">
        <v>1892</v>
      </c>
      <c r="AN21" s="1122"/>
      <c r="AO21" s="1123"/>
      <c r="AP21" s="1123"/>
      <c r="AQ21" s="1123"/>
      <c r="AR21" s="1122" t="s">
        <v>7584</v>
      </c>
      <c r="AS21" s="1122"/>
      <c r="AT21" s="1154"/>
      <c r="AU21" s="1122" t="s">
        <v>7585</v>
      </c>
      <c r="AV21" s="1190" t="s">
        <v>7586</v>
      </c>
      <c r="AW21" s="1122" t="s">
        <v>769</v>
      </c>
      <c r="AX21" s="1190" t="s">
        <v>7587</v>
      </c>
      <c r="AY21" s="1122" t="s">
        <v>7588</v>
      </c>
      <c r="AZ21" s="1110"/>
      <c r="BA21" s="1179" t="s">
        <v>7589</v>
      </c>
      <c r="BB21" s="1179" t="s">
        <v>7590</v>
      </c>
      <c r="BC21" s="1213"/>
      <c r="BD21" s="1213"/>
      <c r="BE21" s="1179" t="s">
        <v>7591</v>
      </c>
      <c r="BF21" s="1110"/>
      <c r="BG21" s="1133" t="s">
        <v>5979</v>
      </c>
      <c r="BH21" s="1135"/>
      <c r="BI21" s="1133" t="s">
        <v>474</v>
      </c>
      <c r="BJ21" s="1133" t="s">
        <v>7592</v>
      </c>
      <c r="BK21" s="1133" t="s">
        <v>7593</v>
      </c>
      <c r="BL21" s="1133" t="s">
        <v>7594</v>
      </c>
      <c r="BM21" s="1193" t="s">
        <v>7595</v>
      </c>
      <c r="BN21" s="1149"/>
      <c r="BO21" s="1138" t="s">
        <v>7596</v>
      </c>
      <c r="BP21" s="1138" t="s">
        <v>4168</v>
      </c>
      <c r="BQ21" s="1137"/>
      <c r="BR21" s="1138" t="s">
        <v>7597</v>
      </c>
      <c r="BS21" s="1137"/>
      <c r="BT21" s="1138" t="s">
        <v>2961</v>
      </c>
      <c r="BU21" s="1138" t="s">
        <v>5121</v>
      </c>
      <c r="BV21" s="1138" t="s">
        <v>7598</v>
      </c>
      <c r="BW21" s="1138" t="s">
        <v>7599</v>
      </c>
      <c r="BX21" s="1149"/>
      <c r="BY21" s="1245" t="s">
        <v>3460</v>
      </c>
      <c r="BZ21" s="1142" t="s">
        <v>939</v>
      </c>
      <c r="CA21" s="1165"/>
      <c r="CB21" s="1165"/>
      <c r="CC21" s="1165"/>
      <c r="CD21" s="1143"/>
      <c r="CE21" s="1142" t="s">
        <v>7600</v>
      </c>
      <c r="CF21" s="1142" t="s">
        <v>7601</v>
      </c>
      <c r="CG21" s="1143"/>
      <c r="CH21" s="1143"/>
      <c r="CI21" s="1143"/>
      <c r="CJ21" s="1165"/>
      <c r="CK21" s="1165"/>
    </row>
    <row r="22">
      <c r="A22" s="1246" t="s">
        <v>3472</v>
      </c>
      <c r="B22" s="1101" t="s">
        <v>7602</v>
      </c>
      <c r="C22" s="1102" t="s">
        <v>1260</v>
      </c>
      <c r="D22" s="1103" t="s">
        <v>545</v>
      </c>
      <c r="E22" s="1104" t="s">
        <v>1260</v>
      </c>
      <c r="F22" s="1105" t="s">
        <v>330</v>
      </c>
      <c r="G22" s="1101" t="s">
        <v>1062</v>
      </c>
      <c r="H22" s="1106"/>
      <c r="I22" s="1106"/>
      <c r="J22" s="1106"/>
      <c r="K22" s="1106"/>
      <c r="L22" s="1106"/>
      <c r="M22" s="1106"/>
      <c r="N22" s="1107" t="s">
        <v>7603</v>
      </c>
      <c r="O22" s="1106"/>
      <c r="P22" s="1149"/>
      <c r="Q22" s="1112"/>
      <c r="R22" s="1112"/>
      <c r="S22" s="1112"/>
      <c r="T22" s="1112"/>
      <c r="U22" s="1111" t="s">
        <v>3018</v>
      </c>
      <c r="V22" s="1111" t="s">
        <v>7604</v>
      </c>
      <c r="W22" s="1149"/>
      <c r="X22" s="1116" t="s">
        <v>195</v>
      </c>
      <c r="Y22" s="1116" t="s">
        <v>7605</v>
      </c>
      <c r="Z22" s="1116" t="s">
        <v>7606</v>
      </c>
      <c r="AA22" s="1247" t="s">
        <v>2749</v>
      </c>
      <c r="AB22" s="1116" t="s">
        <v>656</v>
      </c>
      <c r="AC22" s="1116" t="s">
        <v>1811</v>
      </c>
      <c r="AD22" s="1116" t="s">
        <v>7129</v>
      </c>
      <c r="AE22" s="1116" t="s">
        <v>145</v>
      </c>
      <c r="AF22" s="1116"/>
      <c r="AG22" s="1116" t="s">
        <v>6366</v>
      </c>
      <c r="AH22" s="1248" t="s">
        <v>7607</v>
      </c>
      <c r="AI22" s="1149"/>
      <c r="AJ22" s="1122"/>
      <c r="AK22" s="1122" t="s">
        <v>5629</v>
      </c>
      <c r="AL22" s="1123"/>
      <c r="AM22" s="1122" t="s">
        <v>5119</v>
      </c>
      <c r="AN22" s="1123"/>
      <c r="AO22" s="1123"/>
      <c r="AP22" s="1122" t="s">
        <v>1988</v>
      </c>
      <c r="AQ22" s="1123"/>
      <c r="AR22" s="1122" t="s">
        <v>7608</v>
      </c>
      <c r="AS22" s="1122" t="s">
        <v>3602</v>
      </c>
      <c r="AT22" s="1154"/>
      <c r="AU22" s="1123"/>
      <c r="AV22" s="1190" t="s">
        <v>7609</v>
      </c>
      <c r="AW22" s="1122" t="s">
        <v>804</v>
      </c>
      <c r="AX22" s="1122" t="s">
        <v>7610</v>
      </c>
      <c r="AY22" s="1122" t="s">
        <v>7611</v>
      </c>
      <c r="AZ22" s="1110"/>
      <c r="BA22" s="1213"/>
      <c r="BB22" s="1130" t="s">
        <v>7612</v>
      </c>
      <c r="BC22" s="1179" t="s">
        <v>6242</v>
      </c>
      <c r="BD22" s="1179"/>
      <c r="BE22" s="1155" t="s">
        <v>7613</v>
      </c>
      <c r="BF22" s="1110"/>
      <c r="BG22" s="1135"/>
      <c r="BH22" s="1135"/>
      <c r="BI22" s="1135"/>
      <c r="BJ22" s="1192"/>
      <c r="BK22" s="1135"/>
      <c r="BL22" s="1181" t="s">
        <v>7614</v>
      </c>
      <c r="BM22" s="1133" t="s">
        <v>7615</v>
      </c>
      <c r="BN22" s="1149"/>
      <c r="BO22" s="1137"/>
      <c r="BP22" s="1160"/>
      <c r="BQ22" s="1137"/>
      <c r="BR22" s="1137"/>
      <c r="BS22" s="1184" t="s">
        <v>7059</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1260</v>
      </c>
      <c r="D23" s="1103" t="s">
        <v>1260</v>
      </c>
      <c r="E23" s="1104" t="s">
        <v>1260</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4124</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6285</v>
      </c>
      <c r="C24" s="1102" t="s">
        <v>1260</v>
      </c>
      <c r="D24" s="1103" t="s">
        <v>1260</v>
      </c>
      <c r="E24" s="1104" t="s">
        <v>1260</v>
      </c>
      <c r="F24" s="1105" t="s">
        <v>1063</v>
      </c>
      <c r="G24" s="1101" t="s">
        <v>3856</v>
      </c>
      <c r="H24" s="1170" t="s">
        <v>2570</v>
      </c>
      <c r="I24" s="1170" t="s">
        <v>7629</v>
      </c>
      <c r="J24" s="1254"/>
      <c r="K24" s="1170" t="s">
        <v>3335</v>
      </c>
      <c r="L24" s="1107"/>
      <c r="M24" s="1106"/>
      <c r="N24" s="1106"/>
      <c r="O24" s="1147" t="s">
        <v>7630</v>
      </c>
      <c r="P24" s="1149"/>
      <c r="Q24" s="1186" t="s">
        <v>7631</v>
      </c>
      <c r="R24" s="1112"/>
      <c r="S24" s="1112"/>
      <c r="T24" s="1186" t="s">
        <v>5134</v>
      </c>
      <c r="U24" s="1111"/>
      <c r="V24" s="1186" t="s">
        <v>7632</v>
      </c>
      <c r="W24" s="1149"/>
      <c r="X24" s="1174" t="s">
        <v>2135</v>
      </c>
      <c r="Y24" s="1188"/>
      <c r="Z24" s="1174" t="s">
        <v>1837</v>
      </c>
      <c r="AA24" s="1241"/>
      <c r="AB24" s="1174" t="s">
        <v>5243</v>
      </c>
      <c r="AC24" s="1188"/>
      <c r="AD24" s="1188"/>
      <c r="AE24" s="1174" t="s">
        <v>4409</v>
      </c>
      <c r="AF24" s="1116"/>
      <c r="AG24" s="1174" t="s">
        <v>7633</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6469</v>
      </c>
      <c r="B25" s="1101" t="s">
        <v>6288</v>
      </c>
      <c r="C25" s="1102" t="s">
        <v>1260</v>
      </c>
      <c r="D25" s="1103" t="s">
        <v>1260</v>
      </c>
      <c r="E25" s="1104" t="s">
        <v>545</v>
      </c>
      <c r="F25" s="1105" t="s">
        <v>436</v>
      </c>
      <c r="G25" s="1101" t="s">
        <v>3856</v>
      </c>
      <c r="H25" s="1106"/>
      <c r="I25" s="1106"/>
      <c r="J25" s="1106"/>
      <c r="K25" s="1106"/>
      <c r="L25" s="1107" t="s">
        <v>744</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1339</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7423</v>
      </c>
      <c r="BT25" s="1138" t="s">
        <v>1322</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6481</v>
      </c>
      <c r="B26" s="1101" t="s">
        <v>7655</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1260</v>
      </c>
      <c r="E27" s="1104" t="s">
        <v>545</v>
      </c>
      <c r="F27" s="1105" t="s">
        <v>438</v>
      </c>
      <c r="G27" s="1101" t="s">
        <v>2809</v>
      </c>
      <c r="H27" s="1107" t="s">
        <v>3842</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6500</v>
      </c>
      <c r="AA27" s="1247" t="s">
        <v>4607</v>
      </c>
      <c r="AB27" s="1116" t="s">
        <v>1189</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3990</v>
      </c>
      <c r="BP27" s="1160"/>
      <c r="BQ27" s="1137"/>
      <c r="BR27" s="1138" t="s">
        <v>7678</v>
      </c>
      <c r="BS27" s="1137"/>
      <c r="BT27" s="1194" t="s">
        <v>903</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4062</v>
      </c>
      <c r="B28" s="1101" t="s">
        <v>6308</v>
      </c>
      <c r="C28" s="1102" t="s">
        <v>1260</v>
      </c>
      <c r="D28" s="1103" t="s">
        <v>1260</v>
      </c>
      <c r="E28" s="1104" t="s">
        <v>330</v>
      </c>
      <c r="F28" s="1105" t="s">
        <v>646</v>
      </c>
      <c r="G28" s="1101" t="s">
        <v>1809</v>
      </c>
      <c r="H28" s="1221" t="s">
        <v>1288</v>
      </c>
      <c r="I28" s="1106"/>
      <c r="J28" s="1106"/>
      <c r="K28" s="1106"/>
      <c r="L28" s="1107" t="s">
        <v>1490</v>
      </c>
      <c r="M28" s="1106"/>
      <c r="N28" s="1170" t="s">
        <v>7682</v>
      </c>
      <c r="O28" s="1106"/>
      <c r="P28" s="1149"/>
      <c r="Q28" s="1260" t="s">
        <v>7683</v>
      </c>
      <c r="R28" s="1112"/>
      <c r="S28" s="1111" t="s">
        <v>5863</v>
      </c>
      <c r="T28" s="1115" t="s">
        <v>620</v>
      </c>
      <c r="U28" s="1261" t="s">
        <v>7684</v>
      </c>
      <c r="V28" s="1111" t="s">
        <v>7685</v>
      </c>
      <c r="W28" s="1149"/>
      <c r="X28" s="1188"/>
      <c r="Y28" s="1116" t="s">
        <v>4074</v>
      </c>
      <c r="Z28" s="1116" t="s">
        <v>5240</v>
      </c>
      <c r="AA28" s="1262" t="s">
        <v>156</v>
      </c>
      <c r="AB28" s="1116" t="s">
        <v>6195</v>
      </c>
      <c r="AC28" s="1116" t="s">
        <v>3509</v>
      </c>
      <c r="AD28" s="1116" t="s">
        <v>3045</v>
      </c>
      <c r="AE28" s="1151" t="s">
        <v>241</v>
      </c>
      <c r="AF28" s="1175"/>
      <c r="AG28" s="1188"/>
      <c r="AH28" s="1263" t="s">
        <v>4076</v>
      </c>
      <c r="AI28" s="1149"/>
      <c r="AJ28" s="1122"/>
      <c r="AK28" s="1122" t="s">
        <v>7686</v>
      </c>
      <c r="AL28" s="1122" t="s">
        <v>7687</v>
      </c>
      <c r="AM28" s="1122" t="s">
        <v>1646</v>
      </c>
      <c r="AN28" s="1122"/>
      <c r="AO28" s="1123"/>
      <c r="AP28" s="1127" t="s">
        <v>6916</v>
      </c>
      <c r="AQ28" s="1123"/>
      <c r="AR28" s="1122" t="s">
        <v>7688</v>
      </c>
      <c r="AS28" s="1122" t="s">
        <v>7689</v>
      </c>
      <c r="AT28" s="1154"/>
      <c r="AU28" s="1122" t="s">
        <v>7690</v>
      </c>
      <c r="AV28" s="1123"/>
      <c r="AW28" s="1127" t="s">
        <v>2706</v>
      </c>
      <c r="AX28" s="1122" t="s">
        <v>7691</v>
      </c>
      <c r="AY28" s="1122" t="s">
        <v>7692</v>
      </c>
      <c r="AZ28" s="1110"/>
      <c r="BA28" s="1213"/>
      <c r="BB28" s="1213"/>
      <c r="BC28" s="1179" t="s">
        <v>2205</v>
      </c>
      <c r="BD28" s="1179"/>
      <c r="BE28" s="1179" t="s">
        <v>7693</v>
      </c>
      <c r="BF28" s="1110"/>
      <c r="BG28" s="1135"/>
      <c r="BH28" s="1133" t="s">
        <v>7694</v>
      </c>
      <c r="BI28" s="1135"/>
      <c r="BJ28" s="1192"/>
      <c r="BK28" s="1135"/>
      <c r="BL28" s="1133" t="s">
        <v>7695</v>
      </c>
      <c r="BM28" s="1135"/>
      <c r="BN28" s="1149"/>
      <c r="BO28" s="1194" t="s">
        <v>7696</v>
      </c>
      <c r="BP28" s="1160"/>
      <c r="BQ28" s="1137"/>
      <c r="BR28" s="1137"/>
      <c r="BS28" s="1183" t="s">
        <v>7638</v>
      </c>
      <c r="BT28" s="1194" t="s">
        <v>316</v>
      </c>
      <c r="BU28" s="1183" t="s">
        <v>7697</v>
      </c>
      <c r="BV28" s="1137"/>
      <c r="BW28" s="1138" t="s">
        <v>3797</v>
      </c>
      <c r="BX28" s="1149"/>
      <c r="BY28" s="1143"/>
      <c r="BZ28" s="1143"/>
      <c r="CA28" s="1165"/>
      <c r="CB28" s="1165"/>
      <c r="CC28" s="1165"/>
      <c r="CD28" s="1143"/>
      <c r="CE28" s="1142" t="s">
        <v>7639</v>
      </c>
      <c r="CF28" s="1142" t="s">
        <v>7698</v>
      </c>
      <c r="CG28" s="1143"/>
      <c r="CH28" s="1143"/>
      <c r="CI28" s="1143"/>
      <c r="CJ28" s="1165"/>
      <c r="CK28" s="1165"/>
    </row>
    <row r="29">
      <c r="A29" s="1264" t="s">
        <v>6463</v>
      </c>
      <c r="B29" s="1101" t="s">
        <v>7699</v>
      </c>
      <c r="C29" s="1102" t="s">
        <v>1260</v>
      </c>
      <c r="D29" s="1103" t="s">
        <v>1260</v>
      </c>
      <c r="E29" s="1104" t="s">
        <v>1260</v>
      </c>
      <c r="F29" s="1105" t="s">
        <v>437</v>
      </c>
      <c r="G29" s="1101" t="s">
        <v>1062</v>
      </c>
      <c r="H29" s="1221" t="s">
        <v>4215</v>
      </c>
      <c r="I29" s="1107" t="s">
        <v>7700</v>
      </c>
      <c r="J29" s="1107"/>
      <c r="K29" s="1107"/>
      <c r="L29" s="1147" t="s">
        <v>7701</v>
      </c>
      <c r="M29" s="1106"/>
      <c r="N29" s="1170" t="s">
        <v>7702</v>
      </c>
      <c r="O29" s="1106"/>
      <c r="P29" s="1149"/>
      <c r="Q29" s="1112"/>
      <c r="R29" s="1112"/>
      <c r="S29" s="1112"/>
      <c r="T29" s="1112"/>
      <c r="U29" s="1111" t="s">
        <v>414</v>
      </c>
      <c r="V29" s="1115" t="s">
        <v>7703</v>
      </c>
      <c r="W29" s="1149"/>
      <c r="X29" s="1174" t="s">
        <v>4850</v>
      </c>
      <c r="Y29" s="1116" t="s">
        <v>7704</v>
      </c>
      <c r="Z29" s="1174" t="s">
        <v>5930</v>
      </c>
      <c r="AA29" s="1237" t="s">
        <v>4607</v>
      </c>
      <c r="AB29" s="1174" t="s">
        <v>2500</v>
      </c>
      <c r="AC29" s="1151" t="s">
        <v>7705</v>
      </c>
      <c r="AD29" s="1188"/>
      <c r="AE29" s="1151" t="str">
        <f>HYPERLINK("https://twitter.com/Qbe_Root/status/1242884733232648192","56.04")</f>
        <v>56.04</v>
      </c>
      <c r="AF29" s="1175"/>
      <c r="AG29" s="1151" t="s">
        <v>7706</v>
      </c>
      <c r="AH29" s="1121"/>
      <c r="AI29" s="1149"/>
      <c r="AJ29" s="1122"/>
      <c r="AK29" s="1122" t="s">
        <v>7707</v>
      </c>
      <c r="AL29" s="1122" t="s">
        <v>7708</v>
      </c>
      <c r="AM29" s="1122" t="s">
        <v>7709</v>
      </c>
      <c r="AN29" s="1122"/>
      <c r="AO29" s="1123"/>
      <c r="AP29" s="112" t="s">
        <v>7710</v>
      </c>
      <c r="AQ29" s="1123"/>
      <c r="AR29" s="1123"/>
      <c r="AS29" s="1123"/>
      <c r="AT29" s="1154"/>
      <c r="AU29" s="1123"/>
      <c r="AV29" s="1123"/>
      <c r="AW29" s="1122" t="s">
        <v>1620</v>
      </c>
      <c r="AX29" s="1122" t="s">
        <v>7711</v>
      </c>
      <c r="AY29" s="1123"/>
      <c r="AZ29" s="1110"/>
      <c r="BA29" s="1213"/>
      <c r="BB29" s="1213"/>
      <c r="BC29" s="1213"/>
      <c r="BD29" s="1213"/>
      <c r="BE29" s="1239" t="s">
        <v>7712</v>
      </c>
      <c r="BF29" s="1110"/>
      <c r="BG29" s="1133" t="s">
        <v>1470</v>
      </c>
      <c r="BH29" s="1135"/>
      <c r="BI29" s="1135"/>
      <c r="BJ29" s="1192"/>
      <c r="BK29" s="1133" t="s">
        <v>7713</v>
      </c>
      <c r="BL29" s="1135"/>
      <c r="BM29" s="1133" t="s">
        <v>7714</v>
      </c>
      <c r="BN29" s="1149"/>
      <c r="BO29" s="1138" t="s">
        <v>7715</v>
      </c>
      <c r="BP29" s="1160"/>
      <c r="BQ29" s="1137"/>
      <c r="BR29" s="1137"/>
      <c r="BS29" s="1137"/>
      <c r="BT29" s="1194" t="s">
        <v>1477</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3983</v>
      </c>
      <c r="B30" s="1101" t="s">
        <v>7716</v>
      </c>
      <c r="C30" s="1102" t="s">
        <v>1260</v>
      </c>
      <c r="D30" s="1103" t="s">
        <v>1260</v>
      </c>
      <c r="E30" s="1104" t="s">
        <v>1260</v>
      </c>
      <c r="F30" s="1105" t="s">
        <v>436</v>
      </c>
      <c r="G30" s="1101" t="s">
        <v>2923</v>
      </c>
      <c r="H30" s="1107" t="s">
        <v>2302</v>
      </c>
      <c r="I30" s="1106"/>
      <c r="J30" s="1106"/>
      <c r="K30" s="1106"/>
      <c r="L30" s="1107" t="s">
        <v>6323</v>
      </c>
      <c r="M30" s="1106"/>
      <c r="N30" s="1107" t="s">
        <v>7717</v>
      </c>
      <c r="O30" s="1106"/>
      <c r="P30" s="1149"/>
      <c r="Q30" s="1111" t="s">
        <v>7718</v>
      </c>
      <c r="R30" s="1112"/>
      <c r="S30" s="1112"/>
      <c r="T30" s="1112"/>
      <c r="U30" s="1186" t="s">
        <v>7338</v>
      </c>
      <c r="V30" s="1111" t="s">
        <v>7719</v>
      </c>
      <c r="W30" s="1149"/>
      <c r="X30" s="1188"/>
      <c r="Y30" s="1188"/>
      <c r="Z30" s="1116" t="s">
        <v>7720</v>
      </c>
      <c r="AA30" s="1241"/>
      <c r="AB30" s="1116" t="s">
        <v>4778</v>
      </c>
      <c r="AC30" s="1116" t="s">
        <v>307</v>
      </c>
      <c r="AD30" s="1188"/>
      <c r="AE30" s="1116" t="s">
        <v>3168</v>
      </c>
      <c r="AF30" s="1116"/>
      <c r="AG30" s="1151" t="s">
        <v>7721</v>
      </c>
      <c r="AH30" s="1244" t="s">
        <v>7722</v>
      </c>
      <c r="AI30" s="1149"/>
      <c r="AJ30" s="1122"/>
      <c r="AK30" s="1122" t="s">
        <v>7723</v>
      </c>
      <c r="AL30" s="1122" t="s">
        <v>7724</v>
      </c>
      <c r="AM30" s="1122" t="s">
        <v>4184</v>
      </c>
      <c r="AN30" s="1122"/>
      <c r="AO30" s="1123"/>
      <c r="AP30" s="1123"/>
      <c r="AQ30" s="1123"/>
      <c r="AR30" s="1122" t="s">
        <v>7725</v>
      </c>
      <c r="AS30" s="1122" t="s">
        <v>7726</v>
      </c>
      <c r="AT30" s="1190"/>
      <c r="AU30" s="1122" t="s">
        <v>7727</v>
      </c>
      <c r="AV30" s="1122"/>
      <c r="AW30" s="1122" t="s">
        <v>769</v>
      </c>
      <c r="AX30" s="1123"/>
      <c r="AY30" s="1122" t="s">
        <v>7728</v>
      </c>
      <c r="AZ30" s="1110"/>
      <c r="BA30" s="1179"/>
      <c r="BB30" s="1179" t="s">
        <v>7729</v>
      </c>
      <c r="BC30" s="1239" t="s">
        <v>4425</v>
      </c>
      <c r="BD30" s="1179"/>
      <c r="BE30" s="1239" t="s">
        <v>7730</v>
      </c>
      <c r="BF30" s="1110"/>
      <c r="BG30" s="1133" t="s">
        <v>7731</v>
      </c>
      <c r="BH30" s="1135"/>
      <c r="BI30" s="1135"/>
      <c r="BJ30" s="1192"/>
      <c r="BK30" s="1135"/>
      <c r="BL30" s="1133" t="s">
        <v>7732</v>
      </c>
      <c r="BM30" s="1133" t="s">
        <v>7733</v>
      </c>
      <c r="BN30" s="1149"/>
      <c r="BO30" s="1138" t="s">
        <v>3388</v>
      </c>
      <c r="BP30" s="1160"/>
      <c r="BQ30" s="1137"/>
      <c r="BR30" s="1138" t="s">
        <v>7734</v>
      </c>
      <c r="BS30" s="1194" t="s">
        <v>7735</v>
      </c>
      <c r="BT30" s="1137"/>
      <c r="BU30" s="1137"/>
      <c r="BV30" s="1138" t="s">
        <v>5255</v>
      </c>
      <c r="BW30" s="1138" t="s">
        <v>4496</v>
      </c>
      <c r="BX30" s="1149"/>
      <c r="BY30" s="1143"/>
      <c r="BZ30" s="1143"/>
      <c r="CA30" s="1165"/>
      <c r="CB30" s="1165"/>
      <c r="CC30" s="1165"/>
      <c r="CD30" s="1143"/>
      <c r="CE30" s="1143"/>
      <c r="CF30" s="1142" t="s">
        <v>7736</v>
      </c>
      <c r="CG30" s="1143"/>
      <c r="CH30" s="1143"/>
      <c r="CI30" s="1168" t="s">
        <v>7737</v>
      </c>
      <c r="CJ30" s="1165"/>
      <c r="CK30" s="1165"/>
    </row>
    <row r="31">
      <c r="A31" s="1100" t="s">
        <v>2807</v>
      </c>
      <c r="B31" s="1101" t="s">
        <v>7738</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7739</v>
      </c>
      <c r="V31" s="1111" t="s">
        <v>7740</v>
      </c>
      <c r="W31" s="1149"/>
      <c r="X31" s="1188"/>
      <c r="Y31" s="1188"/>
      <c r="Z31" s="1188"/>
      <c r="AA31" s="1241"/>
      <c r="AB31" s="1116"/>
      <c r="AC31" s="1117" t="s">
        <v>7741</v>
      </c>
      <c r="AD31" s="1116" t="s">
        <v>7742</v>
      </c>
      <c r="AE31" s="1116" t="s">
        <v>4551</v>
      </c>
      <c r="AF31" s="1116"/>
      <c r="AG31" s="1188"/>
      <c r="AH31" s="1121"/>
      <c r="AI31" s="1149"/>
      <c r="AJ31" s="1123"/>
      <c r="AK31" s="1123"/>
      <c r="AL31" s="1123"/>
      <c r="AM31" s="1123"/>
      <c r="AN31" s="1123"/>
      <c r="AO31" s="1123"/>
      <c r="AP31" s="1153" t="s">
        <v>7743</v>
      </c>
      <c r="AQ31" s="1123"/>
      <c r="AR31" s="1123"/>
      <c r="AS31" s="1123"/>
      <c r="AT31" s="1154"/>
      <c r="AU31" s="1123"/>
      <c r="AV31" s="1123"/>
      <c r="AW31" s="1122" t="s">
        <v>1703</v>
      </c>
      <c r="AX31" s="1123"/>
      <c r="AY31" s="1123"/>
      <c r="AZ31" s="1110"/>
      <c r="BA31" s="1213"/>
      <c r="BB31" s="1213"/>
      <c r="BC31" s="1130" t="s">
        <v>5558</v>
      </c>
      <c r="BD31" s="1128"/>
      <c r="BE31" s="1179" t="s">
        <v>7744</v>
      </c>
      <c r="BF31" s="1110"/>
      <c r="BG31" s="1135"/>
      <c r="BH31" s="1135"/>
      <c r="BI31" s="1135"/>
      <c r="BJ31" s="1192"/>
      <c r="BK31" s="1135"/>
      <c r="BL31" s="1135"/>
      <c r="BM31" s="1135"/>
      <c r="BN31" s="1149"/>
      <c r="BO31" s="1138" t="s">
        <v>7745</v>
      </c>
      <c r="BP31" s="1160"/>
      <c r="BQ31" s="1137"/>
      <c r="BR31" s="1137"/>
      <c r="BS31" s="1137"/>
      <c r="BT31" s="1137"/>
      <c r="BU31" s="1137"/>
      <c r="BV31" s="1138" t="s">
        <v>7746</v>
      </c>
      <c r="BW31" s="1137"/>
      <c r="BX31" s="1149"/>
      <c r="BY31" s="1143"/>
      <c r="BZ31" s="1143"/>
      <c r="CA31" s="1165"/>
      <c r="CB31" s="1165"/>
      <c r="CC31" s="1165"/>
      <c r="CD31" s="1143"/>
      <c r="CE31" s="1143"/>
      <c r="CF31" s="1143"/>
      <c r="CG31" s="1143"/>
      <c r="CH31" s="1143"/>
      <c r="CI31" s="1143"/>
      <c r="CJ31" s="1165"/>
      <c r="CK31" s="1165"/>
    </row>
    <row r="32">
      <c r="A32" s="1100" t="s">
        <v>7747</v>
      </c>
      <c r="B32" s="1101" t="s">
        <v>2694</v>
      </c>
      <c r="C32" s="1102" t="s">
        <v>1260</v>
      </c>
      <c r="D32" s="1103" t="s">
        <v>1260</v>
      </c>
      <c r="E32" s="1104" t="s">
        <v>1260</v>
      </c>
      <c r="F32" s="1105" t="s">
        <v>1260</v>
      </c>
      <c r="G32" s="1101" t="s">
        <v>331</v>
      </c>
      <c r="H32" s="1106"/>
      <c r="I32" s="1106"/>
      <c r="J32" s="1107" t="s">
        <v>7748</v>
      </c>
      <c r="K32" s="1106"/>
      <c r="L32" s="1106"/>
      <c r="M32" s="1106"/>
      <c r="N32" s="1106"/>
      <c r="O32" s="1107" t="s">
        <v>7749</v>
      </c>
      <c r="P32" s="1149"/>
      <c r="Q32" s="1112"/>
      <c r="R32" s="1112"/>
      <c r="S32" s="1112"/>
      <c r="T32" s="1112"/>
      <c r="U32" s="1112"/>
      <c r="V32" s="1111" t="s">
        <v>7750</v>
      </c>
      <c r="W32" s="1149"/>
      <c r="X32" s="1188"/>
      <c r="Y32" s="1188"/>
      <c r="Z32" s="1188"/>
      <c r="AA32" s="1241"/>
      <c r="AB32" s="1188"/>
      <c r="AC32" s="1188"/>
      <c r="AD32" s="1188"/>
      <c r="AE32" s="1116" t="s">
        <v>2293</v>
      </c>
      <c r="AF32" s="1116"/>
      <c r="AG32" s="1116" t="s">
        <v>7751</v>
      </c>
      <c r="AH32" s="1121"/>
      <c r="AI32" s="1149"/>
      <c r="AJ32" s="1123"/>
      <c r="AK32" s="1123"/>
      <c r="AL32" s="1123"/>
      <c r="AM32" s="1123"/>
      <c r="AN32" s="1123"/>
      <c r="AO32" s="1123"/>
      <c r="AP32" s="1122" t="s">
        <v>7752</v>
      </c>
      <c r="AQ32" s="1123"/>
      <c r="AR32" s="1123"/>
      <c r="AS32" s="1123"/>
      <c r="AT32" s="1154"/>
      <c r="AU32" s="1123"/>
      <c r="AV32" s="1123"/>
      <c r="AW32" s="1123"/>
      <c r="AX32" s="1123"/>
      <c r="AY32" s="1123"/>
      <c r="AZ32" s="1110"/>
      <c r="BA32" s="1179" t="s">
        <v>7753</v>
      </c>
      <c r="BB32" s="1213"/>
      <c r="BC32" s="1179"/>
      <c r="BD32" s="1179"/>
      <c r="BE32" s="1179" t="s">
        <v>7754</v>
      </c>
      <c r="BF32" s="1110"/>
      <c r="BG32" s="1135"/>
      <c r="BH32" s="1135"/>
      <c r="BI32" s="1135"/>
      <c r="BJ32" s="1192"/>
      <c r="BK32" s="1135"/>
      <c r="BL32" s="1135"/>
      <c r="BM32" s="1133" t="s">
        <v>7755</v>
      </c>
      <c r="BN32" s="1149"/>
      <c r="BO32" s="1137"/>
      <c r="BP32" s="1160"/>
      <c r="BQ32" s="1137"/>
      <c r="BR32" s="1138" t="s">
        <v>2466</v>
      </c>
      <c r="BS32" s="1137"/>
      <c r="BT32" s="1137"/>
      <c r="BU32" s="1137"/>
      <c r="BV32" s="1194" t="s">
        <v>7756</v>
      </c>
      <c r="BW32" s="1138" t="s">
        <v>7757</v>
      </c>
      <c r="BX32" s="1149"/>
      <c r="BY32" s="1142" t="s">
        <v>6143</v>
      </c>
      <c r="BZ32" s="1143"/>
      <c r="CA32" s="1195"/>
      <c r="CB32" s="1195"/>
      <c r="CC32" s="1195"/>
      <c r="CD32" s="1143"/>
      <c r="CE32" s="1143"/>
      <c r="CF32" s="1143"/>
      <c r="CG32" s="1143"/>
      <c r="CH32" s="1143"/>
      <c r="CI32" s="1143"/>
      <c r="CJ32" s="1165"/>
      <c r="CK32" s="1165"/>
    </row>
    <row r="33">
      <c r="A33" s="1100" t="s">
        <v>2142</v>
      </c>
      <c r="B33" s="1101" t="s">
        <v>1353</v>
      </c>
      <c r="C33" s="1102" t="s">
        <v>545</v>
      </c>
      <c r="D33" s="1103" t="s">
        <v>1260</v>
      </c>
      <c r="E33" s="1104" t="s">
        <v>1260</v>
      </c>
      <c r="F33" s="1105" t="s">
        <v>545</v>
      </c>
      <c r="G33" s="1101" t="s">
        <v>219</v>
      </c>
      <c r="H33" s="1107"/>
      <c r="I33" s="1106"/>
      <c r="J33" s="1106"/>
      <c r="K33" s="1106"/>
      <c r="L33" s="1107" t="s">
        <v>7758</v>
      </c>
      <c r="M33" s="1106"/>
      <c r="N33" s="1107" t="s">
        <v>7759</v>
      </c>
      <c r="O33" s="1107"/>
      <c r="P33" s="1149"/>
      <c r="Q33" s="1111" t="s">
        <v>7760</v>
      </c>
      <c r="R33" s="1112"/>
      <c r="S33" s="1112"/>
      <c r="T33" s="1112"/>
      <c r="U33" s="1112"/>
      <c r="V33" s="1111" t="s">
        <v>7761</v>
      </c>
      <c r="W33" s="1149"/>
      <c r="X33" s="1188"/>
      <c r="Y33" s="1188"/>
      <c r="Z33" s="1116" t="s">
        <v>7762</v>
      </c>
      <c r="AA33" s="1116" t="s">
        <v>7763</v>
      </c>
      <c r="AB33" s="1116" t="s">
        <v>3977</v>
      </c>
      <c r="AC33" s="1116" t="s">
        <v>7764</v>
      </c>
      <c r="AD33" s="1188"/>
      <c r="AE33" s="1116" t="s">
        <v>2563</v>
      </c>
      <c r="AF33" s="1116"/>
      <c r="AG33" s="1188"/>
      <c r="AH33" s="1244" t="s">
        <v>7765</v>
      </c>
      <c r="AI33" s="1149"/>
      <c r="AJ33" s="1123"/>
      <c r="AK33" s="1123"/>
      <c r="AL33" s="1123"/>
      <c r="AM33" s="1123"/>
      <c r="AN33" s="1123"/>
      <c r="AO33" s="1123"/>
      <c r="AP33" s="1122" t="s">
        <v>7766</v>
      </c>
      <c r="AQ33" s="1123"/>
      <c r="AR33" s="1123"/>
      <c r="AS33" s="1123"/>
      <c r="AT33" s="1154"/>
      <c r="AU33" s="1123"/>
      <c r="AV33" s="1123"/>
      <c r="AW33" s="1122" t="s">
        <v>432</v>
      </c>
      <c r="AX33" s="1123"/>
      <c r="AY33" s="1122" t="s">
        <v>7767</v>
      </c>
      <c r="AZ33" s="1110"/>
      <c r="BA33" s="1179" t="s">
        <v>7768</v>
      </c>
      <c r="BB33" s="1179" t="s">
        <v>7769</v>
      </c>
      <c r="BC33" s="1213"/>
      <c r="BD33" s="1213"/>
      <c r="BE33" s="1179" t="s">
        <v>7770</v>
      </c>
      <c r="BF33" s="1110"/>
      <c r="BG33" s="1135"/>
      <c r="BH33" s="1135"/>
      <c r="BI33" s="1135"/>
      <c r="BJ33" s="1192"/>
      <c r="BK33" s="1135"/>
      <c r="BL33" s="1158" t="s">
        <v>7771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6130</v>
      </c>
      <c r="H34" s="1107" t="s">
        <v>7772</v>
      </c>
      <c r="I34" s="1106"/>
      <c r="J34" s="1106"/>
      <c r="K34" s="1106"/>
      <c r="L34" s="1106"/>
      <c r="M34" s="1106"/>
      <c r="N34" s="1106"/>
      <c r="O34" s="1106"/>
      <c r="P34" s="1149"/>
      <c r="Q34" s="1112"/>
      <c r="R34" s="1112"/>
      <c r="S34" s="1111" t="s">
        <v>1027</v>
      </c>
      <c r="T34" s="1111" t="s">
        <v>1971</v>
      </c>
      <c r="U34" s="1111" t="s">
        <v>4548</v>
      </c>
      <c r="V34" s="1111" t="s">
        <v>7773</v>
      </c>
      <c r="W34" s="1149"/>
      <c r="X34" s="1116" t="s">
        <v>1669</v>
      </c>
      <c r="Y34" s="1188"/>
      <c r="Z34" s="1188"/>
      <c r="AA34" s="1241"/>
      <c r="AB34" s="1188"/>
      <c r="AC34" s="1188"/>
      <c r="AD34" s="1188"/>
      <c r="AE34" s="1188"/>
      <c r="AF34" s="1116"/>
      <c r="AG34" s="1188"/>
      <c r="AH34" s="1121"/>
      <c r="AI34" s="1149"/>
      <c r="AJ34" s="1123"/>
      <c r="AK34" s="1123"/>
      <c r="AL34" s="1123"/>
      <c r="AM34" s="1122" t="s">
        <v>7774</v>
      </c>
      <c r="AN34" s="1123"/>
      <c r="AO34" s="1123"/>
      <c r="AP34" s="1122" t="s">
        <v>7775</v>
      </c>
      <c r="AQ34" s="1123"/>
      <c r="AR34" s="1127" t="s">
        <v>7776</v>
      </c>
      <c r="AS34" s="1123"/>
      <c r="AT34" s="1154"/>
      <c r="AU34" s="1123"/>
      <c r="AV34" s="1123"/>
      <c r="AW34" s="1122" t="s">
        <v>1440</v>
      </c>
      <c r="AX34" s="1123"/>
      <c r="AY34" s="1123"/>
      <c r="AZ34" s="1110"/>
      <c r="BA34" s="1213"/>
      <c r="BB34" s="1179" t="s">
        <v>7777</v>
      </c>
      <c r="BC34" s="1179" t="s">
        <v>419</v>
      </c>
      <c r="BD34" s="1179"/>
      <c r="BE34" s="1179" t="s">
        <v>7778</v>
      </c>
      <c r="BF34" s="1110"/>
      <c r="BG34" s="1135"/>
      <c r="BH34" s="1135"/>
      <c r="BI34" s="1135"/>
      <c r="BJ34" s="1192"/>
      <c r="BK34" s="1135"/>
      <c r="BL34" s="1135"/>
      <c r="BM34" s="1135"/>
      <c r="BN34" s="1149"/>
      <c r="BO34" s="1139" t="s">
        <v>7779</v>
      </c>
      <c r="BP34" s="1160"/>
      <c r="BQ34" s="1139" t="s">
        <v>1037</v>
      </c>
      <c r="BR34" s="1137"/>
      <c r="BS34" s="1137"/>
      <c r="BT34" s="1137"/>
      <c r="BU34" s="1137"/>
      <c r="BV34" s="1138" t="s">
        <v>7780</v>
      </c>
      <c r="BW34" s="1138" t="s">
        <v>7781</v>
      </c>
      <c r="BX34" s="1149"/>
      <c r="BY34" s="1143"/>
      <c r="BZ34" s="1168" t="s">
        <v>6514</v>
      </c>
      <c r="CA34" s="1165"/>
      <c r="CB34" s="1165"/>
      <c r="CC34" s="1165"/>
      <c r="CD34" s="1143"/>
      <c r="CE34" s="1143"/>
      <c r="CF34" s="1143"/>
      <c r="CG34" s="1143"/>
      <c r="CH34" s="1143"/>
      <c r="CI34" s="1143"/>
      <c r="CJ34" s="1165"/>
      <c r="CK34" s="1165"/>
    </row>
    <row r="35">
      <c r="A35" s="1267" t="s">
        <v>3216</v>
      </c>
      <c r="B35" s="1101" t="s">
        <v>3524</v>
      </c>
      <c r="C35" s="1102" t="s">
        <v>545</v>
      </c>
      <c r="D35" s="1103" t="s">
        <v>1260</v>
      </c>
      <c r="E35" s="1104" t="s">
        <v>1260</v>
      </c>
      <c r="F35" s="1105" t="s">
        <v>438</v>
      </c>
      <c r="G35" s="1101" t="s">
        <v>989</v>
      </c>
      <c r="H35" s="1107" t="s">
        <v>926</v>
      </c>
      <c r="I35" s="1106"/>
      <c r="J35" s="1106"/>
      <c r="K35" s="1106"/>
      <c r="L35" s="1106"/>
      <c r="M35" s="1106"/>
      <c r="N35" s="1170" t="s">
        <v>7782</v>
      </c>
      <c r="O35" s="1106"/>
      <c r="P35" s="1149"/>
      <c r="Q35" s="1112"/>
      <c r="R35" s="1112"/>
      <c r="S35" s="1219" t="s">
        <v>2782</v>
      </c>
      <c r="T35" s="1112"/>
      <c r="U35" s="1112"/>
      <c r="V35" s="1111" t="s">
        <v>7783</v>
      </c>
      <c r="W35" s="1149"/>
      <c r="X35" s="1188"/>
      <c r="Y35" s="1188"/>
      <c r="Z35" s="1116" t="s">
        <v>7555</v>
      </c>
      <c r="AA35" s="1187" t="s">
        <v>606</v>
      </c>
      <c r="AB35" s="1188"/>
      <c r="AC35" s="1188"/>
      <c r="AD35" s="1116" t="s">
        <v>4865</v>
      </c>
      <c r="AE35" s="1116" t="s">
        <v>749</v>
      </c>
      <c r="AF35" s="1188"/>
      <c r="AG35" s="1188"/>
      <c r="AH35" s="1248" t="s">
        <v>7784</v>
      </c>
      <c r="AI35" s="1149"/>
      <c r="AJ35" s="1123"/>
      <c r="AK35" s="1123"/>
      <c r="AL35" s="1123"/>
      <c r="AM35" s="1122" t="s">
        <v>7785</v>
      </c>
      <c r="AN35" s="1123"/>
      <c r="AO35" s="1123"/>
      <c r="AP35" s="1123"/>
      <c r="AQ35" s="1123"/>
      <c r="AR35" s="1123"/>
      <c r="AS35" s="1123"/>
      <c r="AT35" s="1154"/>
      <c r="AU35" s="1123"/>
      <c r="AV35" s="1123"/>
      <c r="AW35" s="1123"/>
      <c r="AX35" s="1123"/>
      <c r="AY35" s="1122" t="s">
        <v>7786</v>
      </c>
      <c r="AZ35" s="1110"/>
      <c r="BA35" s="1213"/>
      <c r="BB35" s="1213"/>
      <c r="BC35" s="1213"/>
      <c r="BD35" s="1179" t="s">
        <v>7787</v>
      </c>
      <c r="BE35" s="1179" t="s">
        <v>7788</v>
      </c>
      <c r="BF35" s="1110"/>
      <c r="BG35" s="1133" t="s">
        <v>1396</v>
      </c>
      <c r="BH35" s="1135"/>
      <c r="BI35" s="1135"/>
      <c r="BJ35" s="1192"/>
      <c r="BK35" s="1135"/>
      <c r="BL35" s="1133" t="s">
        <v>7789</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6177</v>
      </c>
      <c r="B36" s="1101" t="s">
        <v>1065</v>
      </c>
      <c r="C36" s="1102" t="s">
        <v>1260</v>
      </c>
      <c r="D36" s="1103" t="s">
        <v>1260</v>
      </c>
      <c r="E36" s="1104" t="s">
        <v>1260</v>
      </c>
      <c r="F36" s="1105" t="s">
        <v>1260</v>
      </c>
      <c r="G36" s="1101" t="s">
        <v>2693</v>
      </c>
      <c r="H36" s="1106"/>
      <c r="I36" s="1106"/>
      <c r="J36" s="1106"/>
      <c r="K36" s="1106"/>
      <c r="L36" s="1107" t="s">
        <v>7790</v>
      </c>
      <c r="M36" s="1106"/>
      <c r="N36" s="1107" t="s">
        <v>7791</v>
      </c>
      <c r="O36" s="1106"/>
      <c r="P36" s="1149"/>
      <c r="Q36" s="1112"/>
      <c r="R36" s="1112"/>
      <c r="S36" s="1112"/>
      <c r="T36" s="1112"/>
      <c r="U36" s="1111" t="s">
        <v>4497</v>
      </c>
      <c r="V36" s="1111" t="s">
        <v>7792</v>
      </c>
      <c r="W36" s="1149"/>
      <c r="X36" s="1188"/>
      <c r="Y36" s="1188"/>
      <c r="Z36" s="1116" t="s">
        <v>7793</v>
      </c>
      <c r="AA36" s="1241"/>
      <c r="AB36" s="1188"/>
      <c r="AC36" s="1188"/>
      <c r="AD36" s="1116" t="s">
        <v>1416</v>
      </c>
      <c r="AE36" s="1116" t="s">
        <v>2901</v>
      </c>
      <c r="AF36" s="1116"/>
      <c r="AG36" s="1188"/>
      <c r="AH36" s="1244" t="s">
        <v>7794</v>
      </c>
      <c r="AI36" s="1149"/>
      <c r="AJ36" s="1123"/>
      <c r="AK36" s="1123"/>
      <c r="AL36" s="1123"/>
      <c r="AM36" s="1122" t="s">
        <v>2858</v>
      </c>
      <c r="AN36" s="1123"/>
      <c r="AO36" s="1123"/>
      <c r="AP36" s="1123"/>
      <c r="AQ36" s="1123"/>
      <c r="AR36" s="1123"/>
      <c r="AS36" s="1123"/>
      <c r="AT36" s="1154"/>
      <c r="AU36" s="1123"/>
      <c r="AV36" s="1123"/>
      <c r="AW36" s="1122" t="s">
        <v>1284</v>
      </c>
      <c r="AX36" s="1123"/>
      <c r="AY36" s="1123"/>
      <c r="AZ36" s="1110"/>
      <c r="BA36" s="1213"/>
      <c r="BB36" s="1213"/>
      <c r="BC36" s="1213"/>
      <c r="BD36" s="1213"/>
      <c r="BE36" s="1179" t="s">
        <v>7795</v>
      </c>
      <c r="BF36" s="1110"/>
      <c r="BG36" s="1133" t="s">
        <v>7796</v>
      </c>
      <c r="BH36" s="1133" t="s">
        <v>2932</v>
      </c>
      <c r="BI36" s="1135"/>
      <c r="BJ36" s="1192"/>
      <c r="BK36" s="1135"/>
      <c r="BL36" s="1133" t="s">
        <v>7797</v>
      </c>
      <c r="BM36" s="1135"/>
      <c r="BN36" s="1149"/>
      <c r="BO36" s="1138" t="s">
        <v>1829</v>
      </c>
      <c r="BP36" s="1160"/>
      <c r="BQ36" s="1137"/>
      <c r="BR36" s="1137"/>
      <c r="BS36" s="1137"/>
      <c r="BT36" s="1138" t="s">
        <v>4316</v>
      </c>
      <c r="BU36" s="1137"/>
      <c r="BV36" s="1138" t="s">
        <v>7798</v>
      </c>
      <c r="BW36" s="1138" t="s">
        <v>7799</v>
      </c>
      <c r="BX36" s="1149"/>
      <c r="BY36" s="1143"/>
      <c r="BZ36" s="1143"/>
      <c r="CA36" s="1165"/>
      <c r="CB36" s="1165"/>
      <c r="CC36" s="1165"/>
      <c r="CD36" s="1143"/>
      <c r="CE36" s="1143"/>
      <c r="CF36" s="1143"/>
      <c r="CG36" s="1143"/>
      <c r="CH36" s="1195" t="s">
        <v>5936</v>
      </c>
      <c r="CI36" s="1143"/>
      <c r="CJ36" s="1165"/>
      <c r="CK36" s="1165"/>
    </row>
    <row r="37">
      <c r="A37" s="1100" t="s">
        <v>5403</v>
      </c>
      <c r="B37" s="1101" t="s">
        <v>2079</v>
      </c>
      <c r="C37" s="1102" t="s">
        <v>1260</v>
      </c>
      <c r="D37" s="1103" t="s">
        <v>1260</v>
      </c>
      <c r="E37" s="1104" t="s">
        <v>1260</v>
      </c>
      <c r="F37" s="1105" t="s">
        <v>545</v>
      </c>
      <c r="G37" s="1101" t="s">
        <v>331</v>
      </c>
      <c r="H37" s="1106"/>
      <c r="I37" s="1106"/>
      <c r="J37" s="1106"/>
      <c r="K37" s="1106"/>
      <c r="L37" s="1221" t="s">
        <v>288</v>
      </c>
      <c r="M37" s="1106"/>
      <c r="N37" s="1107" t="s">
        <v>7800</v>
      </c>
      <c r="O37" s="1106"/>
      <c r="P37" s="1149"/>
      <c r="Q37" s="1112"/>
      <c r="R37" s="1112"/>
      <c r="S37" s="1111" t="s">
        <v>7801</v>
      </c>
      <c r="T37" s="1112"/>
      <c r="U37" s="1112"/>
      <c r="V37" s="1112"/>
      <c r="W37" s="1149"/>
      <c r="X37" s="1188"/>
      <c r="Y37" s="1188"/>
      <c r="Z37" s="1188"/>
      <c r="AA37" s="1247" t="s">
        <v>6772</v>
      </c>
      <c r="AB37" s="1176" t="s">
        <v>7802</v>
      </c>
      <c r="AC37" s="1188"/>
      <c r="AD37" s="1188"/>
      <c r="AE37" s="1188"/>
      <c r="AF37" s="1188"/>
      <c r="AG37" s="1188"/>
      <c r="AH37" s="1244" t="s">
        <v>7803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7804</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7805</v>
      </c>
      <c r="BX37" s="1149"/>
      <c r="BY37" s="1143"/>
      <c r="BZ37" s="1245" t="s">
        <v>2696</v>
      </c>
      <c r="CA37" s="1165"/>
      <c r="CB37" s="1165"/>
      <c r="CC37" s="1165"/>
      <c r="CD37" s="1143"/>
      <c r="CE37" s="1143"/>
      <c r="CF37" s="1142" t="s">
        <v>7806</v>
      </c>
      <c r="CG37" s="1143"/>
      <c r="CH37" s="1143"/>
      <c r="CI37" s="1168" t="s">
        <v>4950</v>
      </c>
      <c r="CJ37" s="1165"/>
      <c r="CK37" s="1165"/>
    </row>
    <row r="38">
      <c r="A38" s="1100" t="s">
        <v>7807</v>
      </c>
      <c r="B38" s="1101" t="s">
        <v>7808</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7809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7810</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1162</v>
      </c>
      <c r="Y39" s="860" t="s">
        <v>7811</v>
      </c>
      <c r="Z39" s="860"/>
      <c r="AA39" s="860"/>
      <c r="AB39" s="836" t="s">
        <v>5089</v>
      </c>
      <c r="AC39" s="860"/>
      <c r="AD39" s="1271"/>
      <c r="AE39" s="1271"/>
      <c r="AF39" s="1271"/>
      <c r="AG39" s="836" t="s">
        <v>7812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2078</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6031</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1260</v>
      </c>
      <c r="D41" s="1103" t="s">
        <v>1260</v>
      </c>
      <c r="E41" s="1104" t="s">
        <v>1260</v>
      </c>
      <c r="F41" s="1105" t="s">
        <v>1260</v>
      </c>
      <c r="G41" s="1101" t="s">
        <v>914</v>
      </c>
      <c r="H41" s="1106"/>
      <c r="I41" s="1106"/>
      <c r="J41" s="1107" t="s">
        <v>7814</v>
      </c>
      <c r="K41" s="1107"/>
      <c r="L41" s="1107"/>
      <c r="M41" s="1107" t="s">
        <v>7815</v>
      </c>
      <c r="N41" s="1106"/>
      <c r="O41" s="1107" t="s">
        <v>7816</v>
      </c>
      <c r="P41" s="1149"/>
      <c r="Q41" s="1112"/>
      <c r="R41" s="1111" t="s">
        <v>7101</v>
      </c>
      <c r="S41" s="1112"/>
      <c r="T41" s="1112"/>
      <c r="U41" s="1112"/>
      <c r="V41" s="1111" t="s">
        <v>7817</v>
      </c>
      <c r="W41" s="1149"/>
      <c r="X41" s="1188"/>
      <c r="Y41" s="1188"/>
      <c r="Z41" s="1188"/>
      <c r="AA41" s="1247" t="s">
        <v>7818</v>
      </c>
      <c r="AB41" s="1116" t="s">
        <v>7819</v>
      </c>
      <c r="AC41" s="1188"/>
      <c r="AD41" s="1188"/>
      <c r="AE41" s="1188"/>
      <c r="AF41" s="1188"/>
      <c r="AG41" s="1116" t="s">
        <v>7820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7821</v>
      </c>
      <c r="BF41" s="1110"/>
      <c r="BG41" s="1135"/>
      <c r="BH41" s="1135"/>
      <c r="BI41" s="1135"/>
      <c r="BJ41" s="1192"/>
      <c r="BK41" s="1135"/>
      <c r="BL41" s="1135"/>
      <c r="BM41" s="1133" t="s">
        <v>7822</v>
      </c>
      <c r="BN41" s="1149"/>
      <c r="BO41" s="1137"/>
      <c r="BP41" s="1160"/>
      <c r="BQ41" s="1137"/>
      <c r="BR41" s="1137"/>
      <c r="BS41" s="1137"/>
      <c r="BT41" s="1137"/>
      <c r="BU41" s="1137"/>
      <c r="BV41" s="1138" t="s">
        <v>7304</v>
      </c>
      <c r="BW41" s="1138" t="s">
        <v>7823</v>
      </c>
      <c r="BX41" s="1149"/>
      <c r="BY41" s="1143"/>
      <c r="BZ41" s="1143"/>
      <c r="CA41" s="1165"/>
      <c r="CB41" s="1165"/>
      <c r="CC41" s="1165"/>
      <c r="CD41" s="1143"/>
      <c r="CE41" s="1143"/>
      <c r="CF41" s="1143"/>
      <c r="CG41" s="1143"/>
      <c r="CH41" s="1143"/>
      <c r="CI41" s="1143"/>
      <c r="CJ41" s="1165"/>
      <c r="CK41" s="1165"/>
    </row>
    <row r="42">
      <c r="A42" s="1274" t="s">
        <v>5372</v>
      </c>
      <c r="B42" s="1101" t="s">
        <v>5115</v>
      </c>
      <c r="C42" s="1102" t="s">
        <v>1260</v>
      </c>
      <c r="D42" s="1103" t="s">
        <v>1260</v>
      </c>
      <c r="E42" s="1104" t="s">
        <v>1260</v>
      </c>
      <c r="F42" s="1105" t="s">
        <v>330</v>
      </c>
      <c r="G42" s="1101" t="s">
        <v>331</v>
      </c>
      <c r="H42" s="1107" t="s">
        <v>2051</v>
      </c>
      <c r="I42" s="1107"/>
      <c r="J42" s="1106"/>
      <c r="K42" s="1106"/>
      <c r="L42" s="1107" t="s">
        <v>7824</v>
      </c>
      <c r="M42" s="1106"/>
      <c r="N42" s="1170" t="s">
        <v>7825</v>
      </c>
      <c r="O42" s="1106"/>
      <c r="P42" s="1149"/>
      <c r="Q42" s="1111" t="s">
        <v>7826</v>
      </c>
      <c r="R42" s="1112"/>
      <c r="S42" s="1112"/>
      <c r="T42" s="1112"/>
      <c r="U42" s="1112"/>
      <c r="V42" s="1111" t="s">
        <v>7827</v>
      </c>
      <c r="W42" s="1149"/>
      <c r="X42" s="1188"/>
      <c r="Y42" s="1188"/>
      <c r="Z42" s="1188"/>
      <c r="AA42" s="1241"/>
      <c r="AB42" s="1188"/>
      <c r="AC42" s="1188"/>
      <c r="AD42" s="1188"/>
      <c r="AE42" s="1188"/>
      <c r="AF42" s="1188"/>
      <c r="AG42" s="1188"/>
      <c r="AH42" s="1244" t="s">
        <v>7828</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7829</v>
      </c>
      <c r="BD42" s="1179"/>
      <c r="BE42" s="1179" t="s">
        <v>7830</v>
      </c>
      <c r="BF42" s="1110"/>
      <c r="BG42" s="1135"/>
      <c r="BH42" s="1135"/>
      <c r="BI42" s="1135"/>
      <c r="BJ42" s="1192"/>
      <c r="BK42" s="1135"/>
      <c r="BL42" s="1135"/>
      <c r="BM42" s="1135"/>
      <c r="BN42" s="1149"/>
      <c r="BO42" s="1137"/>
      <c r="BP42" s="1160"/>
      <c r="BQ42" s="1138" t="s">
        <v>3563</v>
      </c>
      <c r="BR42" s="1137"/>
      <c r="BS42" s="1137"/>
      <c r="BT42" s="1137"/>
      <c r="BU42" s="1139" t="s">
        <v>7831</v>
      </c>
      <c r="BV42" s="1137"/>
      <c r="BW42" s="1138" t="s">
        <v>7832</v>
      </c>
      <c r="BX42" s="1149"/>
      <c r="BY42" s="1143"/>
      <c r="BZ42" s="1143"/>
      <c r="CA42" s="1165"/>
      <c r="CB42" s="1165"/>
      <c r="CC42" s="1165"/>
      <c r="CD42" s="1143"/>
      <c r="CE42" s="1143"/>
      <c r="CF42" s="1143"/>
      <c r="CG42" s="1143"/>
      <c r="CH42" s="1143"/>
      <c r="CI42" s="1168" t="s">
        <v>7833</v>
      </c>
      <c r="CJ42" s="1165"/>
      <c r="CK42" s="1165"/>
    </row>
    <row r="43">
      <c r="A43" s="1100" t="s">
        <v>5839</v>
      </c>
      <c r="B43" s="1101" t="s">
        <v>2923</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7834</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1260</v>
      </c>
      <c r="D44" s="1103" t="s">
        <v>1260</v>
      </c>
      <c r="E44" s="1104" t="s">
        <v>1260</v>
      </c>
      <c r="F44" s="1105" t="s">
        <v>1260</v>
      </c>
      <c r="G44" s="1101" t="s">
        <v>330</v>
      </c>
      <c r="H44" s="1106"/>
      <c r="I44" s="1106"/>
      <c r="J44" s="1106"/>
      <c r="K44" s="1106"/>
      <c r="L44" s="1275" t="s">
        <v>7835</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7836</v>
      </c>
      <c r="BF44" s="1110"/>
      <c r="BG44" s="1229" t="s">
        <v>7837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6482</v>
      </c>
      <c r="B45" s="1101" t="s">
        <v>6073</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6073</v>
      </c>
      <c r="C46" s="1102" t="s">
        <v>1260</v>
      </c>
      <c r="D46" s="1103" t="s">
        <v>1260</v>
      </c>
      <c r="E46" s="1104" t="s">
        <v>1260</v>
      </c>
      <c r="F46" s="1105" t="s">
        <v>1260</v>
      </c>
      <c r="G46" s="1101" t="s">
        <v>988</v>
      </c>
      <c r="H46" s="1106"/>
      <c r="I46" s="1106"/>
      <c r="J46" s="1106"/>
      <c r="K46" s="1106"/>
      <c r="L46" s="1107" t="s">
        <v>4755</v>
      </c>
      <c r="M46" s="1106"/>
      <c r="N46" s="1107" t="s">
        <v>7838</v>
      </c>
      <c r="O46" s="1106"/>
      <c r="P46" s="1149"/>
      <c r="Q46" s="1112"/>
      <c r="R46" s="1112"/>
      <c r="S46" s="1112"/>
      <c r="T46" s="1112"/>
      <c r="U46" s="1111"/>
      <c r="V46" s="1111" t="s">
        <v>7839</v>
      </c>
      <c r="W46" s="1149"/>
      <c r="X46" s="1188"/>
      <c r="Y46" s="1188"/>
      <c r="Z46" s="1174" t="s">
        <v>7840</v>
      </c>
      <c r="AA46" s="1241"/>
      <c r="AB46" s="1116" t="s">
        <v>816</v>
      </c>
      <c r="AC46" s="1188"/>
      <c r="AD46" s="1188"/>
      <c r="AE46" s="1188"/>
      <c r="AF46" s="1188"/>
      <c r="AG46" s="1116" t="s">
        <v>7841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7842</v>
      </c>
      <c r="BF46" s="1110"/>
      <c r="BG46" s="1135"/>
      <c r="BH46" s="1135"/>
      <c r="BI46" s="1135"/>
      <c r="BJ46" s="1192"/>
      <c r="BK46" s="1135"/>
      <c r="BL46" s="1135"/>
      <c r="BM46" s="1135"/>
      <c r="BN46" s="1149"/>
      <c r="BO46" s="1138" t="s">
        <v>7843</v>
      </c>
      <c r="BP46" s="1160"/>
      <c r="BQ46" s="1137"/>
      <c r="BR46" s="1137"/>
      <c r="BS46" s="1137"/>
      <c r="BT46" s="1137"/>
      <c r="BU46" s="1137"/>
      <c r="BV46" s="1137"/>
      <c r="BW46" s="1194" t="s">
        <v>7844</v>
      </c>
      <c r="BX46" s="1149"/>
      <c r="BY46" s="1143"/>
      <c r="BZ46" s="1143"/>
      <c r="CA46" s="1165"/>
      <c r="CB46" s="1165"/>
      <c r="CC46" s="1165"/>
      <c r="CD46" s="1143"/>
      <c r="CE46" s="1143"/>
      <c r="CF46" s="1143"/>
      <c r="CG46" s="1143"/>
      <c r="CH46" s="1143"/>
      <c r="CI46" s="1143"/>
      <c r="CJ46" s="1165"/>
      <c r="CK46" s="1165"/>
    </row>
    <row r="47">
      <c r="A47" s="1100" t="s">
        <v>6483</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7845</v>
      </c>
      <c r="W47" s="1149"/>
      <c r="X47" s="1188"/>
      <c r="Y47" s="1188"/>
      <c r="Z47" s="1188"/>
      <c r="AA47" s="1241"/>
      <c r="AB47" s="1188"/>
      <c r="AC47" s="1188"/>
      <c r="AD47" s="1188"/>
      <c r="AE47" s="1188"/>
      <c r="AF47" s="1188"/>
      <c r="AG47" s="1188"/>
      <c r="AH47" s="1244" t="s">
        <v>7846</v>
      </c>
      <c r="AI47" s="1149"/>
      <c r="AJ47" s="1123"/>
      <c r="AK47" s="1123"/>
      <c r="AL47" s="1123"/>
      <c r="AM47" s="1123"/>
      <c r="AN47" s="1123"/>
      <c r="AO47" s="1123"/>
      <c r="AP47" s="1123"/>
      <c r="AQ47" s="1123"/>
      <c r="AR47" s="1123"/>
      <c r="AS47" s="1123"/>
      <c r="AT47" s="1154"/>
      <c r="AU47" s="1123"/>
      <c r="AV47" s="1123"/>
      <c r="AW47" s="1123"/>
      <c r="AX47" s="1123"/>
      <c r="AY47" s="1244" t="s">
        <v>7847</v>
      </c>
      <c r="AZ47" s="1110"/>
      <c r="BA47" s="1213"/>
      <c r="BB47" s="1213"/>
      <c r="BC47" s="1213"/>
      <c r="BD47" s="1213"/>
      <c r="BE47" s="1244" t="s">
        <v>7848</v>
      </c>
      <c r="BF47" s="1110"/>
      <c r="BG47" s="1135"/>
      <c r="BH47" s="1135"/>
      <c r="BI47" s="1135"/>
      <c r="BJ47" s="1192"/>
      <c r="BK47" s="1135"/>
      <c r="BL47" s="1244" t="s">
        <v>7849</v>
      </c>
      <c r="BM47" s="1133"/>
      <c r="BN47" s="1149"/>
      <c r="BO47" s="1137"/>
      <c r="BP47" s="1160"/>
      <c r="BQ47" s="1137"/>
      <c r="BR47" s="1137"/>
      <c r="BS47" s="1137"/>
      <c r="BT47" s="1137"/>
      <c r="BU47" s="1137"/>
      <c r="BV47" s="1137"/>
      <c r="BW47" s="1244" t="s">
        <v>7850</v>
      </c>
      <c r="BX47" s="1149"/>
      <c r="BY47" s="1143"/>
      <c r="BZ47" s="1143"/>
      <c r="CA47" s="1165"/>
      <c r="CB47" s="1165"/>
      <c r="CC47" s="1165"/>
      <c r="CD47" s="1143"/>
      <c r="CE47" s="1143"/>
      <c r="CF47" s="1143"/>
      <c r="CG47" s="1143"/>
      <c r="CH47" s="1143"/>
      <c r="CI47" s="1143"/>
      <c r="CJ47" s="1165"/>
      <c r="CK47" s="1165"/>
    </row>
    <row r="48">
      <c r="A48" s="1253" t="s">
        <v>7851</v>
      </c>
      <c r="B48" s="1101" t="s">
        <v>1202</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7852</v>
      </c>
      <c r="AA48" s="1188"/>
      <c r="AB48" s="1208" t="s">
        <v>7853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7854</v>
      </c>
      <c r="B49" s="1101" t="s">
        <v>3314</v>
      </c>
      <c r="C49" s="1102" t="s">
        <v>1260</v>
      </c>
      <c r="D49" s="1103" t="s">
        <v>1260</v>
      </c>
      <c r="E49" s="1104" t="s">
        <v>1260</v>
      </c>
      <c r="F49" s="1105" t="s">
        <v>1260</v>
      </c>
      <c r="G49" s="1101" t="s">
        <v>330</v>
      </c>
      <c r="H49" s="1106"/>
      <c r="I49" s="1106"/>
      <c r="J49" s="1106"/>
      <c r="K49" s="1106"/>
      <c r="L49" s="1106"/>
      <c r="M49" s="1106"/>
      <c r="N49" s="1107" t="s">
        <v>7855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7856</v>
      </c>
      <c r="BF49" s="1110"/>
      <c r="BG49" s="1135"/>
      <c r="BH49" s="1135"/>
      <c r="BI49" s="1135"/>
      <c r="BJ49" s="1192"/>
      <c r="BK49" s="1135"/>
      <c r="BL49" s="1135"/>
      <c r="BM49" s="1135"/>
      <c r="BN49" s="1149"/>
      <c r="BO49" s="1137"/>
      <c r="BP49" s="1160"/>
      <c r="BQ49" s="1137"/>
      <c r="BR49" s="1137"/>
      <c r="BS49" s="1137"/>
      <c r="BT49" s="1137"/>
      <c r="BU49" s="1137"/>
      <c r="BV49" s="1137"/>
      <c r="BW49" s="1138" t="s">
        <v>7857</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7859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6278</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1116</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7860</v>
      </c>
      <c r="B53" s="1101" t="s">
        <v>1063</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7862</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7863</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6049</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7864</v>
      </c>
      <c r="W56" s="1149"/>
      <c r="X56" s="1188"/>
      <c r="Y56" s="1188"/>
      <c r="Z56" s="1188"/>
      <c r="AA56" s="1241"/>
      <c r="AB56" s="1188"/>
      <c r="AC56" s="1188"/>
      <c r="AD56" s="1188"/>
      <c r="AE56" s="1188"/>
      <c r="AF56" s="1188"/>
      <c r="AG56" s="1188"/>
      <c r="AH56" s="1244" t="s">
        <v>7865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6090</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7867</v>
      </c>
      <c r="B58" s="1101" t="s">
        <v>330</v>
      </c>
      <c r="C58" s="1102" t="s">
        <v>1260</v>
      </c>
      <c r="D58" s="1103" t="s">
        <v>1260</v>
      </c>
      <c r="E58" s="1104" t="s">
        <v>1260</v>
      </c>
      <c r="F58" s="1105" t="s">
        <v>436</v>
      </c>
      <c r="G58" s="1101" t="s">
        <v>436</v>
      </c>
      <c r="H58" s="1106"/>
      <c r="I58" s="1106"/>
      <c r="J58" s="1106"/>
      <c r="K58" s="1106"/>
      <c r="L58" s="1170" t="s">
        <v>7868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7869</v>
      </c>
      <c r="B59" s="1101" t="s">
        <v>545</v>
      </c>
      <c r="C59" s="1102" t="s">
        <v>1260</v>
      </c>
      <c r="D59" s="1103" t="s">
        <v>1260</v>
      </c>
      <c r="E59" s="1104" t="s">
        <v>1260</v>
      </c>
      <c r="F59" s="1105" t="s">
        <v>1260</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7870</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7871</v>
      </c>
      <c r="H2" s="1288" t="s">
        <v>7872</v>
      </c>
      <c r="I2" s="1289"/>
      <c r="J2" s="1289"/>
      <c r="K2" s="1290" t="s">
        <v>7873</v>
      </c>
      <c r="L2" s="1290" t="s">
        <v>7874</v>
      </c>
      <c r="M2" s="1290" t="s">
        <v>7875</v>
      </c>
      <c r="N2" s="1291" t="s">
        <v>54</v>
      </c>
      <c r="O2" s="1291"/>
      <c r="P2" s="1291"/>
      <c r="Q2" s="42" t="s">
        <v>48</v>
      </c>
      <c r="R2" s="42" t="s">
        <v>7876</v>
      </c>
      <c r="S2" s="42"/>
      <c r="T2" s="44" t="s">
        <v>50</v>
      </c>
      <c r="U2" s="44" t="s">
        <v>54</v>
      </c>
      <c r="V2" s="44" t="s">
        <v>62</v>
      </c>
      <c r="W2" s="45" t="s">
        <v>52</v>
      </c>
      <c r="X2" s="45"/>
      <c r="Y2" s="45"/>
      <c r="Z2" s="47" t="s">
        <v>51</v>
      </c>
      <c r="AA2" s="1292" t="s">
        <v>7877</v>
      </c>
      <c r="AB2" s="47"/>
      <c r="AC2" s="1293" t="s">
        <v>7878</v>
      </c>
      <c r="AD2" s="1293"/>
      <c r="AE2" s="1293"/>
      <c r="AF2" s="1294"/>
      <c r="AG2" s="1294"/>
    </row>
    <row r="3">
      <c r="A3" s="1295" t="s">
        <v>4231</v>
      </c>
      <c r="B3" s="1296" t="s">
        <v>6130</v>
      </c>
      <c r="C3" s="1297" t="s">
        <v>545</v>
      </c>
      <c r="D3" s="1298" t="s">
        <v>545</v>
      </c>
      <c r="E3" s="1299" t="s">
        <v>436</v>
      </c>
      <c r="F3" s="1300" t="s">
        <v>438</v>
      </c>
      <c r="G3" s="1296" t="s">
        <v>438</v>
      </c>
      <c r="H3" s="1301"/>
      <c r="I3" s="1302"/>
      <c r="J3" s="1303"/>
      <c r="K3" s="1304"/>
      <c r="L3" s="1271"/>
      <c r="M3" s="1271"/>
      <c r="N3" s="1271"/>
      <c r="O3" s="1305"/>
      <c r="P3" s="1305"/>
      <c r="Q3" s="1306" t="s">
        <v>6108</v>
      </c>
      <c r="R3" s="1301"/>
      <c r="S3" s="1301"/>
      <c r="T3" s="1307" t="s">
        <v>6920</v>
      </c>
      <c r="U3" s="1305"/>
      <c r="V3" s="1305"/>
      <c r="W3" s="1307" t="s">
        <v>7879</v>
      </c>
      <c r="X3" s="1305"/>
      <c r="Y3" s="1305"/>
      <c r="Z3" s="1308" t="s">
        <v>7880</v>
      </c>
      <c r="AA3" s="1305"/>
      <c r="AB3" s="1271"/>
      <c r="AC3" s="1305"/>
      <c r="AD3" s="1305"/>
      <c r="AE3" s="1305"/>
      <c r="AF3" s="1309"/>
      <c r="AG3" s="1309"/>
    </row>
    <row r="4">
      <c r="A4" s="1310" t="s">
        <v>5372</v>
      </c>
      <c r="B4" s="1296" t="s">
        <v>2605</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2107</v>
      </c>
      <c r="U4" s="1305"/>
      <c r="V4" s="1305"/>
      <c r="W4" s="1306" t="s">
        <v>7881</v>
      </c>
      <c r="X4" s="1305"/>
      <c r="Y4" s="1305"/>
      <c r="Z4" s="836" t="s">
        <v>1245</v>
      </c>
      <c r="AA4" s="1305"/>
      <c r="AB4" s="1271"/>
      <c r="AC4" s="1305"/>
      <c r="AD4" s="1305"/>
      <c r="AE4" s="1305"/>
      <c r="AF4" s="1309"/>
      <c r="AG4" s="1309"/>
    </row>
    <row r="5">
      <c r="A5" s="1295" t="s">
        <v>3983</v>
      </c>
      <c r="B5" s="1296" t="s">
        <v>914</v>
      </c>
      <c r="C5" s="1297" t="s">
        <v>1260</v>
      </c>
      <c r="D5" s="1298" t="s">
        <v>545</v>
      </c>
      <c r="E5" s="1299" t="s">
        <v>1260</v>
      </c>
      <c r="F5" s="1300" t="s">
        <v>330</v>
      </c>
      <c r="G5" s="1296" t="s">
        <v>332</v>
      </c>
      <c r="H5" s="1271"/>
      <c r="I5" s="96"/>
      <c r="J5" s="92"/>
      <c r="K5" s="1271"/>
      <c r="L5" s="1271"/>
      <c r="M5" s="1271"/>
      <c r="N5" s="1271"/>
      <c r="O5" s="1305"/>
      <c r="P5" s="1305"/>
      <c r="Q5" s="1312" t="s">
        <v>4495</v>
      </c>
      <c r="R5" s="1313" t="s">
        <v>1665</v>
      </c>
      <c r="S5" s="1271"/>
      <c r="T5" s="836" t="s">
        <v>1043</v>
      </c>
      <c r="U5" s="1305"/>
      <c r="V5" s="1305"/>
      <c r="W5" s="836" t="s">
        <v>7882</v>
      </c>
      <c r="X5" s="1305"/>
      <c r="Y5" s="1305"/>
      <c r="Z5" s="1314" t="s">
        <v>7883</v>
      </c>
      <c r="AA5" s="1305"/>
      <c r="AB5" s="1271"/>
      <c r="AC5" s="1305"/>
      <c r="AD5" s="1305"/>
      <c r="AE5" s="1305"/>
      <c r="AF5" s="1309"/>
      <c r="AG5" s="1309"/>
    </row>
    <row r="6">
      <c r="A6" s="1295" t="s">
        <v>2451</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7731</v>
      </c>
      <c r="W6" s="1271"/>
      <c r="X6" s="1305"/>
      <c r="Y6" s="1305"/>
      <c r="Z6" s="1271"/>
      <c r="AA6" s="1305"/>
      <c r="AB6" s="1271"/>
      <c r="AC6" s="836" t="s">
        <v>214</v>
      </c>
      <c r="AD6" s="1305"/>
      <c r="AE6" s="1305"/>
      <c r="AF6" s="1309"/>
      <c r="AG6" s="1309"/>
    </row>
    <row r="7">
      <c r="A7" s="1295" t="s">
        <v>986</v>
      </c>
      <c r="B7" s="1296" t="s">
        <v>3314</v>
      </c>
      <c r="C7" s="1297" t="s">
        <v>436</v>
      </c>
      <c r="D7" s="1298" t="s">
        <v>545</v>
      </c>
      <c r="E7" s="1299" t="s">
        <v>1260</v>
      </c>
      <c r="F7" s="1300" t="s">
        <v>330</v>
      </c>
      <c r="G7" s="1296" t="s">
        <v>330</v>
      </c>
      <c r="H7" s="1271"/>
      <c r="I7" s="96"/>
      <c r="J7" s="92"/>
      <c r="K7" s="1301"/>
      <c r="L7" s="1301"/>
      <c r="M7" s="860"/>
      <c r="N7" s="1316"/>
      <c r="O7" s="1305"/>
      <c r="P7" s="1305"/>
      <c r="Q7" s="1305"/>
      <c r="R7" s="1312" t="s">
        <v>7884</v>
      </c>
      <c r="S7" s="1271"/>
      <c r="T7" s="1305"/>
      <c r="U7" s="1305"/>
      <c r="V7" s="1305"/>
      <c r="W7" s="1271"/>
      <c r="X7" s="1305"/>
      <c r="Y7" s="1305"/>
      <c r="Z7" s="1306" t="s">
        <v>7885</v>
      </c>
      <c r="AA7" s="1306" t="s">
        <v>6270</v>
      </c>
      <c r="AB7" s="1271"/>
      <c r="AC7" s="1305"/>
      <c r="AD7" s="1305"/>
      <c r="AE7" s="1305"/>
      <c r="AF7" s="1309"/>
      <c r="AG7" s="1309"/>
    </row>
    <row r="8">
      <c r="A8" s="1276" t="s">
        <v>7854</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1693</v>
      </c>
      <c r="U8" s="1305"/>
      <c r="V8" s="1305"/>
      <c r="W8" s="1319" t="s">
        <v>643</v>
      </c>
      <c r="X8" s="1318"/>
      <c r="Y8" s="1318"/>
      <c r="Z8" s="1319" t="s">
        <v>6806</v>
      </c>
      <c r="AA8" s="1318"/>
      <c r="AB8" s="1317"/>
      <c r="AC8" s="1305"/>
      <c r="AD8" s="1318"/>
      <c r="AE8" s="1318"/>
      <c r="AF8" s="1320"/>
      <c r="AG8" s="1320"/>
    </row>
    <row r="9">
      <c r="A9" s="1169" t="s">
        <v>827</v>
      </c>
      <c r="B9" s="1296" t="s">
        <v>1063</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7886</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7887</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7888</v>
      </c>
      <c r="L12" s="1271"/>
      <c r="M12" s="1271"/>
      <c r="N12" s="1271"/>
      <c r="O12" s="1305"/>
      <c r="P12" s="1305"/>
      <c r="Q12" s="1305"/>
      <c r="R12" s="1271"/>
      <c r="S12" s="1271"/>
      <c r="T12" s="1305"/>
      <c r="U12" s="1305"/>
      <c r="V12" s="1305"/>
      <c r="W12" s="1306" t="s">
        <v>7881</v>
      </c>
      <c r="X12" s="1305"/>
      <c r="Y12" s="1305"/>
      <c r="Z12" s="1271"/>
      <c r="AA12" s="1305"/>
      <c r="AB12" s="1271"/>
      <c r="AC12" s="1305"/>
      <c r="AD12" s="1305"/>
      <c r="AE12" s="1305"/>
      <c r="AF12" s="1309"/>
      <c r="AG12" s="1309"/>
    </row>
    <row r="13">
      <c r="A13" s="1295" t="s">
        <v>1129</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7889</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7890</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1108</v>
      </c>
      <c r="AA16" s="1305"/>
      <c r="AB16" s="1271"/>
      <c r="AC16" s="1305"/>
      <c r="AD16" s="1305"/>
      <c r="AE16" s="1305"/>
      <c r="AF16" s="1309"/>
      <c r="AG16" s="1309"/>
    </row>
    <row r="17">
      <c r="A17" s="1276" t="s">
        <v>5403</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3675</v>
      </c>
      <c r="R17" s="1301"/>
      <c r="S17" s="1301"/>
      <c r="T17" s="1319" t="s">
        <v>6591</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7891</v>
      </c>
      <c r="AD18" s="1305"/>
      <c r="AE18" s="1305"/>
      <c r="AF18" s="1309"/>
      <c r="AG18" s="1309"/>
    </row>
    <row r="19">
      <c r="A19" s="1169" t="s">
        <v>6418</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7892</v>
      </c>
      <c r="W19" s="1271"/>
      <c r="X19" s="1305"/>
      <c r="Y19" s="1305"/>
      <c r="Z19" s="1271"/>
      <c r="AA19" s="1305"/>
      <c r="AB19" s="1271"/>
      <c r="AC19" s="1305"/>
      <c r="AD19" s="1305"/>
      <c r="AE19" s="1305"/>
      <c r="AF19" s="1309"/>
      <c r="AG19" s="1309"/>
    </row>
    <row r="20">
      <c r="A20" s="1295" t="s">
        <v>7893</v>
      </c>
      <c r="B20" s="1296" t="s">
        <v>330</v>
      </c>
      <c r="C20" s="1297" t="s">
        <v>436</v>
      </c>
      <c r="D20" s="1298" t="s">
        <v>1260</v>
      </c>
      <c r="E20" s="1299" t="s">
        <v>1260</v>
      </c>
      <c r="F20" s="1300" t="s">
        <v>436</v>
      </c>
      <c r="G20" s="1296" t="s">
        <v>436</v>
      </c>
      <c r="H20" s="1271"/>
      <c r="I20" s="96"/>
      <c r="J20" s="92"/>
      <c r="K20" s="1306" t="s">
        <v>7894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7895</v>
      </c>
      <c r="AD21" s="1305"/>
      <c r="AE21" s="1305"/>
      <c r="AF21" s="1309"/>
      <c r="AG21" s="1309"/>
    </row>
    <row r="22">
      <c r="A22" s="1295" t="s">
        <v>6457</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7896</v>
      </c>
      <c r="W23" s="1271"/>
      <c r="X23" s="1305"/>
      <c r="Y23" s="1305"/>
      <c r="Z23" s="1271"/>
      <c r="AA23" s="1305"/>
      <c r="AB23" s="1271"/>
      <c r="AC23" s="1305"/>
      <c r="AD23" s="1305"/>
      <c r="AE23" s="1305"/>
      <c r="AF23" s="1309"/>
      <c r="AG23" s="1309"/>
    </row>
    <row r="24">
      <c r="A24" s="1295" t="s">
        <v>2534</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7897</v>
      </c>
      <c r="V24" s="1305"/>
      <c r="W24" s="1271"/>
      <c r="X24" s="1305"/>
      <c r="Y24" s="1305"/>
      <c r="Z24" s="1271"/>
      <c r="AA24" s="1305"/>
      <c r="AB24" s="1271"/>
      <c r="AC24" s="1305"/>
      <c r="AD24" s="1305"/>
      <c r="AE24" s="1305"/>
      <c r="AF24" s="1309"/>
      <c r="AG24" s="1309"/>
    </row>
    <row r="25">
      <c r="A25" s="1276" t="s">
        <v>6217</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7898</v>
      </c>
      <c r="C1" s="23" t="s">
        <v>10</v>
      </c>
      <c r="F1" s="23" t="s">
        <v>34</v>
      </c>
      <c r="H1" s="1330" t="s">
        <v>7899</v>
      </c>
      <c r="W1" s="1331" t="s">
        <v>7900</v>
      </c>
      <c r="AM1" s="1332" t="s">
        <v>7901</v>
      </c>
      <c r="BG1" s="1333" t="s">
        <v>7902</v>
      </c>
      <c r="BQ1" s="1334" t="s">
        <v>7903</v>
      </c>
      <c r="BV1" s="1335" t="s">
        <v>7904</v>
      </c>
      <c r="CE1" s="1330" t="s">
        <v>7905</v>
      </c>
      <c r="CM1" s="1336" t="s">
        <v>7906</v>
      </c>
      <c r="CP1" s="1337" t="s">
        <v>7907</v>
      </c>
      <c r="CT1" s="1338" t="s">
        <v>7908</v>
      </c>
    </row>
    <row r="2">
      <c r="A2" s="1339" t="s">
        <v>43</v>
      </c>
      <c r="B2" s="36" t="s">
        <v>44</v>
      </c>
      <c r="C2" s="36" t="s">
        <v>45</v>
      </c>
      <c r="F2" s="36" t="s">
        <v>7909</v>
      </c>
      <c r="H2" s="1340" t="s">
        <v>7910</v>
      </c>
      <c r="I2" s="1340" t="s">
        <v>7911</v>
      </c>
      <c r="J2" s="1340" t="s">
        <v>7912</v>
      </c>
      <c r="K2" s="1340" t="s">
        <v>7913</v>
      </c>
      <c r="L2" s="1340" t="s">
        <v>7914</v>
      </c>
      <c r="M2" s="1340" t="s">
        <v>7915</v>
      </c>
      <c r="N2" s="1340" t="s">
        <v>7916</v>
      </c>
      <c r="O2" s="1340" t="s">
        <v>7917</v>
      </c>
      <c r="P2" s="1340" t="s">
        <v>7918</v>
      </c>
      <c r="Q2" s="1340" t="s">
        <v>7919</v>
      </c>
      <c r="R2" s="1340" t="s">
        <v>7920</v>
      </c>
      <c r="S2" s="1340" t="s">
        <v>7921</v>
      </c>
      <c r="T2" s="1340" t="s">
        <v>7922</v>
      </c>
      <c r="U2" s="1340" t="s">
        <v>7923</v>
      </c>
      <c r="V2" s="1340" t="s">
        <v>7924</v>
      </c>
      <c r="W2" s="1341" t="s">
        <v>7925</v>
      </c>
      <c r="X2" s="1341" t="s">
        <v>7926</v>
      </c>
      <c r="Y2" s="1341" t="s">
        <v>7927</v>
      </c>
      <c r="Z2" s="1341" t="s">
        <v>7928</v>
      </c>
      <c r="AA2" s="1341" t="s">
        <v>7929</v>
      </c>
      <c r="AB2" s="1341" t="s">
        <v>7930</v>
      </c>
      <c r="AC2" s="1341" t="s">
        <v>7931</v>
      </c>
      <c r="AD2" s="1341" t="s">
        <v>7932</v>
      </c>
      <c r="AE2" s="1341" t="s">
        <v>7933</v>
      </c>
      <c r="AF2" s="1341" t="s">
        <v>7934</v>
      </c>
      <c r="AG2" s="1341" t="s">
        <v>7935</v>
      </c>
      <c r="AH2" s="1341" t="s">
        <v>7936</v>
      </c>
      <c r="AI2" s="1341" t="s">
        <v>7937</v>
      </c>
      <c r="AJ2" s="1341" t="s">
        <v>7938</v>
      </c>
      <c r="AK2" s="1341" t="s">
        <v>7939</v>
      </c>
      <c r="AL2" s="1341" t="s">
        <v>7940</v>
      </c>
      <c r="AM2" s="1342" t="s">
        <v>7941</v>
      </c>
      <c r="AN2" s="1342" t="s">
        <v>7942</v>
      </c>
      <c r="AO2" s="1342" t="s">
        <v>7943</v>
      </c>
      <c r="AP2" s="1342" t="s">
        <v>7944</v>
      </c>
      <c r="AQ2" s="1342" t="s">
        <v>7945</v>
      </c>
      <c r="AR2" s="1342" t="s">
        <v>7946</v>
      </c>
      <c r="AS2" s="1342" t="s">
        <v>7947</v>
      </c>
      <c r="AT2" s="1342" t="s">
        <v>7948</v>
      </c>
      <c r="AU2" s="1342" t="s">
        <v>7949</v>
      </c>
      <c r="AV2" s="1342" t="s">
        <v>7950</v>
      </c>
      <c r="AW2" s="1342" t="s">
        <v>7951</v>
      </c>
      <c r="AX2" s="1342" t="s">
        <v>7952</v>
      </c>
      <c r="AY2" s="1342" t="s">
        <v>7953</v>
      </c>
      <c r="AZ2" s="1342" t="s">
        <v>7954</v>
      </c>
      <c r="BA2" s="1342" t="s">
        <v>7955</v>
      </c>
      <c r="BB2" s="1342" t="s">
        <v>7956</v>
      </c>
      <c r="BC2" s="1342" t="s">
        <v>7957</v>
      </c>
      <c r="BD2" s="1342" t="s">
        <v>7958</v>
      </c>
      <c r="BE2" s="1342" t="s">
        <v>7959</v>
      </c>
      <c r="BF2" s="1342" t="s">
        <v>7960</v>
      </c>
      <c r="BG2" s="1343" t="s">
        <v>7961</v>
      </c>
      <c r="BH2" s="1343" t="s">
        <v>7962</v>
      </c>
      <c r="BI2" s="1343" t="s">
        <v>7963</v>
      </c>
      <c r="BJ2" s="1343" t="s">
        <v>7964</v>
      </c>
      <c r="BK2" s="1343" t="s">
        <v>7965</v>
      </c>
      <c r="BL2" s="1343" t="s">
        <v>7966</v>
      </c>
      <c r="BM2" s="1343" t="s">
        <v>7967</v>
      </c>
      <c r="BN2" s="1343" t="s">
        <v>7968</v>
      </c>
      <c r="BO2" s="1343" t="s">
        <v>7969</v>
      </c>
      <c r="BP2" s="1343" t="s">
        <v>7970</v>
      </c>
      <c r="BQ2" s="1344" t="s">
        <v>7971</v>
      </c>
      <c r="BR2" s="1344" t="s">
        <v>7972</v>
      </c>
      <c r="BS2" s="1344" t="s">
        <v>7973</v>
      </c>
      <c r="BT2" s="1344" t="s">
        <v>7974</v>
      </c>
      <c r="BU2" s="1344" t="s">
        <v>7975</v>
      </c>
      <c r="BV2" s="1345" t="s">
        <v>7976</v>
      </c>
      <c r="BW2" s="1345" t="s">
        <v>7977</v>
      </c>
      <c r="BX2" s="1345" t="s">
        <v>7978</v>
      </c>
      <c r="BY2" s="1345" t="s">
        <v>7979</v>
      </c>
      <c r="BZ2" s="1345" t="s">
        <v>7980</v>
      </c>
      <c r="CA2" s="1345" t="s">
        <v>7981</v>
      </c>
      <c r="CB2" s="1345" t="s">
        <v>7982</v>
      </c>
      <c r="CC2" s="1345" t="s">
        <v>7983</v>
      </c>
      <c r="CD2" s="1345" t="s">
        <v>7984</v>
      </c>
      <c r="CE2" s="1346" t="s">
        <v>7910</v>
      </c>
      <c r="CF2" s="1346" t="s">
        <v>7913</v>
      </c>
      <c r="CG2" s="1346" t="s">
        <v>7917</v>
      </c>
      <c r="CH2" s="1346" t="s">
        <v>7919</v>
      </c>
      <c r="CI2" s="1346" t="s">
        <v>7920</v>
      </c>
      <c r="CJ2" s="1346" t="s">
        <v>7923</v>
      </c>
      <c r="CK2" s="1346" t="s">
        <v>7985</v>
      </c>
      <c r="CL2" s="1346" t="s">
        <v>7986</v>
      </c>
      <c r="CM2" s="1347" t="s">
        <v>7987</v>
      </c>
      <c r="CN2" s="1347" t="s">
        <v>7988</v>
      </c>
      <c r="CO2" s="1347" t="s">
        <v>7989</v>
      </c>
      <c r="CP2" s="1290" t="s">
        <v>7990</v>
      </c>
      <c r="CQ2" s="1290" t="s">
        <v>7991</v>
      </c>
      <c r="CR2" s="1290" t="s">
        <v>7992</v>
      </c>
      <c r="CS2" s="1290" t="s">
        <v>7993</v>
      </c>
      <c r="CT2" s="1348" t="s">
        <v>7994</v>
      </c>
    </row>
    <row r="3">
      <c r="A3" s="1349" t="s">
        <v>6479</v>
      </c>
      <c r="B3" s="1101" t="s">
        <v>7995</v>
      </c>
      <c r="C3" s="1102" t="s">
        <v>914</v>
      </c>
      <c r="D3" s="1103" t="s">
        <v>436</v>
      </c>
      <c r="E3" s="1104" t="s">
        <v>330</v>
      </c>
      <c r="F3" s="1105" t="s">
        <v>2693</v>
      </c>
      <c r="G3" s="1101" t="s">
        <v>3581</v>
      </c>
      <c r="H3" s="860" t="s">
        <v>7996</v>
      </c>
      <c r="I3" s="1311" t="s">
        <v>7997</v>
      </c>
      <c r="J3" s="860" t="s">
        <v>7673</v>
      </c>
      <c r="K3" s="823" t="s">
        <v>7998</v>
      </c>
      <c r="L3" s="1311" t="s">
        <v>2909</v>
      </c>
      <c r="M3" s="1350" t="s">
        <v>7999</v>
      </c>
      <c r="N3" s="860" t="s">
        <v>8000</v>
      </c>
      <c r="O3" s="1311" t="s">
        <v>8001</v>
      </c>
      <c r="P3" s="1312" t="s">
        <v>8002</v>
      </c>
      <c r="Q3" s="1312" t="s">
        <v>8003</v>
      </c>
      <c r="R3" s="860" t="s">
        <v>8004</v>
      </c>
      <c r="S3" s="1314" t="s">
        <v>8005</v>
      </c>
      <c r="T3" s="836" t="s">
        <v>8006</v>
      </c>
      <c r="U3" s="1306" t="s">
        <v>8007</v>
      </c>
      <c r="V3" s="860" t="s">
        <v>8008</v>
      </c>
      <c r="W3" s="860" t="s">
        <v>2351</v>
      </c>
      <c r="X3" s="1314" t="s">
        <v>1778</v>
      </c>
      <c r="Y3" s="860" t="s">
        <v>1944</v>
      </c>
      <c r="Z3" s="1314" t="s">
        <v>8009</v>
      </c>
      <c r="AA3" s="860" t="s">
        <v>4449</v>
      </c>
      <c r="AB3" s="1314"/>
      <c r="AC3" s="860" t="s">
        <v>3486</v>
      </c>
      <c r="AD3" s="860" t="s">
        <v>3812</v>
      </c>
      <c r="AE3" s="860" t="s">
        <v>8010</v>
      </c>
      <c r="AF3" s="1314" t="s">
        <v>8011</v>
      </c>
      <c r="AG3" s="1314"/>
      <c r="AH3" s="1314" t="s">
        <v>8012</v>
      </c>
      <c r="AI3" s="1314" t="s">
        <v>8013</v>
      </c>
      <c r="AJ3" s="1305"/>
      <c r="AK3" s="1314"/>
      <c r="AL3" s="860"/>
      <c r="AM3" s="1314" t="s">
        <v>8014</v>
      </c>
      <c r="AN3" s="1306" t="s">
        <v>8015</v>
      </c>
      <c r="AO3" s="1306" t="s">
        <v>8016</v>
      </c>
      <c r="AP3" s="1306" t="s">
        <v>8017</v>
      </c>
      <c r="AQ3" s="1306" t="s">
        <v>8018</v>
      </c>
      <c r="AR3" s="1306" t="s">
        <v>8019</v>
      </c>
      <c r="AS3" s="1306" t="s">
        <v>8020</v>
      </c>
      <c r="AT3" s="1350" t="s">
        <v>8021</v>
      </c>
      <c r="AU3" s="1306" t="s">
        <v>8022</v>
      </c>
      <c r="AV3" s="1306" t="s">
        <v>8023</v>
      </c>
      <c r="AW3" s="836" t="s">
        <v>8024</v>
      </c>
      <c r="AX3" s="1306" t="s">
        <v>8025</v>
      </c>
      <c r="AY3" s="1314" t="s">
        <v>8026</v>
      </c>
      <c r="AZ3" s="1314" t="s">
        <v>5097</v>
      </c>
      <c r="BA3" s="1306" t="s">
        <v>8027</v>
      </c>
      <c r="BB3" s="1314" t="s">
        <v>8028</v>
      </c>
      <c r="BC3" s="1314" t="s">
        <v>8029</v>
      </c>
      <c r="BD3" s="860" t="s">
        <v>8030</v>
      </c>
      <c r="BE3" s="1314"/>
      <c r="BF3" s="1306" t="s">
        <v>8031</v>
      </c>
      <c r="BG3" s="1314"/>
      <c r="BH3" s="1314"/>
      <c r="BI3" s="1314" t="s">
        <v>8032</v>
      </c>
      <c r="BJ3" s="1314"/>
      <c r="BK3" s="1314"/>
      <c r="BL3" s="860"/>
      <c r="BM3" s="1314" t="s">
        <v>8033</v>
      </c>
      <c r="BN3" s="1314"/>
      <c r="BO3" s="1314"/>
      <c r="BP3" s="1314"/>
      <c r="BQ3" s="860" t="s">
        <v>8034</v>
      </c>
      <c r="BR3" s="1305"/>
      <c r="BS3" s="860" t="s">
        <v>8035</v>
      </c>
      <c r="BT3" s="1305"/>
      <c r="BU3" s="860" t="s">
        <v>8036</v>
      </c>
      <c r="BV3" s="1271"/>
      <c r="BW3" s="1305"/>
      <c r="BX3" s="1314" t="s">
        <v>3979</v>
      </c>
      <c r="BY3" s="1305"/>
      <c r="BZ3" s="1271"/>
      <c r="CA3" s="1314" t="s">
        <v>3519</v>
      </c>
      <c r="CB3" s="1314" t="s">
        <v>370</v>
      </c>
      <c r="CC3" s="1314" t="s">
        <v>2379</v>
      </c>
      <c r="CD3" s="1314"/>
      <c r="CE3" s="860" t="s">
        <v>8037</v>
      </c>
      <c r="CF3" s="860" t="s">
        <v>8038</v>
      </c>
      <c r="CG3" s="1314"/>
      <c r="CH3" s="1314"/>
      <c r="CI3" s="1314"/>
      <c r="CJ3" s="1314"/>
      <c r="CK3" s="1314"/>
      <c r="CL3" s="1314"/>
      <c r="CM3" s="1314"/>
      <c r="CN3" s="860"/>
      <c r="CO3" s="1314"/>
      <c r="CP3" s="860" t="s">
        <v>8039</v>
      </c>
      <c r="CQ3" s="860" t="s">
        <v>8040</v>
      </c>
      <c r="CR3" s="1314"/>
      <c r="CS3" s="1314"/>
      <c r="CT3" s="1314" t="s">
        <v>8041</v>
      </c>
    </row>
    <row r="4">
      <c r="A4" s="1351" t="s">
        <v>6457</v>
      </c>
      <c r="B4" s="1101" t="s">
        <v>8042</v>
      </c>
      <c r="C4" s="1102" t="s">
        <v>332</v>
      </c>
      <c r="D4" s="1103" t="s">
        <v>438</v>
      </c>
      <c r="E4" s="1104" t="s">
        <v>3314</v>
      </c>
      <c r="F4" s="1105" t="s">
        <v>8043</v>
      </c>
      <c r="G4" s="1101" t="s">
        <v>1809</v>
      </c>
      <c r="H4" s="1352" t="s">
        <v>8044</v>
      </c>
      <c r="I4" s="1353" t="s">
        <v>8045</v>
      </c>
      <c r="J4" s="1271"/>
      <c r="K4" s="860" t="s">
        <v>8046</v>
      </c>
      <c r="L4" s="1305"/>
      <c r="M4" s="1306" t="s">
        <v>8047</v>
      </c>
      <c r="N4" s="1271"/>
      <c r="O4" s="836" t="s">
        <v>8048</v>
      </c>
      <c r="P4" s="1311" t="s">
        <v>8049</v>
      </c>
      <c r="Q4" s="1305"/>
      <c r="R4" s="836" t="s">
        <v>8050</v>
      </c>
      <c r="S4" s="1271"/>
      <c r="T4" s="860" t="s">
        <v>8051</v>
      </c>
      <c r="U4" s="836" t="s">
        <v>7525</v>
      </c>
      <c r="V4" s="1306" t="s">
        <v>8052</v>
      </c>
      <c r="W4" s="836" t="s">
        <v>1296</v>
      </c>
      <c r="X4" s="836" t="s">
        <v>1727</v>
      </c>
      <c r="Y4" s="836" t="s">
        <v>1588</v>
      </c>
      <c r="Z4" s="1306" t="s">
        <v>3139</v>
      </c>
      <c r="AA4" s="1301"/>
      <c r="AB4" s="1354" t="s">
        <v>8053</v>
      </c>
      <c r="AC4" s="836" t="s">
        <v>3399</v>
      </c>
      <c r="AD4" s="836" t="s">
        <v>6309</v>
      </c>
      <c r="AE4" s="1301"/>
      <c r="AF4" s="1311" t="s">
        <v>7774</v>
      </c>
      <c r="AG4" s="1305"/>
      <c r="AH4" s="1312" t="s">
        <v>8054</v>
      </c>
      <c r="AI4" s="1312" t="s">
        <v>5003</v>
      </c>
      <c r="AJ4" s="1305"/>
      <c r="AK4" s="836" t="s">
        <v>8055</v>
      </c>
      <c r="AL4" s="1271"/>
      <c r="AM4" s="1311" t="s">
        <v>8056</v>
      </c>
      <c r="AN4" s="860" t="s">
        <v>8057</v>
      </c>
      <c r="AO4" s="860" t="s">
        <v>8058</v>
      </c>
      <c r="AP4" s="1311" t="s">
        <v>8014</v>
      </c>
      <c r="AQ4" s="1271"/>
      <c r="AR4" s="860" t="s">
        <v>8059</v>
      </c>
      <c r="AS4" s="1271"/>
      <c r="AT4" s="1311" t="s">
        <v>8021</v>
      </c>
      <c r="AU4" s="1311" t="s">
        <v>8060</v>
      </c>
      <c r="AV4" s="1271"/>
      <c r="AW4" s="1311" t="s">
        <v>8061</v>
      </c>
      <c r="AX4" s="1271"/>
      <c r="AY4" s="1271"/>
      <c r="AZ4" s="1311" t="s">
        <v>1581</v>
      </c>
      <c r="BA4" s="1312" t="s">
        <v>5223</v>
      </c>
      <c r="BB4" s="1311" t="s">
        <v>8062</v>
      </c>
      <c r="BC4" s="836" t="s">
        <v>8063</v>
      </c>
      <c r="BD4" s="1306" t="s">
        <v>8064</v>
      </c>
      <c r="BE4" s="1305"/>
      <c r="BF4" s="1271"/>
      <c r="BG4" s="1305"/>
      <c r="BH4" s="1305"/>
      <c r="BI4" s="1305"/>
      <c r="BJ4" s="1305"/>
      <c r="BK4" s="1305"/>
      <c r="BL4" s="1271"/>
      <c r="BM4" s="1305"/>
      <c r="BN4" s="1305"/>
      <c r="BO4" s="1305"/>
      <c r="BP4" s="1305"/>
      <c r="BQ4" s="1305"/>
      <c r="BR4" s="1305"/>
      <c r="BS4" s="1305"/>
      <c r="BT4" s="1305"/>
      <c r="BU4" s="1305"/>
      <c r="BV4" s="1271"/>
      <c r="BW4" s="1306" t="s">
        <v>5301</v>
      </c>
      <c r="BX4" s="836"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6466</v>
      </c>
      <c r="B5" s="1101" t="s">
        <v>8065</v>
      </c>
      <c r="C5" s="1102" t="s">
        <v>438</v>
      </c>
      <c r="D5" s="1103" t="s">
        <v>332</v>
      </c>
      <c r="E5" s="1104" t="s">
        <v>1260</v>
      </c>
      <c r="F5" s="1105" t="s">
        <v>1202</v>
      </c>
      <c r="G5" s="1101" t="s">
        <v>5555</v>
      </c>
      <c r="H5" s="860" t="s">
        <v>8066</v>
      </c>
      <c r="I5" s="860" t="s">
        <v>7727</v>
      </c>
      <c r="J5" s="860"/>
      <c r="K5" s="1312" t="s">
        <v>8067</v>
      </c>
      <c r="L5" s="1306" t="s">
        <v>8068</v>
      </c>
      <c r="M5" s="860"/>
      <c r="N5" s="860"/>
      <c r="O5" s="836" t="s">
        <v>8069</v>
      </c>
      <c r="P5" s="860" t="s">
        <v>8070</v>
      </c>
      <c r="Q5" s="860" t="s">
        <v>8071</v>
      </c>
      <c r="R5" s="1306" t="s">
        <v>8072</v>
      </c>
      <c r="S5" s="860"/>
      <c r="T5" s="1312" t="s">
        <v>8073</v>
      </c>
      <c r="U5" s="1312" t="s">
        <v>8074</v>
      </c>
      <c r="V5" s="860"/>
      <c r="W5" s="860" t="s">
        <v>6503</v>
      </c>
      <c r="X5" s="860"/>
      <c r="Y5" s="860" t="s">
        <v>8075</v>
      </c>
      <c r="Z5" s="1312" t="s">
        <v>1139</v>
      </c>
      <c r="AA5" s="1301"/>
      <c r="AB5" s="1301"/>
      <c r="AC5" s="860" t="s">
        <v>8076</v>
      </c>
      <c r="AD5" s="1271"/>
      <c r="AE5" s="860"/>
      <c r="AF5" s="860" t="s">
        <v>8077</v>
      </c>
      <c r="AG5" s="860"/>
      <c r="AH5" s="860" t="s">
        <v>8078</v>
      </c>
      <c r="AI5" s="860" t="s">
        <v>2026</v>
      </c>
      <c r="AJ5" s="1271"/>
      <c r="AK5" s="860"/>
      <c r="AL5" s="860"/>
      <c r="AM5" s="860" t="s">
        <v>8079</v>
      </c>
      <c r="AN5" s="1271"/>
      <c r="AO5" s="1271"/>
      <c r="AP5" s="860" t="s">
        <v>8080</v>
      </c>
      <c r="AQ5" s="1312" t="s">
        <v>8081</v>
      </c>
      <c r="AR5" s="860" t="s">
        <v>8082</v>
      </c>
      <c r="AS5" s="860"/>
      <c r="AT5" s="860" t="s">
        <v>8083</v>
      </c>
      <c r="AU5" s="836" t="s">
        <v>8084</v>
      </c>
      <c r="AV5" s="860"/>
      <c r="AW5" s="1315" t="s">
        <v>8085</v>
      </c>
      <c r="AX5" s="112"/>
      <c r="AY5" s="112" t="s">
        <v>8086</v>
      </c>
      <c r="AZ5" s="860" t="s">
        <v>2991</v>
      </c>
      <c r="BA5" s="860"/>
      <c r="BB5" s="860" t="s">
        <v>8064</v>
      </c>
      <c r="BC5" s="1306" t="s">
        <v>8087</v>
      </c>
      <c r="BD5" s="860" t="s">
        <v>8088</v>
      </c>
      <c r="BE5" s="860"/>
      <c r="BF5" s="860"/>
      <c r="BG5" s="860" t="s">
        <v>8089</v>
      </c>
      <c r="BH5" s="860"/>
      <c r="BI5" s="860"/>
      <c r="BJ5" s="860"/>
      <c r="BK5" s="860" t="s">
        <v>8090</v>
      </c>
      <c r="BL5" s="860"/>
      <c r="BM5" s="860"/>
      <c r="BN5" s="860"/>
      <c r="BO5" s="860"/>
      <c r="BP5" s="860" t="s">
        <v>8091</v>
      </c>
      <c r="BQ5" s="1271"/>
      <c r="BR5" s="1271"/>
      <c r="BS5" s="1271"/>
      <c r="BT5" s="1271"/>
      <c r="BU5" s="1271"/>
      <c r="BV5" s="860"/>
      <c r="BW5" s="860" t="s">
        <v>6753</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6478</v>
      </c>
      <c r="B6" s="1101" t="s">
        <v>8092</v>
      </c>
      <c r="C6" s="1102" t="s">
        <v>3314</v>
      </c>
      <c r="D6" s="1103" t="s">
        <v>914</v>
      </c>
      <c r="E6" s="1104" t="s">
        <v>438</v>
      </c>
      <c r="F6" s="1105" t="s">
        <v>8043</v>
      </c>
      <c r="G6" s="1101" t="s">
        <v>5801</v>
      </c>
      <c r="H6" s="1312" t="s">
        <v>8093</v>
      </c>
      <c r="I6" s="836" t="s">
        <v>8094</v>
      </c>
      <c r="J6" s="860"/>
      <c r="K6" s="1311" t="s">
        <v>8095</v>
      </c>
      <c r="L6" s="836" t="s">
        <v>8096</v>
      </c>
      <c r="M6" s="1271"/>
      <c r="N6" s="1271"/>
      <c r="O6" s="836" t="s">
        <v>8097</v>
      </c>
      <c r="P6" s="1271"/>
      <c r="Q6" s="860" t="s">
        <v>8098</v>
      </c>
      <c r="R6" s="1312" t="s">
        <v>8099</v>
      </c>
      <c r="S6" s="1271"/>
      <c r="T6" s="1311" t="s">
        <v>8100</v>
      </c>
      <c r="U6" s="1311" t="s">
        <v>671</v>
      </c>
      <c r="V6" s="860" t="s">
        <v>8101</v>
      </c>
      <c r="W6" s="1271"/>
      <c r="X6" s="1311" t="s">
        <v>6092</v>
      </c>
      <c r="Y6" s="1312" t="s">
        <v>2532</v>
      </c>
      <c r="Z6" s="1271"/>
      <c r="AA6" s="1271"/>
      <c r="AB6" s="1271"/>
      <c r="AC6" s="1271"/>
      <c r="AD6" s="860" t="s">
        <v>8102</v>
      </c>
      <c r="AE6" s="1301"/>
      <c r="AF6" s="836" t="s">
        <v>464</v>
      </c>
      <c r="AG6" s="1301"/>
      <c r="AH6" s="1271"/>
      <c r="AI6" s="1271"/>
      <c r="AJ6" s="1306" t="s">
        <v>2210</v>
      </c>
      <c r="AK6" s="1312" t="s">
        <v>6048</v>
      </c>
      <c r="AL6" s="1357" t="s">
        <v>8103</v>
      </c>
      <c r="AM6" s="1312" t="s">
        <v>8104</v>
      </c>
      <c r="AN6" s="1271"/>
      <c r="AO6" s="1271"/>
      <c r="AP6" s="860" t="s">
        <v>8014</v>
      </c>
      <c r="AQ6" s="860"/>
      <c r="AR6" s="1312" t="s">
        <v>8105</v>
      </c>
      <c r="AS6" s="1301"/>
      <c r="AT6" s="1306" t="s">
        <v>8106</v>
      </c>
      <c r="AU6" s="836" t="s">
        <v>8107</v>
      </c>
      <c r="AV6" s="1312" t="s">
        <v>8108</v>
      </c>
      <c r="AW6" s="1312" t="s">
        <v>8109</v>
      </c>
      <c r="AX6" s="1271"/>
      <c r="AY6" s="1271"/>
      <c r="AZ6" s="1306" t="s">
        <v>4577</v>
      </c>
      <c r="BA6" s="1301"/>
      <c r="BB6" s="1312" t="s">
        <v>8110</v>
      </c>
      <c r="BC6" s="1312" t="s">
        <v>8111</v>
      </c>
      <c r="BD6" s="1271"/>
      <c r="BE6" s="1271"/>
      <c r="BF6" s="1271"/>
      <c r="BG6" s="1358" t="s">
        <v>8112</v>
      </c>
      <c r="BH6" s="1213"/>
      <c r="BI6" s="1213"/>
      <c r="BJ6" s="1213"/>
      <c r="BK6" s="1358" t="s">
        <v>8113</v>
      </c>
      <c r="BL6" s="1213"/>
      <c r="BM6" s="1129" t="s">
        <v>8114</v>
      </c>
      <c r="BN6" s="1156" t="s">
        <v>8115</v>
      </c>
      <c r="BO6" s="1213"/>
      <c r="BP6" s="1213"/>
      <c r="BQ6" s="1359"/>
      <c r="BR6" s="1271"/>
      <c r="BS6" s="1306" t="s">
        <v>8116</v>
      </c>
      <c r="BT6" s="1271"/>
      <c r="BU6" s="1271"/>
      <c r="BV6" s="1271"/>
      <c r="BW6" s="1271"/>
      <c r="BX6" s="1271"/>
      <c r="BY6" s="1271"/>
      <c r="BZ6" s="1271"/>
      <c r="CA6" s="1271"/>
      <c r="CB6" s="1271"/>
      <c r="CC6" s="1312" t="s">
        <v>450</v>
      </c>
      <c r="CD6" s="1301"/>
      <c r="CE6" s="1360"/>
      <c r="CF6" s="1360"/>
      <c r="CG6" s="1361"/>
      <c r="CH6" s="1361"/>
      <c r="CI6" s="1360" t="s">
        <v>8117</v>
      </c>
      <c r="CJ6" s="1361"/>
      <c r="CK6" s="1361"/>
      <c r="CL6" s="1360" t="s">
        <v>5555</v>
      </c>
      <c r="CM6" s="1362" t="s">
        <v>2222</v>
      </c>
      <c r="CN6" s="1362" t="s">
        <v>3367</v>
      </c>
      <c r="CO6" s="1360"/>
      <c r="CP6" s="1360"/>
      <c r="CQ6" s="1360"/>
      <c r="CR6" s="1360"/>
      <c r="CS6" s="1362" t="s">
        <v>8118</v>
      </c>
      <c r="CT6" s="92"/>
    </row>
    <row r="7">
      <c r="A7" s="1363" t="s">
        <v>7282</v>
      </c>
      <c r="B7" s="1101" t="s">
        <v>8119</v>
      </c>
      <c r="C7" s="1102" t="s">
        <v>438</v>
      </c>
      <c r="D7" s="1103" t="s">
        <v>437</v>
      </c>
      <c r="E7" s="1104" t="s">
        <v>437</v>
      </c>
      <c r="F7" s="1105" t="s">
        <v>4948</v>
      </c>
      <c r="G7" s="1101" t="s">
        <v>2991</v>
      </c>
      <c r="H7" s="836" t="s">
        <v>8120</v>
      </c>
      <c r="I7" s="823" t="s">
        <v>8121</v>
      </c>
      <c r="J7" s="1364"/>
      <c r="K7" s="836" t="s">
        <v>8122</v>
      </c>
      <c r="L7" s="1323"/>
      <c r="M7" s="1311" t="s">
        <v>8123</v>
      </c>
      <c r="N7" s="1271"/>
      <c r="O7" s="1271"/>
      <c r="P7" s="1314" t="s">
        <v>8124</v>
      </c>
      <c r="Q7" s="1305"/>
      <c r="R7" s="860"/>
      <c r="S7" s="1271"/>
      <c r="T7" s="1271"/>
      <c r="U7" s="1314" t="s">
        <v>8125</v>
      </c>
      <c r="V7" s="1314"/>
      <c r="W7" s="1311" t="s">
        <v>2122</v>
      </c>
      <c r="X7" s="836" t="s">
        <v>1819</v>
      </c>
      <c r="Y7" s="836" t="s">
        <v>2053</v>
      </c>
      <c r="Z7" s="1311" t="s">
        <v>8126</v>
      </c>
      <c r="AA7" s="1301"/>
      <c r="AB7" s="1301"/>
      <c r="AC7" s="1314" t="s">
        <v>8127</v>
      </c>
      <c r="AD7" s="836" t="s">
        <v>4471</v>
      </c>
      <c r="AE7" s="1301"/>
      <c r="AF7" s="836" t="s">
        <v>8128</v>
      </c>
      <c r="AG7" s="1323"/>
      <c r="AH7" s="1314" t="s">
        <v>8129</v>
      </c>
      <c r="AI7" s="1314" t="s">
        <v>119</v>
      </c>
      <c r="AJ7" s="1314"/>
      <c r="AK7" s="860" t="s">
        <v>5787</v>
      </c>
      <c r="AL7" s="1314" t="s">
        <v>6248</v>
      </c>
      <c r="AM7" s="1365" t="s">
        <v>8130</v>
      </c>
      <c r="AN7" s="1311" t="s">
        <v>8131</v>
      </c>
      <c r="AO7" s="1312" t="s">
        <v>8132</v>
      </c>
      <c r="AP7" s="836" t="s">
        <v>8133</v>
      </c>
      <c r="AQ7" s="1301"/>
      <c r="AR7" s="836" t="s">
        <v>8134</v>
      </c>
      <c r="AS7" s="1301"/>
      <c r="AT7" s="1312" t="s">
        <v>8090</v>
      </c>
      <c r="AU7" s="836" t="s">
        <v>8135</v>
      </c>
      <c r="AV7" s="1301"/>
      <c r="AW7" s="1313" t="s">
        <v>8136</v>
      </c>
      <c r="AX7" s="1301"/>
      <c r="AY7" s="1312" t="s">
        <v>8137</v>
      </c>
      <c r="AZ7" s="836" t="s">
        <v>5079</v>
      </c>
      <c r="BA7" s="1301"/>
      <c r="BB7" s="836" t="s">
        <v>8138</v>
      </c>
      <c r="BC7" s="1313" t="s">
        <v>8139</v>
      </c>
      <c r="BD7" s="1311" t="s">
        <v>8140</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8141</v>
      </c>
      <c r="BZ7" s="1312" t="s">
        <v>8142</v>
      </c>
      <c r="CA7" s="1306" t="s">
        <v>1281</v>
      </c>
      <c r="CB7" s="1306" t="s">
        <v>8143</v>
      </c>
      <c r="CC7" s="1306" t="s">
        <v>476</v>
      </c>
      <c r="CD7" s="1367" t="s">
        <v>2509</v>
      </c>
      <c r="CE7" s="1305"/>
      <c r="CF7" s="1271"/>
      <c r="CG7" s="1305"/>
      <c r="CH7" s="1305"/>
      <c r="CI7" s="1305"/>
      <c r="CJ7" s="1305"/>
      <c r="CK7" s="1305"/>
      <c r="CL7" s="1305"/>
      <c r="CM7" s="1305"/>
      <c r="CN7" s="1271"/>
      <c r="CO7" s="1305"/>
      <c r="CP7" s="1305"/>
      <c r="CQ7" s="1305"/>
      <c r="CR7" s="1305"/>
      <c r="CS7" s="1305"/>
      <c r="CT7" s="860" t="s">
        <v>8144</v>
      </c>
    </row>
    <row r="8">
      <c r="A8" s="1368" t="s">
        <v>8145</v>
      </c>
      <c r="B8" s="1101" t="s">
        <v>8146</v>
      </c>
      <c r="C8" s="1102" t="s">
        <v>545</v>
      </c>
      <c r="D8" s="1103" t="s">
        <v>438</v>
      </c>
      <c r="E8" s="1104" t="s">
        <v>332</v>
      </c>
      <c r="F8" s="1105" t="s">
        <v>219</v>
      </c>
      <c r="G8" s="1101" t="s">
        <v>5827</v>
      </c>
      <c r="H8" s="836" t="s">
        <v>8147</v>
      </c>
      <c r="I8" s="836" t="s">
        <v>8148</v>
      </c>
      <c r="J8" s="1301"/>
      <c r="K8" s="1271"/>
      <c r="L8" s="1305"/>
      <c r="M8" s="1271"/>
      <c r="N8" s="1271"/>
      <c r="O8" s="1271"/>
      <c r="P8" s="860" t="s">
        <v>8149</v>
      </c>
      <c r="Q8" s="1305"/>
      <c r="R8" s="1311" t="s">
        <v>8150</v>
      </c>
      <c r="S8" s="1271"/>
      <c r="T8" s="1271"/>
      <c r="U8" s="1365" t="s">
        <v>8151</v>
      </c>
      <c r="V8" s="1323"/>
      <c r="W8" s="1350" t="s">
        <v>784</v>
      </c>
      <c r="X8" s="1323" t="s">
        <v>3736</v>
      </c>
      <c r="Y8" s="1369" t="s">
        <v>5000</v>
      </c>
      <c r="Z8" s="1301"/>
      <c r="AA8" s="1301" t="s">
        <v>8152</v>
      </c>
      <c r="AB8" s="1323"/>
      <c r="AC8" s="1311" t="s">
        <v>8153</v>
      </c>
      <c r="AD8" s="836" t="s">
        <v>819</v>
      </c>
      <c r="AE8" s="1301"/>
      <c r="AF8" s="1301"/>
      <c r="AG8" s="1323"/>
      <c r="AH8" s="1305"/>
      <c r="AI8" s="1305"/>
      <c r="AJ8" s="1305"/>
      <c r="AK8" s="1314" t="s">
        <v>323</v>
      </c>
      <c r="AL8" s="860"/>
      <c r="AM8" s="1306" t="s">
        <v>8154</v>
      </c>
      <c r="AN8" s="1314" t="s">
        <v>8155</v>
      </c>
      <c r="AO8" s="1271"/>
      <c r="AP8" s="836" t="s">
        <v>8131</v>
      </c>
      <c r="AQ8" s="1301"/>
      <c r="AR8" s="1271"/>
      <c r="AS8" s="1271"/>
      <c r="AT8" s="836" t="s">
        <v>8156</v>
      </c>
      <c r="AU8" s="860"/>
      <c r="AV8" s="860"/>
      <c r="AW8" s="836" t="s">
        <v>8157</v>
      </c>
      <c r="AX8" s="1271"/>
      <c r="AY8" s="1271"/>
      <c r="AZ8" s="1271"/>
      <c r="BA8" s="1271"/>
      <c r="BB8" s="836" t="s">
        <v>8158</v>
      </c>
      <c r="BC8" s="1314" t="s">
        <v>8159</v>
      </c>
      <c r="BD8" s="1271"/>
      <c r="BE8" s="1305"/>
      <c r="BF8" s="1271"/>
      <c r="BG8" s="1214"/>
      <c r="BH8" s="1179" t="s">
        <v>8160</v>
      </c>
      <c r="BI8" s="1214"/>
      <c r="BJ8" s="1214"/>
      <c r="BK8" s="1214"/>
      <c r="BL8" s="1213"/>
      <c r="BM8" s="1214"/>
      <c r="BN8" s="1214"/>
      <c r="BO8" s="1214"/>
      <c r="BP8" s="1214"/>
      <c r="BQ8" s="1305"/>
      <c r="BR8" s="1305"/>
      <c r="BS8" s="1312" t="s">
        <v>8161</v>
      </c>
      <c r="BT8" s="1305"/>
      <c r="BU8" s="1305"/>
      <c r="BV8" s="1370" t="s">
        <v>1138</v>
      </c>
      <c r="BW8" s="1311" t="s">
        <v>3537</v>
      </c>
      <c r="BX8" s="1312" t="s">
        <v>2309</v>
      </c>
      <c r="BY8" s="1365" t="s">
        <v>3203</v>
      </c>
      <c r="BZ8" s="1301"/>
      <c r="CA8" s="1312" t="s">
        <v>1968</v>
      </c>
      <c r="CB8" s="1365" t="s">
        <v>2794</v>
      </c>
      <c r="CC8" s="1371" t="s">
        <v>3446</v>
      </c>
      <c r="CD8" s="1316"/>
      <c r="CE8" s="1372"/>
      <c r="CF8" s="1361"/>
      <c r="CG8" s="1372"/>
      <c r="CH8" s="1372"/>
      <c r="CI8" s="1372"/>
      <c r="CJ8" s="1372"/>
      <c r="CK8" s="1372"/>
      <c r="CL8" s="1372"/>
      <c r="CM8" s="1373" t="s">
        <v>3681</v>
      </c>
      <c r="CN8" s="1361"/>
      <c r="CO8" s="1372"/>
      <c r="CP8" s="1372"/>
      <c r="CQ8" s="1374" t="s">
        <v>8136</v>
      </c>
      <c r="CR8" s="1372"/>
      <c r="CS8" s="1372"/>
      <c r="CT8" s="1375"/>
    </row>
    <row r="9">
      <c r="A9" s="1376" t="s">
        <v>2921</v>
      </c>
      <c r="B9" s="1101" t="s">
        <v>8162</v>
      </c>
      <c r="C9" s="1102" t="s">
        <v>436</v>
      </c>
      <c r="D9" s="1103" t="s">
        <v>436</v>
      </c>
      <c r="E9" s="1104" t="s">
        <v>1260</v>
      </c>
      <c r="F9" s="1105" t="s">
        <v>1063</v>
      </c>
      <c r="G9" s="1101" t="s">
        <v>1809</v>
      </c>
      <c r="H9" s="1377"/>
      <c r="I9" s="1377" t="s">
        <v>8163</v>
      </c>
      <c r="J9" s="1271"/>
      <c r="K9" s="860" t="s">
        <v>8164</v>
      </c>
      <c r="L9" s="836" t="s">
        <v>8165</v>
      </c>
      <c r="M9" s="860" t="s">
        <v>8166</v>
      </c>
      <c r="N9" s="1271"/>
      <c r="O9" s="860" t="s">
        <v>8167</v>
      </c>
      <c r="P9" s="860" t="s">
        <v>8168</v>
      </c>
      <c r="Q9" s="860" t="s">
        <v>8169</v>
      </c>
      <c r="R9" s="860" t="s">
        <v>8170</v>
      </c>
      <c r="S9" s="1312" t="s">
        <v>2959</v>
      </c>
      <c r="T9" s="1271"/>
      <c r="U9" s="860" t="s">
        <v>3886</v>
      </c>
      <c r="V9" s="1305"/>
      <c r="W9" s="860" t="s">
        <v>4957</v>
      </c>
      <c r="X9" s="836" t="s">
        <v>3566</v>
      </c>
      <c r="Y9" s="836" t="s">
        <v>8171</v>
      </c>
      <c r="Z9" s="1271"/>
      <c r="AA9" s="1306" t="s">
        <v>5622</v>
      </c>
      <c r="AB9" s="1305"/>
      <c r="AC9" s="860" t="s">
        <v>5722</v>
      </c>
      <c r="AD9" s="860" t="s">
        <v>1984</v>
      </c>
      <c r="AE9" s="860"/>
      <c r="AF9" s="860" t="s">
        <v>5580</v>
      </c>
      <c r="AG9" s="1305"/>
      <c r="AH9" s="1305"/>
      <c r="AI9" s="1305"/>
      <c r="AJ9" s="1305"/>
      <c r="AK9" s="1271"/>
      <c r="AL9" s="1271"/>
      <c r="AM9" s="1314" t="s">
        <v>8136</v>
      </c>
      <c r="AN9" s="1271"/>
      <c r="AO9" s="1271"/>
      <c r="AP9" s="860" t="s">
        <v>8172</v>
      </c>
      <c r="AQ9" s="860" t="s">
        <v>8172</v>
      </c>
      <c r="AR9" s="860" t="s">
        <v>8173</v>
      </c>
      <c r="AS9" s="860" t="s">
        <v>8174</v>
      </c>
      <c r="AT9" s="860" t="s">
        <v>8174</v>
      </c>
      <c r="AU9" s="1312" t="s">
        <v>8175</v>
      </c>
      <c r="AV9" s="860" t="s">
        <v>8156</v>
      </c>
      <c r="AW9" s="860" t="s">
        <v>8130</v>
      </c>
      <c r="AX9" s="1271"/>
      <c r="AY9" s="1306" t="s">
        <v>8176</v>
      </c>
      <c r="AZ9" s="860" t="s">
        <v>5097</v>
      </c>
      <c r="BA9" s="860"/>
      <c r="BB9" s="860" t="s">
        <v>8140</v>
      </c>
      <c r="BC9" s="1314" t="s">
        <v>8177</v>
      </c>
      <c r="BD9" s="1314" t="s">
        <v>8178</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8179</v>
      </c>
      <c r="CT9" s="1271"/>
    </row>
    <row r="10">
      <c r="A10" s="1379" t="s">
        <v>2142</v>
      </c>
      <c r="B10" s="1101" t="s">
        <v>8180</v>
      </c>
      <c r="C10" s="1102" t="s">
        <v>1260</v>
      </c>
      <c r="D10" s="1103" t="s">
        <v>436</v>
      </c>
      <c r="E10" s="1104" t="s">
        <v>436</v>
      </c>
      <c r="F10" s="1105" t="s">
        <v>438</v>
      </c>
      <c r="G10" s="1101" t="s">
        <v>4577</v>
      </c>
      <c r="H10" s="1377" t="s">
        <v>8181</v>
      </c>
      <c r="I10" s="1380" t="s">
        <v>2155</v>
      </c>
      <c r="J10" s="860" t="s">
        <v>8182</v>
      </c>
      <c r="K10" s="860" t="s">
        <v>8183</v>
      </c>
      <c r="L10" s="860" t="s">
        <v>8184</v>
      </c>
      <c r="M10" s="860" t="s">
        <v>8185</v>
      </c>
      <c r="N10" s="860" t="s">
        <v>8186</v>
      </c>
      <c r="O10" s="860" t="s">
        <v>8187</v>
      </c>
      <c r="P10" s="860" t="s">
        <v>8188</v>
      </c>
      <c r="Q10" s="860" t="s">
        <v>8189</v>
      </c>
      <c r="R10" s="860" t="s">
        <v>8190</v>
      </c>
      <c r="S10" s="1311" t="s">
        <v>8191</v>
      </c>
      <c r="T10" s="860" t="s">
        <v>8192</v>
      </c>
      <c r="U10" s="860" t="s">
        <v>8193</v>
      </c>
      <c r="V10" s="1311" t="s">
        <v>8194</v>
      </c>
      <c r="W10" s="860" t="s">
        <v>3885</v>
      </c>
      <c r="X10" s="860" t="s">
        <v>8195</v>
      </c>
      <c r="Y10" s="1314" t="s">
        <v>1984</v>
      </c>
      <c r="Z10" s="1271"/>
      <c r="AA10" s="1271"/>
      <c r="AB10" s="1305"/>
      <c r="AC10" s="1314" t="s">
        <v>8196</v>
      </c>
      <c r="AD10" s="1314" t="s">
        <v>5394</v>
      </c>
      <c r="AE10" s="1312" t="s">
        <v>2519</v>
      </c>
      <c r="AF10" s="1314" t="s">
        <v>8197</v>
      </c>
      <c r="AG10" s="860" t="s">
        <v>8198</v>
      </c>
      <c r="AH10" s="1305"/>
      <c r="AI10" s="1305"/>
      <c r="AJ10" s="1305"/>
      <c r="AK10" s="860" t="s">
        <v>8199</v>
      </c>
      <c r="AL10" s="860" t="s">
        <v>2749</v>
      </c>
      <c r="AM10" s="1271"/>
      <c r="AN10" s="1271"/>
      <c r="AO10" s="1271"/>
      <c r="AP10" s="1271"/>
      <c r="AQ10" s="1271"/>
      <c r="AR10" s="1271"/>
      <c r="AS10" s="1271"/>
      <c r="AT10" s="860" t="s">
        <v>8200</v>
      </c>
      <c r="AU10" s="860" t="s">
        <v>8140</v>
      </c>
      <c r="AV10" s="1271"/>
      <c r="AW10" s="860" t="s">
        <v>8138</v>
      </c>
      <c r="AX10" s="860" t="s">
        <v>8201</v>
      </c>
      <c r="AY10" s="1271"/>
      <c r="AZ10" s="860"/>
      <c r="BA10" s="860"/>
      <c r="BB10" s="1301"/>
      <c r="BC10" s="860" t="s">
        <v>8177</v>
      </c>
      <c r="BD10" s="860" t="s">
        <v>8202</v>
      </c>
      <c r="BE10" s="860"/>
      <c r="BF10" s="860" t="s">
        <v>8203</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5921</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8204</v>
      </c>
    </row>
    <row r="11">
      <c r="A11" s="1382" t="s">
        <v>8205</v>
      </c>
      <c r="B11" s="1101" t="s">
        <v>8206</v>
      </c>
      <c r="C11" s="1102" t="s">
        <v>545</v>
      </c>
      <c r="D11" s="1103" t="s">
        <v>438</v>
      </c>
      <c r="E11" s="1104" t="s">
        <v>330</v>
      </c>
      <c r="F11" s="1105" t="s">
        <v>219</v>
      </c>
      <c r="G11" s="1101" t="s">
        <v>5989</v>
      </c>
      <c r="H11" s="1377" t="s">
        <v>8207</v>
      </c>
      <c r="I11" s="1377" t="s">
        <v>8208</v>
      </c>
      <c r="J11" s="1271"/>
      <c r="K11" s="860" t="s">
        <v>8209</v>
      </c>
      <c r="L11" s="1305"/>
      <c r="M11" s="1271"/>
      <c r="N11" s="1271"/>
      <c r="O11" s="1271"/>
      <c r="P11" s="860" t="s">
        <v>8210</v>
      </c>
      <c r="Q11" s="1305"/>
      <c r="R11" s="1271"/>
      <c r="S11" s="1271"/>
      <c r="T11" s="860" t="s">
        <v>8211</v>
      </c>
      <c r="U11" s="860" t="s">
        <v>761</v>
      </c>
      <c r="V11" s="1305"/>
      <c r="W11" s="1271"/>
      <c r="X11" s="836" t="s">
        <v>2494</v>
      </c>
      <c r="Y11" s="836" t="s">
        <v>4196</v>
      </c>
      <c r="Z11" s="1271"/>
      <c r="AA11" s="1312" t="s">
        <v>6053</v>
      </c>
      <c r="AB11" s="1305"/>
      <c r="AC11" s="836" t="s">
        <v>2211</v>
      </c>
      <c r="AD11" s="836" t="s">
        <v>2292</v>
      </c>
      <c r="AE11" s="836" t="s">
        <v>6031</v>
      </c>
      <c r="AF11" s="1271"/>
      <c r="AG11" s="1305"/>
      <c r="AH11" s="1305"/>
      <c r="AI11" s="1305"/>
      <c r="AJ11" s="1305"/>
      <c r="AK11" s="1305"/>
      <c r="AL11" s="1271"/>
      <c r="AM11" s="860" t="s">
        <v>8039</v>
      </c>
      <c r="AN11" s="1312" t="s">
        <v>8109</v>
      </c>
      <c r="AO11" s="1271"/>
      <c r="AP11" s="956" t="s">
        <v>8039</v>
      </c>
      <c r="AQ11" s="1311" t="s">
        <v>8212</v>
      </c>
      <c r="AR11" s="1311" t="s">
        <v>8202</v>
      </c>
      <c r="AS11" s="1271"/>
      <c r="AT11" s="836" t="s">
        <v>8213</v>
      </c>
      <c r="AU11" s="836" t="s">
        <v>8214</v>
      </c>
      <c r="AV11" s="1311" t="s">
        <v>8215</v>
      </c>
      <c r="AW11" s="836" t="s">
        <v>8172</v>
      </c>
      <c r="AX11" s="1312" t="s">
        <v>8216</v>
      </c>
      <c r="AY11" s="1271"/>
      <c r="AZ11" s="1271"/>
      <c r="BA11" s="1271"/>
      <c r="BB11" s="836" t="s">
        <v>8214</v>
      </c>
      <c r="BC11" s="1271"/>
      <c r="BD11" s="1312" t="s">
        <v>8217</v>
      </c>
      <c r="BE11" s="1383" t="s">
        <v>8218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6482</v>
      </c>
      <c r="B12" s="1101" t="s">
        <v>8219</v>
      </c>
      <c r="C12" s="1102" t="s">
        <v>438</v>
      </c>
      <c r="D12" s="1103" t="s">
        <v>1063</v>
      </c>
      <c r="E12" s="1104" t="s">
        <v>545</v>
      </c>
      <c r="F12" s="1105" t="s">
        <v>219</v>
      </c>
      <c r="G12" s="1101" t="s">
        <v>4948</v>
      </c>
      <c r="H12" s="1387" t="str">
        <f>HYPERLINK("https://www.twitch.tv/videos/990301696","3:46.19")</f>
        <v>3:46.19</v>
      </c>
      <c r="I12" s="1377" t="s">
        <v>8220</v>
      </c>
      <c r="J12" s="860"/>
      <c r="K12" s="860" t="s">
        <v>8221</v>
      </c>
      <c r="L12" s="1305"/>
      <c r="M12" s="1388" t="str">
        <f>HYPERLINK("https://youtu.be/muKa7MrNAp8","2:59.41")</f>
        <v>2:59.41</v>
      </c>
      <c r="N12" s="1350"/>
      <c r="O12" s="112" t="s">
        <v>8222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8223</v>
      </c>
      <c r="X12" s="860"/>
      <c r="Y12" s="860" t="s">
        <v>8224</v>
      </c>
      <c r="Z12" s="1271"/>
      <c r="AA12" s="1271"/>
      <c r="AB12" s="1305"/>
      <c r="AC12" s="1271"/>
      <c r="AD12" s="860" t="s">
        <v>4248</v>
      </c>
      <c r="AE12" s="1271"/>
      <c r="AF12" s="1271"/>
      <c r="AG12" s="1305"/>
      <c r="AH12" s="860" t="s">
        <v>5831</v>
      </c>
      <c r="AI12" s="1314"/>
      <c r="AJ12" s="1314"/>
      <c r="AK12" s="1311" t="s">
        <v>8225</v>
      </c>
      <c r="AL12" s="1301"/>
      <c r="AM12" s="1314" t="s">
        <v>8172</v>
      </c>
      <c r="AN12" s="1271"/>
      <c r="AO12" s="1271"/>
      <c r="AP12" s="1271"/>
      <c r="AQ12" s="1271"/>
      <c r="AR12" s="1271"/>
      <c r="AS12" s="1271"/>
      <c r="AT12" s="860" t="s">
        <v>8226</v>
      </c>
      <c r="AU12" s="860" t="s">
        <v>8227</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8228</v>
      </c>
      <c r="C13" s="1102" t="s">
        <v>1260</v>
      </c>
      <c r="D13" s="1103" t="s">
        <v>545</v>
      </c>
      <c r="E13" s="1104" t="s">
        <v>1260</v>
      </c>
      <c r="F13" s="1105" t="s">
        <v>545</v>
      </c>
      <c r="G13" s="1101" t="s">
        <v>3836</v>
      </c>
      <c r="H13" s="1377"/>
      <c r="I13" s="1377" t="s">
        <v>8229</v>
      </c>
      <c r="J13" s="860" t="s">
        <v>8230</v>
      </c>
      <c r="K13" s="860" t="s">
        <v>8231</v>
      </c>
      <c r="L13" s="1305"/>
      <c r="M13" s="860" t="s">
        <v>8232</v>
      </c>
      <c r="N13" s="860" t="s">
        <v>8233</v>
      </c>
      <c r="O13" s="1271"/>
      <c r="P13" s="860" t="s">
        <v>8234</v>
      </c>
      <c r="Q13" s="1305"/>
      <c r="R13" s="1314" t="s">
        <v>8235</v>
      </c>
      <c r="S13" s="860" t="s">
        <v>8236</v>
      </c>
      <c r="T13" s="860" t="s">
        <v>8113</v>
      </c>
      <c r="U13" s="860" t="s">
        <v>8237</v>
      </c>
      <c r="V13" s="860" t="s">
        <v>8238</v>
      </c>
      <c r="W13" s="860" t="s">
        <v>4966</v>
      </c>
      <c r="X13" s="860" t="s">
        <v>4873</v>
      </c>
      <c r="Y13" s="860" t="s">
        <v>375</v>
      </c>
      <c r="Z13" s="1314" t="s">
        <v>3246</v>
      </c>
      <c r="AA13" s="860" t="s">
        <v>8239</v>
      </c>
      <c r="AB13" s="1314"/>
      <c r="AC13" s="1314" t="s">
        <v>2207</v>
      </c>
      <c r="AD13" s="1314" t="s">
        <v>8240</v>
      </c>
      <c r="AE13" s="860" t="s">
        <v>5139</v>
      </c>
      <c r="AF13" s="860" t="s">
        <v>8241</v>
      </c>
      <c r="AG13" s="1305"/>
      <c r="AH13" s="1305"/>
      <c r="AI13" s="1305"/>
      <c r="AJ13" s="1305"/>
      <c r="AK13" s="1305"/>
      <c r="AL13" s="860" t="s">
        <v>5532</v>
      </c>
      <c r="AM13" s="1314" t="s">
        <v>8158</v>
      </c>
      <c r="AN13" s="1314" t="s">
        <v>8242</v>
      </c>
      <c r="AO13" s="1271"/>
      <c r="AP13" s="860" t="s">
        <v>8243</v>
      </c>
      <c r="AQ13" s="860" t="s">
        <v>8039</v>
      </c>
      <c r="AR13" s="1314" t="s">
        <v>8244</v>
      </c>
      <c r="AS13" s="860" t="s">
        <v>8245</v>
      </c>
      <c r="AT13" s="860" t="s">
        <v>8246</v>
      </c>
      <c r="AU13" s="860" t="s">
        <v>8247</v>
      </c>
      <c r="AV13" s="112" t="s">
        <v>8248</v>
      </c>
      <c r="AW13" s="860" t="s">
        <v>8249</v>
      </c>
      <c r="AX13" s="860" t="s">
        <v>8226</v>
      </c>
      <c r="AY13" s="1271"/>
      <c r="AZ13" s="1314" t="s">
        <v>1726</v>
      </c>
      <c r="BA13" s="860"/>
      <c r="BB13" s="1314" t="s">
        <v>8250</v>
      </c>
      <c r="BC13" s="1314" t="s">
        <v>8251</v>
      </c>
      <c r="BD13" s="860" t="s">
        <v>8252</v>
      </c>
      <c r="BE13" s="860"/>
      <c r="BF13" s="1271"/>
      <c r="BG13" s="1384"/>
      <c r="BH13" s="1384"/>
      <c r="BI13" s="1384"/>
      <c r="BJ13" s="1384"/>
      <c r="BK13" s="1384"/>
      <c r="BL13" s="1385"/>
      <c r="BM13" s="1384"/>
      <c r="BN13" s="1384"/>
      <c r="BO13" s="1384"/>
      <c r="BP13" s="1384"/>
      <c r="BQ13" s="1305"/>
      <c r="BR13" s="1305"/>
      <c r="BS13" s="1305"/>
      <c r="BT13" s="1305"/>
      <c r="BU13" s="1305"/>
      <c r="BV13" s="860" t="s">
        <v>8253</v>
      </c>
      <c r="BW13" s="1305"/>
      <c r="BX13" s="860" t="s">
        <v>4519</v>
      </c>
      <c r="BY13" s="860" t="s">
        <v>3005</v>
      </c>
      <c r="BZ13" s="1271"/>
      <c r="CA13" s="1305"/>
      <c r="CB13" s="860" t="s">
        <v>1669</v>
      </c>
      <c r="CC13" s="1305"/>
      <c r="CD13" s="1305"/>
      <c r="CE13" s="1372"/>
      <c r="CF13" s="1271"/>
      <c r="CG13" s="1305"/>
      <c r="CH13" s="1372"/>
      <c r="CI13" s="1372"/>
      <c r="CJ13" s="1360" t="s">
        <v>8254</v>
      </c>
      <c r="CK13" s="1360"/>
      <c r="CL13" s="1373" t="s">
        <v>8043</v>
      </c>
      <c r="CM13" s="1360" t="s">
        <v>8255</v>
      </c>
      <c r="CN13" s="1360" t="s">
        <v>6073</v>
      </c>
      <c r="CO13" s="1360" t="s">
        <v>5686</v>
      </c>
      <c r="CP13" s="1360" t="s">
        <v>8135</v>
      </c>
      <c r="CQ13" s="1360" t="s">
        <v>8132</v>
      </c>
      <c r="CR13" s="1372"/>
      <c r="CS13" s="1372"/>
      <c r="CT13" s="96"/>
    </row>
    <row r="14">
      <c r="A14" s="1398" t="s">
        <v>4846</v>
      </c>
      <c r="B14" s="1101" t="s">
        <v>8256</v>
      </c>
      <c r="C14" s="1102" t="s">
        <v>330</v>
      </c>
      <c r="D14" s="1103" t="s">
        <v>330</v>
      </c>
      <c r="E14" s="1104" t="s">
        <v>1260</v>
      </c>
      <c r="F14" s="1105" t="s">
        <v>989</v>
      </c>
      <c r="G14" s="1101" t="s">
        <v>3985</v>
      </c>
      <c r="H14" s="1377"/>
      <c r="I14" s="1377" t="s">
        <v>8134</v>
      </c>
      <c r="J14" s="1271"/>
      <c r="K14" s="836" t="s">
        <v>8257</v>
      </c>
      <c r="L14" s="1305"/>
      <c r="M14" s="836" t="s">
        <v>8258</v>
      </c>
      <c r="N14" s="1271"/>
      <c r="O14" s="836" t="s">
        <v>8259</v>
      </c>
      <c r="P14" s="836" t="s">
        <v>8260</v>
      </c>
      <c r="Q14" s="1305"/>
      <c r="R14" s="1314" t="s">
        <v>8261</v>
      </c>
      <c r="S14" s="836" t="s">
        <v>8262</v>
      </c>
      <c r="T14" s="1271"/>
      <c r="U14" s="836" t="s">
        <v>8263</v>
      </c>
      <c r="V14" s="1301"/>
      <c r="W14" s="860" t="s">
        <v>5085</v>
      </c>
      <c r="X14" s="836" t="s">
        <v>6926</v>
      </c>
      <c r="Y14" s="1314" t="s">
        <v>2678</v>
      </c>
      <c r="Z14" s="1271"/>
      <c r="AA14" s="1271"/>
      <c r="AB14" s="1305"/>
      <c r="AC14" s="860" t="s">
        <v>8264</v>
      </c>
      <c r="AD14" s="823" t="s">
        <v>4248</v>
      </c>
      <c r="AE14" s="1271"/>
      <c r="AF14" s="1271"/>
      <c r="AG14" s="1305"/>
      <c r="AH14" s="1314" t="s">
        <v>5331</v>
      </c>
      <c r="AI14" s="1305"/>
      <c r="AJ14" s="1305"/>
      <c r="AK14" s="1314" t="s">
        <v>4756</v>
      </c>
      <c r="AL14" s="860"/>
      <c r="AM14" s="836" t="s">
        <v>8155</v>
      </c>
      <c r="AN14" s="1271"/>
      <c r="AO14" s="1271"/>
      <c r="AP14" s="836" t="s">
        <v>8265</v>
      </c>
      <c r="AQ14" s="1271"/>
      <c r="AR14" s="1271"/>
      <c r="AS14" s="1271"/>
      <c r="AT14" s="860" t="s">
        <v>8266</v>
      </c>
      <c r="AU14" s="1271"/>
      <c r="AV14" s="1271"/>
      <c r="AW14" s="1271"/>
      <c r="AX14" s="1271"/>
      <c r="AY14" s="1271"/>
      <c r="AZ14" s="1312" t="s">
        <v>8267</v>
      </c>
      <c r="BA14" s="1301"/>
      <c r="BB14" s="836" t="s">
        <v>8268</v>
      </c>
      <c r="BC14" s="1365" t="s">
        <v>8251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8269</v>
      </c>
      <c r="CF14" s="1362" t="s">
        <v>8270</v>
      </c>
      <c r="CG14" s="1399" t="s">
        <v>8271</v>
      </c>
      <c r="CH14" s="1372"/>
      <c r="CI14" s="1372"/>
      <c r="CJ14" s="1372"/>
      <c r="CK14" s="1372"/>
      <c r="CL14" s="1372"/>
      <c r="CM14" s="1372"/>
      <c r="CN14" s="1373" t="s">
        <v>6073</v>
      </c>
      <c r="CO14" s="1372"/>
      <c r="CP14" s="1372"/>
      <c r="CQ14" s="1372"/>
      <c r="CR14" s="1399" t="s">
        <v>5827</v>
      </c>
      <c r="CS14" s="1372"/>
      <c r="CT14" s="1305"/>
    </row>
    <row r="15">
      <c r="A15" s="1355" t="s">
        <v>1807</v>
      </c>
      <c r="B15" s="1101" t="s">
        <v>8272</v>
      </c>
      <c r="C15" s="1102" t="s">
        <v>330</v>
      </c>
      <c r="D15" s="1103" t="s">
        <v>545</v>
      </c>
      <c r="E15" s="1104" t="s">
        <v>545</v>
      </c>
      <c r="F15" s="1105" t="s">
        <v>437</v>
      </c>
      <c r="G15" s="1101" t="s">
        <v>331</v>
      </c>
      <c r="H15" s="1377"/>
      <c r="I15" s="1377"/>
      <c r="J15" s="1271"/>
      <c r="K15" s="1271"/>
      <c r="L15" s="1305"/>
      <c r="M15" s="1314" t="s">
        <v>8273</v>
      </c>
      <c r="N15" s="1271"/>
      <c r="O15" s="1271"/>
      <c r="P15" s="1271"/>
      <c r="Q15" s="1306" t="s">
        <v>8274</v>
      </c>
      <c r="R15" s="1271"/>
      <c r="S15" s="1271"/>
      <c r="T15" s="1271"/>
      <c r="U15" s="1271"/>
      <c r="V15" s="1305"/>
      <c r="W15" s="1314" t="s">
        <v>5838</v>
      </c>
      <c r="X15" s="860"/>
      <c r="Y15" s="836" t="s">
        <v>1155</v>
      </c>
      <c r="Z15" s="1271"/>
      <c r="AA15" s="1271"/>
      <c r="AB15" s="1305"/>
      <c r="AC15" s="1314" t="s">
        <v>5483</v>
      </c>
      <c r="AD15" s="1312" t="s">
        <v>609</v>
      </c>
      <c r="AE15" s="1271"/>
      <c r="AF15" s="1271"/>
      <c r="AG15" s="1305"/>
      <c r="AH15" s="1305"/>
      <c r="AI15" s="1305"/>
      <c r="AJ15" s="1305"/>
      <c r="AK15" s="1305"/>
      <c r="AL15" s="1271"/>
      <c r="AM15" s="1271"/>
      <c r="AN15" s="1271"/>
      <c r="AO15" s="1271"/>
      <c r="AP15" s="1314" t="s">
        <v>8131</v>
      </c>
      <c r="AQ15" s="860"/>
      <c r="AR15" s="1314" t="s">
        <v>8275</v>
      </c>
      <c r="AS15" s="860"/>
      <c r="AT15" s="1271"/>
      <c r="AU15" s="1314" t="s">
        <v>8214</v>
      </c>
      <c r="AV15" s="860"/>
      <c r="AW15" s="1314" t="s">
        <v>8276</v>
      </c>
      <c r="AX15" s="1271"/>
      <c r="AY15" s="1271"/>
      <c r="AZ15" s="1271"/>
      <c r="BA15" s="1271"/>
      <c r="BB15" s="1306" t="s">
        <v>8277</v>
      </c>
      <c r="BC15" s="1311" t="s">
        <v>8037</v>
      </c>
      <c r="BD15" s="1271"/>
      <c r="BE15" s="1305"/>
      <c r="BF15" s="1271"/>
      <c r="BG15" s="1305"/>
      <c r="BH15" s="1305"/>
      <c r="BI15" s="1305"/>
      <c r="BJ15" s="1305"/>
      <c r="BK15" s="1305"/>
      <c r="BL15" s="1271"/>
      <c r="BM15" s="1306" t="s">
        <v>8278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8279</v>
      </c>
      <c r="C16" s="1102" t="s">
        <v>1063</v>
      </c>
      <c r="D16" s="1103" t="s">
        <v>545</v>
      </c>
      <c r="E16" s="1104" t="s">
        <v>1260</v>
      </c>
      <c r="F16" s="1105" t="s">
        <v>646</v>
      </c>
      <c r="G16" s="1101" t="s">
        <v>331</v>
      </c>
      <c r="H16" s="1401" t="s">
        <v>8280</v>
      </c>
      <c r="I16" s="1401" t="s">
        <v>8263</v>
      </c>
      <c r="J16" s="1306" t="s">
        <v>8281</v>
      </c>
      <c r="K16" s="1306" t="s">
        <v>8282</v>
      </c>
      <c r="L16" s="860" t="s">
        <v>8283</v>
      </c>
      <c r="M16" s="1271"/>
      <c r="N16" s="1306" t="s">
        <v>3632</v>
      </c>
      <c r="O16" s="1312" t="s">
        <v>8284</v>
      </c>
      <c r="P16" s="1271"/>
      <c r="Q16" s="860" t="s">
        <v>8285</v>
      </c>
      <c r="R16" s="860" t="s">
        <v>8286</v>
      </c>
      <c r="S16" s="1306" t="s">
        <v>8287</v>
      </c>
      <c r="T16" s="1306" t="s">
        <v>8288</v>
      </c>
      <c r="U16" s="860" t="s">
        <v>8289</v>
      </c>
      <c r="V16" s="860" t="s">
        <v>8290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7890</v>
      </c>
      <c r="B17" s="1101" t="s">
        <v>8291</v>
      </c>
      <c r="C17" s="1102" t="s">
        <v>437</v>
      </c>
      <c r="D17" s="1103" t="s">
        <v>436</v>
      </c>
      <c r="E17" s="1104" t="s">
        <v>1260</v>
      </c>
      <c r="F17" s="1105" t="s">
        <v>3314</v>
      </c>
      <c r="G17" s="1101" t="s">
        <v>1202</v>
      </c>
      <c r="H17" s="1377"/>
      <c r="I17" s="1377"/>
      <c r="J17" s="1271"/>
      <c r="K17" s="1271"/>
      <c r="L17" s="1305"/>
      <c r="M17" s="1271"/>
      <c r="N17" s="1271"/>
      <c r="O17" s="1271"/>
      <c r="P17" s="1271"/>
      <c r="Q17" s="1305"/>
      <c r="R17" s="1271"/>
      <c r="S17" s="1271"/>
      <c r="T17" s="1271"/>
      <c r="U17" s="1271"/>
      <c r="V17" s="1305"/>
      <c r="W17" s="1306" t="s">
        <v>8292</v>
      </c>
      <c r="X17" s="1312" t="s">
        <v>1742</v>
      </c>
      <c r="Y17" s="1271"/>
      <c r="Z17" s="1271"/>
      <c r="AA17" s="1271"/>
      <c r="AB17" s="1306" t="s">
        <v>8293</v>
      </c>
      <c r="AC17" s="1312" t="s">
        <v>2453</v>
      </c>
      <c r="AD17" s="836" t="s">
        <v>3131</v>
      </c>
      <c r="AE17" s="1301"/>
      <c r="AF17" s="1306" t="s">
        <v>8294</v>
      </c>
      <c r="AG17" s="1305"/>
      <c r="AH17" s="1306" t="s">
        <v>1701</v>
      </c>
      <c r="AI17" s="1306" t="s">
        <v>3078</v>
      </c>
      <c r="AJ17" s="1305"/>
      <c r="AK17" s="860" t="s">
        <v>4250</v>
      </c>
      <c r="AL17" s="1271"/>
      <c r="AM17" s="1271"/>
      <c r="AN17" s="1271"/>
      <c r="AO17" s="1271"/>
      <c r="AP17" s="836" t="s">
        <v>8295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8296</v>
      </c>
      <c r="C18" s="1102" t="s">
        <v>545</v>
      </c>
      <c r="D18" s="1103" t="s">
        <v>1260</v>
      </c>
      <c r="E18" s="1104" t="s">
        <v>545</v>
      </c>
      <c r="F18" s="1105" t="s">
        <v>436</v>
      </c>
      <c r="G18" s="1101" t="s">
        <v>2991</v>
      </c>
      <c r="H18" s="1377"/>
      <c r="I18" s="1377" t="s">
        <v>8297</v>
      </c>
      <c r="J18" s="860"/>
      <c r="K18" s="1314" t="s">
        <v>8298</v>
      </c>
      <c r="L18" s="1314"/>
      <c r="M18" s="1314" t="s">
        <v>8299</v>
      </c>
      <c r="N18" s="1271"/>
      <c r="O18" s="1314" t="s">
        <v>8300</v>
      </c>
      <c r="P18" s="1271"/>
      <c r="Q18" s="1305"/>
      <c r="R18" s="860" t="s">
        <v>8301</v>
      </c>
      <c r="S18" s="1350" t="s">
        <v>4019</v>
      </c>
      <c r="T18" s="1314" t="s">
        <v>8302</v>
      </c>
      <c r="U18" s="860" t="s">
        <v>3747</v>
      </c>
      <c r="V18" s="1314"/>
      <c r="W18" s="1314" t="s">
        <v>4440</v>
      </c>
      <c r="X18" s="860" t="s">
        <v>3686</v>
      </c>
      <c r="Y18" s="1314" t="s">
        <v>2770</v>
      </c>
      <c r="Z18" s="1271"/>
      <c r="AA18" s="1271"/>
      <c r="AB18" s="1305"/>
      <c r="AC18" s="1314" t="s">
        <v>8303</v>
      </c>
      <c r="AD18" s="860" t="s">
        <v>2018</v>
      </c>
      <c r="AE18" s="860"/>
      <c r="AF18" s="1314" t="s">
        <v>8304</v>
      </c>
      <c r="AG18" s="1306" t="s">
        <v>8305</v>
      </c>
      <c r="AH18" s="1311" t="s">
        <v>1269</v>
      </c>
      <c r="AI18" s="1305"/>
      <c r="AJ18" s="1305"/>
      <c r="AK18" s="1314" t="s">
        <v>707</v>
      </c>
      <c r="AL18" s="1271"/>
      <c r="AM18" s="1314" t="s">
        <v>8217</v>
      </c>
      <c r="AN18" s="1271"/>
      <c r="AO18" s="1271"/>
      <c r="AP18" s="860" t="s">
        <v>8057</v>
      </c>
      <c r="AQ18" s="860"/>
      <c r="AR18" s="860" t="s">
        <v>8083</v>
      </c>
      <c r="AS18" s="860" t="s">
        <v>8306</v>
      </c>
      <c r="AT18" s="860" t="s">
        <v>8307</v>
      </c>
      <c r="AU18" s="860" t="s">
        <v>8308</v>
      </c>
      <c r="AV18" s="860"/>
      <c r="AW18" s="1271"/>
      <c r="AX18" s="1271"/>
      <c r="AY18" s="1271"/>
      <c r="AZ18" s="1314" t="s">
        <v>4705</v>
      </c>
      <c r="BA18" s="860"/>
      <c r="BB18" s="1314" t="s">
        <v>8214</v>
      </c>
      <c r="BC18" s="1314" t="s">
        <v>8309</v>
      </c>
      <c r="BD18" s="1314" t="s">
        <v>8113</v>
      </c>
      <c r="BE18" s="1314"/>
      <c r="BF18" s="860"/>
      <c r="BG18" s="1305"/>
      <c r="BH18" s="1305"/>
      <c r="BI18" s="1305"/>
      <c r="BJ18" s="1305"/>
      <c r="BK18" s="1305"/>
      <c r="BL18" s="1271"/>
      <c r="BM18" s="1305"/>
      <c r="BN18" s="1314" t="s">
        <v>8310</v>
      </c>
      <c r="BO18" s="1314" t="s">
        <v>8311</v>
      </c>
      <c r="BP18" s="1314"/>
      <c r="BQ18" s="1305"/>
      <c r="BR18" s="1305"/>
      <c r="BS18" s="1305"/>
      <c r="BT18" s="1305"/>
      <c r="BU18" s="1305"/>
      <c r="BV18" s="1378" t="s">
        <v>4807</v>
      </c>
      <c r="BW18" s="1305"/>
      <c r="BX18" s="1271"/>
      <c r="BY18" s="860" t="s">
        <v>2183</v>
      </c>
      <c r="BZ18" s="1271"/>
      <c r="CA18" s="1305"/>
      <c r="CB18" s="860" t="s">
        <v>4514</v>
      </c>
      <c r="CC18" s="1314" t="s">
        <v>8312</v>
      </c>
      <c r="CD18" s="1314"/>
      <c r="CE18" s="1305"/>
      <c r="CF18" s="1271"/>
      <c r="CG18" s="1305"/>
      <c r="CH18" s="1305"/>
      <c r="CI18" s="1305"/>
      <c r="CJ18" s="1305"/>
      <c r="CK18" s="1305"/>
      <c r="CL18" s="1305"/>
      <c r="CM18" s="1314" t="s">
        <v>8313</v>
      </c>
      <c r="CN18" s="1314" t="s">
        <v>1876</v>
      </c>
      <c r="CO18" s="1314" t="s">
        <v>5115</v>
      </c>
      <c r="CP18" s="1314" t="s">
        <v>8314</v>
      </c>
      <c r="CQ18" s="860" t="s">
        <v>8315</v>
      </c>
      <c r="CR18" s="1314" t="s">
        <v>3280</v>
      </c>
      <c r="CS18" s="860" t="s">
        <v>8316</v>
      </c>
      <c r="CT18" s="96"/>
    </row>
    <row r="19">
      <c r="A19" s="1404" t="s">
        <v>4724</v>
      </c>
      <c r="B19" s="1101" t="s">
        <v>8317</v>
      </c>
      <c r="C19" s="1102" t="s">
        <v>1260</v>
      </c>
      <c r="D19" s="1103" t="s">
        <v>1260</v>
      </c>
      <c r="E19" s="1104" t="s">
        <v>1260</v>
      </c>
      <c r="F19" s="1105" t="s">
        <v>545</v>
      </c>
      <c r="G19" s="1101" t="s">
        <v>3367</v>
      </c>
      <c r="H19" s="1377"/>
      <c r="I19" s="1377" t="s">
        <v>8318</v>
      </c>
      <c r="J19" s="860"/>
      <c r="K19" s="860" t="s">
        <v>7255</v>
      </c>
      <c r="L19" s="1314"/>
      <c r="M19" s="1271"/>
      <c r="N19" s="1271"/>
      <c r="O19" s="1271"/>
      <c r="P19" s="1271"/>
      <c r="Q19" s="1305"/>
      <c r="R19" s="1314" t="s">
        <v>8319</v>
      </c>
      <c r="S19" s="1271"/>
      <c r="T19" s="1314" t="s">
        <v>8320</v>
      </c>
      <c r="U19" s="1314" t="s">
        <v>8321</v>
      </c>
      <c r="V19" s="1314" t="s">
        <v>8322</v>
      </c>
      <c r="W19" s="1314" t="s">
        <v>3589</v>
      </c>
      <c r="X19" s="860" t="s">
        <v>2578</v>
      </c>
      <c r="Y19" s="1314" t="s">
        <v>8323</v>
      </c>
      <c r="Z19" s="1271"/>
      <c r="AA19" s="1271"/>
      <c r="AB19" s="1305"/>
      <c r="AC19" s="836" t="s">
        <v>342</v>
      </c>
      <c r="AD19" s="1314" t="s">
        <v>3810</v>
      </c>
      <c r="AE19" s="860"/>
      <c r="AF19" s="1314" t="s">
        <v>8324</v>
      </c>
      <c r="AG19" s="1314"/>
      <c r="AH19" s="1314" t="s">
        <v>8325</v>
      </c>
      <c r="AI19" s="1305"/>
      <c r="AJ19" s="1305"/>
      <c r="AK19" s="1305"/>
      <c r="AL19" s="1271"/>
      <c r="AM19" s="1271"/>
      <c r="AN19" s="1271"/>
      <c r="AO19" s="1271"/>
      <c r="AP19" s="860" t="s">
        <v>8057</v>
      </c>
      <c r="AQ19" s="1271"/>
      <c r="AR19" s="860" t="s">
        <v>8326</v>
      </c>
      <c r="AS19" s="1271"/>
      <c r="AT19" s="1271"/>
      <c r="AU19" s="860" t="s">
        <v>8327</v>
      </c>
      <c r="AV19" s="860"/>
      <c r="AW19" s="860" t="s">
        <v>8088</v>
      </c>
      <c r="AX19" s="1271"/>
      <c r="AY19" s="1271"/>
      <c r="AZ19" s="1314" t="s">
        <v>2222</v>
      </c>
      <c r="BA19" s="860"/>
      <c r="BB19" s="1271"/>
      <c r="BC19" s="1314" t="s">
        <v>8328</v>
      </c>
      <c r="BD19" s="860" t="s">
        <v>8329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8330</v>
      </c>
      <c r="C20" s="1102" t="s">
        <v>1260</v>
      </c>
      <c r="D20" s="1103" t="s">
        <v>1260</v>
      </c>
      <c r="E20" s="1104" t="s">
        <v>1260</v>
      </c>
      <c r="F20" s="1105" t="s">
        <v>1260</v>
      </c>
      <c r="G20" s="1101" t="s">
        <v>3367</v>
      </c>
      <c r="H20" s="1377" t="s">
        <v>8331</v>
      </c>
      <c r="I20" s="1377" t="s">
        <v>8332</v>
      </c>
      <c r="J20" s="860" t="s">
        <v>8333</v>
      </c>
      <c r="K20" s="1377" t="s">
        <v>8334</v>
      </c>
      <c r="L20" s="860" t="s">
        <v>8335</v>
      </c>
      <c r="M20" s="860" t="s">
        <v>8120</v>
      </c>
      <c r="N20" s="860" t="s">
        <v>8336</v>
      </c>
      <c r="O20" s="860" t="s">
        <v>8337</v>
      </c>
      <c r="P20" s="860" t="s">
        <v>8338</v>
      </c>
      <c r="Q20" s="1305"/>
      <c r="R20" s="860" t="s">
        <v>8222</v>
      </c>
      <c r="S20" s="112" t="s">
        <v>8339</v>
      </c>
      <c r="T20" s="1271"/>
      <c r="U20" s="1405" t="s">
        <v>8340</v>
      </c>
      <c r="V20" s="860" t="s">
        <v>8341</v>
      </c>
      <c r="W20" s="1314" t="s">
        <v>8342</v>
      </c>
      <c r="X20" s="860" t="s">
        <v>8343</v>
      </c>
      <c r="Y20" s="860" t="s">
        <v>245</v>
      </c>
      <c r="Z20" s="1271"/>
      <c r="AA20" s="1271"/>
      <c r="AB20" s="1305"/>
      <c r="AC20" s="1314" t="s">
        <v>8344</v>
      </c>
      <c r="AD20" s="860" t="s">
        <v>4158</v>
      </c>
      <c r="AE20" s="1271"/>
      <c r="AF20" s="1271"/>
      <c r="AG20" s="1305"/>
      <c r="AH20" s="1305"/>
      <c r="AI20" s="1305"/>
      <c r="AJ20" s="1305"/>
      <c r="AK20" s="1305"/>
      <c r="AL20" s="1271"/>
      <c r="AM20" s="860"/>
      <c r="AN20" s="1271"/>
      <c r="AO20" s="1271"/>
      <c r="AP20" s="860" t="s">
        <v>8133</v>
      </c>
      <c r="AQ20" s="860" t="s">
        <v>8345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6429</v>
      </c>
      <c r="B21" s="1101" t="s">
        <v>8346</v>
      </c>
      <c r="C21" s="1102" t="s">
        <v>1260</v>
      </c>
      <c r="D21" s="1103" t="s">
        <v>1260</v>
      </c>
      <c r="E21" s="1104" t="s">
        <v>1260</v>
      </c>
      <c r="F21" s="1105" t="s">
        <v>1260</v>
      </c>
      <c r="G21" s="1101" t="s">
        <v>219</v>
      </c>
      <c r="H21" s="1377"/>
      <c r="I21" s="1377" t="s">
        <v>8347</v>
      </c>
      <c r="J21" s="860"/>
      <c r="K21" s="1314" t="s">
        <v>8348</v>
      </c>
      <c r="L21" s="1314"/>
      <c r="M21" s="860"/>
      <c r="N21" s="860"/>
      <c r="O21" s="1314" t="s">
        <v>8349</v>
      </c>
      <c r="P21" s="860"/>
      <c r="Q21" s="1305"/>
      <c r="R21" s="1271"/>
      <c r="S21" s="1271"/>
      <c r="T21" s="860"/>
      <c r="U21" s="1314" t="s">
        <v>8350</v>
      </c>
      <c r="V21" s="1314"/>
      <c r="W21" s="1314" t="s">
        <v>2299</v>
      </c>
      <c r="X21" s="860"/>
      <c r="Y21" s="1314" t="s">
        <v>3260</v>
      </c>
      <c r="Z21" s="860"/>
      <c r="AA21" s="860"/>
      <c r="AB21" s="1314"/>
      <c r="AC21" s="1314" t="s">
        <v>8351</v>
      </c>
      <c r="AD21" s="1314" t="s">
        <v>4839</v>
      </c>
      <c r="AE21" s="860"/>
      <c r="AF21" s="860"/>
      <c r="AG21" s="1314"/>
      <c r="AH21" s="1305"/>
      <c r="AI21" s="1305"/>
      <c r="AJ21" s="1305"/>
      <c r="AK21" s="1305"/>
      <c r="AL21" s="1271"/>
      <c r="AM21" s="1314" t="s">
        <v>8265</v>
      </c>
      <c r="AN21" s="1271"/>
      <c r="AO21" s="1271"/>
      <c r="AP21" s="1314" t="s">
        <v>8352</v>
      </c>
      <c r="AQ21" s="860"/>
      <c r="AR21" s="1314" t="s">
        <v>8353</v>
      </c>
      <c r="AS21" s="860"/>
      <c r="AT21" s="1314" t="s">
        <v>8354</v>
      </c>
      <c r="AU21" s="1314" t="s">
        <v>8355</v>
      </c>
      <c r="AV21" s="860"/>
      <c r="AW21" s="860"/>
      <c r="AX21" s="1271"/>
      <c r="AY21" s="1271"/>
      <c r="AZ21" s="1314" t="s">
        <v>5097</v>
      </c>
      <c r="BA21" s="860"/>
      <c r="BB21" s="1314" t="s">
        <v>8089</v>
      </c>
      <c r="BC21" s="1314" t="s">
        <v>8212</v>
      </c>
      <c r="BD21" s="1314" t="s">
        <v>8252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7860</v>
      </c>
      <c r="B22" s="1101" t="s">
        <v>6354</v>
      </c>
      <c r="C22" s="1102" t="s">
        <v>1260</v>
      </c>
      <c r="D22" s="1103" t="s">
        <v>1260</v>
      </c>
      <c r="E22" s="1104" t="s">
        <v>545</v>
      </c>
      <c r="F22" s="1105" t="s">
        <v>436</v>
      </c>
      <c r="G22" s="1101" t="s">
        <v>219</v>
      </c>
      <c r="H22" s="1377" t="s">
        <v>8356</v>
      </c>
      <c r="I22" s="1377"/>
      <c r="J22" s="1271"/>
      <c r="K22" s="1314" t="s">
        <v>8357</v>
      </c>
      <c r="L22" s="1314"/>
      <c r="M22" s="1271"/>
      <c r="N22" s="1271"/>
      <c r="O22" s="1271"/>
      <c r="P22" s="1271"/>
      <c r="Q22" s="1314" t="s">
        <v>8358</v>
      </c>
      <c r="R22" s="1314" t="s">
        <v>8359</v>
      </c>
      <c r="S22" s="1271"/>
      <c r="T22" s="1314" t="s">
        <v>8360</v>
      </c>
      <c r="U22" s="1407" t="s">
        <v>2896</v>
      </c>
      <c r="V22" s="1407"/>
      <c r="W22" s="1314" t="s">
        <v>367</v>
      </c>
      <c r="X22" s="860"/>
      <c r="Y22" s="1314" t="s">
        <v>4879</v>
      </c>
      <c r="Z22" s="1271"/>
      <c r="AA22" s="1271"/>
      <c r="AB22" s="1305"/>
      <c r="AC22" s="1314" t="s">
        <v>8361</v>
      </c>
      <c r="AD22" s="1314" t="s">
        <v>4046</v>
      </c>
      <c r="AE22" s="1301"/>
      <c r="AF22" s="836" t="s">
        <v>723</v>
      </c>
      <c r="AG22" s="1323"/>
      <c r="AH22" s="1314" t="s">
        <v>3273</v>
      </c>
      <c r="AI22" s="1314" t="s">
        <v>5536</v>
      </c>
      <c r="AJ22" s="1305"/>
      <c r="AK22" s="1305"/>
      <c r="AL22" s="1271"/>
      <c r="AM22" s="1271"/>
      <c r="AN22" s="1271"/>
      <c r="AO22" s="1271"/>
      <c r="AP22" s="1271"/>
      <c r="AQ22" s="1271"/>
      <c r="AR22" s="1271"/>
      <c r="AS22" s="1271"/>
      <c r="AT22" s="1271"/>
      <c r="AU22" s="1271"/>
      <c r="AV22" s="1271"/>
      <c r="AW22" s="1271"/>
      <c r="AX22" s="860"/>
      <c r="AY22" s="1314" t="s">
        <v>8251</v>
      </c>
      <c r="AZ22" s="1271"/>
      <c r="BA22" s="1271"/>
      <c r="BB22" s="1314" t="s">
        <v>8218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8362</v>
      </c>
    </row>
    <row r="23">
      <c r="A23" s="1410" t="s">
        <v>7851</v>
      </c>
      <c r="B23" s="1101" t="s">
        <v>6390</v>
      </c>
      <c r="C23" s="1102" t="s">
        <v>1260</v>
      </c>
      <c r="D23" s="1103" t="s">
        <v>1260</v>
      </c>
      <c r="E23" s="1104" t="s">
        <v>1260</v>
      </c>
      <c r="F23" s="1105" t="s">
        <v>1260</v>
      </c>
      <c r="G23" s="1101" t="s">
        <v>2693</v>
      </c>
      <c r="H23" s="1377"/>
      <c r="I23" s="1377" t="s">
        <v>8363</v>
      </c>
      <c r="J23" s="860"/>
      <c r="K23" s="860" t="s">
        <v>8364</v>
      </c>
      <c r="L23" s="1314"/>
      <c r="M23" s="1271"/>
      <c r="N23" s="1305" t="s">
        <v>8365</v>
      </c>
      <c r="O23" s="1271"/>
      <c r="P23" s="1271"/>
      <c r="Q23" s="1305"/>
      <c r="R23" s="1314" t="s">
        <v>8366</v>
      </c>
      <c r="S23" s="1271"/>
      <c r="T23" s="1314" t="s">
        <v>8367</v>
      </c>
      <c r="U23" s="1314" t="s">
        <v>8368</v>
      </c>
      <c r="V23" s="1314"/>
      <c r="W23" s="1314" t="s">
        <v>3162</v>
      </c>
      <c r="X23" s="860"/>
      <c r="Y23" s="1314" t="s">
        <v>1018</v>
      </c>
      <c r="Z23" s="1305" t="s">
        <v>8369</v>
      </c>
      <c r="AA23" s="1271"/>
      <c r="AB23" s="1305"/>
      <c r="AC23" s="860"/>
      <c r="AD23" s="1314" t="s">
        <v>1905</v>
      </c>
      <c r="AE23" s="860"/>
      <c r="AF23" s="860"/>
      <c r="AG23" s="1314"/>
      <c r="AH23" s="1314"/>
      <c r="AI23" s="1305" t="s">
        <v>8370</v>
      </c>
      <c r="AJ23" s="1305"/>
      <c r="AK23" s="1305"/>
      <c r="AL23" s="1271"/>
      <c r="AM23" s="1305" t="s">
        <v>8371</v>
      </c>
      <c r="AN23" s="1271"/>
      <c r="AO23" s="1271"/>
      <c r="AP23" s="860" t="s">
        <v>8372</v>
      </c>
      <c r="AQ23" s="1271"/>
      <c r="AR23" s="1305" t="s">
        <v>8373</v>
      </c>
      <c r="AS23" s="1271"/>
      <c r="AT23" s="1305" t="s">
        <v>8374</v>
      </c>
      <c r="AU23" s="860" t="s">
        <v>8375</v>
      </c>
      <c r="AV23" s="860"/>
      <c r="AW23" s="860" t="s">
        <v>8265</v>
      </c>
      <c r="AX23" s="1271"/>
      <c r="AY23" s="1305" t="s">
        <v>8269</v>
      </c>
      <c r="AZ23" s="860"/>
      <c r="BA23" s="860"/>
      <c r="BB23" s="1305" t="s">
        <v>8376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8377</v>
      </c>
      <c r="C24" s="1102" t="s">
        <v>1260</v>
      </c>
      <c r="D24" s="1103" t="s">
        <v>545</v>
      </c>
      <c r="E24" s="1104" t="s">
        <v>436</v>
      </c>
      <c r="F24" s="1105" t="s">
        <v>437</v>
      </c>
      <c r="G24" s="1101" t="s">
        <v>5097</v>
      </c>
      <c r="H24" s="1387" t="s">
        <v>8378</v>
      </c>
      <c r="I24" s="1387" t="s">
        <v>5227</v>
      </c>
      <c r="J24" s="1301"/>
      <c r="K24" s="1314" t="s">
        <v>8379</v>
      </c>
      <c r="L24" s="1314"/>
      <c r="M24" s="860"/>
      <c r="N24" s="1314" t="s">
        <v>8380</v>
      </c>
      <c r="O24" s="1314" t="s">
        <v>8381</v>
      </c>
      <c r="P24" s="1314" t="s">
        <v>8382</v>
      </c>
      <c r="Q24" s="1314" t="s">
        <v>8383</v>
      </c>
      <c r="R24" s="1314" t="s">
        <v>8384</v>
      </c>
      <c r="S24" s="1314" t="s">
        <v>5247</v>
      </c>
      <c r="T24" s="1314" t="s">
        <v>8385</v>
      </c>
      <c r="U24" s="1314" t="s">
        <v>8386</v>
      </c>
      <c r="V24" s="1314"/>
      <c r="W24" s="1314" t="s">
        <v>5936</v>
      </c>
      <c r="X24" s="860"/>
      <c r="Y24" s="1271"/>
      <c r="Z24" s="1271"/>
      <c r="AA24" s="1271"/>
      <c r="AB24" s="1305"/>
      <c r="AC24" s="1314" t="s">
        <v>8387</v>
      </c>
      <c r="AD24" s="1314" t="s">
        <v>5730</v>
      </c>
      <c r="AE24" s="860"/>
      <c r="AF24" s="1314" t="s">
        <v>7478</v>
      </c>
      <c r="AG24" s="1314"/>
      <c r="AH24" s="1314" t="s">
        <v>3354</v>
      </c>
      <c r="AI24" s="1314"/>
      <c r="AJ24" s="1314"/>
      <c r="AK24" s="1305"/>
      <c r="AL24" s="1271"/>
      <c r="AM24" s="1314" t="s">
        <v>8388</v>
      </c>
      <c r="AN24" s="1314" t="s">
        <v>8227</v>
      </c>
      <c r="AO24" s="1314" t="s">
        <v>8156</v>
      </c>
      <c r="AP24" s="1314" t="s">
        <v>8389</v>
      </c>
      <c r="AQ24" s="860"/>
      <c r="AR24" s="1314" t="s">
        <v>8306</v>
      </c>
      <c r="AS24" s="860"/>
      <c r="AT24" s="1314" t="s">
        <v>8390</v>
      </c>
      <c r="AU24" s="1314" t="s">
        <v>8391</v>
      </c>
      <c r="AV24" s="860"/>
      <c r="AW24" s="1314" t="s">
        <v>8217</v>
      </c>
      <c r="AX24" s="860"/>
      <c r="AY24" s="1314" t="s">
        <v>8295</v>
      </c>
      <c r="AZ24" s="1271"/>
      <c r="BA24" s="1271"/>
      <c r="BB24" s="1314" t="s">
        <v>8242</v>
      </c>
      <c r="BC24" s="860" t="s">
        <v>8295</v>
      </c>
      <c r="BD24" s="1314" t="s">
        <v>8308</v>
      </c>
      <c r="BE24" s="1314"/>
      <c r="BF24" s="860"/>
      <c r="BG24" s="1412" t="s">
        <v>8392</v>
      </c>
      <c r="BH24" s="1413" t="s">
        <v>8393</v>
      </c>
      <c r="BI24" s="1214"/>
      <c r="BJ24" s="1214"/>
      <c r="BK24" s="1214"/>
      <c r="BL24" s="1214" t="s">
        <v>8394</v>
      </c>
      <c r="BM24" s="1214" t="s">
        <v>8395</v>
      </c>
      <c r="BN24" s="1214"/>
      <c r="BO24" s="1214"/>
      <c r="BP24" s="1214"/>
      <c r="BQ24" s="1305"/>
      <c r="BR24" s="1414" t="s">
        <v>8396</v>
      </c>
      <c r="BS24" s="1305"/>
      <c r="BT24" s="1305"/>
      <c r="BU24" s="1305"/>
      <c r="BV24" s="1415" t="s">
        <v>161</v>
      </c>
      <c r="BW24" s="1314" t="s">
        <v>1781</v>
      </c>
      <c r="BX24" s="1314" t="s">
        <v>1632</v>
      </c>
      <c r="BY24" s="1311" t="s">
        <v>4916</v>
      </c>
      <c r="BZ24" s="1314" t="s">
        <v>2207</v>
      </c>
      <c r="CA24" s="1314" t="s">
        <v>5443</v>
      </c>
      <c r="CB24" s="1314" t="s">
        <v>2123</v>
      </c>
      <c r="CC24" s="1314" t="s">
        <v>8397</v>
      </c>
      <c r="CD24" s="1314"/>
      <c r="CE24" s="1374" t="s">
        <v>8328</v>
      </c>
      <c r="CF24" s="1374" t="s">
        <v>8026</v>
      </c>
      <c r="CG24" s="1374" t="s">
        <v>8398</v>
      </c>
      <c r="CH24" s="1374"/>
      <c r="CI24" s="1372"/>
      <c r="CJ24" s="1372"/>
      <c r="CK24" s="1372"/>
      <c r="CL24" s="1372"/>
      <c r="CM24" s="1372"/>
      <c r="CN24" s="1361"/>
      <c r="CO24" s="1372"/>
      <c r="CP24" s="1372"/>
      <c r="CQ24" s="1372"/>
      <c r="CR24" s="1372"/>
      <c r="CS24" s="1372"/>
      <c r="CT24" s="1319" t="s">
        <v>4835</v>
      </c>
    </row>
    <row r="25">
      <c r="A25" s="1368" t="s">
        <v>6472</v>
      </c>
      <c r="B25" s="1101" t="s">
        <v>440</v>
      </c>
      <c r="C25" s="1102" t="s">
        <v>1260</v>
      </c>
      <c r="D25" s="1103" t="s">
        <v>545</v>
      </c>
      <c r="E25" s="1104" t="s">
        <v>1260</v>
      </c>
      <c r="F25" s="1105" t="s">
        <v>438</v>
      </c>
      <c r="G25" s="1101" t="s">
        <v>3367</v>
      </c>
      <c r="H25" s="1377"/>
      <c r="I25" s="1377" t="s">
        <v>8399</v>
      </c>
      <c r="J25" s="860"/>
      <c r="K25" s="860" t="s">
        <v>8400</v>
      </c>
      <c r="L25" s="1312" t="s">
        <v>3725</v>
      </c>
      <c r="M25" s="1271"/>
      <c r="N25" s="1271"/>
      <c r="O25" s="1271"/>
      <c r="P25" s="860" t="s">
        <v>8401</v>
      </c>
      <c r="Q25" s="1305"/>
      <c r="R25" s="836" t="s">
        <v>8402</v>
      </c>
      <c r="S25" s="1271"/>
      <c r="T25" s="1271"/>
      <c r="U25" s="860" t="s">
        <v>752</v>
      </c>
      <c r="V25" s="1314"/>
      <c r="W25" s="1314" t="s">
        <v>4365</v>
      </c>
      <c r="X25" s="860" t="s">
        <v>3594</v>
      </c>
      <c r="Y25" s="836" t="s">
        <v>8403</v>
      </c>
      <c r="Z25" s="1271"/>
      <c r="AA25" s="1271"/>
      <c r="AB25" s="1305"/>
      <c r="AC25" s="1314" t="s">
        <v>8404</v>
      </c>
      <c r="AD25" s="1314" t="s">
        <v>8405</v>
      </c>
      <c r="AE25" s="860"/>
      <c r="AF25" s="1314" t="s">
        <v>8406</v>
      </c>
      <c r="AG25" s="1314"/>
      <c r="AH25" s="1314" t="s">
        <v>8407</v>
      </c>
      <c r="AI25" s="1305"/>
      <c r="AJ25" s="1305"/>
      <c r="AK25" s="1319" t="s">
        <v>3771</v>
      </c>
      <c r="AL25" s="1364"/>
      <c r="AM25" s="1271"/>
      <c r="AN25" s="1271"/>
      <c r="AO25" s="1271"/>
      <c r="AP25" s="1271"/>
      <c r="AQ25" s="1271"/>
      <c r="AR25" s="1314" t="s">
        <v>8408</v>
      </c>
      <c r="AS25" s="860"/>
      <c r="AT25" s="1271"/>
      <c r="AU25" s="1271"/>
      <c r="AV25" s="1271"/>
      <c r="AW25" s="1314" t="s">
        <v>8064</v>
      </c>
      <c r="AX25" s="1271"/>
      <c r="AY25" s="1271"/>
      <c r="AZ25" s="1271"/>
      <c r="BA25" s="1271"/>
      <c r="BB25" s="1314" t="s">
        <v>8140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1260</v>
      </c>
      <c r="F26" s="1105" t="s">
        <v>1063</v>
      </c>
      <c r="G26" s="1101" t="s">
        <v>1063</v>
      </c>
      <c r="H26" s="1416"/>
      <c r="I26" s="1416"/>
      <c r="J26" s="1271"/>
      <c r="K26" s="1271"/>
      <c r="L26" s="1305"/>
      <c r="M26" s="1271"/>
      <c r="N26" s="1271"/>
      <c r="O26" s="1271"/>
      <c r="P26" s="1271"/>
      <c r="Q26" s="1305"/>
      <c r="R26" s="1271"/>
      <c r="S26" s="1271"/>
      <c r="T26" s="1271"/>
      <c r="U26" s="1271"/>
      <c r="V26" s="1305"/>
      <c r="W26" s="1271"/>
      <c r="X26" s="1306" t="s">
        <v>2855</v>
      </c>
      <c r="Y26" s="1306" t="s">
        <v>8225</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1667</v>
      </c>
      <c r="BY26" s="1305"/>
      <c r="BZ26" s="1306" t="s">
        <v>8409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7862</v>
      </c>
      <c r="B27" s="1101" t="s">
        <v>439</v>
      </c>
      <c r="C27" s="1102" t="s">
        <v>1260</v>
      </c>
      <c r="D27" s="1103" t="s">
        <v>1260</v>
      </c>
      <c r="E27" s="1104" t="s">
        <v>545</v>
      </c>
      <c r="F27" s="1105" t="s">
        <v>436</v>
      </c>
      <c r="G27" s="1101" t="s">
        <v>914</v>
      </c>
      <c r="H27" s="1377"/>
      <c r="I27" s="1377" t="s">
        <v>8410</v>
      </c>
      <c r="J27" s="1271"/>
      <c r="K27" s="860" t="s">
        <v>8411</v>
      </c>
      <c r="L27" s="1305"/>
      <c r="M27" s="1271"/>
      <c r="N27" s="1271"/>
      <c r="O27" s="1271"/>
      <c r="P27" s="860" t="s">
        <v>8412</v>
      </c>
      <c r="Q27" s="1305"/>
      <c r="R27" s="1271"/>
      <c r="S27" s="1271"/>
      <c r="T27" s="1271"/>
      <c r="U27" s="823" t="s">
        <v>8413</v>
      </c>
      <c r="V27" s="1305"/>
      <c r="W27" s="1271"/>
      <c r="X27" s="860" t="s">
        <v>6658</v>
      </c>
      <c r="Y27" s="836" t="s">
        <v>6749</v>
      </c>
      <c r="Z27" s="1271"/>
      <c r="AA27" s="860" t="s">
        <v>8414</v>
      </c>
      <c r="AB27" s="1305"/>
      <c r="AC27" s="860" t="s">
        <v>8415</v>
      </c>
      <c r="AD27" s="860" t="s">
        <v>101</v>
      </c>
      <c r="AE27" s="1311" t="s">
        <v>5024</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2079</v>
      </c>
      <c r="C28" s="1102" t="s">
        <v>545</v>
      </c>
      <c r="D28" s="1103" t="s">
        <v>1260</v>
      </c>
      <c r="E28" s="1104" t="s">
        <v>1260</v>
      </c>
      <c r="F28" s="1105" t="s">
        <v>330</v>
      </c>
      <c r="G28" s="1101" t="s">
        <v>2693</v>
      </c>
      <c r="H28" s="1377"/>
      <c r="I28" s="1353" t="s">
        <v>8416</v>
      </c>
      <c r="J28" s="1271"/>
      <c r="K28" s="860" t="s">
        <v>8417</v>
      </c>
      <c r="L28" s="1305"/>
      <c r="M28" s="836" t="s">
        <v>8418</v>
      </c>
      <c r="N28" s="1271"/>
      <c r="O28" s="1271"/>
      <c r="P28" s="1314" t="s">
        <v>5821</v>
      </c>
      <c r="Q28" s="1305"/>
      <c r="R28" s="1271"/>
      <c r="S28" s="860" t="s">
        <v>8419</v>
      </c>
      <c r="T28" s="860"/>
      <c r="U28" s="1314" t="s">
        <v>3713</v>
      </c>
      <c r="V28" s="1305"/>
      <c r="W28" s="1271"/>
      <c r="X28" s="860" t="s">
        <v>8420</v>
      </c>
      <c r="Y28" s="860" t="s">
        <v>5048</v>
      </c>
      <c r="Z28" s="1271"/>
      <c r="AA28" s="860" t="s">
        <v>8421</v>
      </c>
      <c r="AB28" s="1305"/>
      <c r="AC28" s="860" t="s">
        <v>8422</v>
      </c>
      <c r="AD28" s="860" t="s">
        <v>5395</v>
      </c>
      <c r="AE28" s="860" t="s">
        <v>8423</v>
      </c>
      <c r="AF28" s="860" t="s">
        <v>7741</v>
      </c>
      <c r="AG28" s="1305"/>
      <c r="AH28" s="1305"/>
      <c r="AI28" s="1305"/>
      <c r="AJ28" s="1305"/>
      <c r="AK28" s="1305"/>
      <c r="AL28" s="1271"/>
      <c r="AM28" s="1271"/>
      <c r="AN28" s="860" t="s">
        <v>8424</v>
      </c>
      <c r="AO28" s="1314" t="s">
        <v>8425</v>
      </c>
      <c r="AP28" s="1271"/>
      <c r="AQ28" s="860" t="s">
        <v>8155</v>
      </c>
      <c r="AR28" s="1271"/>
      <c r="AS28" s="1271"/>
      <c r="AT28" s="1271"/>
      <c r="AU28" s="860" t="s">
        <v>8375</v>
      </c>
      <c r="AV28" s="1271"/>
      <c r="AW28" s="1271"/>
      <c r="AX28" s="1271"/>
      <c r="AY28" s="1271"/>
      <c r="AZ28" s="1271"/>
      <c r="BA28" s="1271"/>
      <c r="BB28" s="1271"/>
      <c r="BC28" s="1271"/>
      <c r="BD28" s="1271"/>
      <c r="BE28" s="1305"/>
      <c r="BF28" s="1271"/>
      <c r="BG28" s="1384"/>
      <c r="BH28" s="1384"/>
      <c r="BI28" s="1384"/>
      <c r="BJ28" s="1384"/>
      <c r="BK28" s="1384"/>
      <c r="BL28" s="1418" t="s">
        <v>8426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6539</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8427</v>
      </c>
      <c r="C30" s="1102" t="s">
        <v>1260</v>
      </c>
      <c r="D30" s="1103" t="s">
        <v>1260</v>
      </c>
      <c r="E30" s="1104" t="s">
        <v>1260</v>
      </c>
      <c r="F30" s="1105" t="s">
        <v>436</v>
      </c>
      <c r="G30" s="1101" t="s">
        <v>330</v>
      </c>
      <c r="H30" s="1377"/>
      <c r="I30" s="1377"/>
      <c r="J30" s="92"/>
      <c r="K30" s="92"/>
      <c r="L30" s="96"/>
      <c r="M30" s="92"/>
      <c r="N30" s="92"/>
      <c r="O30" s="92"/>
      <c r="P30" s="92"/>
      <c r="Q30" s="96"/>
      <c r="R30" s="112" t="s">
        <v>8428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6539</v>
      </c>
      <c r="J31" s="1271"/>
      <c r="K31" s="860" t="s">
        <v>8430</v>
      </c>
      <c r="L31" s="1305"/>
      <c r="M31" s="1271"/>
      <c r="N31" s="1271"/>
      <c r="O31" s="1271"/>
      <c r="P31" s="860" t="s">
        <v>8431</v>
      </c>
      <c r="Q31" s="1305"/>
      <c r="R31" s="1271"/>
      <c r="S31" s="1271"/>
      <c r="T31" s="860" t="s">
        <v>8432</v>
      </c>
      <c r="U31" s="860" t="s">
        <v>8433</v>
      </c>
      <c r="V31" s="1305"/>
      <c r="W31" s="860" t="s">
        <v>246</v>
      </c>
      <c r="X31" s="860" t="s">
        <v>8434</v>
      </c>
      <c r="Y31" s="860" t="s">
        <v>364</v>
      </c>
      <c r="Z31" s="1271"/>
      <c r="AA31" s="1271"/>
      <c r="AB31" s="1305"/>
      <c r="AC31" s="1271"/>
      <c r="AD31" s="1271"/>
      <c r="AE31" s="1271"/>
      <c r="AF31" s="1271"/>
      <c r="AG31" s="1305"/>
      <c r="AH31" s="1305"/>
      <c r="AI31" s="1305"/>
      <c r="AJ31" s="1305"/>
      <c r="AK31" s="1305"/>
      <c r="AL31" s="1271"/>
      <c r="AM31" s="1271"/>
      <c r="AN31" s="1271"/>
      <c r="AO31" s="1271"/>
      <c r="AP31" s="823" t="s">
        <v>8130</v>
      </c>
      <c r="AQ31" s="823"/>
      <c r="AR31" s="1271"/>
      <c r="AS31" s="860" t="s">
        <v>8307</v>
      </c>
      <c r="AT31" s="1271"/>
      <c r="AU31" s="860" t="s">
        <v>8408</v>
      </c>
      <c r="AV31" s="1271"/>
      <c r="AW31" s="1271"/>
      <c r="AX31" s="1271"/>
      <c r="AY31" s="1271"/>
      <c r="AZ31" s="860" t="s">
        <v>2016</v>
      </c>
      <c r="BA31" s="1271"/>
      <c r="BB31" s="823" t="s">
        <v>8435</v>
      </c>
      <c r="BC31" s="860" t="s">
        <v>8056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8436</v>
      </c>
      <c r="AD32" s="860" t="s">
        <v>2117</v>
      </c>
      <c r="AE32" s="860"/>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1260</v>
      </c>
      <c r="D33" s="1103" t="s">
        <v>1260</v>
      </c>
      <c r="E33" s="1104" t="s">
        <v>545</v>
      </c>
      <c r="F33" s="1105" t="s">
        <v>330</v>
      </c>
      <c r="G33" s="1101" t="s">
        <v>914</v>
      </c>
      <c r="H33" s="1377" t="s">
        <v>8437</v>
      </c>
      <c r="I33" s="1377"/>
      <c r="J33" s="1271"/>
      <c r="K33" s="1271"/>
      <c r="L33" s="1305"/>
      <c r="M33" s="1271"/>
      <c r="N33" s="1271"/>
      <c r="O33" s="1271"/>
      <c r="P33" s="1271"/>
      <c r="Q33" s="1305"/>
      <c r="R33" s="1271"/>
      <c r="S33" s="1271"/>
      <c r="T33" s="836" t="s">
        <v>8438</v>
      </c>
      <c r="U33" s="860" t="s">
        <v>8439</v>
      </c>
      <c r="V33" s="860" t="s">
        <v>8440</v>
      </c>
      <c r="W33" s="1271"/>
      <c r="X33" s="860" t="s">
        <v>8441</v>
      </c>
      <c r="Y33" s="860" t="s">
        <v>8442</v>
      </c>
      <c r="Z33" s="1271"/>
      <c r="AA33" s="1271"/>
      <c r="AB33" s="1305"/>
      <c r="AC33" s="836" t="s">
        <v>1655</v>
      </c>
      <c r="AD33" s="860" t="s">
        <v>5463</v>
      </c>
      <c r="AE33" s="1271"/>
      <c r="AF33" s="1271"/>
      <c r="AG33" s="1305"/>
      <c r="AH33" s="1305"/>
      <c r="AI33" s="1305"/>
      <c r="AJ33" s="1305"/>
      <c r="AK33" s="1305"/>
      <c r="AL33" s="1271"/>
      <c r="AM33" s="860" t="s">
        <v>8443</v>
      </c>
      <c r="AN33" s="1271"/>
      <c r="AO33" s="1271"/>
      <c r="AP33" s="860" t="s">
        <v>8112</v>
      </c>
      <c r="AQ33" s="1271"/>
      <c r="AR33" s="1271"/>
      <c r="AS33" s="1271"/>
      <c r="AT33" s="1271"/>
      <c r="AU33" s="860" t="s">
        <v>8174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8444</v>
      </c>
      <c r="CF33" s="1271"/>
      <c r="CG33" s="1305"/>
      <c r="CH33" s="1305"/>
      <c r="CI33" s="1305"/>
      <c r="CJ33" s="1305"/>
      <c r="CK33" s="1305"/>
      <c r="CL33" s="1305"/>
      <c r="CM33" s="1305"/>
      <c r="CN33" s="1271"/>
      <c r="CO33" s="1305"/>
      <c r="CP33" s="1305"/>
      <c r="CQ33" s="1305"/>
      <c r="CR33" s="1305"/>
      <c r="CS33" s="1305"/>
      <c r="CT33" s="1305"/>
    </row>
    <row r="34">
      <c r="A34" s="1351" t="s">
        <v>8445</v>
      </c>
      <c r="B34" s="1101" t="s">
        <v>5555</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8446</v>
      </c>
      <c r="CA34" s="1305"/>
      <c r="CB34" s="1365" t="s">
        <v>1080</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6476</v>
      </c>
      <c r="B35" s="1101" t="s">
        <v>2923</v>
      </c>
      <c r="C35" s="1102" t="s">
        <v>436</v>
      </c>
      <c r="D35" s="1103" t="s">
        <v>1260</v>
      </c>
      <c r="E35" s="1104" t="s">
        <v>1260</v>
      </c>
      <c r="F35" s="1105" t="s">
        <v>436</v>
      </c>
      <c r="G35" s="1101" t="s">
        <v>436</v>
      </c>
      <c r="H35" s="1103"/>
      <c r="I35" s="1377"/>
      <c r="J35" s="1271"/>
      <c r="K35" s="1271"/>
      <c r="L35" s="1305"/>
      <c r="M35" s="1271"/>
      <c r="N35" s="1271"/>
      <c r="O35" s="1306" t="s">
        <v>8447</v>
      </c>
      <c r="P35" s="1306" t="s">
        <v>8448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5989</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8449</v>
      </c>
      <c r="B40" s="1101" t="s">
        <v>3367</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6469</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8450</v>
      </c>
      <c r="S41" s="1271"/>
      <c r="T41" s="1271"/>
      <c r="U41" s="860" t="s">
        <v>8451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1260</v>
      </c>
      <c r="D42" s="1103" t="s">
        <v>1260</v>
      </c>
      <c r="E42" s="1104" t="s">
        <v>1260</v>
      </c>
      <c r="F42" s="1105" t="s">
        <v>545</v>
      </c>
      <c r="G42" s="1101" t="s">
        <v>545</v>
      </c>
      <c r="H42" s="1377"/>
      <c r="I42" s="1377"/>
      <c r="J42" s="1271"/>
      <c r="K42" s="1271"/>
      <c r="L42" s="1305"/>
      <c r="M42" s="1271"/>
      <c r="N42" s="1271"/>
      <c r="O42" s="1271"/>
      <c r="P42" s="1271"/>
      <c r="Q42" s="1305"/>
      <c r="R42" s="836" t="s">
        <v>8452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6090</v>
      </c>
      <c r="B43" s="1101" t="s">
        <v>218</v>
      </c>
      <c r="C43" s="1102" t="s">
        <v>1260</v>
      </c>
      <c r="D43" s="1103" t="s">
        <v>1260</v>
      </c>
      <c r="E43" s="1104" t="s">
        <v>1260</v>
      </c>
      <c r="F43" s="1105" t="s">
        <v>1260</v>
      </c>
      <c r="G43" s="1101" t="s">
        <v>332</v>
      </c>
      <c r="H43" s="1377"/>
      <c r="I43" s="1377"/>
      <c r="J43" s="1271"/>
      <c r="K43" s="860" t="s">
        <v>8453</v>
      </c>
      <c r="L43" s="1305"/>
      <c r="M43" s="1271"/>
      <c r="N43" s="1271"/>
      <c r="O43" s="1271"/>
      <c r="P43" s="1271"/>
      <c r="Q43" s="1305"/>
      <c r="R43" s="1271"/>
      <c r="S43" s="1271"/>
      <c r="T43" s="1271"/>
      <c r="U43" s="1271"/>
      <c r="V43" s="1305"/>
      <c r="W43" s="1314" t="s">
        <v>6334</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8083</v>
      </c>
      <c r="AV43" s="860"/>
      <c r="AW43" s="1271"/>
      <c r="AX43" s="1271"/>
      <c r="AY43" s="1271"/>
      <c r="AZ43" s="1271"/>
      <c r="BA43" s="1271"/>
      <c r="BB43" s="1271"/>
      <c r="BC43" s="860" t="s">
        <v>8172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1202</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6467</v>
      </c>
      <c r="B46" s="1101" t="s">
        <v>1202</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8454</v>
      </c>
      <c r="B47" s="1101" t="s">
        <v>3314</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8458</v>
      </c>
      <c r="B50" s="1101" t="s">
        <v>1063</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6423</v>
      </c>
      <c r="B51" s="1101" t="s">
        <v>1063</v>
      </c>
      <c r="C51" s="1102" t="s">
        <v>1260</v>
      </c>
      <c r="D51" s="1103" t="s">
        <v>1260</v>
      </c>
      <c r="E51" s="1104" t="s">
        <v>1260</v>
      </c>
      <c r="F51" s="1105" t="s">
        <v>438</v>
      </c>
      <c r="G51" s="1101" t="s">
        <v>1063</v>
      </c>
      <c r="H51" s="1377"/>
      <c r="I51" s="1377"/>
      <c r="J51" s="1271"/>
      <c r="K51" s="1271"/>
      <c r="L51" s="1305"/>
      <c r="M51" s="1271"/>
      <c r="N51" s="1271"/>
      <c r="O51" s="1271"/>
      <c r="P51" s="1271"/>
      <c r="Q51" s="1305"/>
      <c r="R51" s="836" t="s">
        <v>8459</v>
      </c>
      <c r="S51" s="1271"/>
      <c r="T51" s="1271"/>
      <c r="U51" s="836" t="s">
        <v>8460</v>
      </c>
      <c r="V51" s="1305"/>
      <c r="W51" s="860" t="s">
        <v>8461</v>
      </c>
      <c r="X51" s="860" t="s">
        <v>8461</v>
      </c>
      <c r="Y51" s="1271"/>
      <c r="Z51" s="1271"/>
      <c r="AA51" s="1271"/>
      <c r="AB51" s="1305"/>
      <c r="AC51" s="1271"/>
      <c r="AD51" s="1271"/>
      <c r="AE51" s="1271"/>
      <c r="AF51" s="1271"/>
      <c r="AG51" s="1305"/>
      <c r="AH51" s="1305"/>
      <c r="AI51" s="1305"/>
      <c r="AJ51" s="1305"/>
      <c r="AK51" s="1305"/>
      <c r="AL51" s="1271"/>
      <c r="AM51" s="1271"/>
      <c r="AN51" s="1271"/>
      <c r="AO51" s="1271"/>
      <c r="AP51" s="860" t="s">
        <v>8462</v>
      </c>
      <c r="AQ51" s="836" t="s">
        <v>8463</v>
      </c>
      <c r="AR51" s="836" t="s">
        <v>8464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8465</v>
      </c>
      <c r="B52" s="1101" t="s">
        <v>1063</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8014</v>
      </c>
      <c r="BD53" s="1314" t="s">
        <v>8408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8466</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8468</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8469</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8471</v>
      </c>
      <c r="C1" s="1437" t="s">
        <v>8472</v>
      </c>
      <c r="D1" s="1438" t="s">
        <v>8473</v>
      </c>
      <c r="E1" s="1438" t="s">
        <v>7911</v>
      </c>
      <c r="F1" s="1438" t="s">
        <v>7912</v>
      </c>
      <c r="G1" s="1438" t="s">
        <v>8474</v>
      </c>
      <c r="H1" s="1439" t="s">
        <v>8475</v>
      </c>
      <c r="I1" s="1439" t="s">
        <v>8476</v>
      </c>
      <c r="J1" s="1440" t="s">
        <v>7923</v>
      </c>
      <c r="K1" s="1440" t="s">
        <v>8477</v>
      </c>
      <c r="L1" s="1440" t="s">
        <v>8478</v>
      </c>
      <c r="M1" s="1440" t="s">
        <v>8479</v>
      </c>
      <c r="N1" s="1440" t="s">
        <v>7986</v>
      </c>
      <c r="O1" s="1440" t="s">
        <v>8480</v>
      </c>
      <c r="P1" s="1440" t="s">
        <v>8481</v>
      </c>
      <c r="Q1" s="1441" t="s">
        <v>8482</v>
      </c>
      <c r="R1" s="1441" t="s">
        <v>7919</v>
      </c>
      <c r="S1" s="1441" t="s">
        <v>8483</v>
      </c>
      <c r="T1" s="1441" t="s">
        <v>8484</v>
      </c>
      <c r="U1" s="1441" t="s">
        <v>8485</v>
      </c>
      <c r="V1" s="1441" t="s">
        <v>8486</v>
      </c>
      <c r="W1" s="1442" t="s">
        <v>7913</v>
      </c>
      <c r="X1" s="1442" t="s">
        <v>7914</v>
      </c>
      <c r="Y1" s="1442" t="s">
        <v>8487</v>
      </c>
      <c r="Z1" s="1442" t="s">
        <v>8488</v>
      </c>
      <c r="AA1" s="1442" t="s">
        <v>7916</v>
      </c>
      <c r="AB1" s="1442" t="s">
        <v>8489</v>
      </c>
      <c r="AC1" s="1442" t="s">
        <v>8490</v>
      </c>
      <c r="AD1" s="1438" t="s">
        <v>8491</v>
      </c>
      <c r="AE1" s="1438" t="s">
        <v>8492</v>
      </c>
      <c r="AF1" s="1443" t="s">
        <v>7920</v>
      </c>
      <c r="AG1" s="1443" t="s">
        <v>8493</v>
      </c>
      <c r="AH1" s="1443" t="s">
        <v>8494</v>
      </c>
      <c r="AI1" s="1443" t="s">
        <v>7921</v>
      </c>
      <c r="AJ1" s="1443" t="s">
        <v>8495</v>
      </c>
      <c r="AK1" s="1443" t="s">
        <v>8496</v>
      </c>
      <c r="AL1" s="1443" t="s">
        <v>8497</v>
      </c>
      <c r="AM1" s="1444" t="s">
        <v>7922</v>
      </c>
      <c r="AN1" s="1444" t="s">
        <v>8498</v>
      </c>
      <c r="AO1" s="1444" t="s">
        <v>8499</v>
      </c>
      <c r="AP1" s="1444" t="s">
        <v>8500</v>
      </c>
      <c r="AQ1" s="1444" t="s">
        <v>8501</v>
      </c>
      <c r="AR1" s="1444" t="s">
        <v>8502</v>
      </c>
      <c r="AS1" s="1444" t="s">
        <v>8503</v>
      </c>
      <c r="AT1" s="1445" t="s">
        <v>8504</v>
      </c>
      <c r="AU1" s="1435" t="s">
        <v>8505</v>
      </c>
      <c r="AV1" s="1446" t="s">
        <v>8506</v>
      </c>
      <c r="AW1" s="1447" t="s">
        <v>8507</v>
      </c>
    </row>
    <row r="2" ht="15.75" customHeight="1">
      <c r="A2" s="1448" t="s">
        <v>8508</v>
      </c>
      <c r="B2" s="1449" t="s">
        <v>8509</v>
      </c>
      <c r="C2" s="1450" t="s">
        <v>8510</v>
      </c>
      <c r="D2" s="1451" t="s">
        <v>8511</v>
      </c>
      <c r="E2" s="1451" t="s">
        <v>8512</v>
      </c>
      <c r="F2" s="1452" t="s">
        <v>8513</v>
      </c>
      <c r="G2" s="1451" t="s">
        <v>8514</v>
      </c>
      <c r="H2" s="1453" t="s">
        <v>6136</v>
      </c>
      <c r="I2" s="1453" t="s">
        <v>8515</v>
      </c>
      <c r="J2" s="1454" t="s">
        <v>8516</v>
      </c>
      <c r="K2" s="1455" t="s">
        <v>4192</v>
      </c>
      <c r="L2" s="1455" t="s">
        <v>231</v>
      </c>
      <c r="M2" s="1455" t="s">
        <v>8517</v>
      </c>
      <c r="N2" s="1455" t="s">
        <v>4002</v>
      </c>
      <c r="O2" s="1455" t="s">
        <v>8518</v>
      </c>
      <c r="P2" s="1455" t="s">
        <v>1286</v>
      </c>
      <c r="Q2" s="1456" t="s">
        <v>8519</v>
      </c>
      <c r="R2" s="1457" t="s">
        <v>8520</v>
      </c>
      <c r="S2" s="1456" t="s">
        <v>816</v>
      </c>
      <c r="T2" s="1457" t="s">
        <v>8521</v>
      </c>
      <c r="U2" s="1456" t="s">
        <v>8522</v>
      </c>
      <c r="V2" s="1456">
        <v>58.55</v>
      </c>
      <c r="W2" s="1458" t="s">
        <v>8523</v>
      </c>
      <c r="X2" s="1459" t="s">
        <v>8524</v>
      </c>
      <c r="Y2" s="1459">
        <v>46.63</v>
      </c>
      <c r="Z2" s="1460" t="s">
        <v>8525</v>
      </c>
      <c r="AA2" s="1459" t="s">
        <v>5223</v>
      </c>
      <c r="AB2" s="1459" t="s">
        <v>8526</v>
      </c>
      <c r="AC2" s="1460" t="s">
        <v>4027</v>
      </c>
      <c r="AD2" s="1451" t="s">
        <v>8527</v>
      </c>
      <c r="AE2" s="1452" t="s">
        <v>4727</v>
      </c>
      <c r="AF2" s="1461" t="s">
        <v>8528</v>
      </c>
      <c r="AG2" s="1461" t="s">
        <v>8529</v>
      </c>
      <c r="AH2" s="1461" t="s">
        <v>3782</v>
      </c>
      <c r="AI2" s="1462" t="s">
        <v>8530</v>
      </c>
      <c r="AJ2" s="1462" t="s">
        <v>8531</v>
      </c>
      <c r="AK2" s="1462" t="s">
        <v>8532</v>
      </c>
      <c r="AL2" s="1462" t="s">
        <v>5520</v>
      </c>
      <c r="AM2" s="1463" t="s">
        <v>8533</v>
      </c>
      <c r="AN2" s="1464" t="s">
        <v>8534</v>
      </c>
      <c r="AO2" s="1464" t="s">
        <v>6364</v>
      </c>
      <c r="AP2" s="1465" t="s">
        <v>8535</v>
      </c>
      <c r="AQ2" s="1463" t="s">
        <v>8536</v>
      </c>
      <c r="AR2" s="1464" t="s">
        <v>414</v>
      </c>
      <c r="AS2" s="1463">
        <v>42.83</v>
      </c>
      <c r="AT2" s="1466" t="s">
        <v>8537</v>
      </c>
      <c r="AU2" s="1450" t="s">
        <v>8538</v>
      </c>
      <c r="AV2" s="1450" t="str">
        <f t="shared" ref="AV2:AV74" si="1">TEXT(AU2-C2,"m:ss")</f>
        <v>2:24</v>
      </c>
      <c r="AW2" s="1467"/>
    </row>
    <row r="3" ht="15.75" customHeight="1">
      <c r="A3" s="1468" t="s">
        <v>8539</v>
      </c>
      <c r="B3" s="1469" t="s">
        <v>8540</v>
      </c>
      <c r="C3" s="1470">
        <v>0.04940949074074073</v>
      </c>
      <c r="D3" s="1471" t="s">
        <v>8541</v>
      </c>
      <c r="E3" s="1471" t="s">
        <v>7218</v>
      </c>
      <c r="F3" s="1471" t="s">
        <v>8542</v>
      </c>
      <c r="G3" s="1471" t="s">
        <v>8543</v>
      </c>
      <c r="H3" s="1472" t="s">
        <v>8544</v>
      </c>
      <c r="I3" s="1472" t="s">
        <v>8545</v>
      </c>
      <c r="J3" s="1473" t="s">
        <v>8546</v>
      </c>
      <c r="K3" s="1473" t="s">
        <v>8547</v>
      </c>
      <c r="L3" s="1473" t="s">
        <v>2820</v>
      </c>
      <c r="M3" s="1473" t="s">
        <v>8548</v>
      </c>
      <c r="N3" s="1473" t="s">
        <v>2490</v>
      </c>
      <c r="O3" s="1473" t="s">
        <v>8549</v>
      </c>
      <c r="P3" s="1473" t="s">
        <v>5485</v>
      </c>
      <c r="Q3" s="1474" t="s">
        <v>8550</v>
      </c>
      <c r="R3" s="1474" t="s">
        <v>8551</v>
      </c>
      <c r="S3" s="1475" t="s">
        <v>2395</v>
      </c>
      <c r="T3" s="1474" t="s">
        <v>8552</v>
      </c>
      <c r="U3" s="1476" t="s">
        <v>7831</v>
      </c>
      <c r="V3" s="1474" t="s">
        <v>4104</v>
      </c>
      <c r="W3" s="1477" t="s">
        <v>4133</v>
      </c>
      <c r="X3" s="1477" t="s">
        <v>7465</v>
      </c>
      <c r="Y3" s="1478" t="s">
        <v>8553</v>
      </c>
      <c r="Z3" s="1478" t="s">
        <v>442</v>
      </c>
      <c r="AA3" s="1478" t="s">
        <v>8554</v>
      </c>
      <c r="AB3" s="1477" t="s">
        <v>2859</v>
      </c>
      <c r="AC3" s="1478" t="s">
        <v>5029</v>
      </c>
      <c r="AD3" s="1471" t="s">
        <v>8555</v>
      </c>
      <c r="AE3" s="1471" t="s">
        <v>6671</v>
      </c>
      <c r="AF3" s="1479" t="s">
        <v>8556</v>
      </c>
      <c r="AG3" s="1480" t="s">
        <v>3880</v>
      </c>
      <c r="AH3" s="1480" t="s">
        <v>8557</v>
      </c>
      <c r="AI3" s="1480" t="s">
        <v>7555</v>
      </c>
      <c r="AJ3" s="1479" t="s">
        <v>8558</v>
      </c>
      <c r="AK3" s="1480" t="s">
        <v>8559</v>
      </c>
      <c r="AL3" s="1480" t="s">
        <v>6086</v>
      </c>
      <c r="AM3" s="1481" t="s">
        <v>8560</v>
      </c>
      <c r="AN3" s="1481" t="s">
        <v>3240</v>
      </c>
      <c r="AO3" s="1482" t="s">
        <v>7720</v>
      </c>
      <c r="AP3" s="1482" t="s">
        <v>8561</v>
      </c>
      <c r="AQ3" s="1482" t="s">
        <v>8562</v>
      </c>
      <c r="AR3" s="1483" t="s">
        <v>4009</v>
      </c>
      <c r="AS3" s="1481" t="s">
        <v>5197</v>
      </c>
      <c r="AT3" s="1484" t="s">
        <v>8563</v>
      </c>
      <c r="AU3" s="1485" t="s">
        <v>8564</v>
      </c>
      <c r="AV3" s="1485" t="str">
        <f t="shared" si="1"/>
        <v>3:58</v>
      </c>
    </row>
    <row r="4" ht="15.75" customHeight="1">
      <c r="A4" s="1486" t="s">
        <v>8565</v>
      </c>
      <c r="B4" s="1487" t="s">
        <v>8566</v>
      </c>
      <c r="C4" s="1488">
        <v>0.050637731481481485</v>
      </c>
      <c r="D4" s="1489" t="s">
        <v>8567</v>
      </c>
      <c r="E4" s="1489" t="s">
        <v>8568</v>
      </c>
      <c r="F4" s="1489" t="s">
        <v>8569</v>
      </c>
      <c r="G4" s="1489" t="s">
        <v>8570</v>
      </c>
      <c r="H4" s="1490" t="s">
        <v>8571</v>
      </c>
      <c r="I4" s="1490" t="s">
        <v>348</v>
      </c>
      <c r="J4" s="1491" t="s">
        <v>8572</v>
      </c>
      <c r="K4" s="1491" t="s">
        <v>6149</v>
      </c>
      <c r="L4" s="1491" t="s">
        <v>3770</v>
      </c>
      <c r="M4" s="1491" t="s">
        <v>8573</v>
      </c>
      <c r="N4" s="1491" t="s">
        <v>8533</v>
      </c>
      <c r="O4" s="1491" t="s">
        <v>8574</v>
      </c>
      <c r="P4" s="1491" t="s">
        <v>8575</v>
      </c>
      <c r="Q4" s="1492" t="s">
        <v>8576</v>
      </c>
      <c r="R4" s="1492" t="s">
        <v>8577</v>
      </c>
      <c r="S4" s="1492" t="s">
        <v>2261</v>
      </c>
      <c r="T4" s="1492" t="s">
        <v>8578</v>
      </c>
      <c r="U4" s="1492" t="s">
        <v>8579</v>
      </c>
      <c r="V4" s="1492" t="s">
        <v>8580</v>
      </c>
      <c r="W4" s="1493" t="s">
        <v>8581</v>
      </c>
      <c r="X4" s="1493" t="s">
        <v>8582</v>
      </c>
      <c r="Y4" s="1493">
        <v>47.93</v>
      </c>
      <c r="Z4" s="1493" t="s">
        <v>8583</v>
      </c>
      <c r="AA4" s="1493" t="s">
        <v>8584</v>
      </c>
      <c r="AB4" s="1493" t="s">
        <v>8585</v>
      </c>
      <c r="AC4" s="1493">
        <v>49.24</v>
      </c>
      <c r="AD4" s="1494" t="s">
        <v>8586</v>
      </c>
      <c r="AE4" s="1489" t="s">
        <v>8587</v>
      </c>
      <c r="AF4" s="1495" t="s">
        <v>2671</v>
      </c>
      <c r="AG4" s="1495" t="s">
        <v>4602</v>
      </c>
      <c r="AH4" s="1495" t="s">
        <v>5199</v>
      </c>
      <c r="AI4" s="1495" t="s">
        <v>8588</v>
      </c>
      <c r="AJ4" s="1495" t="s">
        <v>8589</v>
      </c>
      <c r="AK4" s="1495" t="s">
        <v>972</v>
      </c>
      <c r="AL4" s="1495" t="s">
        <v>8590</v>
      </c>
      <c r="AM4" s="1496" t="s">
        <v>8591</v>
      </c>
      <c r="AN4" s="1497" t="s">
        <v>8592</v>
      </c>
      <c r="AO4" s="1496" t="s">
        <v>8593</v>
      </c>
      <c r="AP4" s="1497" t="s">
        <v>8594</v>
      </c>
      <c r="AQ4" s="1496" t="s">
        <v>8595</v>
      </c>
      <c r="AR4" s="1496" t="s">
        <v>6492</v>
      </c>
      <c r="AS4" s="1496" t="s">
        <v>755</v>
      </c>
      <c r="AT4" s="1498" t="s">
        <v>8596</v>
      </c>
      <c r="AU4" s="1499" t="s">
        <v>8597</v>
      </c>
      <c r="AV4" s="1500" t="str">
        <f t="shared" si="1"/>
        <v>2:38</v>
      </c>
    </row>
    <row r="5" ht="15.75" customHeight="1">
      <c r="A5" s="1501" t="s">
        <v>1060</v>
      </c>
      <c r="B5" s="1502" t="s">
        <v>8509</v>
      </c>
      <c r="C5" s="1503">
        <v>0.04912037037037037</v>
      </c>
      <c r="D5" s="1504" t="s">
        <v>8511</v>
      </c>
      <c r="E5" s="1504" t="s">
        <v>8512</v>
      </c>
      <c r="F5" s="1505" t="s">
        <v>8598</v>
      </c>
      <c r="G5" s="1506" t="s">
        <v>8514</v>
      </c>
      <c r="H5" s="1504" t="s">
        <v>6136</v>
      </c>
      <c r="I5" s="1504" t="s">
        <v>8515</v>
      </c>
      <c r="J5" s="1507" t="s">
        <v>8599</v>
      </c>
      <c r="K5" s="1508" t="s">
        <v>2063</v>
      </c>
      <c r="L5" s="1505" t="s">
        <v>8600</v>
      </c>
      <c r="M5" s="1509" t="s">
        <v>6192</v>
      </c>
      <c r="N5" s="1510" t="s">
        <v>4002</v>
      </c>
      <c r="O5" s="1505" t="s">
        <v>8601</v>
      </c>
      <c r="P5" s="1508" t="s">
        <v>4174</v>
      </c>
      <c r="Q5" s="1510" t="s">
        <v>8519</v>
      </c>
      <c r="R5" s="1506" t="s">
        <v>8520</v>
      </c>
      <c r="S5" s="1510" t="s">
        <v>816</v>
      </c>
      <c r="T5" s="1505" t="s">
        <v>8602</v>
      </c>
      <c r="U5" s="1510" t="s">
        <v>8522</v>
      </c>
      <c r="V5" s="1511" t="s">
        <v>5229</v>
      </c>
      <c r="W5" s="1504" t="s">
        <v>8523</v>
      </c>
      <c r="X5" s="1512" t="s">
        <v>8603</v>
      </c>
      <c r="Y5" s="1505" t="s">
        <v>7502</v>
      </c>
      <c r="Z5" s="1505" t="s">
        <v>5031</v>
      </c>
      <c r="AA5" s="1506" t="s">
        <v>5223</v>
      </c>
      <c r="AB5" s="1512" t="s">
        <v>7762</v>
      </c>
      <c r="AC5" s="1510" t="s">
        <v>4027</v>
      </c>
      <c r="AD5" s="1506" t="s">
        <v>8527</v>
      </c>
      <c r="AE5" s="1513" t="s">
        <v>8604</v>
      </c>
      <c r="AF5" s="1513" t="s">
        <v>8605</v>
      </c>
      <c r="AG5" s="1514" t="s">
        <v>8606</v>
      </c>
      <c r="AH5" s="1512" t="s">
        <v>5510</v>
      </c>
      <c r="AI5" s="1510" t="s">
        <v>8530</v>
      </c>
      <c r="AJ5" s="1514" t="s">
        <v>8607</v>
      </c>
      <c r="AK5" s="1510" t="s">
        <v>8532</v>
      </c>
      <c r="AL5" s="1506" t="s">
        <v>5520</v>
      </c>
      <c r="AM5" s="1506" t="s">
        <v>8533</v>
      </c>
      <c r="AN5" s="1505" t="s">
        <v>5265</v>
      </c>
      <c r="AO5" s="1515" t="s">
        <v>8608</v>
      </c>
      <c r="AP5" s="1512" t="s">
        <v>8609</v>
      </c>
      <c r="AQ5" s="1506" t="s">
        <v>8536</v>
      </c>
      <c r="AR5" s="1514" t="s">
        <v>8610</v>
      </c>
      <c r="AS5" s="1505" t="s">
        <v>4421</v>
      </c>
      <c r="AT5" s="1512" t="s">
        <v>8611</v>
      </c>
      <c r="AU5" s="1507" t="s">
        <v>8538</v>
      </c>
      <c r="AV5" s="1513" t="str">
        <f t="shared" si="1"/>
        <v>2:06</v>
      </c>
      <c r="AW5" s="1516" t="s">
        <v>8612</v>
      </c>
    </row>
    <row r="6" ht="15.75" customHeight="1">
      <c r="A6" s="1517" t="s">
        <v>434</v>
      </c>
      <c r="B6" s="1502" t="s">
        <v>8509</v>
      </c>
      <c r="C6" s="1503">
        <v>0.0493287037037037</v>
      </c>
      <c r="D6" s="1518" t="s">
        <v>8613</v>
      </c>
      <c r="E6" s="1519" t="s">
        <v>8614</v>
      </c>
      <c r="F6" s="1519" t="s">
        <v>8615</v>
      </c>
      <c r="G6" s="1519" t="s">
        <v>8616</v>
      </c>
      <c r="H6" s="1519" t="s">
        <v>8617</v>
      </c>
      <c r="I6" s="1515" t="s">
        <v>8618</v>
      </c>
      <c r="J6" s="1520" t="s">
        <v>8516</v>
      </c>
      <c r="K6" s="1519" t="s">
        <v>782</v>
      </c>
      <c r="L6" s="1519" t="s">
        <v>8619</v>
      </c>
      <c r="M6" s="1519" t="s">
        <v>8620</v>
      </c>
      <c r="N6" s="1519" t="s">
        <v>8621</v>
      </c>
      <c r="O6" s="1519" t="s">
        <v>8622</v>
      </c>
      <c r="P6" s="1520" t="s">
        <v>1286</v>
      </c>
      <c r="Q6" s="1508" t="s">
        <v>1572</v>
      </c>
      <c r="R6" s="1519" t="s">
        <v>4448</v>
      </c>
      <c r="S6" s="1519" t="s">
        <v>8516</v>
      </c>
      <c r="T6" s="1520" t="s">
        <v>8521</v>
      </c>
      <c r="U6" s="1508" t="s">
        <v>8535</v>
      </c>
      <c r="V6" s="1521" t="s">
        <v>8361</v>
      </c>
      <c r="W6" s="1519" t="s">
        <v>8623</v>
      </c>
      <c r="X6" s="1520" t="s">
        <v>8524</v>
      </c>
      <c r="Y6" s="1522">
        <v>46.72</v>
      </c>
      <c r="Z6" s="1522" t="s">
        <v>3634</v>
      </c>
      <c r="AA6" s="1519" t="s">
        <v>3646</v>
      </c>
      <c r="AB6" s="1520" t="s">
        <v>8526</v>
      </c>
      <c r="AC6" s="1519" t="s">
        <v>5467</v>
      </c>
      <c r="AD6" s="1519" t="s">
        <v>7428</v>
      </c>
      <c r="AE6" s="1523" t="s">
        <v>4727</v>
      </c>
      <c r="AF6" s="1522" t="s">
        <v>8624</v>
      </c>
      <c r="AG6" s="1521" t="s">
        <v>8625</v>
      </c>
      <c r="AH6" s="1520" t="s">
        <v>3782</v>
      </c>
      <c r="AI6" s="1519" t="s">
        <v>5899</v>
      </c>
      <c r="AJ6" s="1522" t="s">
        <v>8626</v>
      </c>
      <c r="AK6" s="1522" t="s">
        <v>5803</v>
      </c>
      <c r="AL6" s="1521" t="s">
        <v>6119</v>
      </c>
      <c r="AM6" s="1519" t="s">
        <v>8627</v>
      </c>
      <c r="AN6" s="1521" t="s">
        <v>3229</v>
      </c>
      <c r="AO6" s="1521" t="s">
        <v>2784</v>
      </c>
      <c r="AP6" s="1521" t="s">
        <v>8628</v>
      </c>
      <c r="AQ6" s="1513" t="s">
        <v>8629</v>
      </c>
      <c r="AR6" s="1521" t="s">
        <v>8630</v>
      </c>
      <c r="AS6" s="1521" t="s">
        <v>8631</v>
      </c>
      <c r="AT6" s="1521" t="s">
        <v>8632</v>
      </c>
      <c r="AU6" s="1524" t="s">
        <v>8633</v>
      </c>
      <c r="AV6" s="1513" t="str">
        <f t="shared" si="1"/>
        <v>2:15</v>
      </c>
      <c r="AW6" s="1516"/>
    </row>
    <row r="7" ht="15.75" customHeight="1">
      <c r="A7" s="1501" t="s">
        <v>6468</v>
      </c>
      <c r="B7" s="1502" t="s">
        <v>8509</v>
      </c>
      <c r="C7" s="1503">
        <v>0.049444444444444444</v>
      </c>
      <c r="D7" s="1505" t="s">
        <v>8634</v>
      </c>
      <c r="E7" s="1505" t="s">
        <v>8635</v>
      </c>
      <c r="F7" s="1515" t="s">
        <v>8636</v>
      </c>
      <c r="G7" s="1509" t="s">
        <v>8637</v>
      </c>
      <c r="H7" s="1515" t="s">
        <v>8638</v>
      </c>
      <c r="I7" s="1515" t="s">
        <v>2826</v>
      </c>
      <c r="J7" s="1505" t="s">
        <v>8639</v>
      </c>
      <c r="K7" s="1515" t="s">
        <v>3467</v>
      </c>
      <c r="L7" s="1515" t="s">
        <v>4176</v>
      </c>
      <c r="M7" s="1515" t="s">
        <v>6413</v>
      </c>
      <c r="N7" s="1505" t="s">
        <v>8640</v>
      </c>
      <c r="O7" s="1515" t="s">
        <v>8641</v>
      </c>
      <c r="P7" s="1513" t="s">
        <v>7019</v>
      </c>
      <c r="Q7" s="1505" t="s">
        <v>8642</v>
      </c>
      <c r="R7" s="1515" t="s">
        <v>7318</v>
      </c>
      <c r="S7" s="1515" t="s">
        <v>3424</v>
      </c>
      <c r="T7" s="1513" t="s">
        <v>8643</v>
      </c>
      <c r="U7" s="1515" t="s">
        <v>8644</v>
      </c>
      <c r="V7" s="1515" t="s">
        <v>5188</v>
      </c>
      <c r="W7" s="1525" t="s">
        <v>8645</v>
      </c>
      <c r="X7" s="1513" t="s">
        <v>8646</v>
      </c>
      <c r="Y7" s="1526" t="s">
        <v>8647</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8648</v>
      </c>
      <c r="AF7" s="1513" t="s">
        <v>8649</v>
      </c>
      <c r="AG7" s="1527" t="str">
        <f>HYPERLINK("https://www.twitch.tv/videos/566334947","1:28.73")</f>
        <v>1:28.73</v>
      </c>
      <c r="AH7" s="1515" t="s">
        <v>8650</v>
      </c>
      <c r="AI7" s="1529" t="str">
        <f>HYPERLINK("https://www.twitch.tv/videos/584107631","1:27.68")</f>
        <v>1:27.68</v>
      </c>
      <c r="AJ7" s="1513" t="s">
        <v>8651</v>
      </c>
      <c r="AK7" s="1515" t="s">
        <v>7250</v>
      </c>
      <c r="AL7" s="1515" t="s">
        <v>8652</v>
      </c>
      <c r="AM7" s="1505" t="s">
        <v>4523</v>
      </c>
      <c r="AN7" s="1505" t="s">
        <v>2650</v>
      </c>
      <c r="AO7" s="1505" t="s">
        <v>5818</v>
      </c>
      <c r="AP7" s="1515" t="s">
        <v>8653</v>
      </c>
      <c r="AQ7" s="1513" t="s">
        <v>8654</v>
      </c>
      <c r="AR7" s="1505" t="s">
        <v>8655</v>
      </c>
      <c r="AS7" s="1528" t="str">
        <f>HYPERLINK("https://www.twitch.tv/videos/571767101","42.91")</f>
        <v>42.91</v>
      </c>
      <c r="AT7" s="1512" t="s">
        <v>8656</v>
      </c>
      <c r="AU7" s="1524" t="s">
        <v>8657</v>
      </c>
      <c r="AV7" s="1513" t="str">
        <f t="shared" si="1"/>
        <v>2:32</v>
      </c>
      <c r="AW7" s="1530" t="s">
        <v>8658</v>
      </c>
    </row>
    <row r="8" ht="15.75" customHeight="1">
      <c r="A8" s="1501" t="s">
        <v>1807</v>
      </c>
      <c r="B8" s="1502" t="s">
        <v>8509</v>
      </c>
      <c r="C8" s="1503">
        <v>0.04949074074074074</v>
      </c>
      <c r="D8" s="1531" t="s">
        <v>8659</v>
      </c>
      <c r="E8" s="1526" t="s">
        <v>8660</v>
      </c>
      <c r="F8" s="1526" t="s">
        <v>2125</v>
      </c>
      <c r="G8" s="1526" t="s">
        <v>8661</v>
      </c>
      <c r="H8" s="1505" t="s">
        <v>8662</v>
      </c>
      <c r="I8" s="1519">
        <v>47.34</v>
      </c>
      <c r="J8" s="1526" t="s">
        <v>1728</v>
      </c>
      <c r="K8" s="1526" t="s">
        <v>8663</v>
      </c>
      <c r="L8" s="1526">
        <v>55.97</v>
      </c>
      <c r="M8" s="1526" t="s">
        <v>1975</v>
      </c>
      <c r="N8" s="1526" t="s">
        <v>8664</v>
      </c>
      <c r="O8" s="1532" t="s">
        <v>8518</v>
      </c>
      <c r="P8" s="1526">
        <v>47.49</v>
      </c>
      <c r="Q8" s="1526" t="s">
        <v>8665</v>
      </c>
      <c r="R8" s="1526" t="s">
        <v>1227</v>
      </c>
      <c r="S8" s="1533" t="s">
        <v>1829</v>
      </c>
      <c r="T8" s="1526" t="s">
        <v>8666</v>
      </c>
      <c r="U8" s="1505" t="s">
        <v>8667</v>
      </c>
      <c r="V8" s="1526">
        <v>59.32</v>
      </c>
      <c r="W8" s="1531" t="s">
        <v>8668</v>
      </c>
      <c r="X8" s="1534" t="s">
        <v>8669</v>
      </c>
      <c r="Y8" s="1526">
        <v>46.65</v>
      </c>
      <c r="Z8" s="1526" t="s">
        <v>8670</v>
      </c>
      <c r="AA8" s="1526" t="s">
        <v>2487</v>
      </c>
      <c r="AB8" s="1526" t="s">
        <v>8671</v>
      </c>
      <c r="AC8" s="1526">
        <v>47.89</v>
      </c>
      <c r="AD8" s="1526" t="s">
        <v>1828</v>
      </c>
      <c r="AE8" s="1526">
        <v>47.98</v>
      </c>
      <c r="AF8" s="1534" t="s">
        <v>8672</v>
      </c>
      <c r="AG8" s="1526" t="s">
        <v>8673</v>
      </c>
      <c r="AH8" s="1526">
        <v>57.45</v>
      </c>
      <c r="AI8" s="1522" t="s">
        <v>7192</v>
      </c>
      <c r="AJ8" s="1535" t="s">
        <v>8607</v>
      </c>
      <c r="AK8" s="1526" t="s">
        <v>5435</v>
      </c>
      <c r="AL8" s="1526">
        <v>56.23</v>
      </c>
      <c r="AM8" s="1531" t="s">
        <v>3906</v>
      </c>
      <c r="AN8" s="1531" t="s">
        <v>8674</v>
      </c>
      <c r="AO8" s="1526" t="s">
        <v>8675</v>
      </c>
      <c r="AP8" s="1526" t="s">
        <v>8676</v>
      </c>
      <c r="AQ8" s="1526" t="s">
        <v>8677</v>
      </c>
      <c r="AR8" s="1526" t="s">
        <v>4432</v>
      </c>
      <c r="AS8" s="1526">
        <v>46.19</v>
      </c>
      <c r="AT8" s="1536" t="s">
        <v>8537</v>
      </c>
      <c r="AU8" s="1526" t="s">
        <v>8678</v>
      </c>
      <c r="AV8" s="1513" t="str">
        <f t="shared" si="1"/>
        <v>1:52</v>
      </c>
      <c r="AW8" s="1530" t="s">
        <v>8679</v>
      </c>
    </row>
    <row r="9" ht="15.75" customHeight="1">
      <c r="A9" s="1517" t="s">
        <v>328</v>
      </c>
      <c r="B9" s="1502" t="s">
        <v>8509</v>
      </c>
      <c r="C9" s="1503">
        <v>0.04957175925925926</v>
      </c>
      <c r="D9" s="1537" t="s">
        <v>8680</v>
      </c>
      <c r="E9" s="1519" t="s">
        <v>8681</v>
      </c>
      <c r="F9" s="1538" t="s">
        <v>8513</v>
      </c>
      <c r="G9" s="1521" t="s">
        <v>8682</v>
      </c>
      <c r="H9" s="1539" t="s">
        <v>5342</v>
      </c>
      <c r="I9" s="1521" t="s">
        <v>1391</v>
      </c>
      <c r="J9" s="1540" t="s">
        <v>8683</v>
      </c>
      <c r="K9" s="1521" t="s">
        <v>6775</v>
      </c>
      <c r="L9" s="1520" t="s">
        <v>231</v>
      </c>
      <c r="M9" s="1540" t="s">
        <v>8684</v>
      </c>
      <c r="N9" s="1519" t="s">
        <v>8685</v>
      </c>
      <c r="O9" s="1540" t="s">
        <v>8686</v>
      </c>
      <c r="P9" s="1521" t="s">
        <v>6405</v>
      </c>
      <c r="Q9" s="1521" t="s">
        <v>8665</v>
      </c>
      <c r="R9" s="1521" t="s">
        <v>5575</v>
      </c>
      <c r="S9" s="1521" t="s">
        <v>8687</v>
      </c>
      <c r="T9" s="1521" t="s">
        <v>4011</v>
      </c>
      <c r="U9" s="1521" t="s">
        <v>8688</v>
      </c>
      <c r="V9" s="1317" t="s">
        <v>8689</v>
      </c>
      <c r="W9" s="1541" t="s">
        <v>8690</v>
      </c>
      <c r="X9" s="1521" t="s">
        <v>8691</v>
      </c>
      <c r="Y9" s="1520">
        <v>46.63</v>
      </c>
      <c r="Z9" s="1542" t="s">
        <v>304</v>
      </c>
      <c r="AA9" s="1519" t="s">
        <v>8692</v>
      </c>
      <c r="AB9" s="1520" t="s">
        <v>8526</v>
      </c>
      <c r="AC9" s="1521" t="s">
        <v>5465</v>
      </c>
      <c r="AD9" s="1521" t="s">
        <v>8693</v>
      </c>
      <c r="AE9" s="1522" t="s">
        <v>8694</v>
      </c>
      <c r="AF9" s="1519" t="s">
        <v>8695</v>
      </c>
      <c r="AG9" s="1526" t="s">
        <v>8696</v>
      </c>
      <c r="AH9" s="1521" t="s">
        <v>8697</v>
      </c>
      <c r="AI9" s="1317" t="s">
        <v>8698</v>
      </c>
      <c r="AJ9" s="1522" t="s">
        <v>8699</v>
      </c>
      <c r="AK9" s="1521" t="s">
        <v>1299</v>
      </c>
      <c r="AL9" s="1521" t="s">
        <v>5139</v>
      </c>
      <c r="AM9" s="1521" t="s">
        <v>4011</v>
      </c>
      <c r="AN9" s="1540" t="s">
        <v>8700</v>
      </c>
      <c r="AO9" s="1521" t="s">
        <v>8630</v>
      </c>
      <c r="AP9" s="1521" t="s">
        <v>8701</v>
      </c>
      <c r="AQ9" s="1521" t="s">
        <v>8702</v>
      </c>
      <c r="AR9" s="1521" t="s">
        <v>4578</v>
      </c>
      <c r="AS9" s="1521" t="s">
        <v>8703</v>
      </c>
      <c r="AT9" s="1507" t="s">
        <v>8704</v>
      </c>
      <c r="AU9" s="1543" t="s">
        <v>8705</v>
      </c>
      <c r="AV9" s="1513" t="str">
        <f t="shared" si="1"/>
        <v>2:59</v>
      </c>
      <c r="AW9" s="1544"/>
    </row>
    <row r="10">
      <c r="A10" s="1517" t="s">
        <v>6410</v>
      </c>
      <c r="B10" s="1545" t="s">
        <v>8509</v>
      </c>
      <c r="C10" s="1503">
        <v>0.04958333333333333</v>
      </c>
      <c r="D10" s="1317" t="s">
        <v>8706</v>
      </c>
      <c r="E10" s="1526" t="s">
        <v>6361</v>
      </c>
      <c r="F10" s="1526" t="s">
        <v>8707</v>
      </c>
      <c r="G10" s="1526" t="s">
        <v>8708</v>
      </c>
      <c r="H10" s="1531" t="s">
        <v>8709</v>
      </c>
      <c r="I10" s="1531" t="s">
        <v>5630</v>
      </c>
      <c r="J10" s="1531" t="s">
        <v>149</v>
      </c>
      <c r="K10" s="1531" t="s">
        <v>7418</v>
      </c>
      <c r="L10" s="1526">
        <v>56.42</v>
      </c>
      <c r="M10" s="1526" t="s">
        <v>5210</v>
      </c>
      <c r="N10" s="1526" t="s">
        <v>8710</v>
      </c>
      <c r="O10" s="1531" t="s">
        <v>8711</v>
      </c>
      <c r="P10" s="1531" t="s">
        <v>277</v>
      </c>
      <c r="Q10" s="1531" t="s">
        <v>8712</v>
      </c>
      <c r="R10" s="1526" t="s">
        <v>8713</v>
      </c>
      <c r="S10" s="1531" t="s">
        <v>8714</v>
      </c>
      <c r="T10" s="1531" t="s">
        <v>4982</v>
      </c>
      <c r="U10" s="1531" t="s">
        <v>8715</v>
      </c>
      <c r="V10" s="1526">
        <v>59.45</v>
      </c>
      <c r="W10" s="1531" t="s">
        <v>8716</v>
      </c>
      <c r="X10" s="1531" t="s">
        <v>8717</v>
      </c>
      <c r="Y10" s="1531" t="s">
        <v>5090</v>
      </c>
      <c r="Z10" s="1526" t="s">
        <v>4170</v>
      </c>
      <c r="AA10" s="1526" t="s">
        <v>8718</v>
      </c>
      <c r="AB10" s="1526" t="s">
        <v>4595</v>
      </c>
      <c r="AC10" s="1531" t="s">
        <v>4838</v>
      </c>
      <c r="AD10" s="1531" t="s">
        <v>8719</v>
      </c>
      <c r="AE10" s="1526">
        <v>47.89</v>
      </c>
      <c r="AF10" s="1526" t="s">
        <v>8720</v>
      </c>
      <c r="AG10" s="1523" t="s">
        <v>8529</v>
      </c>
      <c r="AH10" s="1526">
        <v>57.71</v>
      </c>
      <c r="AI10" s="1531" t="s">
        <v>2182</v>
      </c>
      <c r="AJ10" s="1526" t="s">
        <v>8721</v>
      </c>
      <c r="AK10" s="1531" t="s">
        <v>7258</v>
      </c>
      <c r="AL10" s="1526">
        <v>56.69</v>
      </c>
      <c r="AM10" s="1531" t="s">
        <v>8722</v>
      </c>
      <c r="AN10" s="1531" t="s">
        <v>4128</v>
      </c>
      <c r="AO10" s="1531" t="s">
        <v>2810</v>
      </c>
      <c r="AP10" s="1526" t="s">
        <v>8723</v>
      </c>
      <c r="AQ10" s="1531" t="s">
        <v>8724</v>
      </c>
      <c r="AR10" s="1531" t="s">
        <v>8725</v>
      </c>
      <c r="AS10" s="1526">
        <v>43.65</v>
      </c>
      <c r="AT10" s="1531" t="s">
        <v>8726</v>
      </c>
      <c r="AU10" s="1524" t="s">
        <v>8727</v>
      </c>
      <c r="AV10" s="1513" t="str">
        <f t="shared" si="1"/>
        <v>1:34</v>
      </c>
      <c r="AW10" s="1546" t="s">
        <v>8728</v>
      </c>
    </row>
    <row r="11">
      <c r="A11" s="1547" t="s">
        <v>912</v>
      </c>
      <c r="B11" s="1548" t="s">
        <v>8509</v>
      </c>
      <c r="C11" s="1503">
        <v>0.049652777777777775</v>
      </c>
      <c r="D11" s="1521" t="s">
        <v>8729</v>
      </c>
      <c r="E11" s="1521" t="s">
        <v>8730</v>
      </c>
      <c r="F11" s="1521" t="s">
        <v>8731</v>
      </c>
      <c r="G11" s="1522" t="s">
        <v>8732</v>
      </c>
      <c r="H11" s="1521" t="s">
        <v>7612</v>
      </c>
      <c r="I11" s="1521" t="s">
        <v>8467</v>
      </c>
      <c r="J11" s="1519" t="s">
        <v>8733</v>
      </c>
      <c r="K11" s="1521" t="s">
        <v>8734</v>
      </c>
      <c r="L11" s="1521" t="s">
        <v>3374</v>
      </c>
      <c r="M11" s="1523" t="s">
        <v>8517</v>
      </c>
      <c r="N11" s="1521" t="s">
        <v>8735</v>
      </c>
      <c r="O11" s="1521" t="s">
        <v>8736</v>
      </c>
      <c r="P11" s="1521" t="s">
        <v>6031</v>
      </c>
      <c r="Q11" s="1521" t="s">
        <v>4721</v>
      </c>
      <c r="R11" s="1521" t="s">
        <v>8737</v>
      </c>
      <c r="S11" s="1505" t="s">
        <v>2726</v>
      </c>
      <c r="T11" s="1521" t="s">
        <v>8738</v>
      </c>
      <c r="U11" s="1521" t="s">
        <v>8739</v>
      </c>
      <c r="V11" s="1521" t="s">
        <v>5340</v>
      </c>
      <c r="W11" s="1521" t="s">
        <v>7265</v>
      </c>
      <c r="X11" s="1505" t="s">
        <v>8740</v>
      </c>
      <c r="Y11" s="1521" t="s">
        <v>8741</v>
      </c>
      <c r="Z11" s="1532" t="s">
        <v>8525</v>
      </c>
      <c r="AA11" s="1505" t="s">
        <v>8742</v>
      </c>
      <c r="AB11" s="1521" t="s">
        <v>8743</v>
      </c>
      <c r="AC11" s="1521" t="s">
        <v>4719</v>
      </c>
      <c r="AD11" s="1521" t="s">
        <v>5634</v>
      </c>
      <c r="AE11" s="1522">
        <v>47.81</v>
      </c>
      <c r="AF11" s="1521" t="s">
        <v>8744</v>
      </c>
      <c r="AG11" s="1521" t="s">
        <v>8745</v>
      </c>
      <c r="AH11" s="1521" t="s">
        <v>749</v>
      </c>
      <c r="AI11" s="1521" t="s">
        <v>865</v>
      </c>
      <c r="AJ11" s="1521" t="s">
        <v>8746</v>
      </c>
      <c r="AK11" s="1521" t="s">
        <v>8552</v>
      </c>
      <c r="AL11" s="1521" t="s">
        <v>8747</v>
      </c>
      <c r="AM11" s="1521" t="s">
        <v>4523</v>
      </c>
      <c r="AN11" s="1532" t="s">
        <v>8534</v>
      </c>
      <c r="AO11" s="1532" t="s">
        <v>6364</v>
      </c>
      <c r="AP11" s="1521" t="s">
        <v>8748</v>
      </c>
      <c r="AQ11" s="1521" t="s">
        <v>8749</v>
      </c>
      <c r="AR11" s="1532" t="s">
        <v>414</v>
      </c>
      <c r="AS11" s="1521" t="s">
        <v>3343</v>
      </c>
      <c r="AT11" s="1521" t="s">
        <v>3572</v>
      </c>
      <c r="AU11" s="1543" t="s">
        <v>8750</v>
      </c>
      <c r="AV11" s="1513" t="str">
        <f t="shared" si="1"/>
        <v>2:27</v>
      </c>
      <c r="AW11" s="1549" t="s">
        <v>8751</v>
      </c>
    </row>
    <row r="12" ht="15.75" customHeight="1">
      <c r="A12" s="1550" t="s">
        <v>6466</v>
      </c>
      <c r="B12" s="1502" t="s">
        <v>8509</v>
      </c>
      <c r="C12" s="1503">
        <v>0.04967592592592593</v>
      </c>
      <c r="D12" s="1317" t="s">
        <v>8752</v>
      </c>
      <c r="E12" s="1515" t="s">
        <v>886</v>
      </c>
      <c r="F12" s="1515" t="s">
        <v>8753</v>
      </c>
      <c r="G12" s="1515" t="s">
        <v>8754</v>
      </c>
      <c r="H12" s="1317" t="s">
        <v>8755</v>
      </c>
      <c r="I12" s="1515" t="s">
        <v>8756</v>
      </c>
      <c r="J12" s="1515" t="s">
        <v>8757</v>
      </c>
      <c r="K12" s="1515" t="s">
        <v>6341</v>
      </c>
      <c r="L12" s="1515" t="s">
        <v>4427</v>
      </c>
      <c r="M12" s="1515" t="s">
        <v>8324</v>
      </c>
      <c r="N12" s="1515" t="s">
        <v>2178</v>
      </c>
      <c r="O12" s="1515" t="s">
        <v>3357</v>
      </c>
      <c r="P12" s="1515" t="s">
        <v>8756</v>
      </c>
      <c r="Q12" s="1515" t="s">
        <v>8758</v>
      </c>
      <c r="R12" s="1515" t="s">
        <v>1227</v>
      </c>
      <c r="S12" s="1551" t="s">
        <v>8759</v>
      </c>
      <c r="T12" s="1515" t="s">
        <v>4892</v>
      </c>
      <c r="U12" s="1515" t="s">
        <v>8760</v>
      </c>
      <c r="V12" s="1515" t="s">
        <v>8761</v>
      </c>
      <c r="W12" s="1515" t="s">
        <v>8762</v>
      </c>
      <c r="X12" s="1515" t="s">
        <v>960</v>
      </c>
      <c r="Y12" s="1515" t="s">
        <v>4314</v>
      </c>
      <c r="Z12" s="1515" t="s">
        <v>8763</v>
      </c>
      <c r="AA12" s="1515" t="s">
        <v>8764</v>
      </c>
      <c r="AB12" s="1515" t="s">
        <v>1837</v>
      </c>
      <c r="AC12" s="1515" t="s">
        <v>760</v>
      </c>
      <c r="AD12" s="1515" t="s">
        <v>8765</v>
      </c>
      <c r="AE12" s="1515" t="s">
        <v>6223</v>
      </c>
      <c r="AF12" s="1505" t="s">
        <v>8766</v>
      </c>
      <c r="AG12" s="1515" t="s">
        <v>8767</v>
      </c>
      <c r="AH12" s="1515" t="s">
        <v>4745</v>
      </c>
      <c r="AI12" s="1515" t="s">
        <v>2949</v>
      </c>
      <c r="AJ12" s="1515" t="s">
        <v>8768</v>
      </c>
      <c r="AK12" s="1515" t="s">
        <v>4178</v>
      </c>
      <c r="AL12" s="1515" t="s">
        <v>8769</v>
      </c>
      <c r="AM12" s="1515" t="s">
        <v>8770</v>
      </c>
      <c r="AN12" s="1317" t="s">
        <v>8619</v>
      </c>
      <c r="AO12" s="1515" t="s">
        <v>8771</v>
      </c>
      <c r="AP12" s="1515" t="s">
        <v>8772</v>
      </c>
      <c r="AQ12" s="1505" t="s">
        <v>8773</v>
      </c>
      <c r="AR12" s="1515" t="s">
        <v>1841</v>
      </c>
      <c r="AS12" s="1515" t="s">
        <v>1578</v>
      </c>
      <c r="AT12" s="1515" t="s">
        <v>8774</v>
      </c>
      <c r="AU12" s="1515" t="s">
        <v>8775</v>
      </c>
      <c r="AV12" s="1513" t="str">
        <f t="shared" si="1"/>
        <v>2:47</v>
      </c>
      <c r="AW12" s="1516" t="s">
        <v>8776</v>
      </c>
    </row>
    <row r="13" ht="15.75" customHeight="1">
      <c r="A13" s="1552" t="s">
        <v>2638</v>
      </c>
      <c r="B13" s="1502" t="s">
        <v>8509</v>
      </c>
      <c r="C13" s="1553">
        <v>0.04971064814814815</v>
      </c>
      <c r="D13" s="1554" t="s">
        <v>8777</v>
      </c>
      <c r="E13" s="1555" t="s">
        <v>511</v>
      </c>
      <c r="F13" s="1555" t="s">
        <v>8778</v>
      </c>
      <c r="G13" s="1555" t="s">
        <v>8779</v>
      </c>
      <c r="H13" s="1505" t="s">
        <v>8780</v>
      </c>
      <c r="I13" s="1556" t="s">
        <v>5660</v>
      </c>
      <c r="J13" s="1557" t="s">
        <v>8781</v>
      </c>
      <c r="K13" s="1557" t="s">
        <v>4265</v>
      </c>
      <c r="L13" s="1557" t="s">
        <v>4656</v>
      </c>
      <c r="M13" s="1558" t="s">
        <v>8517</v>
      </c>
      <c r="N13" s="1557" t="s">
        <v>2622</v>
      </c>
      <c r="O13" s="1557" t="s">
        <v>8782</v>
      </c>
      <c r="P13" s="1557" t="s">
        <v>8783</v>
      </c>
      <c r="Q13" s="1505" t="s">
        <v>8784</v>
      </c>
      <c r="R13" s="1559" t="s">
        <v>8785</v>
      </c>
      <c r="S13" s="1505" t="s">
        <v>1829</v>
      </c>
      <c r="T13" s="1559" t="s">
        <v>8786</v>
      </c>
      <c r="U13" s="1505" t="s">
        <v>8787</v>
      </c>
      <c r="V13" s="1559" t="s">
        <v>3486</v>
      </c>
      <c r="W13" s="1560" t="s">
        <v>8788</v>
      </c>
      <c r="X13" s="1560" t="s">
        <v>4038</v>
      </c>
      <c r="Y13" s="1560" t="s">
        <v>7030</v>
      </c>
      <c r="Z13" s="1560" t="s">
        <v>8789</v>
      </c>
      <c r="AA13" s="1560" t="s">
        <v>8625</v>
      </c>
      <c r="AB13" s="1560" t="s">
        <v>4413</v>
      </c>
      <c r="AC13" s="1560" t="s">
        <v>1149</v>
      </c>
      <c r="AD13" s="1555" t="s">
        <v>8790</v>
      </c>
      <c r="AE13" s="1555" t="s">
        <v>5300</v>
      </c>
      <c r="AF13" s="1561" t="s">
        <v>8791</v>
      </c>
      <c r="AG13" s="1561" t="s">
        <v>7801</v>
      </c>
      <c r="AH13" s="1561" t="s">
        <v>5310</v>
      </c>
      <c r="AI13" s="1561" t="s">
        <v>8792</v>
      </c>
      <c r="AJ13" s="1561" t="s">
        <v>8793</v>
      </c>
      <c r="AK13" s="1561" t="s">
        <v>8794</v>
      </c>
      <c r="AL13" s="1561" t="s">
        <v>4071</v>
      </c>
      <c r="AM13" s="1562" t="s">
        <v>8795</v>
      </c>
      <c r="AN13" s="1563" t="s">
        <v>4656</v>
      </c>
      <c r="AO13" s="1563" t="s">
        <v>8796</v>
      </c>
      <c r="AP13" s="1562" t="s">
        <v>8797</v>
      </c>
      <c r="AQ13" s="1562" t="s">
        <v>8798</v>
      </c>
      <c r="AR13" s="1563" t="s">
        <v>8799</v>
      </c>
      <c r="AS13" s="1562" t="s">
        <v>270</v>
      </c>
      <c r="AT13" s="1524" t="s">
        <v>8800</v>
      </c>
      <c r="AU13" s="1543" t="s">
        <v>8801</v>
      </c>
      <c r="AV13" s="1513" t="str">
        <f t="shared" si="1"/>
        <v>2:35</v>
      </c>
      <c r="AW13" s="1564" t="s">
        <v>8802</v>
      </c>
    </row>
    <row r="14" ht="15.75" customHeight="1">
      <c r="A14" s="1550" t="s">
        <v>2219</v>
      </c>
      <c r="B14" s="1565" t="s">
        <v>8540</v>
      </c>
      <c r="C14" s="1503">
        <v>0.04981481481481481</v>
      </c>
      <c r="D14" s="1566" t="s">
        <v>8803</v>
      </c>
      <c r="E14" s="1317" t="s">
        <v>8517</v>
      </c>
      <c r="F14" s="1317" t="s">
        <v>8804</v>
      </c>
      <c r="G14" s="1567" t="s">
        <v>8805</v>
      </c>
      <c r="H14" s="1568" t="s">
        <v>8544</v>
      </c>
      <c r="I14" s="1317" t="s">
        <v>6057</v>
      </c>
      <c r="J14" s="1317" t="s">
        <v>5729</v>
      </c>
      <c r="K14" s="1569" t="s">
        <v>8547</v>
      </c>
      <c r="L14" s="1569" t="s">
        <v>2820</v>
      </c>
      <c r="M14" s="1317" t="s">
        <v>6384</v>
      </c>
      <c r="N14" s="1557" t="s">
        <v>3847</v>
      </c>
      <c r="O14" s="1317" t="s">
        <v>8806</v>
      </c>
      <c r="P14" s="1557" t="s">
        <v>5465</v>
      </c>
      <c r="Q14" s="1317" t="s">
        <v>8807</v>
      </c>
      <c r="R14" s="1569" t="s">
        <v>8551</v>
      </c>
      <c r="S14" s="1570" t="s">
        <v>2395</v>
      </c>
      <c r="T14" s="1571" t="s">
        <v>8552</v>
      </c>
      <c r="U14" s="1559" t="s">
        <v>8808</v>
      </c>
      <c r="V14" s="1317" t="s">
        <v>8809</v>
      </c>
      <c r="W14" s="1572" t="s">
        <v>4133</v>
      </c>
      <c r="X14" s="1572" t="s">
        <v>7465</v>
      </c>
      <c r="Y14" s="1569" t="s">
        <v>8553</v>
      </c>
      <c r="Z14" s="1569" t="s">
        <v>442</v>
      </c>
      <c r="AA14" s="1560" t="s">
        <v>5848</v>
      </c>
      <c r="AB14" s="1317" t="s">
        <v>8810</v>
      </c>
      <c r="AC14" s="1317" t="s">
        <v>410</v>
      </c>
      <c r="AD14" s="1317" t="s">
        <v>5971</v>
      </c>
      <c r="AE14" s="1573" t="s">
        <v>6671</v>
      </c>
      <c r="AF14" s="1514" t="s">
        <v>8811</v>
      </c>
      <c r="AG14" s="1570" t="s">
        <v>4607</v>
      </c>
      <c r="AH14" s="1574" t="s">
        <v>8557</v>
      </c>
      <c r="AI14" s="1575" t="s">
        <v>8742</v>
      </c>
      <c r="AJ14" s="1317" t="s">
        <v>8812</v>
      </c>
      <c r="AK14" s="1317" t="s">
        <v>8763</v>
      </c>
      <c r="AL14" s="1572" t="s">
        <v>6086</v>
      </c>
      <c r="AM14" s="1569" t="s">
        <v>8560</v>
      </c>
      <c r="AN14" s="1563" t="s">
        <v>8813</v>
      </c>
      <c r="AO14" s="1569" t="s">
        <v>7720</v>
      </c>
      <c r="AP14" s="1576" t="s">
        <v>8814</v>
      </c>
      <c r="AQ14" s="1577" t="s">
        <v>8562</v>
      </c>
      <c r="AR14" s="1577" t="s">
        <v>4009</v>
      </c>
      <c r="AS14" s="1578" t="s">
        <v>5197</v>
      </c>
      <c r="AT14" s="1569" t="s">
        <v>8815</v>
      </c>
      <c r="AU14" s="1543" t="s">
        <v>8816</v>
      </c>
      <c r="AV14" s="1513" t="str">
        <f t="shared" si="1"/>
        <v>4:19</v>
      </c>
      <c r="AW14" s="1549" t="s">
        <v>8817</v>
      </c>
    </row>
    <row r="15" ht="15.75" customHeight="1">
      <c r="A15" s="1501" t="s">
        <v>6217</v>
      </c>
      <c r="B15" s="1579" t="s">
        <v>8509</v>
      </c>
      <c r="C15" s="1503">
        <v>0.04982638888888889</v>
      </c>
      <c r="D15" s="1554" t="s">
        <v>8818</v>
      </c>
      <c r="E15" s="1554" t="s">
        <v>4768</v>
      </c>
      <c r="F15" s="1554" t="s">
        <v>8819</v>
      </c>
      <c r="G15" s="1554" t="s">
        <v>8820</v>
      </c>
      <c r="H15" s="1554" t="s">
        <v>8821</v>
      </c>
      <c r="I15" s="1554" t="s">
        <v>5641</v>
      </c>
      <c r="J15" s="1554" t="s">
        <v>8822</v>
      </c>
      <c r="K15" s="1317" t="s">
        <v>8823</v>
      </c>
      <c r="L15" s="1554" t="s">
        <v>8824</v>
      </c>
      <c r="M15" s="1554" t="s">
        <v>8825</v>
      </c>
      <c r="N15" s="1554" t="s">
        <v>2088</v>
      </c>
      <c r="O15" s="1554" t="s">
        <v>8826</v>
      </c>
      <c r="P15" s="1317" t="s">
        <v>4475</v>
      </c>
      <c r="Q15" s="1554" t="s">
        <v>8827</v>
      </c>
      <c r="R15" s="1554" t="s">
        <v>1866</v>
      </c>
      <c r="S15" s="1554" t="s">
        <v>3424</v>
      </c>
      <c r="T15" s="1554" t="s">
        <v>8828</v>
      </c>
      <c r="U15" s="1554" t="s">
        <v>8829</v>
      </c>
      <c r="V15" s="1554" t="s">
        <v>6657</v>
      </c>
      <c r="W15" s="1554" t="s">
        <v>5453</v>
      </c>
      <c r="X15" s="1554" t="s">
        <v>8529</v>
      </c>
      <c r="Y15" s="1554" t="s">
        <v>8618</v>
      </c>
      <c r="Z15" s="1554" t="s">
        <v>6783</v>
      </c>
      <c r="AA15" s="1580" t="s">
        <v>8830</v>
      </c>
      <c r="AB15" s="1554" t="s">
        <v>5753</v>
      </c>
      <c r="AC15" s="1554" t="s">
        <v>1032</v>
      </c>
      <c r="AD15" s="1554" t="s">
        <v>7457</v>
      </c>
      <c r="AE15" s="1554" t="s">
        <v>4255</v>
      </c>
      <c r="AF15" s="1554" t="s">
        <v>8831</v>
      </c>
      <c r="AG15" s="1554" t="s">
        <v>1536</v>
      </c>
      <c r="AH15" s="1317" t="s">
        <v>8832</v>
      </c>
      <c r="AI15" s="1554" t="s">
        <v>8204</v>
      </c>
      <c r="AJ15" s="1554" t="s">
        <v>8833</v>
      </c>
      <c r="AK15" s="1554" t="s">
        <v>8834</v>
      </c>
      <c r="AL15" s="1554" t="s">
        <v>4405</v>
      </c>
      <c r="AM15" s="1554" t="s">
        <v>3493</v>
      </c>
      <c r="AN15" s="1554" t="s">
        <v>8835</v>
      </c>
      <c r="AO15" s="1554" t="s">
        <v>8655</v>
      </c>
      <c r="AP15" s="1581" t="s">
        <v>8535</v>
      </c>
      <c r="AQ15" s="1554" t="s">
        <v>8836</v>
      </c>
      <c r="AR15" s="1554" t="s">
        <v>8837</v>
      </c>
      <c r="AS15" s="1554" t="s">
        <v>8838</v>
      </c>
      <c r="AT15" s="1554" t="s">
        <v>8839</v>
      </c>
      <c r="AU15" s="1582" t="s">
        <v>8840</v>
      </c>
      <c r="AV15" s="1513" t="str">
        <f t="shared" si="1"/>
        <v>2:18</v>
      </c>
      <c r="AW15" s="1583" t="s">
        <v>8841</v>
      </c>
    </row>
    <row r="16" ht="15.75" customHeight="1">
      <c r="A16" s="1501" t="s">
        <v>2076</v>
      </c>
      <c r="B16" s="1502" t="s">
        <v>8509</v>
      </c>
      <c r="C16" s="1503">
        <v>0.049895833333333334</v>
      </c>
      <c r="D16" s="1317" t="s">
        <v>8842</v>
      </c>
      <c r="E16" s="1584" t="s">
        <v>886</v>
      </c>
      <c r="F16" s="1555" t="s">
        <v>8843</v>
      </c>
      <c r="G16" s="1584" t="s">
        <v>8844</v>
      </c>
      <c r="H16" s="1585" t="s">
        <v>8845</v>
      </c>
      <c r="I16" s="1556" t="s">
        <v>5537</v>
      </c>
      <c r="J16" s="1557" t="s">
        <v>8846</v>
      </c>
      <c r="K16" s="1586" t="s">
        <v>8847</v>
      </c>
      <c r="L16" s="1557" t="s">
        <v>8813</v>
      </c>
      <c r="M16" s="1557" t="s">
        <v>5033</v>
      </c>
      <c r="N16" s="1557" t="s">
        <v>8848</v>
      </c>
      <c r="O16" s="1586" t="s">
        <v>8849</v>
      </c>
      <c r="P16" s="1317" t="s">
        <v>4965</v>
      </c>
      <c r="Q16" s="1559" t="s">
        <v>3450</v>
      </c>
      <c r="R16" s="1587" t="s">
        <v>8850</v>
      </c>
      <c r="S16" s="1587" t="s">
        <v>8851</v>
      </c>
      <c r="T16" s="1587" t="s">
        <v>8852</v>
      </c>
      <c r="U16" s="1587" t="s">
        <v>1826</v>
      </c>
      <c r="V16" s="1559" t="s">
        <v>4456</v>
      </c>
      <c r="W16" s="1560" t="s">
        <v>8853</v>
      </c>
      <c r="X16" s="1588" t="s">
        <v>8854</v>
      </c>
      <c r="Y16" s="1560" t="s">
        <v>8855</v>
      </c>
      <c r="Z16" s="1560" t="s">
        <v>8856</v>
      </c>
      <c r="AA16" s="1560" t="s">
        <v>3344</v>
      </c>
      <c r="AB16" s="1588" t="s">
        <v>7762</v>
      </c>
      <c r="AC16" s="1588" t="s">
        <v>1220</v>
      </c>
      <c r="AD16" s="1584" t="s">
        <v>8857</v>
      </c>
      <c r="AE16" s="1584" t="s">
        <v>8858</v>
      </c>
      <c r="AF16" s="1589" t="s">
        <v>8859</v>
      </c>
      <c r="AG16" s="1561" t="s">
        <v>8860</v>
      </c>
      <c r="AH16" s="1561" t="s">
        <v>8861</v>
      </c>
      <c r="AI16" s="1561" t="s">
        <v>8745</v>
      </c>
      <c r="AJ16" s="1589" t="s">
        <v>8862</v>
      </c>
      <c r="AK16" s="1589" t="s">
        <v>893</v>
      </c>
      <c r="AL16" s="1561" t="s">
        <v>8863</v>
      </c>
      <c r="AM16" s="1563" t="s">
        <v>8864</v>
      </c>
      <c r="AN16" s="1562" t="s">
        <v>3092</v>
      </c>
      <c r="AO16" s="1563" t="s">
        <v>8865</v>
      </c>
      <c r="AP16" s="1562" t="s">
        <v>5582</v>
      </c>
      <c r="AQ16" s="1563" t="s">
        <v>8866</v>
      </c>
      <c r="AR16" s="1562" t="s">
        <v>1164</v>
      </c>
      <c r="AS16" s="1562" t="s">
        <v>3965</v>
      </c>
      <c r="AT16" s="1586" t="s">
        <v>6382</v>
      </c>
      <c r="AU16" s="1590" t="s">
        <v>8867</v>
      </c>
      <c r="AV16" s="1513" t="str">
        <f t="shared" si="1"/>
        <v>2:22</v>
      </c>
      <c r="AW16" s="1544" t="s">
        <v>8868</v>
      </c>
    </row>
    <row r="17">
      <c r="A17" s="1550" t="s">
        <v>2014</v>
      </c>
      <c r="B17" s="1545" t="s">
        <v>8509</v>
      </c>
      <c r="C17" s="1591">
        <v>0.04978009259259259</v>
      </c>
      <c r="D17" s="1531" t="s">
        <v>8869</v>
      </c>
      <c r="E17" s="1531" t="s">
        <v>8870</v>
      </c>
      <c r="F17" s="1531" t="s">
        <v>8871</v>
      </c>
      <c r="G17" s="1534" t="s">
        <v>8872</v>
      </c>
      <c r="H17" s="1531" t="s">
        <v>8873</v>
      </c>
      <c r="I17" s="1531" t="s">
        <v>3716</v>
      </c>
      <c r="J17" s="1531" t="s">
        <v>8874</v>
      </c>
      <c r="K17" s="1592" t="s">
        <v>4192</v>
      </c>
      <c r="L17" s="1531" t="s">
        <v>6753</v>
      </c>
      <c r="M17" s="1531" t="s">
        <v>8875</v>
      </c>
      <c r="N17" s="1531" t="s">
        <v>688</v>
      </c>
      <c r="O17" s="1531" t="s">
        <v>8876</v>
      </c>
      <c r="P17" s="1531" t="s">
        <v>6405</v>
      </c>
      <c r="Q17" s="1531" t="s">
        <v>8877</v>
      </c>
      <c r="R17" s="1531" t="s">
        <v>7383</v>
      </c>
      <c r="S17" s="1531" t="s">
        <v>8878</v>
      </c>
      <c r="T17" s="1531" t="s">
        <v>5710</v>
      </c>
      <c r="U17" s="1531" t="s">
        <v>8879</v>
      </c>
      <c r="V17" s="1531" t="s">
        <v>8880</v>
      </c>
      <c r="W17" s="1531" t="s">
        <v>8881</v>
      </c>
      <c r="X17" s="1531" t="s">
        <v>8882</v>
      </c>
      <c r="Y17" s="1531" t="s">
        <v>8647</v>
      </c>
      <c r="Z17" s="1531" t="s">
        <v>8883</v>
      </c>
      <c r="AA17" s="1531" t="s">
        <v>8884</v>
      </c>
      <c r="AB17" s="1531" t="s">
        <v>8885</v>
      </c>
      <c r="AC17" s="1531" t="s">
        <v>595</v>
      </c>
      <c r="AD17" s="1531" t="s">
        <v>8886</v>
      </c>
      <c r="AE17" s="1531" t="s">
        <v>5535</v>
      </c>
      <c r="AF17" s="1531" t="s">
        <v>8887</v>
      </c>
      <c r="AG17" s="1531" t="s">
        <v>307</v>
      </c>
      <c r="AH17" s="1531" t="s">
        <v>8888</v>
      </c>
      <c r="AI17" s="1531" t="s">
        <v>8718</v>
      </c>
      <c r="AJ17" s="1531" t="s">
        <v>8889</v>
      </c>
      <c r="AK17" s="1531" t="s">
        <v>8890</v>
      </c>
      <c r="AL17" s="1531" t="s">
        <v>342</v>
      </c>
      <c r="AM17" s="1531" t="s">
        <v>2180</v>
      </c>
      <c r="AN17" s="1531" t="s">
        <v>231</v>
      </c>
      <c r="AO17" s="1531" t="s">
        <v>8891</v>
      </c>
      <c r="AP17" s="1531" t="s">
        <v>8892</v>
      </c>
      <c r="AQ17" s="1593" t="s">
        <v>8893</v>
      </c>
      <c r="AR17" s="1531" t="s">
        <v>8894</v>
      </c>
      <c r="AS17" s="1531" t="s">
        <v>925</v>
      </c>
      <c r="AT17" s="1531" t="s">
        <v>2402</v>
      </c>
      <c r="AU17" s="1515" t="s">
        <v>8895</v>
      </c>
      <c r="AV17" s="1513" t="str">
        <f t="shared" si="1"/>
        <v>2:13</v>
      </c>
      <c r="AW17" s="1594"/>
    </row>
    <row r="18">
      <c r="A18" s="1550" t="s">
        <v>1557</v>
      </c>
      <c r="B18" s="1548" t="s">
        <v>8509</v>
      </c>
      <c r="C18" s="1503">
        <v>0.04991898148148148</v>
      </c>
      <c r="D18" s="1595" t="s">
        <v>8896</v>
      </c>
      <c r="E18" s="1596" t="s">
        <v>8897</v>
      </c>
      <c r="F18" s="1596" t="s">
        <v>8898</v>
      </c>
      <c r="G18" s="1596" t="s">
        <v>8899</v>
      </c>
      <c r="H18" s="1596" t="s">
        <v>8900</v>
      </c>
      <c r="I18" s="1596">
        <v>48.07</v>
      </c>
      <c r="J18" s="1596" t="s">
        <v>8901</v>
      </c>
      <c r="K18" s="1596" t="s">
        <v>1704</v>
      </c>
      <c r="L18" s="1596">
        <v>56.32</v>
      </c>
      <c r="M18" s="1596" t="s">
        <v>863</v>
      </c>
      <c r="N18" s="1596" t="s">
        <v>8902</v>
      </c>
      <c r="O18" s="1596" t="s">
        <v>8903</v>
      </c>
      <c r="P18" s="1596">
        <v>47.77</v>
      </c>
      <c r="Q18" s="1596" t="s">
        <v>8904</v>
      </c>
      <c r="R18" s="1596" t="s">
        <v>7343</v>
      </c>
      <c r="S18" s="1596" t="s">
        <v>8905</v>
      </c>
      <c r="T18" s="1596" t="s">
        <v>4568</v>
      </c>
      <c r="U18" s="1596" t="s">
        <v>8906</v>
      </c>
      <c r="V18" s="1596">
        <v>59.79</v>
      </c>
      <c r="W18" s="1596" t="s">
        <v>8907</v>
      </c>
      <c r="X18" s="1596" t="s">
        <v>2055</v>
      </c>
      <c r="Y18" s="1596">
        <v>47.0</v>
      </c>
      <c r="Z18" s="1596" t="s">
        <v>8908</v>
      </c>
      <c r="AA18" s="1596" t="s">
        <v>8909</v>
      </c>
      <c r="AB18" s="1596" t="s">
        <v>7311</v>
      </c>
      <c r="AC18" s="1596">
        <v>47.56</v>
      </c>
      <c r="AD18" s="1596" t="s">
        <v>8555</v>
      </c>
      <c r="AE18" s="1596">
        <v>47.95</v>
      </c>
      <c r="AF18" s="1596" t="s">
        <v>8910</v>
      </c>
      <c r="AG18" s="1596" t="s">
        <v>8911</v>
      </c>
      <c r="AH18" s="1596">
        <v>57.67</v>
      </c>
      <c r="AI18" s="1596" t="s">
        <v>960</v>
      </c>
      <c r="AJ18" s="1596" t="s">
        <v>8912</v>
      </c>
      <c r="AK18" s="1596" t="s">
        <v>7796</v>
      </c>
      <c r="AL18" s="1596">
        <v>56.37</v>
      </c>
      <c r="AM18" s="1596" t="s">
        <v>8913</v>
      </c>
      <c r="AN18" s="1596">
        <v>55.92</v>
      </c>
      <c r="AO18" s="1596" t="s">
        <v>4432</v>
      </c>
      <c r="AP18" s="1596" t="s">
        <v>8429</v>
      </c>
      <c r="AQ18" s="1596" t="s">
        <v>8914</v>
      </c>
      <c r="AR18" s="1596" t="s">
        <v>6491</v>
      </c>
      <c r="AS18" s="1596">
        <v>46.83</v>
      </c>
      <c r="AT18" s="1597" t="s">
        <v>8915</v>
      </c>
      <c r="AU18" s="1531" t="s">
        <v>8916</v>
      </c>
      <c r="AV18" s="1513" t="str">
        <f t="shared" si="1"/>
        <v>1:53</v>
      </c>
      <c r="AW18" s="1549" t="s">
        <v>8917</v>
      </c>
    </row>
    <row r="19">
      <c r="A19" s="1550" t="s">
        <v>2095</v>
      </c>
      <c r="B19" s="1548" t="s">
        <v>8509</v>
      </c>
      <c r="C19" s="1598">
        <v>0.049930555555555554</v>
      </c>
      <c r="D19" s="1599" t="s">
        <v>8918</v>
      </c>
      <c r="E19" s="1531" t="s">
        <v>8919</v>
      </c>
      <c r="F19" s="1531" t="s">
        <v>4258</v>
      </c>
      <c r="G19" s="1531" t="s">
        <v>8920</v>
      </c>
      <c r="H19" s="1531" t="s">
        <v>8921</v>
      </c>
      <c r="I19" s="1531" t="s">
        <v>5630</v>
      </c>
      <c r="J19" s="1531" t="s">
        <v>6259</v>
      </c>
      <c r="K19" s="1531" t="s">
        <v>8922</v>
      </c>
      <c r="L19" s="1531" t="s">
        <v>4071</v>
      </c>
      <c r="M19" s="1531" t="s">
        <v>1092</v>
      </c>
      <c r="N19" s="1531" t="s">
        <v>8923</v>
      </c>
      <c r="O19" s="1531" t="s">
        <v>799</v>
      </c>
      <c r="P19" s="1526">
        <v>47.54</v>
      </c>
      <c r="Q19" s="1600" t="s">
        <v>5637</v>
      </c>
      <c r="R19" s="1526" t="s">
        <v>8924</v>
      </c>
      <c r="S19" s="1600" t="s">
        <v>8759</v>
      </c>
      <c r="T19" s="1526" t="s">
        <v>8925</v>
      </c>
      <c r="U19" s="1600" t="s">
        <v>8926</v>
      </c>
      <c r="V19" s="1601">
        <v>58.55</v>
      </c>
      <c r="W19" s="1600" t="s">
        <v>8927</v>
      </c>
      <c r="X19" s="1600" t="s">
        <v>8928</v>
      </c>
      <c r="Y19" s="1505" t="s">
        <v>8647</v>
      </c>
      <c r="Z19" s="1600" t="s">
        <v>8929</v>
      </c>
      <c r="AA19" s="1531" t="s">
        <v>8930</v>
      </c>
      <c r="AB19" s="1600" t="s">
        <v>8885</v>
      </c>
      <c r="AC19" s="1513">
        <v>47.2</v>
      </c>
      <c r="AD19" s="1600" t="s">
        <v>8931</v>
      </c>
      <c r="AE19" s="1526">
        <v>47.88</v>
      </c>
      <c r="AF19" s="1600" t="s">
        <v>8932</v>
      </c>
      <c r="AG19" s="1600" t="s">
        <v>8933</v>
      </c>
      <c r="AH19" s="1600">
        <v>57.68</v>
      </c>
      <c r="AI19" s="1600" t="s">
        <v>2749</v>
      </c>
      <c r="AJ19" s="1526" t="s">
        <v>8934</v>
      </c>
      <c r="AK19" s="1505" t="s">
        <v>8935</v>
      </c>
      <c r="AL19" s="1600">
        <v>55.92</v>
      </c>
      <c r="AM19" s="1600" t="s">
        <v>2838</v>
      </c>
      <c r="AN19" s="1505" t="s">
        <v>5664</v>
      </c>
      <c r="AO19" s="1600" t="s">
        <v>6768</v>
      </c>
      <c r="AP19" s="1600" t="s">
        <v>8936</v>
      </c>
      <c r="AQ19" s="1600" t="s">
        <v>7427</v>
      </c>
      <c r="AR19" s="1600" t="s">
        <v>6344</v>
      </c>
      <c r="AS19" s="1602">
        <v>42.83</v>
      </c>
      <c r="AT19" s="1526" t="s">
        <v>8006</v>
      </c>
      <c r="AU19" s="1543" t="s">
        <v>8937</v>
      </c>
      <c r="AV19" s="1513" t="str">
        <f t="shared" si="1"/>
        <v>4:29</v>
      </c>
      <c r="AW19" s="1549" t="s">
        <v>8938</v>
      </c>
    </row>
    <row r="20" ht="15.75" customHeight="1">
      <c r="A20" s="1550" t="s">
        <v>2258</v>
      </c>
      <c r="B20" s="1502" t="s">
        <v>8509</v>
      </c>
      <c r="C20" s="1503">
        <v>0.0499537037037037</v>
      </c>
      <c r="D20" s="1515" t="s">
        <v>8939</v>
      </c>
      <c r="E20" s="1515" t="s">
        <v>2700</v>
      </c>
      <c r="F20" s="1515" t="s">
        <v>8940</v>
      </c>
      <c r="G20" s="1505" t="s">
        <v>8941</v>
      </c>
      <c r="H20" s="1515" t="s">
        <v>8942</v>
      </c>
      <c r="I20" s="1603" t="s">
        <v>8858</v>
      </c>
      <c r="J20" s="1515" t="s">
        <v>1423</v>
      </c>
      <c r="K20" s="1515" t="s">
        <v>5179</v>
      </c>
      <c r="L20" s="1515" t="s">
        <v>8943</v>
      </c>
      <c r="M20" s="1515" t="s">
        <v>8944</v>
      </c>
      <c r="N20" s="1515" t="s">
        <v>8945</v>
      </c>
      <c r="O20" s="1515" t="s">
        <v>8946</v>
      </c>
      <c r="P20" s="1515" t="s">
        <v>8947</v>
      </c>
      <c r="Q20" s="1515" t="s">
        <v>4621</v>
      </c>
      <c r="R20" s="1559" t="s">
        <v>8948</v>
      </c>
      <c r="S20" s="1515" t="s">
        <v>4002</v>
      </c>
      <c r="T20" s="1515" t="s">
        <v>8740</v>
      </c>
      <c r="U20" s="1515" t="s">
        <v>8949</v>
      </c>
      <c r="V20" s="1515" t="s">
        <v>8950</v>
      </c>
      <c r="W20" s="1515" t="s">
        <v>8951</v>
      </c>
      <c r="X20" s="1515" t="s">
        <v>7763</v>
      </c>
      <c r="Y20" s="1515" t="s">
        <v>4271</v>
      </c>
      <c r="Z20" s="1515" t="s">
        <v>8952</v>
      </c>
      <c r="AA20" s="1515" t="s">
        <v>7763</v>
      </c>
      <c r="AB20" s="1515" t="s">
        <v>8735</v>
      </c>
      <c r="AC20" s="1515" t="s">
        <v>5594</v>
      </c>
      <c r="AD20" s="1515" t="s">
        <v>7814</v>
      </c>
      <c r="AE20" s="1515" t="s">
        <v>5793</v>
      </c>
      <c r="AF20" s="1515" t="s">
        <v>8953</v>
      </c>
      <c r="AG20" s="1515" t="s">
        <v>5038</v>
      </c>
      <c r="AH20" s="1515" t="s">
        <v>5212</v>
      </c>
      <c r="AI20" s="1515" t="s">
        <v>8954</v>
      </c>
      <c r="AJ20" s="1510" t="s">
        <v>8531</v>
      </c>
      <c r="AK20" s="1515" t="s">
        <v>2520</v>
      </c>
      <c r="AL20" s="1515" t="s">
        <v>8955</v>
      </c>
      <c r="AM20" s="1515" t="s">
        <v>8669</v>
      </c>
      <c r="AN20" s="1515" t="s">
        <v>556</v>
      </c>
      <c r="AO20" s="1515" t="s">
        <v>8956</v>
      </c>
      <c r="AP20" s="1515" t="s">
        <v>8957</v>
      </c>
      <c r="AQ20" s="1515" t="s">
        <v>4754</v>
      </c>
      <c r="AR20" s="1515" t="s">
        <v>6492</v>
      </c>
      <c r="AS20" s="1515" t="s">
        <v>8958</v>
      </c>
      <c r="AT20" s="1515" t="s">
        <v>3014</v>
      </c>
      <c r="AU20" s="1515" t="s">
        <v>8959</v>
      </c>
      <c r="AV20" s="1513" t="str">
        <f t="shared" si="1"/>
        <v>3:21</v>
      </c>
      <c r="AW20" s="1583" t="s">
        <v>8960</v>
      </c>
    </row>
    <row r="21" ht="15.75" customHeight="1">
      <c r="A21" s="1501" t="s">
        <v>8961</v>
      </c>
      <c r="B21" s="1502" t="s">
        <v>8509</v>
      </c>
      <c r="C21" s="1503">
        <v>0.049965277777777775</v>
      </c>
      <c r="D21" s="1317" t="s">
        <v>8962</v>
      </c>
      <c r="E21" s="1515" t="s">
        <v>4296</v>
      </c>
      <c r="F21" s="1515" t="s">
        <v>8963</v>
      </c>
      <c r="G21" s="1515" t="s">
        <v>8964</v>
      </c>
      <c r="H21" s="1513" t="s">
        <v>2282</v>
      </c>
      <c r="I21" s="1515" t="s">
        <v>1391</v>
      </c>
      <c r="J21" s="1515" t="s">
        <v>380</v>
      </c>
      <c r="K21" s="1515" t="s">
        <v>8965</v>
      </c>
      <c r="L21" s="1515" t="s">
        <v>5348</v>
      </c>
      <c r="M21" s="1515" t="s">
        <v>6413</v>
      </c>
      <c r="N21" s="1515" t="s">
        <v>8966</v>
      </c>
      <c r="O21" s="1515" t="s">
        <v>2569</v>
      </c>
      <c r="P21" s="1513" t="s">
        <v>5408</v>
      </c>
      <c r="Q21" s="1515" t="s">
        <v>8967</v>
      </c>
      <c r="R21" s="1515" t="s">
        <v>3322</v>
      </c>
      <c r="S21" s="1515" t="s">
        <v>7681</v>
      </c>
      <c r="T21" s="1515" t="s">
        <v>8293</v>
      </c>
      <c r="U21" s="1515" t="s">
        <v>8968</v>
      </c>
      <c r="V21" s="1515" t="s">
        <v>4994</v>
      </c>
      <c r="W21" s="1515" t="s">
        <v>8969</v>
      </c>
      <c r="X21" s="1513" t="s">
        <v>6774</v>
      </c>
      <c r="Y21" s="1513" t="s">
        <v>5497</v>
      </c>
      <c r="Z21" s="1515" t="s">
        <v>8970</v>
      </c>
      <c r="AA21" s="1515" t="s">
        <v>2324</v>
      </c>
      <c r="AB21" s="1515" t="s">
        <v>8971</v>
      </c>
      <c r="AC21" s="1515" t="s">
        <v>786</v>
      </c>
      <c r="AD21" s="1515" t="s">
        <v>5418</v>
      </c>
      <c r="AE21" s="1515" t="s">
        <v>8972</v>
      </c>
      <c r="AF21" s="1515" t="s">
        <v>873</v>
      </c>
      <c r="AG21" s="1515" t="s">
        <v>8973</v>
      </c>
      <c r="AH21" s="1515" t="s">
        <v>8974</v>
      </c>
      <c r="AI21" s="1515" t="s">
        <v>690</v>
      </c>
      <c r="AJ21" s="1513" t="s">
        <v>8975</v>
      </c>
      <c r="AK21" s="1561" t="s">
        <v>7593</v>
      </c>
      <c r="AL21" s="1515" t="s">
        <v>4613</v>
      </c>
      <c r="AM21" s="1515" t="s">
        <v>3646</v>
      </c>
      <c r="AN21" s="1513" t="s">
        <v>6119</v>
      </c>
      <c r="AO21" s="1513" t="s">
        <v>6492</v>
      </c>
      <c r="AP21" s="1513" t="s">
        <v>8976</v>
      </c>
      <c r="AQ21" s="1513" t="s">
        <v>8629</v>
      </c>
      <c r="AR21" s="1513" t="s">
        <v>490</v>
      </c>
      <c r="AS21" s="1513" t="s">
        <v>5679</v>
      </c>
      <c r="AT21" s="1513" t="s">
        <v>8831</v>
      </c>
      <c r="AU21" s="1515" t="s">
        <v>8977</v>
      </c>
      <c r="AV21" s="1513" t="str">
        <f t="shared" si="1"/>
        <v>3:46</v>
      </c>
      <c r="AW21" s="1594" t="s">
        <v>8086</v>
      </c>
    </row>
    <row r="22" ht="15.75" customHeight="1">
      <c r="A22" s="1604" t="s">
        <v>6159</v>
      </c>
      <c r="B22" s="1502" t="s">
        <v>8509</v>
      </c>
      <c r="C22" s="1503">
        <v>0.05</v>
      </c>
      <c r="D22" s="1317" t="s">
        <v>8978</v>
      </c>
      <c r="E22" s="1515" t="s">
        <v>8324</v>
      </c>
      <c r="F22" s="1515" t="s">
        <v>8940</v>
      </c>
      <c r="G22" s="1513" t="s">
        <v>8979</v>
      </c>
      <c r="H22" s="1515" t="s">
        <v>8980</v>
      </c>
      <c r="I22" s="1513" t="s">
        <v>1844</v>
      </c>
      <c r="J22" s="1515" t="s">
        <v>2805</v>
      </c>
      <c r="K22" s="1515" t="s">
        <v>8981</v>
      </c>
      <c r="L22" s="1515" t="s">
        <v>3342</v>
      </c>
      <c r="M22" s="1515" t="s">
        <v>8982</v>
      </c>
      <c r="N22" s="1515" t="s">
        <v>8983</v>
      </c>
      <c r="O22" s="1515" t="s">
        <v>8927</v>
      </c>
      <c r="P22" s="1513" t="s">
        <v>3900</v>
      </c>
      <c r="Q22" s="1515" t="s">
        <v>8984</v>
      </c>
      <c r="R22" s="1515" t="s">
        <v>6698</v>
      </c>
      <c r="S22" s="1515" t="s">
        <v>6945</v>
      </c>
      <c r="T22" s="1515" t="s">
        <v>7345</v>
      </c>
      <c r="U22" s="1515" t="s">
        <v>8985</v>
      </c>
      <c r="V22" s="1515" t="s">
        <v>8986</v>
      </c>
      <c r="W22" s="1515" t="s">
        <v>8987</v>
      </c>
      <c r="X22" s="1515" t="s">
        <v>8884</v>
      </c>
      <c r="Y22" s="1515" t="s">
        <v>8988</v>
      </c>
      <c r="Z22" s="1515" t="s">
        <v>8989</v>
      </c>
      <c r="AA22" s="1515" t="s">
        <v>8882</v>
      </c>
      <c r="AB22" s="1515" t="s">
        <v>8990</v>
      </c>
      <c r="AC22" s="1513" t="s">
        <v>4936</v>
      </c>
      <c r="AD22" s="1515" t="s">
        <v>8991</v>
      </c>
      <c r="AE22" s="1513" t="s">
        <v>5485</v>
      </c>
      <c r="AF22" s="1605" t="s">
        <v>8528</v>
      </c>
      <c r="AG22" s="1515" t="s">
        <v>606</v>
      </c>
      <c r="AH22" s="1515" t="s">
        <v>6930</v>
      </c>
      <c r="AI22" s="1515" t="s">
        <v>307</v>
      </c>
      <c r="AJ22" s="1513" t="s">
        <v>8992</v>
      </c>
      <c r="AK22" s="1515" t="s">
        <v>8993</v>
      </c>
      <c r="AL22" s="1513" t="s">
        <v>3195</v>
      </c>
      <c r="AM22" s="1515" t="s">
        <v>1983</v>
      </c>
      <c r="AN22" s="1513" t="s">
        <v>2587</v>
      </c>
      <c r="AO22" s="1515" t="s">
        <v>3520</v>
      </c>
      <c r="AP22" s="1515" t="s">
        <v>8994</v>
      </c>
      <c r="AQ22" s="1513" t="s">
        <v>8995</v>
      </c>
      <c r="AR22" s="1515" t="s">
        <v>1673</v>
      </c>
      <c r="AS22" s="1513" t="s">
        <v>8838</v>
      </c>
      <c r="AT22" s="1515" t="s">
        <v>8996</v>
      </c>
      <c r="AU22" s="1515" t="s">
        <v>8997</v>
      </c>
      <c r="AV22" s="1513" t="str">
        <f t="shared" si="1"/>
        <v>1:53</v>
      </c>
      <c r="AW22" s="1594"/>
    </row>
    <row r="23" ht="15.75" customHeight="1">
      <c r="A23" s="1550" t="s">
        <v>2603</v>
      </c>
      <c r="B23" s="1548" t="s">
        <v>8540</v>
      </c>
      <c r="C23" s="1503">
        <v>0.05009259259259259</v>
      </c>
      <c r="D23" s="1317" t="s">
        <v>8998</v>
      </c>
      <c r="E23" s="1317" t="s">
        <v>8999</v>
      </c>
      <c r="F23" s="1317" t="s">
        <v>9000</v>
      </c>
      <c r="G23" s="1317" t="s">
        <v>9001</v>
      </c>
      <c r="H23" s="1317" t="s">
        <v>9002</v>
      </c>
      <c r="I23" s="1317" t="s">
        <v>696</v>
      </c>
      <c r="J23" s="1569" t="s">
        <v>8546</v>
      </c>
      <c r="K23" s="1317" t="s">
        <v>1095</v>
      </c>
      <c r="L23" s="1317" t="s">
        <v>9003</v>
      </c>
      <c r="M23" s="1557" t="s">
        <v>9004</v>
      </c>
      <c r="N23" s="1569" t="s">
        <v>2490</v>
      </c>
      <c r="O23" s="1317" t="s">
        <v>9005</v>
      </c>
      <c r="P23" s="1569" t="s">
        <v>5485</v>
      </c>
      <c r="Q23" s="1569" t="s">
        <v>8550</v>
      </c>
      <c r="R23" s="1317" t="s">
        <v>7286</v>
      </c>
      <c r="S23" s="1317" t="s">
        <v>9006</v>
      </c>
      <c r="T23" s="1317" t="s">
        <v>4518</v>
      </c>
      <c r="U23" s="1317" t="s">
        <v>9007</v>
      </c>
      <c r="V23" s="1569" t="s">
        <v>4104</v>
      </c>
      <c r="W23" s="1317" t="s">
        <v>7197</v>
      </c>
      <c r="X23" s="1317" t="s">
        <v>5710</v>
      </c>
      <c r="Y23" s="1317" t="s">
        <v>5090</v>
      </c>
      <c r="Z23" s="1317" t="s">
        <v>1133</v>
      </c>
      <c r="AA23" s="1317" t="s">
        <v>9008</v>
      </c>
      <c r="AB23" s="1317" t="s">
        <v>5729</v>
      </c>
      <c r="AC23" s="1317" t="s">
        <v>1830</v>
      </c>
      <c r="AD23" s="1317" t="s">
        <v>9009</v>
      </c>
      <c r="AE23" s="1317" t="s">
        <v>3336</v>
      </c>
      <c r="AF23" s="1317" t="s">
        <v>9010</v>
      </c>
      <c r="AG23" s="1317" t="s">
        <v>5592</v>
      </c>
      <c r="AH23" s="1317" t="s">
        <v>4601</v>
      </c>
      <c r="AI23" s="1317" t="s">
        <v>3409</v>
      </c>
      <c r="AJ23" s="1317" t="s">
        <v>9011</v>
      </c>
      <c r="AK23" s="1317" t="s">
        <v>3027</v>
      </c>
      <c r="AL23" s="1317" t="s">
        <v>9012</v>
      </c>
      <c r="AM23" s="1317" t="s">
        <v>9013</v>
      </c>
      <c r="AN23" s="1317" t="s">
        <v>4397</v>
      </c>
      <c r="AO23" s="1317" t="s">
        <v>7370</v>
      </c>
      <c r="AP23" s="1317" t="s">
        <v>9014</v>
      </c>
      <c r="AQ23" s="1317" t="s">
        <v>3196</v>
      </c>
      <c r="AR23" s="1317" t="s">
        <v>2947</v>
      </c>
      <c r="AS23" s="1317" t="s">
        <v>6643</v>
      </c>
      <c r="AT23" s="1317" t="s">
        <v>3140</v>
      </c>
      <c r="AU23" s="1561" t="s">
        <v>8564</v>
      </c>
      <c r="AV23" s="1513" t="str">
        <f t="shared" si="1"/>
        <v>2:59</v>
      </c>
      <c r="AW23" s="1606"/>
    </row>
    <row r="24">
      <c r="A24" s="1607" t="s">
        <v>2893</v>
      </c>
      <c r="B24" s="1608" t="s">
        <v>8509</v>
      </c>
      <c r="C24" s="1609">
        <v>0.05011574074074074</v>
      </c>
      <c r="D24" s="1610" t="s">
        <v>9015</v>
      </c>
      <c r="E24" s="1611" t="s">
        <v>7596</v>
      </c>
      <c r="F24" s="1610" t="s">
        <v>7332</v>
      </c>
      <c r="G24" s="1610" t="s">
        <v>9016</v>
      </c>
      <c r="H24" s="1612" t="s">
        <v>9017</v>
      </c>
      <c r="I24" s="1612" t="s">
        <v>1844</v>
      </c>
      <c r="J24" s="1613" t="s">
        <v>9018</v>
      </c>
      <c r="K24" s="1614" t="s">
        <v>9019</v>
      </c>
      <c r="L24" s="1613" t="s">
        <v>9020</v>
      </c>
      <c r="M24" s="1614" t="s">
        <v>9004</v>
      </c>
      <c r="N24" s="1614" t="s">
        <v>9021</v>
      </c>
      <c r="O24" s="1613" t="s">
        <v>9022</v>
      </c>
      <c r="P24" s="1615" t="s">
        <v>6223</v>
      </c>
      <c r="Q24" s="1616" t="s">
        <v>9023</v>
      </c>
      <c r="R24" s="1616" t="s">
        <v>5530</v>
      </c>
      <c r="S24" s="1617" t="s">
        <v>1052</v>
      </c>
      <c r="T24" s="1618" t="s">
        <v>6362</v>
      </c>
      <c r="U24" s="1619" t="s">
        <v>9024</v>
      </c>
      <c r="V24" s="1616" t="s">
        <v>3935</v>
      </c>
      <c r="W24" s="1620" t="s">
        <v>7509</v>
      </c>
      <c r="X24" s="1621" t="s">
        <v>9025</v>
      </c>
      <c r="Y24" s="1622" t="s">
        <v>7030</v>
      </c>
      <c r="Z24" s="1623" t="s">
        <v>223</v>
      </c>
      <c r="AA24" s="1621" t="s">
        <v>7465</v>
      </c>
      <c r="AB24" s="1620" t="s">
        <v>2042</v>
      </c>
      <c r="AC24" s="1624" t="s">
        <v>4838</v>
      </c>
      <c r="AD24" s="1611" t="s">
        <v>9026</v>
      </c>
      <c r="AE24" s="1625" t="s">
        <v>5535</v>
      </c>
      <c r="AF24" s="1626" t="s">
        <v>9027</v>
      </c>
      <c r="AG24" s="1626" t="s">
        <v>194</v>
      </c>
      <c r="AH24" s="1627" t="s">
        <v>9028</v>
      </c>
      <c r="AI24" s="1626" t="s">
        <v>9029</v>
      </c>
      <c r="AJ24" s="1627" t="s">
        <v>9030</v>
      </c>
      <c r="AK24" s="1626" t="s">
        <v>9031</v>
      </c>
      <c r="AL24" s="1626" t="s">
        <v>8974</v>
      </c>
      <c r="AM24" s="1628" t="s">
        <v>8560</v>
      </c>
      <c r="AN24" s="1629" t="s">
        <v>4590</v>
      </c>
      <c r="AO24" s="1630" t="s">
        <v>1478</v>
      </c>
      <c r="AP24" s="1631" t="s">
        <v>9032</v>
      </c>
      <c r="AQ24" s="1632" t="s">
        <v>8893</v>
      </c>
      <c r="AR24" s="1632" t="s">
        <v>8710</v>
      </c>
      <c r="AS24" s="1633" t="s">
        <v>9033</v>
      </c>
      <c r="AT24" s="1613" t="s">
        <v>1990</v>
      </c>
      <c r="AU24" s="1634" t="s">
        <v>9034</v>
      </c>
      <c r="AV24" s="1635" t="str">
        <f t="shared" si="1"/>
        <v>3:01</v>
      </c>
      <c r="AW24" s="1636"/>
    </row>
    <row r="25">
      <c r="A25" s="1550" t="s">
        <v>6470</v>
      </c>
      <c r="B25" s="1545" t="s">
        <v>8540</v>
      </c>
      <c r="C25" s="1503">
        <v>0.05016203703703704</v>
      </c>
      <c r="D25" s="1526" t="s">
        <v>9035</v>
      </c>
      <c r="E25" s="1637" t="s">
        <v>7218</v>
      </c>
      <c r="F25" s="1526" t="s">
        <v>9036</v>
      </c>
      <c r="G25" s="1526" t="s">
        <v>9037</v>
      </c>
      <c r="H25" s="1526" t="s">
        <v>9038</v>
      </c>
      <c r="I25" s="1526" t="s">
        <v>5268</v>
      </c>
      <c r="J25" s="1526" t="s">
        <v>4084</v>
      </c>
      <c r="K25" s="1526" t="s">
        <v>9039</v>
      </c>
      <c r="L25" s="1317" t="s">
        <v>5085</v>
      </c>
      <c r="M25" s="1569" t="s">
        <v>8548</v>
      </c>
      <c r="N25" s="1526" t="s">
        <v>9040</v>
      </c>
      <c r="O25" s="1526" t="s">
        <v>9041</v>
      </c>
      <c r="P25" s="1526" t="s">
        <v>5768</v>
      </c>
      <c r="Q25" s="1526" t="s">
        <v>2673</v>
      </c>
      <c r="R25" s="1526" t="s">
        <v>900</v>
      </c>
      <c r="S25" s="1526" t="s">
        <v>9042</v>
      </c>
      <c r="T25" s="1526" t="s">
        <v>1396</v>
      </c>
      <c r="U25" s="1526" t="s">
        <v>9043</v>
      </c>
      <c r="V25" s="1526" t="s">
        <v>9044</v>
      </c>
      <c r="W25" s="1526" t="s">
        <v>9045</v>
      </c>
      <c r="X25" s="1526" t="s">
        <v>1302</v>
      </c>
      <c r="Y25" s="1526" t="s">
        <v>1096</v>
      </c>
      <c r="Z25" s="1526" t="s">
        <v>8929</v>
      </c>
      <c r="AA25" s="1638" t="s">
        <v>8554</v>
      </c>
      <c r="AB25" s="1526" t="s">
        <v>9046</v>
      </c>
      <c r="AC25" s="1526" t="s">
        <v>4727</v>
      </c>
      <c r="AD25" s="1526" t="s">
        <v>9047</v>
      </c>
      <c r="AE25" s="1526" t="s">
        <v>4872</v>
      </c>
      <c r="AF25" s="1526" t="s">
        <v>5642</v>
      </c>
      <c r="AG25" s="1526" t="s">
        <v>9048</v>
      </c>
      <c r="AH25" s="1526" t="s">
        <v>4334</v>
      </c>
      <c r="AI25" s="1515" t="s">
        <v>4148</v>
      </c>
      <c r="AJ25" s="1526" t="s">
        <v>9049</v>
      </c>
      <c r="AK25" s="1526" t="s">
        <v>9050</v>
      </c>
      <c r="AL25" s="1526" t="s">
        <v>2503</v>
      </c>
      <c r="AM25" s="1526" t="s">
        <v>4007</v>
      </c>
      <c r="AN25" s="1526" t="s">
        <v>5904</v>
      </c>
      <c r="AO25" s="1526" t="s">
        <v>9051</v>
      </c>
      <c r="AP25" s="1526" t="s">
        <v>9052</v>
      </c>
      <c r="AQ25" s="1526" t="s">
        <v>3992</v>
      </c>
      <c r="AR25" s="1526" t="s">
        <v>3152</v>
      </c>
      <c r="AS25" s="1526" t="s">
        <v>755</v>
      </c>
      <c r="AT25" s="1526" t="s">
        <v>9053</v>
      </c>
      <c r="AU25" s="1515" t="s">
        <v>9054</v>
      </c>
      <c r="AV25" s="1513" t="str">
        <f t="shared" si="1"/>
        <v>3:20</v>
      </c>
      <c r="AW25" s="1639"/>
    </row>
    <row r="26" ht="15.75" customHeight="1">
      <c r="A26" s="1517" t="s">
        <v>1419</v>
      </c>
      <c r="B26" s="1502" t="s">
        <v>8509</v>
      </c>
      <c r="C26" s="1503">
        <v>0.05025462962962963</v>
      </c>
      <c r="D26" s="1317" t="s">
        <v>9055</v>
      </c>
      <c r="E26" s="1555" t="s">
        <v>9056</v>
      </c>
      <c r="F26" s="1584" t="s">
        <v>9057</v>
      </c>
      <c r="G26" s="1505" t="s">
        <v>9058</v>
      </c>
      <c r="H26" s="1556" t="s">
        <v>9059</v>
      </c>
      <c r="I26" s="1556" t="s">
        <v>1048</v>
      </c>
      <c r="J26" s="1557" t="s">
        <v>8663</v>
      </c>
      <c r="K26" s="1586" t="s">
        <v>7057</v>
      </c>
      <c r="L26" s="1586" t="s">
        <v>5135</v>
      </c>
      <c r="M26" s="1640" t="str">
        <f>HYPERLINK("https://youtu.be/teAIifUZjFw","1:14.18")</f>
        <v>1:14.18</v>
      </c>
      <c r="N26" s="1586" t="s">
        <v>3738</v>
      </c>
      <c r="O26" s="1586" t="s">
        <v>9060</v>
      </c>
      <c r="P26" s="1586" t="s">
        <v>2086</v>
      </c>
      <c r="Q26" s="1587" t="s">
        <v>9061</v>
      </c>
      <c r="R26" s="1559" t="s">
        <v>9062</v>
      </c>
      <c r="S26" s="1559" t="s">
        <v>5444</v>
      </c>
      <c r="T26" s="1641" t="str">
        <f>HYPERLINK("https://youtu.be/AiXricVH5ss","1:24.99")</f>
        <v>1:24.99</v>
      </c>
      <c r="U26" s="1642" t="str">
        <f>HYPERLINK("https://www.twitch.tv/videos/450151935","2:00.31")</f>
        <v>2:00.31</v>
      </c>
      <c r="V26" s="1559" t="s">
        <v>9063</v>
      </c>
      <c r="W26" s="1643" t="str">
        <f>HYPERLINK("https://youtu.be/eafNhBoXVWA","1:46.09")</f>
        <v>1:46.09</v>
      </c>
      <c r="X26" s="1588" t="s">
        <v>4473</v>
      </c>
      <c r="Y26" s="1588" t="s">
        <v>8756</v>
      </c>
      <c r="Z26" s="1588" t="s">
        <v>9064</v>
      </c>
      <c r="AA26" s="1560" t="s">
        <v>8696</v>
      </c>
      <c r="AB26" s="1588" t="s">
        <v>7059</v>
      </c>
      <c r="AC26" s="1588" t="s">
        <v>7645</v>
      </c>
      <c r="AD26" s="1644" t="str">
        <f>HYPERLINK("https://youtu.be/8FEcTKESSh0","1:49.80")</f>
        <v>1:49.80</v>
      </c>
      <c r="AE26" s="1555" t="s">
        <v>6223</v>
      </c>
      <c r="AF26" s="1589" t="s">
        <v>9065</v>
      </c>
      <c r="AG26" s="1589" t="s">
        <v>9066</v>
      </c>
      <c r="AH26" s="1589" t="s">
        <v>9067</v>
      </c>
      <c r="AI26" s="1589" t="s">
        <v>4008</v>
      </c>
      <c r="AJ26" s="1589" t="s">
        <v>9068</v>
      </c>
      <c r="AK26" s="1561" t="s">
        <v>8925</v>
      </c>
      <c r="AL26" s="1589" t="s">
        <v>9069</v>
      </c>
      <c r="AM26" s="1563" t="s">
        <v>8864</v>
      </c>
      <c r="AN26" s="1563" t="s">
        <v>8294</v>
      </c>
      <c r="AO26" s="1563" t="s">
        <v>9070</v>
      </c>
      <c r="AP26" s="1562" t="s">
        <v>9071</v>
      </c>
      <c r="AQ26" s="1562" t="s">
        <v>9072</v>
      </c>
      <c r="AR26" s="1563" t="s">
        <v>9073</v>
      </c>
      <c r="AS26" s="1562" t="s">
        <v>5514</v>
      </c>
      <c r="AT26" s="1640" t="str">
        <f>HYPERLINK("https://youtu.be/xDirVtS1AZ4?t=4416","2:27.45")</f>
        <v>2:27.45</v>
      </c>
      <c r="AU26" s="1590" t="s">
        <v>9074</v>
      </c>
      <c r="AV26" s="1513" t="str">
        <f t="shared" si="1"/>
        <v>2:34</v>
      </c>
      <c r="AW26" s="1544" t="s">
        <v>9075</v>
      </c>
    </row>
    <row r="27">
      <c r="A27" s="1550" t="s">
        <v>6457</v>
      </c>
      <c r="B27" s="1545" t="s">
        <v>8509</v>
      </c>
      <c r="C27" s="1503">
        <v>0.0502662037037037</v>
      </c>
      <c r="D27" s="1317" t="s">
        <v>9076</v>
      </c>
      <c r="E27" s="1515" t="s">
        <v>8684</v>
      </c>
      <c r="F27" s="1515" t="s">
        <v>9077</v>
      </c>
      <c r="G27" s="1515" t="s">
        <v>9078</v>
      </c>
      <c r="H27" s="1515" t="s">
        <v>9079</v>
      </c>
      <c r="I27" s="1317" t="s">
        <v>260</v>
      </c>
      <c r="J27" s="1317" t="s">
        <v>9080</v>
      </c>
      <c r="K27" s="1515" t="s">
        <v>8981</v>
      </c>
      <c r="L27" s="1515" t="s">
        <v>4071</v>
      </c>
      <c r="M27" s="1317" t="s">
        <v>2655</v>
      </c>
      <c r="N27" s="1515" t="s">
        <v>9081</v>
      </c>
      <c r="O27" s="1515" t="s">
        <v>9082</v>
      </c>
      <c r="P27" s="1317" t="s">
        <v>9083</v>
      </c>
      <c r="Q27" s="1515" t="s">
        <v>9084</v>
      </c>
      <c r="R27" s="1317" t="s">
        <v>9085</v>
      </c>
      <c r="S27" s="1515" t="s">
        <v>9086</v>
      </c>
      <c r="T27" s="1317" t="s">
        <v>9087</v>
      </c>
      <c r="U27" s="1515" t="s">
        <v>1034</v>
      </c>
      <c r="V27" s="1317" t="s">
        <v>4994</v>
      </c>
      <c r="W27" s="1317" t="s">
        <v>7199</v>
      </c>
      <c r="X27" s="1317" t="s">
        <v>6774</v>
      </c>
      <c r="Y27" s="1317" t="s">
        <v>969</v>
      </c>
      <c r="Z27" s="1317" t="s">
        <v>9088</v>
      </c>
      <c r="AA27" s="1515" t="s">
        <v>9089</v>
      </c>
      <c r="AB27" s="1317" t="s">
        <v>7644</v>
      </c>
      <c r="AC27" s="1515" t="s">
        <v>9090</v>
      </c>
      <c r="AD27" s="1317" t="s">
        <v>6155</v>
      </c>
      <c r="AE27" s="1515" t="s">
        <v>9091</v>
      </c>
      <c r="AF27" s="1515" t="s">
        <v>9092</v>
      </c>
      <c r="AG27" s="1317" t="s">
        <v>2043</v>
      </c>
      <c r="AH27" s="1317" t="s">
        <v>2594</v>
      </c>
      <c r="AI27" s="1515" t="s">
        <v>9093</v>
      </c>
      <c r="AJ27" s="1317" t="s">
        <v>9094</v>
      </c>
      <c r="AK27" s="1317" t="s">
        <v>8524</v>
      </c>
      <c r="AL27" s="1317" t="s">
        <v>4613</v>
      </c>
      <c r="AM27" s="1317" t="s">
        <v>9095</v>
      </c>
      <c r="AN27" s="1317" t="s">
        <v>4613</v>
      </c>
      <c r="AO27" s="1317" t="s">
        <v>1842</v>
      </c>
      <c r="AP27" s="1515" t="s">
        <v>9096</v>
      </c>
      <c r="AQ27" s="1317" t="s">
        <v>2181</v>
      </c>
      <c r="AR27" s="1515" t="s">
        <v>8409</v>
      </c>
      <c r="AS27" s="1317" t="s">
        <v>1898</v>
      </c>
      <c r="AT27" s="1515" t="s">
        <v>9097</v>
      </c>
      <c r="AU27" s="1515" t="s">
        <v>9098</v>
      </c>
      <c r="AV27" s="1513" t="str">
        <f t="shared" si="1"/>
        <v>2:28</v>
      </c>
      <c r="AW27" s="1546" t="s">
        <v>9099</v>
      </c>
    </row>
    <row r="28">
      <c r="A28" s="1550" t="s">
        <v>9100</v>
      </c>
      <c r="B28" s="1645" t="s">
        <v>8509</v>
      </c>
      <c r="C28" s="1503">
        <v>0.0503125</v>
      </c>
      <c r="D28" s="1317" t="s">
        <v>9101</v>
      </c>
      <c r="E28" s="1555" t="s">
        <v>9102</v>
      </c>
      <c r="F28" s="1555" t="s">
        <v>9103</v>
      </c>
      <c r="G28" s="1555" t="s">
        <v>8121</v>
      </c>
      <c r="H28" s="1646" t="s">
        <v>9104</v>
      </c>
      <c r="I28" s="1646" t="s">
        <v>7029</v>
      </c>
      <c r="J28" s="1557" t="s">
        <v>1838</v>
      </c>
      <c r="K28" s="1557" t="s">
        <v>5930</v>
      </c>
      <c r="L28" s="1557" t="s">
        <v>3454</v>
      </c>
      <c r="M28" s="1557" t="s">
        <v>9105</v>
      </c>
      <c r="N28" s="1557" t="s">
        <v>9106</v>
      </c>
      <c r="O28" s="1557" t="s">
        <v>4133</v>
      </c>
      <c r="P28" s="1557" t="s">
        <v>5161</v>
      </c>
      <c r="Q28" s="1559" t="s">
        <v>9107</v>
      </c>
      <c r="R28" s="1559" t="s">
        <v>9108</v>
      </c>
      <c r="S28" s="1559" t="s">
        <v>548</v>
      </c>
      <c r="T28" s="1559" t="s">
        <v>9109</v>
      </c>
      <c r="U28" s="1559" t="s">
        <v>9110</v>
      </c>
      <c r="V28" s="1559" t="s">
        <v>9111</v>
      </c>
      <c r="W28" s="1560" t="s">
        <v>9112</v>
      </c>
      <c r="X28" s="1560" t="s">
        <v>4473</v>
      </c>
      <c r="Y28" s="1560" t="s">
        <v>1553</v>
      </c>
      <c r="Z28" s="1560" t="s">
        <v>2395</v>
      </c>
      <c r="AA28" s="1560" t="s">
        <v>9113</v>
      </c>
      <c r="AB28" s="1560" t="s">
        <v>3768</v>
      </c>
      <c r="AC28" s="1560" t="s">
        <v>9114</v>
      </c>
      <c r="AD28" s="1555" t="s">
        <v>9115</v>
      </c>
      <c r="AE28" s="1555" t="s">
        <v>5793</v>
      </c>
      <c r="AF28" s="1561" t="s">
        <v>9116</v>
      </c>
      <c r="AG28" s="1561" t="s">
        <v>7840</v>
      </c>
      <c r="AH28" s="1561" t="s">
        <v>9117</v>
      </c>
      <c r="AI28" s="1561" t="s">
        <v>5105</v>
      </c>
      <c r="AJ28" s="1561" t="s">
        <v>9118</v>
      </c>
      <c r="AK28" s="1561" t="s">
        <v>9119</v>
      </c>
      <c r="AL28" s="1561" t="s">
        <v>8747</v>
      </c>
      <c r="AM28" s="1563" t="s">
        <v>8792</v>
      </c>
      <c r="AN28" s="1563" t="s">
        <v>9120</v>
      </c>
      <c r="AO28" s="1563" t="s">
        <v>3238</v>
      </c>
      <c r="AP28" s="1563" t="s">
        <v>9121</v>
      </c>
      <c r="AQ28" s="1563" t="s">
        <v>9122</v>
      </c>
      <c r="AR28" s="1563" t="s">
        <v>2947</v>
      </c>
      <c r="AS28" s="1563" t="s">
        <v>299</v>
      </c>
      <c r="AT28" s="1557" t="s">
        <v>9123</v>
      </c>
      <c r="AU28" s="1543" t="s">
        <v>9124</v>
      </c>
      <c r="AV28" s="1513" t="str">
        <f t="shared" si="1"/>
        <v>2:59</v>
      </c>
      <c r="AW28" s="1549" t="s">
        <v>9125</v>
      </c>
    </row>
    <row r="29" ht="15.75" customHeight="1">
      <c r="A29" s="1501" t="s">
        <v>9126</v>
      </c>
      <c r="B29" s="1579" t="s">
        <v>8540</v>
      </c>
      <c r="C29" s="1503">
        <v>0.05042824074074074</v>
      </c>
      <c r="D29" s="1317" t="s">
        <v>8818</v>
      </c>
      <c r="E29" s="1555" t="s">
        <v>6192</v>
      </c>
      <c r="F29" s="1555" t="s">
        <v>9127</v>
      </c>
      <c r="G29" s="1584" t="s">
        <v>9128</v>
      </c>
      <c r="H29" s="1556" t="s">
        <v>9129</v>
      </c>
      <c r="I29" s="1646" t="s">
        <v>3300</v>
      </c>
      <c r="J29" s="1557" t="s">
        <v>4788</v>
      </c>
      <c r="K29" s="1557" t="s">
        <v>9039</v>
      </c>
      <c r="L29" s="1557" t="s">
        <v>2465</v>
      </c>
      <c r="M29" s="1557" t="s">
        <v>2032</v>
      </c>
      <c r="N29" s="1557" t="s">
        <v>4179</v>
      </c>
      <c r="O29" s="1557" t="s">
        <v>9130</v>
      </c>
      <c r="P29" s="1586" t="s">
        <v>760</v>
      </c>
      <c r="Q29" s="1559" t="s">
        <v>9131</v>
      </c>
      <c r="R29" s="1559" t="s">
        <v>3424</v>
      </c>
      <c r="S29" s="1559" t="s">
        <v>7619</v>
      </c>
      <c r="T29" s="1587" t="s">
        <v>8718</v>
      </c>
      <c r="U29" s="1559" t="s">
        <v>8667</v>
      </c>
      <c r="V29" s="1587" t="s">
        <v>4975</v>
      </c>
      <c r="W29" s="1588" t="s">
        <v>7405</v>
      </c>
      <c r="X29" s="1560" t="s">
        <v>2566</v>
      </c>
      <c r="Y29" s="1588" t="s">
        <v>9132</v>
      </c>
      <c r="Z29" s="1560" t="s">
        <v>9133</v>
      </c>
      <c r="AA29" s="1588" t="s">
        <v>9134</v>
      </c>
      <c r="AB29" s="1317" t="s">
        <v>7470</v>
      </c>
      <c r="AC29" s="1588" t="s">
        <v>3623</v>
      </c>
      <c r="AD29" s="1573" t="s">
        <v>8555</v>
      </c>
      <c r="AE29" s="1555" t="s">
        <v>3336</v>
      </c>
      <c r="AF29" s="1561" t="s">
        <v>9135</v>
      </c>
      <c r="AG29" s="1589" t="s">
        <v>3879</v>
      </c>
      <c r="AH29" s="1589" t="s">
        <v>9136</v>
      </c>
      <c r="AI29" s="1513" t="s">
        <v>9089</v>
      </c>
      <c r="AJ29" s="1589" t="s">
        <v>9137</v>
      </c>
      <c r="AK29" s="1647" t="s">
        <v>8559</v>
      </c>
      <c r="AL29" s="1589" t="s">
        <v>3628</v>
      </c>
      <c r="AM29" s="1563" t="s">
        <v>9138</v>
      </c>
      <c r="AN29" s="1563" t="s">
        <v>5021</v>
      </c>
      <c r="AO29" s="1563" t="s">
        <v>2067</v>
      </c>
      <c r="AP29" s="1563" t="s">
        <v>9139</v>
      </c>
      <c r="AQ29" s="1562" t="s">
        <v>9140</v>
      </c>
      <c r="AR29" s="1562" t="s">
        <v>3673</v>
      </c>
      <c r="AS29" s="1562" t="s">
        <v>5209</v>
      </c>
      <c r="AT29" s="1557" t="s">
        <v>9141</v>
      </c>
      <c r="AU29" s="1543" t="s">
        <v>9142</v>
      </c>
      <c r="AV29" s="1513" t="str">
        <f t="shared" si="1"/>
        <v>2:55</v>
      </c>
      <c r="AW29" s="1648"/>
    </row>
    <row r="30" ht="15.75" customHeight="1">
      <c r="A30" s="1501" t="s">
        <v>4263</v>
      </c>
      <c r="B30" s="1502" t="s">
        <v>8509</v>
      </c>
      <c r="C30" s="1649">
        <v>0.05043981481481481</v>
      </c>
      <c r="D30" s="1317" t="s">
        <v>9143</v>
      </c>
      <c r="E30" s="1513" t="s">
        <v>7375</v>
      </c>
      <c r="F30" s="1513" t="s">
        <v>1580</v>
      </c>
      <c r="G30" s="1513" t="s">
        <v>9144</v>
      </c>
      <c r="H30" s="1513" t="s">
        <v>8709</v>
      </c>
      <c r="I30" s="1513" t="s">
        <v>4676</v>
      </c>
      <c r="J30" s="1513" t="s">
        <v>4483</v>
      </c>
      <c r="K30" s="1513" t="s">
        <v>8965</v>
      </c>
      <c r="L30" s="1513" t="s">
        <v>3808</v>
      </c>
      <c r="M30" s="1513" t="s">
        <v>9145</v>
      </c>
      <c r="N30" s="1513" t="s">
        <v>9146</v>
      </c>
      <c r="O30" s="1513" t="s">
        <v>9147</v>
      </c>
      <c r="P30" s="1513" t="s">
        <v>5300</v>
      </c>
      <c r="Q30" s="1513" t="s">
        <v>9148</v>
      </c>
      <c r="R30" s="1513" t="s">
        <v>9149</v>
      </c>
      <c r="S30" s="1513" t="s">
        <v>9150</v>
      </c>
      <c r="T30" s="1513" t="s">
        <v>9151</v>
      </c>
      <c r="U30" s="1513" t="s">
        <v>9152</v>
      </c>
      <c r="V30" s="1513" t="s">
        <v>2278</v>
      </c>
      <c r="W30" s="1513" t="s">
        <v>9153</v>
      </c>
      <c r="X30" s="1513" t="s">
        <v>9154</v>
      </c>
      <c r="Y30" s="1513" t="s">
        <v>8988</v>
      </c>
      <c r="Z30" s="1513" t="s">
        <v>1133</v>
      </c>
      <c r="AA30" s="1513" t="s">
        <v>3409</v>
      </c>
      <c r="AB30" s="1513" t="s">
        <v>4788</v>
      </c>
      <c r="AC30" s="1513" t="s">
        <v>7645</v>
      </c>
      <c r="AD30" s="1513" t="s">
        <v>6136</v>
      </c>
      <c r="AE30" s="1513" t="s">
        <v>5535</v>
      </c>
      <c r="AF30" s="1513" t="s">
        <v>9155</v>
      </c>
      <c r="AG30" s="1513" t="s">
        <v>5783</v>
      </c>
      <c r="AH30" s="1513" t="s">
        <v>4034</v>
      </c>
      <c r="AI30" s="1513" t="s">
        <v>5105</v>
      </c>
      <c r="AJ30" s="1513" t="s">
        <v>9156</v>
      </c>
      <c r="AK30" s="1513" t="s">
        <v>9157</v>
      </c>
      <c r="AL30" s="1513" t="s">
        <v>5861</v>
      </c>
      <c r="AM30" s="1513" t="s">
        <v>1232</v>
      </c>
      <c r="AN30" s="1513" t="s">
        <v>4182</v>
      </c>
      <c r="AO30" s="1513" t="s">
        <v>9158</v>
      </c>
      <c r="AP30" s="1529" t="str">
        <f>HYPERLINK("https://www.twitch.tv/videos/511415405","2:00.79")</f>
        <v>2:00.79</v>
      </c>
      <c r="AQ30" s="1513" t="s">
        <v>9159</v>
      </c>
      <c r="AR30" s="1513" t="s">
        <v>7370</v>
      </c>
      <c r="AS30" s="1513" t="s">
        <v>9160</v>
      </c>
      <c r="AT30" s="1513" t="s">
        <v>9161</v>
      </c>
      <c r="AU30" s="1513" t="s">
        <v>9162</v>
      </c>
      <c r="AV30" s="1513" t="str">
        <f t="shared" si="1"/>
        <v>2:36</v>
      </c>
      <c r="AW30" s="1530" t="s">
        <v>6539</v>
      </c>
    </row>
    <row r="31">
      <c r="A31" s="1550" t="s">
        <v>1200</v>
      </c>
      <c r="B31" s="1548" t="s">
        <v>8509</v>
      </c>
      <c r="C31" s="1503">
        <v>0.050486111111111114</v>
      </c>
      <c r="D31" s="1555" t="s">
        <v>9163</v>
      </c>
      <c r="E31" s="1555" t="s">
        <v>4241</v>
      </c>
      <c r="F31" s="1555" t="s">
        <v>9164</v>
      </c>
      <c r="G31" s="1555" t="s">
        <v>9165</v>
      </c>
      <c r="H31" s="1317" t="s">
        <v>9166</v>
      </c>
      <c r="I31" s="1646" t="s">
        <v>855</v>
      </c>
      <c r="J31" s="1557" t="s">
        <v>5674</v>
      </c>
      <c r="K31" s="1557" t="s">
        <v>7852</v>
      </c>
      <c r="L31" s="1557" t="s">
        <v>6367</v>
      </c>
      <c r="M31" s="1557" t="s">
        <v>4985</v>
      </c>
      <c r="N31" s="1557" t="s">
        <v>9167</v>
      </c>
      <c r="O31" s="1557" t="s">
        <v>9168</v>
      </c>
      <c r="P31" s="1557" t="s">
        <v>8858</v>
      </c>
      <c r="Q31" s="1559" t="s">
        <v>879</v>
      </c>
      <c r="R31" s="1559" t="s">
        <v>4736</v>
      </c>
      <c r="S31" s="1559" t="s">
        <v>9050</v>
      </c>
      <c r="T31" s="1559" t="s">
        <v>9169</v>
      </c>
      <c r="U31" s="1559" t="s">
        <v>9170</v>
      </c>
      <c r="V31" s="1559" t="s">
        <v>9171</v>
      </c>
      <c r="W31" s="1560" t="s">
        <v>9172</v>
      </c>
      <c r="X31" s="1560" t="s">
        <v>9173</v>
      </c>
      <c r="Y31" s="1560" t="s">
        <v>6990</v>
      </c>
      <c r="Z31" s="1560" t="s">
        <v>9174</v>
      </c>
      <c r="AA31" s="1515" t="s">
        <v>9175</v>
      </c>
      <c r="AB31" s="1560" t="s">
        <v>3391</v>
      </c>
      <c r="AC31" s="1560" t="s">
        <v>1048</v>
      </c>
      <c r="AD31" s="1555" t="s">
        <v>9176</v>
      </c>
      <c r="AE31" s="1555" t="s">
        <v>2177</v>
      </c>
      <c r="AF31" s="1561" t="s">
        <v>9177</v>
      </c>
      <c r="AG31" s="1561" t="s">
        <v>527</v>
      </c>
      <c r="AH31" s="1561" t="s">
        <v>9178</v>
      </c>
      <c r="AI31" s="1561" t="s">
        <v>2632</v>
      </c>
      <c r="AJ31" s="1561" t="s">
        <v>9179</v>
      </c>
      <c r="AK31" s="1561" t="s">
        <v>7445</v>
      </c>
      <c r="AL31" s="1561" t="s">
        <v>2709</v>
      </c>
      <c r="AM31" s="1563" t="s">
        <v>9180</v>
      </c>
      <c r="AN31" s="1563" t="s">
        <v>9003</v>
      </c>
      <c r="AO31" s="1563" t="s">
        <v>9181</v>
      </c>
      <c r="AP31" s="1563" t="s">
        <v>9182</v>
      </c>
      <c r="AQ31" s="1563" t="s">
        <v>9183</v>
      </c>
      <c r="AR31" s="1563" t="s">
        <v>1161</v>
      </c>
      <c r="AS31" s="1563" t="s">
        <v>1553</v>
      </c>
      <c r="AT31" s="1557" t="s">
        <v>9184</v>
      </c>
      <c r="AU31" s="1543" t="s">
        <v>9185</v>
      </c>
      <c r="AV31" s="1513" t="str">
        <f t="shared" si="1"/>
        <v>3:47</v>
      </c>
      <c r="AW31" s="1549"/>
    </row>
    <row r="32" ht="15.75" customHeight="1">
      <c r="A32" s="1550" t="s">
        <v>1635</v>
      </c>
      <c r="B32" s="1502" t="s">
        <v>8509</v>
      </c>
      <c r="C32" s="1503">
        <v>0.05049768518518519</v>
      </c>
      <c r="D32" s="1317" t="s">
        <v>9186</v>
      </c>
      <c r="E32" s="1584" t="s">
        <v>9187</v>
      </c>
      <c r="F32" s="1644" t="str">
        <f>HYPERLINK("https://www.youtube.com/watch?v=rtR6KkKhM6I","1:59.91")</f>
        <v>1:59.91</v>
      </c>
      <c r="G32" s="1584" t="s">
        <v>9188</v>
      </c>
      <c r="H32" s="1650" t="str">
        <f>HYPERLINK("https://www.youtube.com/watch?v=cg-eipYsN1s","1:54.47")</f>
        <v>1:54.47</v>
      </c>
      <c r="I32" s="1556" t="s">
        <v>9132</v>
      </c>
      <c r="J32" s="1586" t="s">
        <v>6344</v>
      </c>
      <c r="K32" s="1557" t="s">
        <v>6490</v>
      </c>
      <c r="L32" s="1640" t="str">
        <f>HYPERLINK("https://www.youtube.com/watch?v=tJdjPKdAbw4","57.01")</f>
        <v>57.01</v>
      </c>
      <c r="M32" s="1586" t="s">
        <v>7318</v>
      </c>
      <c r="N32" s="1557" t="s">
        <v>2296</v>
      </c>
      <c r="O32" s="1586" t="s">
        <v>9189</v>
      </c>
      <c r="P32" s="1586" t="s">
        <v>277</v>
      </c>
      <c r="Q32" s="1587" t="s">
        <v>235</v>
      </c>
      <c r="R32" s="1587" t="s">
        <v>9190</v>
      </c>
      <c r="S32" s="1642" t="str">
        <f>HYPERLINK("https://www.youtube.com/watch?v=_3ms_ZhYFzo","1:18.01")</f>
        <v>1:18.01</v>
      </c>
      <c r="T32" s="1587" t="s">
        <v>6005</v>
      </c>
      <c r="U32" s="1642" t="str">
        <f>HYPERLINK("https://www.youtube.com/watch?v=ZOy_TI3Zw14","2:02.38")</f>
        <v>2:02.38</v>
      </c>
      <c r="V32" s="1587" t="s">
        <v>9171</v>
      </c>
      <c r="W32" s="1588" t="s">
        <v>3334</v>
      </c>
      <c r="X32" s="1588" t="s">
        <v>7445</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7645</v>
      </c>
      <c r="AD32" s="1644" t="str">
        <f>HYPERLINK("https://www.youtube.com/watch?v=ikF77QyREZg","1:50.30")</f>
        <v>1:50.30</v>
      </c>
      <c r="AE32" s="1584" t="s">
        <v>8858</v>
      </c>
      <c r="AF32" s="1589" t="s">
        <v>9191</v>
      </c>
      <c r="AG32" s="1651" t="str">
        <f>HYPERLINK("https://www.youtube.com/watch?v=KXwTRrVVluY","1:30.62")</f>
        <v>1:30.62</v>
      </c>
      <c r="AH32" s="1589" t="s">
        <v>2984</v>
      </c>
      <c r="AI32" s="1589" t="s">
        <v>9066</v>
      </c>
      <c r="AJ32" s="1589" t="s">
        <v>9192</v>
      </c>
      <c r="AK32" s="1561" t="s">
        <v>9193</v>
      </c>
      <c r="AL32" s="1589" t="s">
        <v>9194</v>
      </c>
      <c r="AM32" s="1652" t="str">
        <f>HYPERLINK("https://www.youtube.com/watch?v=BAoEwuQ0LoI","1:25.68")</f>
        <v>1:25.68</v>
      </c>
      <c r="AN32" s="1652" t="str">
        <f>HYPERLINK("https://www.youtube.com/watch?v=F-LtZeEZXek","56.36")</f>
        <v>56.36</v>
      </c>
      <c r="AO32" s="1562" t="s">
        <v>9195</v>
      </c>
      <c r="AP32" s="1562" t="s">
        <v>9196</v>
      </c>
      <c r="AQ32" s="1562" t="s">
        <v>9197</v>
      </c>
      <c r="AR32" s="1652" t="str">
        <f>HYPERLINK("https://www.youtube.com/watch?v=WSIIkWWbKgE","1:21.74")</f>
        <v>1:21.74</v>
      </c>
      <c r="AS32" s="1562" t="s">
        <v>5505</v>
      </c>
      <c r="AT32" s="1640" t="str">
        <f>HYPERLINK("https://www.youtube.com/watch?v=H67SXBLcISI","2:29.09")</f>
        <v>2:29.09</v>
      </c>
      <c r="AU32" s="1590" t="s">
        <v>9198</v>
      </c>
      <c r="AV32" s="1513" t="str">
        <f t="shared" si="1"/>
        <v>2:03</v>
      </c>
      <c r="AW32" s="1653" t="s">
        <v>9199</v>
      </c>
    </row>
    <row r="33">
      <c r="A33" s="1550" t="s">
        <v>2989</v>
      </c>
      <c r="B33" s="1548" t="s">
        <v>8540</v>
      </c>
      <c r="C33" s="1503">
        <v>0.050520833333333334</v>
      </c>
      <c r="D33" s="1555" t="s">
        <v>9200</v>
      </c>
      <c r="E33" s="1599" t="s">
        <v>4599</v>
      </c>
      <c r="F33" s="1599" t="s">
        <v>8814</v>
      </c>
      <c r="G33" s="1555" t="s">
        <v>9201</v>
      </c>
      <c r="H33" s="1599" t="s">
        <v>9202</v>
      </c>
      <c r="I33" s="1599" t="s">
        <v>3013</v>
      </c>
      <c r="J33" s="1557" t="s">
        <v>9203</v>
      </c>
      <c r="K33" s="1654" t="s">
        <v>9204</v>
      </c>
      <c r="L33" s="1557" t="s">
        <v>9205</v>
      </c>
      <c r="M33" s="1505" t="s">
        <v>5688</v>
      </c>
      <c r="N33" s="1557" t="s">
        <v>973</v>
      </c>
      <c r="O33" s="1557" t="s">
        <v>9060</v>
      </c>
      <c r="P33" s="1557" t="s">
        <v>410</v>
      </c>
      <c r="Q33" s="1528" t="str">
        <f>HYPERLINK("https://www.twitch.tv/planktonsecretformula/v/1588460220?sr=a", "2:12.43")</f>
        <v>2:12.43</v>
      </c>
      <c r="R33" s="1559" t="s">
        <v>9149</v>
      </c>
      <c r="S33" s="1559" t="s">
        <v>9206</v>
      </c>
      <c r="T33" s="1655" t="s">
        <v>9207</v>
      </c>
      <c r="U33" s="1599" t="s">
        <v>9208</v>
      </c>
      <c r="V33" s="1599" t="s">
        <v>9209</v>
      </c>
      <c r="W33" s="1580" t="s">
        <v>9210</v>
      </c>
      <c r="X33" s="1560" t="s">
        <v>944</v>
      </c>
      <c r="Y33" s="1560" t="s">
        <v>8947</v>
      </c>
      <c r="Z33" s="1560" t="s">
        <v>8664</v>
      </c>
      <c r="AA33" s="1515" t="s">
        <v>9211</v>
      </c>
      <c r="AB33" s="1560" t="s">
        <v>4129</v>
      </c>
      <c r="AC33" s="1560" t="s">
        <v>870</v>
      </c>
      <c r="AD33" s="1555" t="s">
        <v>3971</v>
      </c>
      <c r="AE33" s="1555" t="s">
        <v>5768</v>
      </c>
      <c r="AF33" s="1561" t="s">
        <v>9212</v>
      </c>
      <c r="AG33" s="1599" t="s">
        <v>4586</v>
      </c>
      <c r="AH33" s="1561" t="s">
        <v>9213</v>
      </c>
      <c r="AI33" s="1561" t="s">
        <v>6769</v>
      </c>
      <c r="AJ33" s="1561" t="s">
        <v>9214</v>
      </c>
      <c r="AK33" s="1561" t="s">
        <v>9215</v>
      </c>
      <c r="AL33" s="1561" t="s">
        <v>9216</v>
      </c>
      <c r="AM33" s="1563" t="s">
        <v>8718</v>
      </c>
      <c r="AN33" s="1563" t="s">
        <v>8861</v>
      </c>
      <c r="AO33" s="1563" t="s">
        <v>2947</v>
      </c>
      <c r="AP33" s="1569" t="s">
        <v>8561</v>
      </c>
      <c r="AQ33" s="1528" t="str">
        <f>HYPERLINK("https://www.twitch.tv/planktonsecretformula/v/1678454360?sr=a&amp;t=0s", "1:37.46")</f>
        <v>1:37.46</v>
      </c>
      <c r="AR33" s="1563" t="s">
        <v>9217</v>
      </c>
      <c r="AS33" s="1563" t="s">
        <v>718</v>
      </c>
      <c r="AT33" s="1557" t="s">
        <v>9218</v>
      </c>
      <c r="AU33" s="1543" t="s">
        <v>9219</v>
      </c>
      <c r="AV33" s="1513" t="str">
        <f t="shared" si="1"/>
        <v>4:40</v>
      </c>
      <c r="AW33" s="1549" t="s">
        <v>9220</v>
      </c>
    </row>
    <row r="34" ht="15.75" customHeight="1">
      <c r="A34" s="1604" t="s">
        <v>9221</v>
      </c>
      <c r="B34" s="1502" t="s">
        <v>8509</v>
      </c>
      <c r="C34" s="1503">
        <v>0.050555555555555555</v>
      </c>
      <c r="D34" s="1317" t="s">
        <v>9222</v>
      </c>
      <c r="E34" s="1555" t="s">
        <v>9223</v>
      </c>
      <c r="F34" s="1555" t="s">
        <v>9224</v>
      </c>
      <c r="G34" s="1555" t="s">
        <v>9225</v>
      </c>
      <c r="H34" s="1646" t="s">
        <v>9226</v>
      </c>
      <c r="I34" s="1646" t="s">
        <v>6904</v>
      </c>
      <c r="J34" s="1557" t="s">
        <v>9227</v>
      </c>
      <c r="K34" s="1557" t="s">
        <v>9228</v>
      </c>
      <c r="L34" s="1557" t="s">
        <v>9229</v>
      </c>
      <c r="M34" s="1557" t="s">
        <v>3231</v>
      </c>
      <c r="N34" s="1557" t="s">
        <v>9230</v>
      </c>
      <c r="O34" s="1557" t="s">
        <v>9130</v>
      </c>
      <c r="P34" s="1557" t="s">
        <v>4838</v>
      </c>
      <c r="Q34" s="1559" t="s">
        <v>9231</v>
      </c>
      <c r="R34" s="1559" t="s">
        <v>2637</v>
      </c>
      <c r="S34" s="1559" t="s">
        <v>9232</v>
      </c>
      <c r="T34" s="1559" t="s">
        <v>9233</v>
      </c>
      <c r="U34" s="1559" t="s">
        <v>9234</v>
      </c>
      <c r="V34" s="1559" t="s">
        <v>9063</v>
      </c>
      <c r="W34" s="1560" t="s">
        <v>9235</v>
      </c>
      <c r="X34" s="1560" t="s">
        <v>9236</v>
      </c>
      <c r="Y34" s="1560" t="s">
        <v>9237</v>
      </c>
      <c r="Z34" s="1560" t="s">
        <v>1387</v>
      </c>
      <c r="AA34" s="1560" t="s">
        <v>9238</v>
      </c>
      <c r="AB34" s="1560" t="s">
        <v>6489</v>
      </c>
      <c r="AC34" s="1588" t="s">
        <v>2241</v>
      </c>
      <c r="AD34" s="1555" t="s">
        <v>9239</v>
      </c>
      <c r="AE34" s="1555" t="s">
        <v>8858</v>
      </c>
      <c r="AF34" s="1561" t="s">
        <v>9240</v>
      </c>
      <c r="AG34" s="1561" t="s">
        <v>9241</v>
      </c>
      <c r="AH34" s="1561" t="s">
        <v>5595</v>
      </c>
      <c r="AI34" s="1561" t="s">
        <v>9242</v>
      </c>
      <c r="AJ34" s="1561" t="s">
        <v>9243</v>
      </c>
      <c r="AK34" s="1561" t="s">
        <v>4473</v>
      </c>
      <c r="AL34" s="1561" t="s">
        <v>5621</v>
      </c>
      <c r="AM34" s="1563" t="s">
        <v>2055</v>
      </c>
      <c r="AN34" s="1563" t="s">
        <v>4620</v>
      </c>
      <c r="AO34" s="1563" t="s">
        <v>9244</v>
      </c>
      <c r="AP34" s="1563" t="s">
        <v>9245</v>
      </c>
      <c r="AQ34" s="1563" t="s">
        <v>9246</v>
      </c>
      <c r="AR34" s="1563" t="s">
        <v>8902</v>
      </c>
      <c r="AS34" s="1563" t="s">
        <v>969</v>
      </c>
      <c r="AT34" s="1557" t="s">
        <v>9247</v>
      </c>
      <c r="AU34" s="1543" t="s">
        <v>9248</v>
      </c>
      <c r="AV34" s="1513" t="str">
        <f t="shared" si="1"/>
        <v>2:07</v>
      </c>
      <c r="AW34" s="1648"/>
    </row>
    <row r="35">
      <c r="A35" s="1550" t="s">
        <v>644</v>
      </c>
      <c r="B35" s="1548" t="s">
        <v>8509</v>
      </c>
      <c r="C35" s="1503">
        <v>0.050555555555555555</v>
      </c>
      <c r="D35" s="1317" t="s">
        <v>9249</v>
      </c>
      <c r="E35" s="1317" t="s">
        <v>9250</v>
      </c>
      <c r="F35" s="1317" t="s">
        <v>9251</v>
      </c>
      <c r="G35" s="1317" t="s">
        <v>9252</v>
      </c>
      <c r="H35" s="1317" t="s">
        <v>9253</v>
      </c>
      <c r="I35" s="1317" t="s">
        <v>9254</v>
      </c>
      <c r="J35" s="1317" t="s">
        <v>1303</v>
      </c>
      <c r="K35" s="1317" t="s">
        <v>9255</v>
      </c>
      <c r="L35" s="1317" t="s">
        <v>4235</v>
      </c>
      <c r="M35" s="1317" t="s">
        <v>4159</v>
      </c>
      <c r="N35" s="1317" t="s">
        <v>9256</v>
      </c>
      <c r="O35" s="1317" t="s">
        <v>9257</v>
      </c>
      <c r="P35" s="1317" t="s">
        <v>9258</v>
      </c>
      <c r="Q35" s="1317" t="s">
        <v>9259</v>
      </c>
      <c r="R35" s="1317" t="s">
        <v>8599</v>
      </c>
      <c r="S35" s="1317" t="s">
        <v>9260</v>
      </c>
      <c r="T35" s="1317" t="s">
        <v>9119</v>
      </c>
      <c r="U35" s="1317" t="s">
        <v>9261</v>
      </c>
      <c r="V35" s="1317" t="s">
        <v>9262</v>
      </c>
      <c r="W35" s="1317" t="s">
        <v>4686</v>
      </c>
      <c r="X35" s="1317" t="s">
        <v>9263</v>
      </c>
      <c r="Y35" s="1317" t="s">
        <v>5090</v>
      </c>
      <c r="Z35" s="1317" t="s">
        <v>9264</v>
      </c>
      <c r="AA35" s="1317" t="s">
        <v>9265</v>
      </c>
      <c r="AB35" s="1317" t="s">
        <v>9266</v>
      </c>
      <c r="AC35" s="1317" t="s">
        <v>7645</v>
      </c>
      <c r="AD35" s="1317" t="s">
        <v>9267</v>
      </c>
      <c r="AE35" s="1317" t="s">
        <v>8694</v>
      </c>
      <c r="AF35" s="1317" t="s">
        <v>9268</v>
      </c>
      <c r="AG35" s="1317" t="s">
        <v>5086</v>
      </c>
      <c r="AH35" s="1317" t="s">
        <v>4444</v>
      </c>
      <c r="AI35" s="1317" t="s">
        <v>9269</v>
      </c>
      <c r="AJ35" s="1317" t="s">
        <v>9270</v>
      </c>
      <c r="AK35" s="1317" t="s">
        <v>1761</v>
      </c>
      <c r="AL35" s="1317" t="s">
        <v>9271</v>
      </c>
      <c r="AM35" s="1317" t="s">
        <v>3847</v>
      </c>
      <c r="AN35" s="1317" t="s">
        <v>4014</v>
      </c>
      <c r="AO35" s="1317" t="s">
        <v>6196</v>
      </c>
      <c r="AP35" s="1317" t="s">
        <v>9272</v>
      </c>
      <c r="AQ35" s="1317" t="s">
        <v>9273</v>
      </c>
      <c r="AR35" s="1317" t="s">
        <v>8796</v>
      </c>
      <c r="AS35" s="1317" t="s">
        <v>925</v>
      </c>
      <c r="AT35" s="1317" t="s">
        <v>9274</v>
      </c>
      <c r="AU35" s="1543" t="s">
        <v>9162</v>
      </c>
      <c r="AV35" s="1513" t="str">
        <f t="shared" si="1"/>
        <v>2:26</v>
      </c>
      <c r="AW35" s="1549" t="s">
        <v>9275</v>
      </c>
    </row>
    <row r="36" ht="15.75" customHeight="1">
      <c r="A36" s="1501" t="s">
        <v>739</v>
      </c>
      <c r="B36" s="1579" t="s">
        <v>8540</v>
      </c>
      <c r="C36" s="1503">
        <v>0.05056712962962963</v>
      </c>
      <c r="D36" s="1569" t="s">
        <v>8541</v>
      </c>
      <c r="E36" s="1584" t="s">
        <v>9056</v>
      </c>
      <c r="F36" s="1637" t="s">
        <v>8542</v>
      </c>
      <c r="G36" s="1515" t="s">
        <v>9276</v>
      </c>
      <c r="H36" s="1515" t="s">
        <v>9277</v>
      </c>
      <c r="I36" s="1637" t="s">
        <v>8545</v>
      </c>
      <c r="J36" s="1515" t="s">
        <v>1107</v>
      </c>
      <c r="K36" s="1515" t="s">
        <v>4892</v>
      </c>
      <c r="L36" s="1515" t="s">
        <v>2284</v>
      </c>
      <c r="M36" s="1515" t="s">
        <v>2197</v>
      </c>
      <c r="N36" s="1515" t="s">
        <v>8993</v>
      </c>
      <c r="O36" s="1515" t="s">
        <v>9278</v>
      </c>
      <c r="P36" s="1515" t="s">
        <v>3900</v>
      </c>
      <c r="Q36" s="1515" t="s">
        <v>9279</v>
      </c>
      <c r="R36" s="1515" t="s">
        <v>3010</v>
      </c>
      <c r="S36" s="1515" t="s">
        <v>9280</v>
      </c>
      <c r="T36" s="1515" t="s">
        <v>2353</v>
      </c>
      <c r="U36" s="1515" t="s">
        <v>8753</v>
      </c>
      <c r="V36" s="1515" t="s">
        <v>2703</v>
      </c>
      <c r="W36" s="1515" t="s">
        <v>9281</v>
      </c>
      <c r="X36" s="1515" t="s">
        <v>9282</v>
      </c>
      <c r="Y36" s="1515" t="s">
        <v>949</v>
      </c>
      <c r="Z36" s="1515" t="s">
        <v>8908</v>
      </c>
      <c r="AA36" s="1515" t="s">
        <v>7445</v>
      </c>
      <c r="AB36" s="1515" t="s">
        <v>9283</v>
      </c>
      <c r="AC36" s="1513" t="s">
        <v>535</v>
      </c>
      <c r="AD36" s="1515" t="s">
        <v>9284</v>
      </c>
      <c r="AE36" s="1515" t="s">
        <v>4872</v>
      </c>
      <c r="AF36" s="1515" t="s">
        <v>9285</v>
      </c>
      <c r="AG36" s="1515" t="s">
        <v>9119</v>
      </c>
      <c r="AH36" s="1515" t="s">
        <v>2834</v>
      </c>
      <c r="AI36" s="1515" t="s">
        <v>9286</v>
      </c>
      <c r="AJ36" s="1515" t="s">
        <v>3248</v>
      </c>
      <c r="AK36" s="1515" t="s">
        <v>5382</v>
      </c>
      <c r="AL36" s="1515" t="s">
        <v>4182</v>
      </c>
      <c r="AM36" s="1515" t="s">
        <v>3344</v>
      </c>
      <c r="AN36" s="1515" t="s">
        <v>342</v>
      </c>
      <c r="AO36" s="1515" t="s">
        <v>9287</v>
      </c>
      <c r="AP36" s="1515" t="s">
        <v>9288</v>
      </c>
      <c r="AQ36" s="1515" t="s">
        <v>7387</v>
      </c>
      <c r="AR36" s="1515" t="s">
        <v>2622</v>
      </c>
      <c r="AS36" s="1515" t="s">
        <v>4027</v>
      </c>
      <c r="AT36" s="1515" t="s">
        <v>9289</v>
      </c>
      <c r="AU36" s="1515" t="s">
        <v>8937</v>
      </c>
      <c r="AV36" s="1513" t="str">
        <f t="shared" si="1"/>
        <v>3:34</v>
      </c>
      <c r="AW36" s="1546" t="s">
        <v>9290</v>
      </c>
    </row>
    <row r="37" ht="15.75" customHeight="1">
      <c r="A37" s="1550" t="s">
        <v>644</v>
      </c>
      <c r="B37" s="1579" t="s">
        <v>8540</v>
      </c>
      <c r="C37" s="1649">
        <v>0.05056712962962963</v>
      </c>
      <c r="D37" s="1317" t="s">
        <v>9291</v>
      </c>
      <c r="E37" s="1513" t="s">
        <v>9292</v>
      </c>
      <c r="F37" s="1513" t="s">
        <v>8968</v>
      </c>
      <c r="G37" s="1513" t="s">
        <v>9293</v>
      </c>
      <c r="H37" s="1513" t="s">
        <v>4447</v>
      </c>
      <c r="I37" s="1513" t="s">
        <v>1185</v>
      </c>
      <c r="J37" s="1515" t="s">
        <v>3507</v>
      </c>
      <c r="K37" s="1515" t="s">
        <v>3507</v>
      </c>
      <c r="L37" s="1513" t="s">
        <v>9294</v>
      </c>
      <c r="M37" s="1513" t="s">
        <v>9295</v>
      </c>
      <c r="N37" s="1513" t="s">
        <v>8913</v>
      </c>
      <c r="O37" s="1637" t="s">
        <v>8549</v>
      </c>
      <c r="P37" s="1513" t="s">
        <v>7026</v>
      </c>
      <c r="Q37" s="1513" t="s">
        <v>787</v>
      </c>
      <c r="R37" s="1515" t="s">
        <v>3507</v>
      </c>
      <c r="S37" s="1513" t="s">
        <v>9296</v>
      </c>
      <c r="T37" s="1513" t="s">
        <v>154</v>
      </c>
      <c r="U37" s="1513" t="s">
        <v>9297</v>
      </c>
      <c r="V37" s="1513" t="s">
        <v>9298</v>
      </c>
      <c r="W37" s="1513" t="s">
        <v>9299</v>
      </c>
      <c r="X37" s="1513" t="s">
        <v>9113</v>
      </c>
      <c r="Y37" s="1513" t="s">
        <v>9114</v>
      </c>
      <c r="Z37" s="1513" t="s">
        <v>149</v>
      </c>
      <c r="AA37" s="1513" t="s">
        <v>9300</v>
      </c>
      <c r="AB37" s="1513" t="s">
        <v>8771</v>
      </c>
      <c r="AC37" s="1513" t="s">
        <v>4475</v>
      </c>
      <c r="AD37" s="1513" t="s">
        <v>2316</v>
      </c>
      <c r="AE37" s="1513" t="s">
        <v>9237</v>
      </c>
      <c r="AF37" s="1513" t="s">
        <v>9301</v>
      </c>
      <c r="AG37" s="1513" t="s">
        <v>9302</v>
      </c>
      <c r="AH37" s="1513" t="s">
        <v>4464</v>
      </c>
      <c r="AI37" s="1513" t="s">
        <v>3765</v>
      </c>
      <c r="AJ37" s="1513" t="s">
        <v>9303</v>
      </c>
      <c r="AK37" s="1513" t="s">
        <v>1164</v>
      </c>
      <c r="AL37" s="1513" t="s">
        <v>9117</v>
      </c>
      <c r="AM37" s="1513" t="s">
        <v>9304</v>
      </c>
      <c r="AN37" s="1515" t="s">
        <v>9305</v>
      </c>
      <c r="AO37" s="1515" t="s">
        <v>3507</v>
      </c>
      <c r="AP37" s="1513" t="s">
        <v>5321</v>
      </c>
      <c r="AQ37" s="1513" t="s">
        <v>249</v>
      </c>
      <c r="AR37" s="1513" t="s">
        <v>4722</v>
      </c>
      <c r="AS37" s="1513" t="s">
        <v>9306</v>
      </c>
      <c r="AT37" s="1513" t="s">
        <v>9307</v>
      </c>
      <c r="AU37" s="1515" t="s">
        <v>9308</v>
      </c>
      <c r="AV37" s="1513" t="str">
        <f t="shared" si="1"/>
        <v>3:07</v>
      </c>
      <c r="AW37" s="1594" t="s">
        <v>9309</v>
      </c>
    </row>
    <row r="38" ht="15.75" customHeight="1">
      <c r="A38" s="1501" t="s">
        <v>4231</v>
      </c>
      <c r="B38" s="1502" t="s">
        <v>8509</v>
      </c>
      <c r="C38" s="1649">
        <v>0.05060185185185185</v>
      </c>
      <c r="D38" s="1317" t="s">
        <v>9310</v>
      </c>
      <c r="E38" s="1584" t="s">
        <v>3320</v>
      </c>
      <c r="F38" s="1584" t="s">
        <v>5948</v>
      </c>
      <c r="G38" s="1584" t="s">
        <v>9311</v>
      </c>
      <c r="H38" s="1556" t="s">
        <v>9312</v>
      </c>
      <c r="I38" s="1556" t="s">
        <v>1072</v>
      </c>
      <c r="J38" s="1586" t="s">
        <v>8710</v>
      </c>
      <c r="K38" s="1586" t="s">
        <v>7852</v>
      </c>
      <c r="L38" s="1586" t="s">
        <v>5536</v>
      </c>
      <c r="M38" s="1586" t="s">
        <v>9313</v>
      </c>
      <c r="N38" s="1586" t="s">
        <v>5240</v>
      </c>
      <c r="O38" s="1586" t="s">
        <v>9314</v>
      </c>
      <c r="P38" s="1586" t="s">
        <v>5793</v>
      </c>
      <c r="Q38" s="1587" t="s">
        <v>9315</v>
      </c>
      <c r="R38" s="1587" t="s">
        <v>5462</v>
      </c>
      <c r="S38" s="1587" t="s">
        <v>6489</v>
      </c>
      <c r="T38" s="1587" t="s">
        <v>9316</v>
      </c>
      <c r="U38" s="1587" t="s">
        <v>6081</v>
      </c>
      <c r="V38" s="1587" t="s">
        <v>3935</v>
      </c>
      <c r="W38" s="1588" t="s">
        <v>9317</v>
      </c>
      <c r="X38" s="1588" t="s">
        <v>7843</v>
      </c>
      <c r="Y38" s="1588" t="s">
        <v>5064</v>
      </c>
      <c r="Z38" s="1588" t="s">
        <v>1838</v>
      </c>
      <c r="AA38" s="1588" t="s">
        <v>9318</v>
      </c>
      <c r="AB38" s="1588" t="s">
        <v>8771</v>
      </c>
      <c r="AC38" s="1588" t="s">
        <v>5537</v>
      </c>
      <c r="AD38" s="1584" t="s">
        <v>6400</v>
      </c>
      <c r="AE38" s="1584" t="s">
        <v>8947</v>
      </c>
      <c r="AF38" s="1589" t="s">
        <v>9319</v>
      </c>
      <c r="AG38" s="1589" t="s">
        <v>9241</v>
      </c>
      <c r="AH38" s="1589" t="s">
        <v>9320</v>
      </c>
      <c r="AI38" s="1589" t="s">
        <v>5532</v>
      </c>
      <c r="AJ38" s="1589" t="s">
        <v>9321</v>
      </c>
      <c r="AK38" s="1589" t="s">
        <v>9322</v>
      </c>
      <c r="AL38" s="1589" t="s">
        <v>9323</v>
      </c>
      <c r="AM38" s="1562" t="s">
        <v>9324</v>
      </c>
      <c r="AN38" s="1562" t="s">
        <v>9325</v>
      </c>
      <c r="AO38" s="1562" t="s">
        <v>9326</v>
      </c>
      <c r="AP38" s="1562" t="s">
        <v>9327</v>
      </c>
      <c r="AQ38" s="1562" t="s">
        <v>9183</v>
      </c>
      <c r="AR38" s="1562" t="s">
        <v>9328</v>
      </c>
      <c r="AS38" s="1562" t="s">
        <v>4314</v>
      </c>
      <c r="AT38" s="1586" t="s">
        <v>9329</v>
      </c>
      <c r="AU38" s="1590" t="s">
        <v>9330</v>
      </c>
      <c r="AV38" s="1513" t="str">
        <f t="shared" si="1"/>
        <v>1:56</v>
      </c>
      <c r="AW38" s="1648"/>
    </row>
    <row r="39" ht="15.75" customHeight="1">
      <c r="A39" s="1517" t="s">
        <v>827</v>
      </c>
      <c r="B39" s="1502" t="s">
        <v>8509</v>
      </c>
      <c r="C39" s="1503">
        <v>0.05061342592592592</v>
      </c>
      <c r="D39" s="1317" t="s">
        <v>9331</v>
      </c>
      <c r="E39" s="1515" t="s">
        <v>8684</v>
      </c>
      <c r="F39" s="1515" t="s">
        <v>5361</v>
      </c>
      <c r="G39" s="1513" t="s">
        <v>9332</v>
      </c>
      <c r="H39" s="1515" t="s">
        <v>9333</v>
      </c>
      <c r="I39" s="1515" t="s">
        <v>386</v>
      </c>
      <c r="J39" s="1515" t="s">
        <v>6771</v>
      </c>
      <c r="K39" s="1513" t="s">
        <v>8965</v>
      </c>
      <c r="L39" s="1515" t="s">
        <v>9334</v>
      </c>
      <c r="M39" s="1515" t="s">
        <v>9335</v>
      </c>
      <c r="N39" s="1515" t="s">
        <v>4321</v>
      </c>
      <c r="O39" s="1515" t="s">
        <v>9336</v>
      </c>
      <c r="P39" s="1515" t="s">
        <v>1591</v>
      </c>
      <c r="Q39" s="1509" t="s">
        <v>9337</v>
      </c>
      <c r="R39" s="1515" t="s">
        <v>9338</v>
      </c>
      <c r="S39" s="1513" t="s">
        <v>9339</v>
      </c>
      <c r="T39" s="1515" t="s">
        <v>9095</v>
      </c>
      <c r="U39" s="1515" t="s">
        <v>7220</v>
      </c>
      <c r="V39" s="1515" t="s">
        <v>2470</v>
      </c>
      <c r="W39" s="1527" t="str">
        <f>HYPERLINK("https://www.youtube.com/watch?v=nn1ub1z3NYM","1:45.96")</f>
        <v>1:45.96</v>
      </c>
      <c r="X39" s="1515" t="s">
        <v>5619</v>
      </c>
      <c r="Y39" s="1513" t="s">
        <v>5497</v>
      </c>
      <c r="Z39" s="1515" t="s">
        <v>1506</v>
      </c>
      <c r="AA39" s="1515" t="s">
        <v>9340</v>
      </c>
      <c r="AB39" s="1515" t="s">
        <v>9341</v>
      </c>
      <c r="AC39" s="1515" t="s">
        <v>1048</v>
      </c>
      <c r="AD39" s="1515" t="s">
        <v>9342</v>
      </c>
      <c r="AE39" s="1509" t="s">
        <v>4618</v>
      </c>
      <c r="AF39" s="1513" t="s">
        <v>9343</v>
      </c>
      <c r="AG39" s="1515" t="s">
        <v>2066</v>
      </c>
      <c r="AH39" s="1515" t="s">
        <v>2984</v>
      </c>
      <c r="AI39" s="1515" t="s">
        <v>9344</v>
      </c>
      <c r="AJ39" s="1513" t="s">
        <v>8095</v>
      </c>
      <c r="AK39" s="1515" t="s">
        <v>9345</v>
      </c>
      <c r="AL39" s="1513" t="s">
        <v>4272</v>
      </c>
      <c r="AM39" s="1513" t="s">
        <v>9346</v>
      </c>
      <c r="AN39" s="1513" t="s">
        <v>2503</v>
      </c>
      <c r="AO39" s="1515" t="s">
        <v>5195</v>
      </c>
      <c r="AP39" s="1515" t="s">
        <v>9347</v>
      </c>
      <c r="AQ39" s="1515" t="s">
        <v>9348</v>
      </c>
      <c r="AR39" s="1515" t="s">
        <v>1303</v>
      </c>
      <c r="AS39" s="1515" t="s">
        <v>9349</v>
      </c>
      <c r="AT39" s="1515" t="s">
        <v>9350</v>
      </c>
      <c r="AU39" s="1515" t="s">
        <v>9351</v>
      </c>
      <c r="AV39" s="1513" t="str">
        <f t="shared" si="1"/>
        <v>2:25</v>
      </c>
      <c r="AW39" s="1546"/>
    </row>
    <row r="40">
      <c r="A40" s="1517" t="s">
        <v>9352</v>
      </c>
      <c r="B40" s="1545" t="s">
        <v>8509</v>
      </c>
      <c r="C40" s="1503">
        <v>0.050625</v>
      </c>
      <c r="D40" s="1656" t="s">
        <v>9353</v>
      </c>
      <c r="E40" s="1515" t="s">
        <v>4662</v>
      </c>
      <c r="F40" s="1515" t="s">
        <v>9354</v>
      </c>
      <c r="G40" s="1515" t="s">
        <v>9355</v>
      </c>
      <c r="H40" s="1515" t="s">
        <v>1660</v>
      </c>
      <c r="I40" s="1515" t="s">
        <v>1830</v>
      </c>
      <c r="J40" s="1515" t="s">
        <v>9356</v>
      </c>
      <c r="K40" s="1515" t="s">
        <v>3526</v>
      </c>
      <c r="L40" s="1515" t="s">
        <v>9357</v>
      </c>
      <c r="M40" s="1515" t="s">
        <v>9358</v>
      </c>
      <c r="N40" s="1515" t="s">
        <v>9359</v>
      </c>
      <c r="O40" s="1515" t="s">
        <v>9360</v>
      </c>
      <c r="P40" s="1515" t="s">
        <v>9237</v>
      </c>
      <c r="Q40" s="1515" t="s">
        <v>4591</v>
      </c>
      <c r="R40" s="1515" t="s">
        <v>3896</v>
      </c>
      <c r="S40" s="1515" t="s">
        <v>2607</v>
      </c>
      <c r="T40" s="1515" t="s">
        <v>2353</v>
      </c>
      <c r="U40" s="1515" t="s">
        <v>9361</v>
      </c>
      <c r="V40" s="1515" t="s">
        <v>2168</v>
      </c>
      <c r="W40" s="1515" t="s">
        <v>7697</v>
      </c>
      <c r="X40" s="1515" t="s">
        <v>9362</v>
      </c>
      <c r="Y40" s="1515" t="s">
        <v>9363</v>
      </c>
      <c r="Z40" s="1515" t="s">
        <v>9364</v>
      </c>
      <c r="AA40" s="1515" t="s">
        <v>9365</v>
      </c>
      <c r="AB40" s="1515"/>
      <c r="AC40" s="1515" t="s">
        <v>9366</v>
      </c>
      <c r="AD40" s="1515" t="s">
        <v>9367</v>
      </c>
      <c r="AE40" s="1515" t="s">
        <v>4255</v>
      </c>
      <c r="AF40" s="1515" t="s">
        <v>9368</v>
      </c>
      <c r="AG40" s="1515" t="s">
        <v>9369</v>
      </c>
      <c r="AH40" s="1515" t="s">
        <v>9370</v>
      </c>
      <c r="AI40" s="1515" t="s">
        <v>727</v>
      </c>
      <c r="AJ40" s="1515" t="s">
        <v>9371</v>
      </c>
      <c r="AK40" s="1515" t="s">
        <v>9372</v>
      </c>
      <c r="AL40" s="1515" t="s">
        <v>9028</v>
      </c>
      <c r="AM40" s="1515" t="s">
        <v>9373</v>
      </c>
      <c r="AN40" s="1515" t="s">
        <v>8592</v>
      </c>
      <c r="AO40" s="1515" t="s">
        <v>9374</v>
      </c>
      <c r="AP40" s="1515" t="s">
        <v>9375</v>
      </c>
      <c r="AQ40" s="1515" t="s">
        <v>9376</v>
      </c>
      <c r="AR40" s="1515" t="s">
        <v>6494</v>
      </c>
      <c r="AS40" s="1515" t="s">
        <v>6021</v>
      </c>
      <c r="AT40" s="1515" t="s">
        <v>8194</v>
      </c>
      <c r="AU40" s="1515" t="s">
        <v>9377</v>
      </c>
      <c r="AV40" s="1513" t="str">
        <f t="shared" si="1"/>
        <v>2:05</v>
      </c>
      <c r="AW40" s="1594"/>
    </row>
    <row r="41">
      <c r="A41" s="1517" t="s">
        <v>9378</v>
      </c>
      <c r="B41" s="1548" t="s">
        <v>8509</v>
      </c>
      <c r="C41" s="1503">
        <v>0.0506712962962963</v>
      </c>
      <c r="D41" s="1656" t="s">
        <v>9379</v>
      </c>
      <c r="E41" s="1555" t="s">
        <v>3320</v>
      </c>
      <c r="F41" s="1555" t="s">
        <v>8829</v>
      </c>
      <c r="G41" s="1555" t="s">
        <v>9380</v>
      </c>
      <c r="H41" s="1646" t="s">
        <v>9381</v>
      </c>
      <c r="I41" s="1646" t="s">
        <v>9382</v>
      </c>
      <c r="J41" s="1557" t="s">
        <v>9383</v>
      </c>
      <c r="K41" s="1557" t="s">
        <v>7065</v>
      </c>
      <c r="L41" s="1557" t="s">
        <v>4364</v>
      </c>
      <c r="M41" s="1557" t="s">
        <v>7066</v>
      </c>
      <c r="N41" s="1557" t="s">
        <v>9384</v>
      </c>
      <c r="O41" s="1557" t="s">
        <v>2201</v>
      </c>
      <c r="P41" s="1557" t="s">
        <v>7029</v>
      </c>
      <c r="Q41" s="1559" t="s">
        <v>7776</v>
      </c>
      <c r="R41" s="1559" t="s">
        <v>9385</v>
      </c>
      <c r="S41" s="1559" t="s">
        <v>9386</v>
      </c>
      <c r="T41" s="1559" t="s">
        <v>9387</v>
      </c>
      <c r="U41" s="1559" t="s">
        <v>9388</v>
      </c>
      <c r="V41" s="1559" t="s">
        <v>9389</v>
      </c>
      <c r="W41" s="1560" t="s">
        <v>9390</v>
      </c>
      <c r="X41" s="1560" t="s">
        <v>9391</v>
      </c>
      <c r="Y41" s="1560" t="s">
        <v>6109</v>
      </c>
      <c r="Z41" s="1560" t="s">
        <v>9392</v>
      </c>
      <c r="AA41" s="1515" t="s">
        <v>156</v>
      </c>
      <c r="AB41" s="1560" t="s">
        <v>9393</v>
      </c>
      <c r="AC41" s="1560" t="s">
        <v>7645</v>
      </c>
      <c r="AD41" s="1555" t="s">
        <v>9394</v>
      </c>
      <c r="AE41" s="1555" t="s">
        <v>535</v>
      </c>
      <c r="AF41" s="1561" t="s">
        <v>9395</v>
      </c>
      <c r="AG41" s="1561" t="s">
        <v>3879</v>
      </c>
      <c r="AH41" s="1561" t="s">
        <v>5212</v>
      </c>
      <c r="AI41" s="1561" t="s">
        <v>9029</v>
      </c>
      <c r="AJ41" s="1561" t="s">
        <v>9396</v>
      </c>
      <c r="AK41" s="1561" t="s">
        <v>399</v>
      </c>
      <c r="AL41" s="1561" t="s">
        <v>2578</v>
      </c>
      <c r="AM41" s="1563" t="s">
        <v>8830</v>
      </c>
      <c r="AN41" s="1563" t="s">
        <v>8747</v>
      </c>
      <c r="AO41" s="1563" t="s">
        <v>9051</v>
      </c>
      <c r="AP41" s="1563" t="s">
        <v>9397</v>
      </c>
      <c r="AQ41" s="1563" t="s">
        <v>9398</v>
      </c>
      <c r="AR41" s="1563" t="s">
        <v>9399</v>
      </c>
      <c r="AS41" s="1563" t="s">
        <v>9400</v>
      </c>
      <c r="AT41" s="1557" t="s">
        <v>9401</v>
      </c>
      <c r="AU41" s="1543" t="s">
        <v>9185</v>
      </c>
      <c r="AV41" s="1513" t="str">
        <f t="shared" si="1"/>
        <v>3:31</v>
      </c>
      <c r="AW41" s="1648"/>
    </row>
    <row r="42" ht="15.75" customHeight="1">
      <c r="A42" s="1604" t="s">
        <v>9402</v>
      </c>
      <c r="B42" s="1502" t="s">
        <v>8509</v>
      </c>
      <c r="C42" s="1503">
        <v>0.05070601851851852</v>
      </c>
      <c r="D42" s="1317" t="s">
        <v>9403</v>
      </c>
      <c r="E42" s="1584" t="s">
        <v>3223</v>
      </c>
      <c r="F42" s="1584" t="s">
        <v>8748</v>
      </c>
      <c r="G42" s="1584" t="s">
        <v>9404</v>
      </c>
      <c r="H42" s="1556" t="s">
        <v>9405</v>
      </c>
      <c r="I42" s="1556" t="s">
        <v>386</v>
      </c>
      <c r="J42" s="1586" t="s">
        <v>2063</v>
      </c>
      <c r="K42" s="1586" t="s">
        <v>3595</v>
      </c>
      <c r="L42" s="1586" t="s">
        <v>5370</v>
      </c>
      <c r="M42" s="1586" t="s">
        <v>9406</v>
      </c>
      <c r="N42" s="1586" t="s">
        <v>9233</v>
      </c>
      <c r="O42" s="1586" t="s">
        <v>9407</v>
      </c>
      <c r="P42" s="1586" t="s">
        <v>2915</v>
      </c>
      <c r="Q42" s="1587" t="s">
        <v>9408</v>
      </c>
      <c r="R42" s="1587" t="s">
        <v>731</v>
      </c>
      <c r="S42" s="1587" t="s">
        <v>9374</v>
      </c>
      <c r="T42" s="1587" t="s">
        <v>9236</v>
      </c>
      <c r="U42" s="1587" t="s">
        <v>9409</v>
      </c>
      <c r="V42" s="1587" t="s">
        <v>2470</v>
      </c>
      <c r="W42" s="1588" t="s">
        <v>9410</v>
      </c>
      <c r="X42" s="1588" t="s">
        <v>8625</v>
      </c>
      <c r="Y42" s="1588" t="s">
        <v>9411</v>
      </c>
      <c r="Z42" s="1588" t="s">
        <v>8610</v>
      </c>
      <c r="AA42" s="1588" t="s">
        <v>9412</v>
      </c>
      <c r="AB42" s="1588" t="s">
        <v>2597</v>
      </c>
      <c r="AC42" s="1588" t="s">
        <v>3006</v>
      </c>
      <c r="AD42" s="1584" t="s">
        <v>9413</v>
      </c>
      <c r="AE42" s="1584" t="s">
        <v>6111</v>
      </c>
      <c r="AF42" s="1589" t="s">
        <v>8649</v>
      </c>
      <c r="AG42" s="1589" t="s">
        <v>9414</v>
      </c>
      <c r="AH42" s="1589" t="s">
        <v>2211</v>
      </c>
      <c r="AI42" s="1589" t="s">
        <v>6012</v>
      </c>
      <c r="AJ42" s="1589" t="s">
        <v>9415</v>
      </c>
      <c r="AK42" s="1589" t="s">
        <v>9416</v>
      </c>
      <c r="AL42" s="1589" t="s">
        <v>5338</v>
      </c>
      <c r="AM42" s="1562" t="s">
        <v>9263</v>
      </c>
      <c r="AN42" s="1562" t="s">
        <v>5338</v>
      </c>
      <c r="AO42" s="1562" t="s">
        <v>2296</v>
      </c>
      <c r="AP42" s="1562" t="s">
        <v>9417</v>
      </c>
      <c r="AQ42" s="1562" t="s">
        <v>9418</v>
      </c>
      <c r="AR42" s="1562" t="s">
        <v>4803</v>
      </c>
      <c r="AS42" s="1562" t="s">
        <v>4317</v>
      </c>
      <c r="AT42" s="1586" t="s">
        <v>9419</v>
      </c>
      <c r="AU42" s="1590" t="s">
        <v>9420</v>
      </c>
      <c r="AV42" s="1513" t="str">
        <f t="shared" si="1"/>
        <v>2:54</v>
      </c>
      <c r="AW42" s="1648"/>
    </row>
    <row r="43">
      <c r="A43" s="1550" t="s">
        <v>2759</v>
      </c>
      <c r="B43" s="1545" t="s">
        <v>8509</v>
      </c>
      <c r="C43" s="1503">
        <v>0.050826388888888886</v>
      </c>
      <c r="D43" s="1515" t="s">
        <v>9421</v>
      </c>
      <c r="E43" s="1515" t="s">
        <v>9422</v>
      </c>
      <c r="F43" s="1555" t="s">
        <v>9423</v>
      </c>
      <c r="G43" s="1515" t="s">
        <v>9424</v>
      </c>
      <c r="H43" s="1515" t="s">
        <v>6377</v>
      </c>
      <c r="I43" s="1515" t="s">
        <v>1293</v>
      </c>
      <c r="J43" s="1515" t="s">
        <v>9425</v>
      </c>
      <c r="K43" s="1515" t="s">
        <v>3857</v>
      </c>
      <c r="L43" s="1515" t="s">
        <v>5781</v>
      </c>
      <c r="M43" s="1515" t="s">
        <v>9426</v>
      </c>
      <c r="N43" s="1515" t="s">
        <v>7275</v>
      </c>
      <c r="O43" s="1515" t="s">
        <v>9427</v>
      </c>
      <c r="P43" s="1515" t="s">
        <v>8972</v>
      </c>
      <c r="Q43" s="1515" t="s">
        <v>9428</v>
      </c>
      <c r="R43" s="1515" t="s">
        <v>9429</v>
      </c>
      <c r="S43" s="1515" t="s">
        <v>9430</v>
      </c>
      <c r="T43" s="1515" t="s">
        <v>1792</v>
      </c>
      <c r="U43" s="1515" t="s">
        <v>9431</v>
      </c>
      <c r="V43" s="1515" t="s">
        <v>7109</v>
      </c>
      <c r="W43" s="1515" t="s">
        <v>5461</v>
      </c>
      <c r="X43" s="1515" t="s">
        <v>9432</v>
      </c>
      <c r="Y43" s="1515" t="s">
        <v>7020</v>
      </c>
      <c r="Z43" s="1515" t="s">
        <v>9433</v>
      </c>
      <c r="AA43" s="1560" t="s">
        <v>9434</v>
      </c>
      <c r="AB43" s="1515" t="s">
        <v>1838</v>
      </c>
      <c r="AC43" s="1515" t="s">
        <v>7645</v>
      </c>
      <c r="AD43" s="1515" t="s">
        <v>9435</v>
      </c>
      <c r="AE43" s="1515" t="s">
        <v>4255</v>
      </c>
      <c r="AF43" s="1515" t="s">
        <v>9436</v>
      </c>
      <c r="AG43" s="1515" t="s">
        <v>1179</v>
      </c>
      <c r="AH43" s="1515" t="s">
        <v>3828</v>
      </c>
      <c r="AI43" s="1515" t="s">
        <v>9437</v>
      </c>
      <c r="AJ43" s="1515" t="s">
        <v>9438</v>
      </c>
      <c r="AK43" s="1515" t="s">
        <v>9345</v>
      </c>
      <c r="AL43" s="1515" t="s">
        <v>4279</v>
      </c>
      <c r="AM43" s="1515" t="s">
        <v>9345</v>
      </c>
      <c r="AN43" s="1515" t="s">
        <v>8592</v>
      </c>
      <c r="AO43" s="1515" t="s">
        <v>7370</v>
      </c>
      <c r="AP43" s="1515" t="s">
        <v>9439</v>
      </c>
      <c r="AQ43" s="1515" t="s">
        <v>9440</v>
      </c>
      <c r="AR43" s="1515" t="s">
        <v>5112</v>
      </c>
      <c r="AS43" s="1515" t="s">
        <v>6056</v>
      </c>
      <c r="AT43" s="1515" t="s">
        <v>9441</v>
      </c>
      <c r="AU43" s="1515" t="s">
        <v>9442</v>
      </c>
      <c r="AV43" s="1513" t="str">
        <f t="shared" si="1"/>
        <v>2:25</v>
      </c>
      <c r="AW43" s="1594"/>
    </row>
    <row r="44" ht="15.75" customHeight="1">
      <c r="A44" s="1550" t="s">
        <v>4624</v>
      </c>
      <c r="B44" s="1502" t="s">
        <v>8509</v>
      </c>
      <c r="C44" s="1649">
        <v>0.050868055555555555</v>
      </c>
      <c r="D44" s="1317" t="s">
        <v>9443</v>
      </c>
      <c r="E44" s="1513" t="s">
        <v>7596</v>
      </c>
      <c r="F44" s="1513" t="s">
        <v>9444</v>
      </c>
      <c r="G44" s="1513" t="s">
        <v>9445</v>
      </c>
      <c r="H44" s="1513" t="s">
        <v>9277</v>
      </c>
      <c r="I44" s="1513" t="s">
        <v>1293</v>
      </c>
      <c r="J44" s="1513" t="s">
        <v>9399</v>
      </c>
      <c r="K44" s="1513" t="s">
        <v>8981</v>
      </c>
      <c r="L44" s="1513" t="s">
        <v>8832</v>
      </c>
      <c r="M44" s="1513" t="s">
        <v>5298</v>
      </c>
      <c r="N44" s="1513" t="s">
        <v>8053</v>
      </c>
      <c r="O44" s="1513" t="s">
        <v>9446</v>
      </c>
      <c r="P44" s="1513" t="s">
        <v>9447</v>
      </c>
      <c r="Q44" s="1513" t="s">
        <v>9448</v>
      </c>
      <c r="R44" s="1513" t="s">
        <v>7351</v>
      </c>
      <c r="S44" s="1513" t="s">
        <v>8799</v>
      </c>
      <c r="T44" s="1513" t="s">
        <v>4607</v>
      </c>
      <c r="U44" s="1513" t="s">
        <v>9449</v>
      </c>
      <c r="V44" s="1513" t="s">
        <v>9044</v>
      </c>
      <c r="W44" s="1513" t="s">
        <v>9450</v>
      </c>
      <c r="X44" s="1513" t="s">
        <v>9048</v>
      </c>
      <c r="Y44" s="1513" t="s">
        <v>3533</v>
      </c>
      <c r="Z44" s="1513" t="s">
        <v>9451</v>
      </c>
      <c r="AA44" s="1513" t="s">
        <v>9452</v>
      </c>
      <c r="AB44" s="1513" t="s">
        <v>191</v>
      </c>
      <c r="AC44" s="1513" t="s">
        <v>2946</v>
      </c>
      <c r="AD44" s="1513" t="s">
        <v>9453</v>
      </c>
      <c r="AE44" s="1513" t="s">
        <v>617</v>
      </c>
      <c r="AF44" s="1513" t="s">
        <v>9454</v>
      </c>
      <c r="AG44" s="1513" t="s">
        <v>5869</v>
      </c>
      <c r="AH44" s="1513" t="s">
        <v>9455</v>
      </c>
      <c r="AI44" s="1513" t="s">
        <v>7466</v>
      </c>
      <c r="AJ44" s="1513" t="s">
        <v>9456</v>
      </c>
      <c r="AK44" s="1513" t="s">
        <v>5326</v>
      </c>
      <c r="AL44" s="1513" t="s">
        <v>9457</v>
      </c>
      <c r="AM44" s="1513" t="s">
        <v>9458</v>
      </c>
      <c r="AN44" s="1513" t="s">
        <v>3363</v>
      </c>
      <c r="AO44" s="1513" t="s">
        <v>8965</v>
      </c>
      <c r="AP44" s="1513" t="s">
        <v>9459</v>
      </c>
      <c r="AQ44" s="1513" t="s">
        <v>9460</v>
      </c>
      <c r="AR44" s="1513" t="s">
        <v>8823</v>
      </c>
      <c r="AS44" s="1513" t="s">
        <v>5024</v>
      </c>
      <c r="AT44" s="1513" t="s">
        <v>9461</v>
      </c>
      <c r="AU44" s="1513" t="s">
        <v>9462</v>
      </c>
      <c r="AV44" s="1513" t="str">
        <f t="shared" si="1"/>
        <v>2:44</v>
      </c>
      <c r="AW44" s="1530"/>
    </row>
    <row r="45" ht="15.75" customHeight="1">
      <c r="A45" s="1550" t="s">
        <v>1807</v>
      </c>
      <c r="B45" s="1657" t="s">
        <v>8566</v>
      </c>
      <c r="C45" s="1503">
        <v>0.05092592592592592</v>
      </c>
      <c r="D45" s="1658" t="s">
        <v>8567</v>
      </c>
      <c r="E45" s="1659" t="s">
        <v>8568</v>
      </c>
      <c r="F45" s="1658" t="s">
        <v>8569</v>
      </c>
      <c r="G45" s="1515" t="s">
        <v>9463</v>
      </c>
      <c r="H45" s="1658" t="s">
        <v>8571</v>
      </c>
      <c r="I45" s="1513" t="s">
        <v>1414</v>
      </c>
      <c r="J45" s="1584" t="s">
        <v>9464</v>
      </c>
      <c r="K45" s="1513" t="s">
        <v>9233</v>
      </c>
      <c r="L45" s="1584" t="s">
        <v>2322</v>
      </c>
      <c r="M45" s="1513" t="s">
        <v>2637</v>
      </c>
      <c r="N45" s="1658" t="s">
        <v>8533</v>
      </c>
      <c r="O45" s="1513" t="s">
        <v>9465</v>
      </c>
      <c r="P45" s="1584" t="s">
        <v>636</v>
      </c>
      <c r="Q45" s="1659" t="s">
        <v>8576</v>
      </c>
      <c r="R45" s="1658" t="s">
        <v>8577</v>
      </c>
      <c r="S45" s="1513" t="s">
        <v>1164</v>
      </c>
      <c r="T45" s="1584" t="s">
        <v>7701</v>
      </c>
      <c r="U45" s="1659" t="s">
        <v>8579</v>
      </c>
      <c r="V45" s="1658" t="s">
        <v>8580</v>
      </c>
      <c r="W45" s="1513" t="s">
        <v>9466</v>
      </c>
      <c r="X45" s="1658" t="s">
        <v>8582</v>
      </c>
      <c r="Y45" s="1513" t="s">
        <v>5579</v>
      </c>
      <c r="Z45" s="1555" t="s">
        <v>9467</v>
      </c>
      <c r="AA45" s="1513" t="s">
        <v>2298</v>
      </c>
      <c r="AB45" s="1584" t="s">
        <v>9468</v>
      </c>
      <c r="AC45" s="1515" t="s">
        <v>9469</v>
      </c>
      <c r="AD45" s="1584" t="s">
        <v>9470</v>
      </c>
      <c r="AE45" s="1515" t="s">
        <v>9471</v>
      </c>
      <c r="AF45" s="1584" t="s">
        <v>9472</v>
      </c>
      <c r="AG45" s="1513" t="s">
        <v>6935</v>
      </c>
      <c r="AH45" s="1555" t="s">
        <v>9357</v>
      </c>
      <c r="AI45" s="1659" t="s">
        <v>8588</v>
      </c>
      <c r="AJ45" s="1584" t="s">
        <v>9473</v>
      </c>
      <c r="AK45" s="1513" t="s">
        <v>5753</v>
      </c>
      <c r="AL45" s="1658" t="s">
        <v>8590</v>
      </c>
      <c r="AM45" s="1513" t="s">
        <v>8930</v>
      </c>
      <c r="AN45" s="1584" t="s">
        <v>3930</v>
      </c>
      <c r="AO45" s="1515" t="s">
        <v>4813</v>
      </c>
      <c r="AP45" s="1555" t="s">
        <v>9474</v>
      </c>
      <c r="AQ45" s="1515" t="s">
        <v>9475</v>
      </c>
      <c r="AR45" s="1555" t="s">
        <v>9476</v>
      </c>
      <c r="AS45" s="1513" t="s">
        <v>904</v>
      </c>
      <c r="AT45" s="1658" t="s">
        <v>8596</v>
      </c>
      <c r="AU45" s="1515" t="s">
        <v>9477</v>
      </c>
      <c r="AV45" s="1513" t="str">
        <f t="shared" si="1"/>
        <v>2:24</v>
      </c>
      <c r="AW45" s="1546"/>
    </row>
    <row r="46">
      <c r="A46" s="1550" t="s">
        <v>2534</v>
      </c>
      <c r="B46" s="1565" t="s">
        <v>8540</v>
      </c>
      <c r="C46" s="1503">
        <v>0.05092592592592592</v>
      </c>
      <c r="D46" s="1317" t="s">
        <v>9478</v>
      </c>
      <c r="E46" s="1555" t="s">
        <v>9479</v>
      </c>
      <c r="F46" s="1555" t="s">
        <v>9480</v>
      </c>
      <c r="G46" s="1555" t="s">
        <v>9481</v>
      </c>
      <c r="H46" s="1646" t="s">
        <v>9482</v>
      </c>
      <c r="I46" s="1646" t="s">
        <v>2832</v>
      </c>
      <c r="J46" s="1557" t="s">
        <v>8666</v>
      </c>
      <c r="K46" s="1557" t="s">
        <v>3815</v>
      </c>
      <c r="L46" s="1557" t="s">
        <v>5652</v>
      </c>
      <c r="M46" s="1557" t="s">
        <v>3024</v>
      </c>
      <c r="N46" s="1557" t="s">
        <v>9304</v>
      </c>
      <c r="O46" s="1557" t="s">
        <v>9483</v>
      </c>
      <c r="P46" s="1557" t="s">
        <v>774</v>
      </c>
      <c r="Q46" s="1559" t="s">
        <v>7672</v>
      </c>
      <c r="R46" s="1559" t="s">
        <v>7398</v>
      </c>
      <c r="S46" s="1559" t="s">
        <v>6490</v>
      </c>
      <c r="T46" s="1559" t="s">
        <v>9484</v>
      </c>
      <c r="U46" s="1660" t="s">
        <v>7831</v>
      </c>
      <c r="V46" s="1559" t="s">
        <v>9485</v>
      </c>
      <c r="W46" s="1560" t="s">
        <v>6693</v>
      </c>
      <c r="X46" s="1560" t="s">
        <v>9486</v>
      </c>
      <c r="Y46" s="1560" t="s">
        <v>9487</v>
      </c>
      <c r="Z46" s="1560" t="s">
        <v>7619</v>
      </c>
      <c r="AA46" s="1560" t="s">
        <v>1863</v>
      </c>
      <c r="AB46" s="1560" t="s">
        <v>9488</v>
      </c>
      <c r="AC46" s="1560" t="s">
        <v>2438</v>
      </c>
      <c r="AD46" s="1555" t="s">
        <v>9489</v>
      </c>
      <c r="AE46" s="1555" t="s">
        <v>5218</v>
      </c>
      <c r="AF46" s="1561" t="s">
        <v>9490</v>
      </c>
      <c r="AG46" s="1561" t="s">
        <v>5380</v>
      </c>
      <c r="AH46" s="1561" t="s">
        <v>4464</v>
      </c>
      <c r="AI46" s="1561" t="s">
        <v>9491</v>
      </c>
      <c r="AJ46" s="1574" t="s">
        <v>8558</v>
      </c>
      <c r="AK46" s="1561" t="s">
        <v>191</v>
      </c>
      <c r="AL46" s="1561" t="s">
        <v>5754</v>
      </c>
      <c r="AM46" s="1563" t="s">
        <v>4008</v>
      </c>
      <c r="AN46" s="1563" t="s">
        <v>3664</v>
      </c>
      <c r="AO46" s="1563" t="s">
        <v>2393</v>
      </c>
      <c r="AP46" s="1563" t="s">
        <v>9492</v>
      </c>
      <c r="AQ46" s="1563" t="s">
        <v>4349</v>
      </c>
      <c r="AR46" s="1563" t="s">
        <v>7662</v>
      </c>
      <c r="AS46" s="1563" t="s">
        <v>6405</v>
      </c>
      <c r="AT46" s="1557" t="s">
        <v>9493</v>
      </c>
      <c r="AU46" s="1661" t="s">
        <v>9494</v>
      </c>
      <c r="AV46" s="1513" t="str">
        <f t="shared" si="1"/>
        <v>4:25</v>
      </c>
      <c r="AW46" s="1544"/>
    </row>
    <row r="47" ht="15.75" customHeight="1">
      <c r="A47" s="1501" t="s">
        <v>4417</v>
      </c>
      <c r="B47" s="1579" t="s">
        <v>8540</v>
      </c>
      <c r="C47" s="1503">
        <v>0.05100810185185185</v>
      </c>
      <c r="D47" s="1317" t="s">
        <v>9495</v>
      </c>
      <c r="E47" s="1555" t="s">
        <v>9496</v>
      </c>
      <c r="F47" s="1555" t="s">
        <v>9497</v>
      </c>
      <c r="G47" s="1584" t="s">
        <v>9498</v>
      </c>
      <c r="H47" s="1646" t="s">
        <v>9499</v>
      </c>
      <c r="I47" s="1646" t="s">
        <v>1414</v>
      </c>
      <c r="J47" s="1557" t="s">
        <v>5112</v>
      </c>
      <c r="K47" s="1557" t="s">
        <v>9230</v>
      </c>
      <c r="L47" s="1557" t="s">
        <v>4393</v>
      </c>
      <c r="M47" s="1557" t="s">
        <v>1455</v>
      </c>
      <c r="N47" s="1557" t="s">
        <v>9500</v>
      </c>
      <c r="O47" s="1557" t="s">
        <v>8690</v>
      </c>
      <c r="P47" s="1557" t="s">
        <v>9501</v>
      </c>
      <c r="Q47" s="1559" t="s">
        <v>9502</v>
      </c>
      <c r="R47" s="1559" t="s">
        <v>3424</v>
      </c>
      <c r="S47" s="1559" t="s">
        <v>7059</v>
      </c>
      <c r="T47" s="1559" t="s">
        <v>9503</v>
      </c>
      <c r="U47" s="1559" t="s">
        <v>9504</v>
      </c>
      <c r="V47" s="1587" t="s">
        <v>1368</v>
      </c>
      <c r="W47" s="1560" t="s">
        <v>9505</v>
      </c>
      <c r="X47" s="1560" t="s">
        <v>9286</v>
      </c>
      <c r="Y47" s="1560" t="s">
        <v>3900</v>
      </c>
      <c r="Z47" s="1560" t="s">
        <v>7638</v>
      </c>
      <c r="AA47" s="1560" t="s">
        <v>1027</v>
      </c>
      <c r="AB47" s="1560" t="s">
        <v>3960</v>
      </c>
      <c r="AC47" s="1588" t="s">
        <v>6639</v>
      </c>
      <c r="AD47" s="1555" t="s">
        <v>9506</v>
      </c>
      <c r="AE47" s="1584" t="s">
        <v>4906</v>
      </c>
      <c r="AF47" s="1561" t="s">
        <v>9507</v>
      </c>
      <c r="AG47" s="1561" t="s">
        <v>9508</v>
      </c>
      <c r="AH47" s="1561" t="s">
        <v>9509</v>
      </c>
      <c r="AI47" s="1561" t="s">
        <v>8911</v>
      </c>
      <c r="AJ47" s="1561" t="s">
        <v>9510</v>
      </c>
      <c r="AK47" s="1561" t="s">
        <v>9511</v>
      </c>
      <c r="AL47" s="1561" t="s">
        <v>4509</v>
      </c>
      <c r="AM47" s="1563" t="s">
        <v>9025</v>
      </c>
      <c r="AN47" s="1563" t="s">
        <v>3399</v>
      </c>
      <c r="AO47" s="1563" t="s">
        <v>9512</v>
      </c>
      <c r="AP47" s="1563" t="s">
        <v>9513</v>
      </c>
      <c r="AQ47" s="1563" t="s">
        <v>4349</v>
      </c>
      <c r="AR47" s="1563" t="s">
        <v>9514</v>
      </c>
      <c r="AS47" s="1563" t="s">
        <v>4531</v>
      </c>
      <c r="AT47" s="1557" t="s">
        <v>9515</v>
      </c>
      <c r="AU47" s="1543" t="s">
        <v>9516</v>
      </c>
      <c r="AV47" s="1513" t="str">
        <f t="shared" si="1"/>
        <v>3:17</v>
      </c>
      <c r="AW47" s="1549" t="s">
        <v>9517</v>
      </c>
    </row>
    <row r="48" ht="15.75" customHeight="1">
      <c r="A48" s="1550" t="s">
        <v>986</v>
      </c>
      <c r="B48" s="1548" t="s">
        <v>8540</v>
      </c>
      <c r="C48" s="1503">
        <v>0.05112268518518519</v>
      </c>
      <c r="D48" s="1555" t="s">
        <v>9518</v>
      </c>
      <c r="E48" s="1555" t="s">
        <v>4635</v>
      </c>
      <c r="F48" s="1555" t="s">
        <v>9519</v>
      </c>
      <c r="G48" s="1555" t="s">
        <v>9520</v>
      </c>
      <c r="H48" s="1317" t="s">
        <v>9521</v>
      </c>
      <c r="I48" s="1646" t="s">
        <v>5268</v>
      </c>
      <c r="J48" s="1557" t="s">
        <v>4011</v>
      </c>
      <c r="K48" s="1557" t="s">
        <v>9522</v>
      </c>
      <c r="L48" s="1505" t="s">
        <v>3548</v>
      </c>
      <c r="M48" s="1557" t="s">
        <v>4448</v>
      </c>
      <c r="N48" s="1557" t="s">
        <v>9263</v>
      </c>
      <c r="O48" s="1557" t="s">
        <v>9523</v>
      </c>
      <c r="P48" s="1557" t="s">
        <v>1530</v>
      </c>
      <c r="Q48" s="1559" t="s">
        <v>9524</v>
      </c>
      <c r="R48" s="1662" t="s">
        <v>6066</v>
      </c>
      <c r="S48" s="1559" t="s">
        <v>414</v>
      </c>
      <c r="T48" s="1559" t="s">
        <v>9525</v>
      </c>
      <c r="U48" s="1559" t="s">
        <v>9526</v>
      </c>
      <c r="V48" s="1559" t="s">
        <v>9527</v>
      </c>
      <c r="W48" s="1560" t="s">
        <v>9528</v>
      </c>
      <c r="X48" s="1560" t="s">
        <v>9529</v>
      </c>
      <c r="Y48" s="1663" t="s">
        <v>904</v>
      </c>
      <c r="Z48" s="1560" t="s">
        <v>9530</v>
      </c>
      <c r="AA48" s="1515" t="s">
        <v>9531</v>
      </c>
      <c r="AB48" s="1560" t="s">
        <v>2784</v>
      </c>
      <c r="AC48" s="1664" t="s">
        <v>5029</v>
      </c>
      <c r="AD48" s="1555" t="s">
        <v>9532</v>
      </c>
      <c r="AE48" s="1555" t="s">
        <v>8587</v>
      </c>
      <c r="AF48" s="1561" t="s">
        <v>8708</v>
      </c>
      <c r="AG48" s="1561" t="s">
        <v>271</v>
      </c>
      <c r="AH48" s="1561" t="s">
        <v>463</v>
      </c>
      <c r="AI48" s="1561" t="s">
        <v>9533</v>
      </c>
      <c r="AJ48" s="1561" t="s">
        <v>9534</v>
      </c>
      <c r="AK48" s="1561" t="s">
        <v>4132</v>
      </c>
      <c r="AL48" s="1561" t="s">
        <v>9535</v>
      </c>
      <c r="AM48" s="1563" t="s">
        <v>9536</v>
      </c>
      <c r="AN48" s="1577" t="s">
        <v>3240</v>
      </c>
      <c r="AO48" s="1563" t="s">
        <v>7065</v>
      </c>
      <c r="AP48" s="1563" t="s">
        <v>9537</v>
      </c>
      <c r="AQ48" s="1563" t="s">
        <v>9538</v>
      </c>
      <c r="AR48" s="1563" t="s">
        <v>9539</v>
      </c>
      <c r="AS48" s="1563" t="s">
        <v>8467</v>
      </c>
      <c r="AT48" s="1557" t="s">
        <v>9540</v>
      </c>
      <c r="AU48" s="1543" t="s">
        <v>9541</v>
      </c>
      <c r="AV48" s="1513" t="str">
        <f t="shared" si="1"/>
        <v>4:57</v>
      </c>
      <c r="AW48" s="1648"/>
    </row>
    <row r="49">
      <c r="A49" s="1550" t="s">
        <v>2367</v>
      </c>
      <c r="B49" s="1545" t="s">
        <v>8540</v>
      </c>
      <c r="C49" s="1503">
        <v>0.05112268518518519</v>
      </c>
      <c r="D49" s="1515" t="s">
        <v>9542</v>
      </c>
      <c r="E49" s="1515" t="s">
        <v>4497</v>
      </c>
      <c r="F49" s="1515" t="s">
        <v>6068</v>
      </c>
      <c r="G49" s="1637" t="s">
        <v>8543</v>
      </c>
      <c r="H49" s="1317" t="s">
        <v>9543</v>
      </c>
      <c r="I49" s="1515" t="s">
        <v>766</v>
      </c>
      <c r="J49" s="1515" t="s">
        <v>6493</v>
      </c>
      <c r="K49" s="1515" t="s">
        <v>2491</v>
      </c>
      <c r="L49" s="1515" t="s">
        <v>1368</v>
      </c>
      <c r="M49" s="1515" t="s">
        <v>9544</v>
      </c>
      <c r="N49" s="1515" t="s">
        <v>9013</v>
      </c>
      <c r="O49" s="1515" t="s">
        <v>9545</v>
      </c>
      <c r="P49" s="1515" t="s">
        <v>3533</v>
      </c>
      <c r="Q49" s="1515" t="s">
        <v>9546</v>
      </c>
      <c r="R49" s="1515" t="s">
        <v>9547</v>
      </c>
      <c r="S49" s="1515" t="s">
        <v>3741</v>
      </c>
      <c r="T49" s="1515" t="s">
        <v>7843</v>
      </c>
      <c r="U49" s="1559" t="s">
        <v>8936</v>
      </c>
      <c r="V49" s="1515" t="s">
        <v>9548</v>
      </c>
      <c r="W49" s="1515" t="s">
        <v>9549</v>
      </c>
      <c r="X49" s="1515" t="s">
        <v>1490</v>
      </c>
      <c r="Y49" s="1515" t="s">
        <v>7026</v>
      </c>
      <c r="Z49" s="1515" t="s">
        <v>8757</v>
      </c>
      <c r="AA49" s="1560" t="s">
        <v>612</v>
      </c>
      <c r="AB49" s="1515" t="s">
        <v>9550</v>
      </c>
      <c r="AC49" s="1515" t="s">
        <v>5218</v>
      </c>
      <c r="AD49" s="1515" t="s">
        <v>9551</v>
      </c>
      <c r="AE49" s="1515" t="s">
        <v>3533</v>
      </c>
      <c r="AF49" s="1515" t="s">
        <v>9552</v>
      </c>
      <c r="AG49" s="1515" t="s">
        <v>9553</v>
      </c>
      <c r="AH49" s="1515" t="s">
        <v>2515</v>
      </c>
      <c r="AI49" s="1515" t="s">
        <v>5963</v>
      </c>
      <c r="AJ49" s="1515" t="s">
        <v>9554</v>
      </c>
      <c r="AK49" s="1515" t="s">
        <v>9051</v>
      </c>
      <c r="AL49" s="1515" t="s">
        <v>9555</v>
      </c>
      <c r="AM49" s="1515" t="s">
        <v>2632</v>
      </c>
      <c r="AN49" s="1515" t="s">
        <v>9556</v>
      </c>
      <c r="AO49" s="1515" t="s">
        <v>8663</v>
      </c>
      <c r="AP49" s="1515" t="s">
        <v>9557</v>
      </c>
      <c r="AQ49" s="1515" t="s">
        <v>9558</v>
      </c>
      <c r="AR49" s="1515" t="s">
        <v>2210</v>
      </c>
      <c r="AS49" s="1515" t="s">
        <v>7020</v>
      </c>
      <c r="AT49" s="1515" t="s">
        <v>9559</v>
      </c>
      <c r="AU49" s="1515" t="s">
        <v>9560</v>
      </c>
      <c r="AV49" s="1513" t="str">
        <f t="shared" si="1"/>
        <v>3:15</v>
      </c>
      <c r="AW49" s="1665"/>
    </row>
    <row r="50" ht="15.75" customHeight="1">
      <c r="A50" s="1501" t="s">
        <v>9561</v>
      </c>
      <c r="B50" s="1666" t="s">
        <v>8509</v>
      </c>
      <c r="C50" s="1503">
        <v>0.051180555555555556</v>
      </c>
      <c r="D50" s="1317" t="s">
        <v>9562</v>
      </c>
      <c r="E50" s="1515" t="s">
        <v>9563</v>
      </c>
      <c r="F50" s="1515" t="s">
        <v>4134</v>
      </c>
      <c r="G50" s="1515" t="s">
        <v>8211</v>
      </c>
      <c r="H50" s="1515" t="s">
        <v>9564</v>
      </c>
      <c r="I50" s="1515" t="s">
        <v>160</v>
      </c>
      <c r="J50" s="1515" t="s">
        <v>973</v>
      </c>
      <c r="K50" s="1515" t="s">
        <v>9106</v>
      </c>
      <c r="L50" s="1515" t="s">
        <v>8697</v>
      </c>
      <c r="M50" s="1515" t="s">
        <v>5795</v>
      </c>
      <c r="N50" s="1515" t="s">
        <v>9565</v>
      </c>
      <c r="O50" s="1515" t="s">
        <v>9566</v>
      </c>
      <c r="P50" s="1515" t="s">
        <v>5496</v>
      </c>
      <c r="Q50" s="1515" t="s">
        <v>7263</v>
      </c>
      <c r="R50" s="1515" t="s">
        <v>9567</v>
      </c>
      <c r="S50" s="1515" t="s">
        <v>8409</v>
      </c>
      <c r="T50" s="1513" t="s">
        <v>4180</v>
      </c>
      <c r="U50" s="1513" t="s">
        <v>9568</v>
      </c>
      <c r="V50" s="1515" t="s">
        <v>1892</v>
      </c>
      <c r="W50" s="1515" t="s">
        <v>9569</v>
      </c>
      <c r="X50" s="1515" t="s">
        <v>9570</v>
      </c>
      <c r="Y50" s="1515" t="s">
        <v>8972</v>
      </c>
      <c r="Z50" s="1515" t="s">
        <v>9571</v>
      </c>
      <c r="AA50" s="1515" t="s">
        <v>9572</v>
      </c>
      <c r="AB50" s="1515" t="s">
        <v>9573</v>
      </c>
      <c r="AC50" s="1515" t="s">
        <v>935</v>
      </c>
      <c r="AD50" s="1515" t="s">
        <v>9506</v>
      </c>
      <c r="AE50" s="1515" t="s">
        <v>3237</v>
      </c>
      <c r="AF50" s="1513" t="s">
        <v>9574</v>
      </c>
      <c r="AG50" s="1515" t="s">
        <v>385</v>
      </c>
      <c r="AH50" s="1515" t="s">
        <v>9575</v>
      </c>
      <c r="AI50" s="1515" t="s">
        <v>9576</v>
      </c>
      <c r="AJ50" s="1515" t="s">
        <v>9577</v>
      </c>
      <c r="AK50" s="1515" t="s">
        <v>9578</v>
      </c>
      <c r="AL50" s="1515" t="s">
        <v>9579</v>
      </c>
      <c r="AM50" s="1515" t="s">
        <v>7367</v>
      </c>
      <c r="AN50" s="1515" t="s">
        <v>9194</v>
      </c>
      <c r="AO50" s="1527" t="str">
        <f>HYPERLINK("https://clips.twitch.tv/AltruisticEmpathicManateeDoritosChip","1:20.90")</f>
        <v>1:20.90</v>
      </c>
      <c r="AP50" s="1515" t="s">
        <v>9580</v>
      </c>
      <c r="AQ50" s="1515" t="s">
        <v>9581</v>
      </c>
      <c r="AR50" s="1515" t="s">
        <v>9582</v>
      </c>
      <c r="AS50" s="1515" t="s">
        <v>9160</v>
      </c>
      <c r="AT50" s="1515" t="s">
        <v>9583</v>
      </c>
      <c r="AU50" s="1515" t="s">
        <v>9584</v>
      </c>
      <c r="AV50" s="1513" t="str">
        <f t="shared" si="1"/>
        <v>2:40</v>
      </c>
      <c r="AW50" s="1594" t="s">
        <v>9585</v>
      </c>
    </row>
    <row r="51" ht="15.75" customHeight="1">
      <c r="A51" s="1550" t="s">
        <v>3709</v>
      </c>
      <c r="B51" s="1657" t="s">
        <v>8509</v>
      </c>
      <c r="C51" s="1667">
        <v>0.05123738425925926</v>
      </c>
      <c r="D51" s="1555" t="s">
        <v>9586</v>
      </c>
      <c r="E51" s="1555" t="s">
        <v>3920</v>
      </c>
      <c r="F51" s="1555" t="s">
        <v>9587</v>
      </c>
      <c r="G51" s="1555" t="s">
        <v>8992</v>
      </c>
      <c r="H51" s="1646" t="s">
        <v>9588</v>
      </c>
      <c r="I51" s="1646" t="s">
        <v>9254</v>
      </c>
      <c r="J51" s="1557" t="s">
        <v>9230</v>
      </c>
      <c r="K51" s="1557" t="s">
        <v>7052</v>
      </c>
      <c r="L51" s="1557" t="s">
        <v>9589</v>
      </c>
      <c r="M51" s="1557" t="s">
        <v>8948</v>
      </c>
      <c r="N51" s="1668" t="s">
        <v>1163</v>
      </c>
      <c r="O51" s="1557" t="s">
        <v>3488</v>
      </c>
      <c r="P51" s="1557" t="s">
        <v>8648</v>
      </c>
      <c r="Q51" s="1559" t="s">
        <v>9590</v>
      </c>
      <c r="R51" s="1559" t="s">
        <v>9190</v>
      </c>
      <c r="S51" s="1559" t="s">
        <v>9591</v>
      </c>
      <c r="T51" s="1559" t="s">
        <v>9592</v>
      </c>
      <c r="U51" s="1559" t="s">
        <v>9593</v>
      </c>
      <c r="V51" s="1559" t="s">
        <v>4206</v>
      </c>
      <c r="W51" s="1560" t="s">
        <v>9594</v>
      </c>
      <c r="X51" s="1560" t="s">
        <v>9595</v>
      </c>
      <c r="Y51" s="1560" t="s">
        <v>9596</v>
      </c>
      <c r="Z51" s="1560" t="s">
        <v>1356</v>
      </c>
      <c r="AA51" s="1560" t="s">
        <v>8911</v>
      </c>
      <c r="AB51" s="1560" t="s">
        <v>9339</v>
      </c>
      <c r="AC51" s="1560" t="s">
        <v>482</v>
      </c>
      <c r="AD51" s="1555" t="s">
        <v>9597</v>
      </c>
      <c r="AE51" s="1555" t="s">
        <v>6223</v>
      </c>
      <c r="AF51" s="1561" t="s">
        <v>9598</v>
      </c>
      <c r="AG51" s="1561" t="s">
        <v>9599</v>
      </c>
      <c r="AH51" s="1561" t="s">
        <v>9600</v>
      </c>
      <c r="AI51" s="1561" t="s">
        <v>310</v>
      </c>
      <c r="AJ51" s="1561" t="s">
        <v>9601</v>
      </c>
      <c r="AK51" s="1507" t="s">
        <v>9093</v>
      </c>
      <c r="AL51" s="1561" t="s">
        <v>9003</v>
      </c>
      <c r="AM51" s="1563" t="s">
        <v>9602</v>
      </c>
      <c r="AN51" s="1563" t="s">
        <v>569</v>
      </c>
      <c r="AO51" s="1563" t="s">
        <v>9603</v>
      </c>
      <c r="AP51" s="1563" t="s">
        <v>9604</v>
      </c>
      <c r="AQ51" s="1317" t="s">
        <v>9605</v>
      </c>
      <c r="AR51" s="1669" t="s">
        <v>9606</v>
      </c>
      <c r="AS51" s="1563" t="s">
        <v>9607</v>
      </c>
      <c r="AT51" s="1557" t="s">
        <v>9608</v>
      </c>
      <c r="AU51" s="1543" t="s">
        <v>9609</v>
      </c>
      <c r="AV51" s="1513" t="str">
        <f t="shared" si="1"/>
        <v>4:25</v>
      </c>
      <c r="AW51" s="1549" t="s">
        <v>9610</v>
      </c>
    </row>
    <row r="52" ht="15.75" customHeight="1">
      <c r="A52" s="1550" t="s">
        <v>1635</v>
      </c>
      <c r="B52" s="1670" t="s">
        <v>8566</v>
      </c>
      <c r="C52" s="1649">
        <v>0.051319444444444445</v>
      </c>
      <c r="D52" s="1317" t="s">
        <v>9611</v>
      </c>
      <c r="E52" s="1513" t="s">
        <v>9612</v>
      </c>
      <c r="F52" s="1513" t="s">
        <v>9613</v>
      </c>
      <c r="G52" s="1513" t="s">
        <v>9614</v>
      </c>
      <c r="H52" s="1513" t="s">
        <v>5043</v>
      </c>
      <c r="I52" s="1513" t="s">
        <v>6416</v>
      </c>
      <c r="J52" s="1513" t="s">
        <v>9615</v>
      </c>
      <c r="K52" s="1513" t="s">
        <v>8669</v>
      </c>
      <c r="L52" s="1513" t="s">
        <v>3829</v>
      </c>
      <c r="M52" s="1513" t="s">
        <v>9385</v>
      </c>
      <c r="N52" s="1513" t="s">
        <v>9173</v>
      </c>
      <c r="O52" s="1513" t="s">
        <v>9616</v>
      </c>
      <c r="P52" s="1671" t="s">
        <v>8575</v>
      </c>
      <c r="Q52" s="1513" t="s">
        <v>9617</v>
      </c>
      <c r="R52" s="1513" t="s">
        <v>5784</v>
      </c>
      <c r="S52" s="1513" t="s">
        <v>1161</v>
      </c>
      <c r="T52" s="1513" t="s">
        <v>9618</v>
      </c>
      <c r="U52" s="1513" t="s">
        <v>1009</v>
      </c>
      <c r="V52" s="1513" t="s">
        <v>451</v>
      </c>
      <c r="W52" s="1513" t="s">
        <v>9619</v>
      </c>
      <c r="X52" s="1513" t="s">
        <v>307</v>
      </c>
      <c r="Y52" s="1513" t="s">
        <v>9620</v>
      </c>
      <c r="Z52" s="1513" t="s">
        <v>7372</v>
      </c>
      <c r="AA52" s="1513" t="s">
        <v>6012</v>
      </c>
      <c r="AB52" s="1513" t="s">
        <v>4432</v>
      </c>
      <c r="AC52" s="1513" t="s">
        <v>6057</v>
      </c>
      <c r="AD52" s="1513" t="s">
        <v>9621</v>
      </c>
      <c r="AE52" s="1671" t="s">
        <v>8587</v>
      </c>
      <c r="AF52" s="1671" t="s">
        <v>2671</v>
      </c>
      <c r="AG52" s="1513" t="s">
        <v>4571</v>
      </c>
      <c r="AH52" s="1513" t="s">
        <v>9622</v>
      </c>
      <c r="AI52" s="1513" t="s">
        <v>9623</v>
      </c>
      <c r="AJ52" s="1513" t="s">
        <v>9624</v>
      </c>
      <c r="AK52" s="1513" t="s">
        <v>5930</v>
      </c>
      <c r="AL52" s="1513" t="s">
        <v>6140</v>
      </c>
      <c r="AM52" s="1671" t="s">
        <v>8591</v>
      </c>
      <c r="AN52" s="1515" t="s">
        <v>2465</v>
      </c>
      <c r="AO52" s="1513" t="s">
        <v>4903</v>
      </c>
      <c r="AP52" s="1513" t="s">
        <v>9625</v>
      </c>
      <c r="AQ52" s="1513" t="s">
        <v>9626</v>
      </c>
      <c r="AR52" s="1513" t="s">
        <v>7057</v>
      </c>
      <c r="AS52" s="1513" t="s">
        <v>4437</v>
      </c>
      <c r="AT52" s="1513" t="s">
        <v>9627</v>
      </c>
      <c r="AU52" s="1513" t="s">
        <v>9628</v>
      </c>
      <c r="AV52" s="1513" t="str">
        <f t="shared" si="1"/>
        <v>3:15</v>
      </c>
      <c r="AW52" s="1594" t="s">
        <v>9629</v>
      </c>
    </row>
    <row r="53">
      <c r="A53" s="1550" t="s">
        <v>1874</v>
      </c>
      <c r="B53" s="1548" t="s">
        <v>8509</v>
      </c>
      <c r="C53" s="1503">
        <v>0.05133101851851852</v>
      </c>
      <c r="D53" s="1656" t="s">
        <v>9630</v>
      </c>
      <c r="E53" s="1555" t="s">
        <v>9631</v>
      </c>
      <c r="F53" s="1555" t="s">
        <v>9632</v>
      </c>
      <c r="G53" s="1555" t="s">
        <v>9633</v>
      </c>
      <c r="H53" s="1646" t="s">
        <v>9634</v>
      </c>
      <c r="I53" s="1646" t="s">
        <v>3006</v>
      </c>
      <c r="J53" s="1557" t="s">
        <v>1861</v>
      </c>
      <c r="K53" s="1557" t="s">
        <v>9635</v>
      </c>
      <c r="L53" s="1557" t="s">
        <v>4168</v>
      </c>
      <c r="M53" s="1557" t="s">
        <v>9636</v>
      </c>
      <c r="N53" s="1557" t="s">
        <v>8764</v>
      </c>
      <c r="O53" s="1557" t="s">
        <v>9637</v>
      </c>
      <c r="P53" s="1557" t="s">
        <v>8694</v>
      </c>
      <c r="Q53" s="1559" t="s">
        <v>9638</v>
      </c>
      <c r="R53" s="1559" t="s">
        <v>9429</v>
      </c>
      <c r="S53" s="1559" t="s">
        <v>9639</v>
      </c>
      <c r="T53" s="1559" t="s">
        <v>9434</v>
      </c>
      <c r="U53" s="1559" t="s">
        <v>9640</v>
      </c>
      <c r="V53" s="1559" t="s">
        <v>9209</v>
      </c>
      <c r="W53" s="1560" t="s">
        <v>9641</v>
      </c>
      <c r="X53" s="1560" t="s">
        <v>9642</v>
      </c>
      <c r="Y53" s="1560" t="s">
        <v>5465</v>
      </c>
      <c r="Z53" s="1560" t="s">
        <v>1506</v>
      </c>
      <c r="AA53" s="1560" t="s">
        <v>9643</v>
      </c>
      <c r="AB53" s="1560" t="s">
        <v>6211</v>
      </c>
      <c r="AC53" s="1560" t="s">
        <v>260</v>
      </c>
      <c r="AD53" s="1555" t="s">
        <v>8980</v>
      </c>
      <c r="AE53" s="1555" t="s">
        <v>5465</v>
      </c>
      <c r="AF53" s="1561" t="s">
        <v>9644</v>
      </c>
      <c r="AG53" s="1561" t="s">
        <v>5708</v>
      </c>
      <c r="AH53" s="1561" t="s">
        <v>3997</v>
      </c>
      <c r="AI53" s="1561" t="s">
        <v>9645</v>
      </c>
      <c r="AJ53" s="1561" t="s">
        <v>9646</v>
      </c>
      <c r="AK53" s="1561" t="s">
        <v>9570</v>
      </c>
      <c r="AL53" s="1561" t="s">
        <v>4000</v>
      </c>
      <c r="AM53" s="1563" t="s">
        <v>9647</v>
      </c>
      <c r="AN53" s="1563" t="s">
        <v>4006</v>
      </c>
      <c r="AO53" s="1563" t="s">
        <v>9648</v>
      </c>
      <c r="AP53" s="1563" t="s">
        <v>9649</v>
      </c>
      <c r="AQ53" s="1563" t="s">
        <v>9246</v>
      </c>
      <c r="AR53" s="1563" t="s">
        <v>9650</v>
      </c>
      <c r="AS53" s="1563" t="s">
        <v>9651</v>
      </c>
      <c r="AT53" s="1557" t="s">
        <v>9652</v>
      </c>
      <c r="AU53" s="1543" t="s">
        <v>9653</v>
      </c>
      <c r="AV53" s="1513" t="str">
        <f t="shared" si="1"/>
        <v>1:34</v>
      </c>
      <c r="AW53" s="1648"/>
    </row>
    <row r="54">
      <c r="A54" s="1550" t="s">
        <v>2921</v>
      </c>
      <c r="B54" s="1548" t="s">
        <v>8509</v>
      </c>
      <c r="C54" s="1503">
        <v>0.05134259259259259</v>
      </c>
      <c r="D54" s="1555" t="s">
        <v>9654</v>
      </c>
      <c r="E54" s="1555" t="s">
        <v>6413</v>
      </c>
      <c r="F54" s="1555" t="s">
        <v>9655</v>
      </c>
      <c r="G54" s="1555" t="s">
        <v>9656</v>
      </c>
      <c r="H54" s="1555" t="s">
        <v>9657</v>
      </c>
      <c r="I54" s="1555" t="s">
        <v>1293</v>
      </c>
      <c r="J54" s="1557" t="s">
        <v>4982</v>
      </c>
      <c r="K54" s="1557" t="s">
        <v>7258</v>
      </c>
      <c r="L54" s="1557" t="s">
        <v>4818</v>
      </c>
      <c r="M54" s="1557" t="s">
        <v>3540</v>
      </c>
      <c r="N54" s="1557" t="s">
        <v>2002</v>
      </c>
      <c r="O54" s="1557" t="s">
        <v>9658</v>
      </c>
      <c r="P54" s="1557" t="s">
        <v>4529</v>
      </c>
      <c r="Q54" s="1559" t="s">
        <v>9659</v>
      </c>
      <c r="R54" s="1559" t="s">
        <v>2553</v>
      </c>
      <c r="S54" s="1559" t="s">
        <v>9660</v>
      </c>
      <c r="T54" s="1559" t="s">
        <v>9661</v>
      </c>
      <c r="U54" s="1559" t="s">
        <v>9526</v>
      </c>
      <c r="V54" s="1559" t="s">
        <v>8809</v>
      </c>
      <c r="W54" s="1560" t="s">
        <v>9662</v>
      </c>
      <c r="X54" s="1560" t="s">
        <v>8588</v>
      </c>
      <c r="Y54" s="1560" t="s">
        <v>9258</v>
      </c>
      <c r="Z54" s="1560" t="s">
        <v>2967</v>
      </c>
      <c r="AA54" s="1515" t="s">
        <v>590</v>
      </c>
      <c r="AB54" s="1560" t="s">
        <v>8891</v>
      </c>
      <c r="AC54" s="1560" t="s">
        <v>9132</v>
      </c>
      <c r="AD54" s="1555" t="s">
        <v>9663</v>
      </c>
      <c r="AE54" s="1555" t="s">
        <v>9664</v>
      </c>
      <c r="AF54" s="1561" t="s">
        <v>9665</v>
      </c>
      <c r="AG54" s="1561" t="s">
        <v>9666</v>
      </c>
      <c r="AH54" s="1561" t="s">
        <v>1899</v>
      </c>
      <c r="AI54" s="1561" t="s">
        <v>418</v>
      </c>
      <c r="AJ54" s="1561" t="s">
        <v>9667</v>
      </c>
      <c r="AK54" s="1561" t="s">
        <v>9668</v>
      </c>
      <c r="AL54" s="1561" t="s">
        <v>5605</v>
      </c>
      <c r="AM54" s="1563" t="s">
        <v>9669</v>
      </c>
      <c r="AN54" s="1563" t="s">
        <v>6367</v>
      </c>
      <c r="AO54" s="1563" t="s">
        <v>9670</v>
      </c>
      <c r="AP54" s="1563" t="s">
        <v>9671</v>
      </c>
      <c r="AQ54" s="1563" t="s">
        <v>9246</v>
      </c>
      <c r="AR54" s="1563" t="s">
        <v>9672</v>
      </c>
      <c r="AS54" s="1563" t="s">
        <v>1898</v>
      </c>
      <c r="AT54" s="1557" t="s">
        <v>9673</v>
      </c>
      <c r="AU54" s="1543" t="s">
        <v>9560</v>
      </c>
      <c r="AV54" s="1513" t="str">
        <f t="shared" si="1"/>
        <v>2:56</v>
      </c>
      <c r="AW54" s="1549" t="s">
        <v>9674</v>
      </c>
    </row>
    <row r="55" ht="15.75" customHeight="1">
      <c r="A55" s="1517" t="s">
        <v>1419</v>
      </c>
      <c r="B55" s="1670" t="s">
        <v>8566</v>
      </c>
      <c r="C55" s="1649">
        <v>0.05134259259259259</v>
      </c>
      <c r="D55" s="1317" t="s">
        <v>9675</v>
      </c>
      <c r="E55" s="1584" t="s">
        <v>9676</v>
      </c>
      <c r="F55" s="1584" t="s">
        <v>9655</v>
      </c>
      <c r="G55" s="1584" t="s">
        <v>9677</v>
      </c>
      <c r="H55" s="1556" t="s">
        <v>9678</v>
      </c>
      <c r="I55" s="1672" t="s">
        <v>348</v>
      </c>
      <c r="J55" s="1586" t="s">
        <v>9679</v>
      </c>
      <c r="K55" s="1586" t="s">
        <v>3847</v>
      </c>
      <c r="L55" s="1673" t="s">
        <v>3770</v>
      </c>
      <c r="M55" s="1586" t="s">
        <v>5575</v>
      </c>
      <c r="N55" s="1586" t="s">
        <v>9680</v>
      </c>
      <c r="O55" s="1673" t="s">
        <v>8574</v>
      </c>
      <c r="P55" s="1586" t="s">
        <v>386</v>
      </c>
      <c r="Q55" s="1587" t="s">
        <v>9681</v>
      </c>
      <c r="R55" s="1587" t="s">
        <v>1626</v>
      </c>
      <c r="S55" s="1587" t="s">
        <v>9682</v>
      </c>
      <c r="T55" s="1674" t="s">
        <v>8578</v>
      </c>
      <c r="U55" s="1587" t="s">
        <v>9683</v>
      </c>
      <c r="V55" s="1587" t="s">
        <v>3999</v>
      </c>
      <c r="W55" s="1675" t="s">
        <v>8581</v>
      </c>
      <c r="X55" s="1588" t="s">
        <v>4288</v>
      </c>
      <c r="Y55" s="1588" t="s">
        <v>6416</v>
      </c>
      <c r="Z55" s="1588" t="s">
        <v>7629</v>
      </c>
      <c r="AA55" s="1588" t="s">
        <v>9093</v>
      </c>
      <c r="AB55" s="1675" t="s">
        <v>8585</v>
      </c>
      <c r="AC55" s="1588" t="s">
        <v>6504</v>
      </c>
      <c r="AD55" s="1563" t="s">
        <v>9684</v>
      </c>
      <c r="AE55" s="1584" t="s">
        <v>9685</v>
      </c>
      <c r="AF55" s="1589" t="s">
        <v>9686</v>
      </c>
      <c r="AG55" s="1589" t="s">
        <v>9687</v>
      </c>
      <c r="AH55" s="1589" t="s">
        <v>9688</v>
      </c>
      <c r="AI55" s="1589" t="s">
        <v>9689</v>
      </c>
      <c r="AJ55" s="1589" t="s">
        <v>9690</v>
      </c>
      <c r="AK55" s="1676" t="s">
        <v>972</v>
      </c>
      <c r="AL55" s="1589" t="s">
        <v>1570</v>
      </c>
      <c r="AM55" s="1562" t="s">
        <v>9553</v>
      </c>
      <c r="AN55" s="1563" t="s">
        <v>4106</v>
      </c>
      <c r="AO55" s="1562" t="s">
        <v>9691</v>
      </c>
      <c r="AP55" s="1562" t="s">
        <v>9692</v>
      </c>
      <c r="AQ55" s="1562" t="s">
        <v>9693</v>
      </c>
      <c r="AR55" s="1562" t="s">
        <v>8602</v>
      </c>
      <c r="AS55" s="1562" t="s">
        <v>4618</v>
      </c>
      <c r="AT55" s="1586" t="s">
        <v>9694</v>
      </c>
      <c r="AU55" s="1590" t="s">
        <v>9695</v>
      </c>
      <c r="AV55" s="1513" t="str">
        <f t="shared" si="1"/>
        <v>1:58</v>
      </c>
      <c r="AW55" s="1648"/>
    </row>
    <row r="56" ht="15.75" customHeight="1">
      <c r="A56" s="1501" t="s">
        <v>3365</v>
      </c>
      <c r="B56" s="1502" t="s">
        <v>8509</v>
      </c>
      <c r="C56" s="1649">
        <v>0.05134259259259259</v>
      </c>
      <c r="D56" s="1317" t="s">
        <v>9696</v>
      </c>
      <c r="E56" s="1513" t="s">
        <v>9697</v>
      </c>
      <c r="F56" s="1513" t="s">
        <v>9698</v>
      </c>
      <c r="G56" s="1513" t="s">
        <v>7658</v>
      </c>
      <c r="H56" s="1513" t="s">
        <v>8753</v>
      </c>
      <c r="I56" s="1513" t="s">
        <v>6143</v>
      </c>
      <c r="J56" s="1513" t="s">
        <v>9699</v>
      </c>
      <c r="K56" s="1513" t="s">
        <v>3857</v>
      </c>
      <c r="L56" s="1513" t="s">
        <v>9700</v>
      </c>
      <c r="M56" s="1513" t="s">
        <v>9701</v>
      </c>
      <c r="N56" s="1513" t="s">
        <v>2749</v>
      </c>
      <c r="O56" s="1513" t="s">
        <v>9702</v>
      </c>
      <c r="P56" s="1513" t="s">
        <v>1086</v>
      </c>
      <c r="Q56" s="1513" t="s">
        <v>2456</v>
      </c>
      <c r="R56" s="1513" t="s">
        <v>9429</v>
      </c>
      <c r="S56" s="1513" t="s">
        <v>9296</v>
      </c>
      <c r="T56" s="1513" t="s">
        <v>9703</v>
      </c>
      <c r="U56" s="1513" t="s">
        <v>9704</v>
      </c>
      <c r="V56" s="1513" t="s">
        <v>4104</v>
      </c>
      <c r="W56" s="1513" t="s">
        <v>9705</v>
      </c>
      <c r="X56" s="1513" t="s">
        <v>9706</v>
      </c>
      <c r="Y56" s="1513" t="s">
        <v>386</v>
      </c>
      <c r="Z56" s="1513" t="s">
        <v>7059</v>
      </c>
      <c r="AA56" s="1513" t="s">
        <v>9241</v>
      </c>
      <c r="AB56" s="1513" t="s">
        <v>8630</v>
      </c>
      <c r="AC56" s="1513" t="s">
        <v>935</v>
      </c>
      <c r="AD56" s="1513" t="s">
        <v>9707</v>
      </c>
      <c r="AE56" s="1513" t="s">
        <v>386</v>
      </c>
      <c r="AF56" s="1513" t="s">
        <v>9708</v>
      </c>
      <c r="AG56" s="1513" t="s">
        <v>9709</v>
      </c>
      <c r="AH56" s="1513" t="s">
        <v>5189</v>
      </c>
      <c r="AI56" s="1513" t="s">
        <v>9710</v>
      </c>
      <c r="AJ56" s="1513" t="s">
        <v>9646</v>
      </c>
      <c r="AK56" s="1513" t="s">
        <v>7394</v>
      </c>
      <c r="AL56" s="1513" t="s">
        <v>3338</v>
      </c>
      <c r="AM56" s="1513" t="s">
        <v>4130</v>
      </c>
      <c r="AN56" s="1513" t="s">
        <v>9711</v>
      </c>
      <c r="AO56" s="1513" t="s">
        <v>6341</v>
      </c>
      <c r="AP56" s="1513" t="s">
        <v>9712</v>
      </c>
      <c r="AQ56" s="1513" t="s">
        <v>9713</v>
      </c>
      <c r="AR56" s="1513" t="s">
        <v>9714</v>
      </c>
      <c r="AS56" s="1562" t="s">
        <v>4409</v>
      </c>
      <c r="AT56" s="1513" t="s">
        <v>9715</v>
      </c>
      <c r="AU56" s="1513" t="s">
        <v>8937</v>
      </c>
      <c r="AV56" s="1513" t="str">
        <f t="shared" si="1"/>
        <v>2:27</v>
      </c>
      <c r="AW56" s="1594"/>
    </row>
    <row r="57" ht="15.75" customHeight="1">
      <c r="A57" s="1550" t="s">
        <v>1351</v>
      </c>
      <c r="B57" s="1545" t="s">
        <v>8566</v>
      </c>
      <c r="C57" s="1503">
        <v>0.05140046296296296</v>
      </c>
      <c r="D57" s="1515" t="s">
        <v>9716</v>
      </c>
      <c r="E57" s="1515" t="s">
        <v>1661</v>
      </c>
      <c r="F57" s="1515" t="s">
        <v>9717</v>
      </c>
      <c r="G57" s="1659" t="s">
        <v>8570</v>
      </c>
      <c r="H57" s="1317" t="s">
        <v>9718</v>
      </c>
      <c r="I57" s="1515" t="s">
        <v>1758</v>
      </c>
      <c r="J57" s="1659" t="s">
        <v>8572</v>
      </c>
      <c r="K57" s="1515" t="s">
        <v>9719</v>
      </c>
      <c r="L57" s="1515" t="s">
        <v>9720</v>
      </c>
      <c r="M57" s="1659" t="s">
        <v>8573</v>
      </c>
      <c r="N57" s="1515" t="s">
        <v>9721</v>
      </c>
      <c r="O57" s="1515" t="s">
        <v>9722</v>
      </c>
      <c r="P57" s="1515" t="s">
        <v>1048</v>
      </c>
      <c r="Q57" s="1515" t="s">
        <v>9524</v>
      </c>
      <c r="R57" s="1515" t="s">
        <v>9723</v>
      </c>
      <c r="S57" s="1515" t="s">
        <v>9724</v>
      </c>
      <c r="T57" s="1515" t="s">
        <v>3239</v>
      </c>
      <c r="U57" s="1515" t="s">
        <v>9444</v>
      </c>
      <c r="V57" s="1515" t="s">
        <v>5745</v>
      </c>
      <c r="W57" s="1515" t="s">
        <v>9725</v>
      </c>
      <c r="X57" s="1515" t="s">
        <v>627</v>
      </c>
      <c r="Y57" s="1515" t="s">
        <v>9726</v>
      </c>
      <c r="Z57" s="1515" t="s">
        <v>9727</v>
      </c>
      <c r="AA57" s="1677" t="s">
        <v>8584</v>
      </c>
      <c r="AB57" s="1515" t="s">
        <v>5898</v>
      </c>
      <c r="AC57" s="1515" t="s">
        <v>9728</v>
      </c>
      <c r="AD57" s="1515" t="s">
        <v>8921</v>
      </c>
      <c r="AE57" s="1515" t="s">
        <v>2559</v>
      </c>
      <c r="AF57" s="1515" t="s">
        <v>9729</v>
      </c>
      <c r="AG57" s="1659" t="s">
        <v>4602</v>
      </c>
      <c r="AH57" s="1659" t="s">
        <v>5199</v>
      </c>
      <c r="AI57" s="1515" t="s">
        <v>9730</v>
      </c>
      <c r="AJ57" s="1515" t="s">
        <v>9731</v>
      </c>
      <c r="AK57" s="1515" t="s">
        <v>7593</v>
      </c>
      <c r="AL57" s="1515" t="s">
        <v>3828</v>
      </c>
      <c r="AM57" s="1515" t="s">
        <v>9732</v>
      </c>
      <c r="AN57" s="1515" t="s">
        <v>3686</v>
      </c>
      <c r="AO57" s="1659" t="s">
        <v>8593</v>
      </c>
      <c r="AP57" s="1678" t="s">
        <v>8594</v>
      </c>
      <c r="AQ57" s="1515" t="s">
        <v>3263</v>
      </c>
      <c r="AR57" s="1515" t="s">
        <v>1622</v>
      </c>
      <c r="AS57" s="1515" t="s">
        <v>5161</v>
      </c>
      <c r="AT57" s="1515" t="s">
        <v>9733</v>
      </c>
      <c r="AU57" s="1515" t="s">
        <v>8937</v>
      </c>
      <c r="AV57" s="1513" t="str">
        <f t="shared" si="1"/>
        <v>2:22</v>
      </c>
      <c r="AW57" s="1546" t="s">
        <v>9734</v>
      </c>
    </row>
    <row r="58" ht="15.75" customHeight="1">
      <c r="A58" s="1550" t="s">
        <v>3983</v>
      </c>
      <c r="B58" s="1548" t="s">
        <v>8509</v>
      </c>
      <c r="C58" s="1503">
        <v>0.05153935185185185</v>
      </c>
      <c r="D58" s="1603" t="s">
        <v>9735</v>
      </c>
      <c r="E58" s="1603" t="s">
        <v>6699</v>
      </c>
      <c r="F58" s="1603" t="s">
        <v>9736</v>
      </c>
      <c r="G58" s="1603" t="s">
        <v>4911</v>
      </c>
      <c r="H58" s="1317" t="s">
        <v>9737</v>
      </c>
      <c r="I58" s="1603" t="s">
        <v>1293</v>
      </c>
      <c r="J58" s="1603" t="s">
        <v>9738</v>
      </c>
      <c r="K58" s="1603" t="s">
        <v>3574</v>
      </c>
      <c r="L58" s="1603" t="s">
        <v>4206</v>
      </c>
      <c r="M58" s="1603" t="s">
        <v>7190</v>
      </c>
      <c r="N58" s="1603" t="s">
        <v>9739</v>
      </c>
      <c r="O58" s="1603" t="s">
        <v>3763</v>
      </c>
      <c r="P58" s="1603" t="s">
        <v>7026</v>
      </c>
      <c r="Q58" s="1603" t="s">
        <v>9740</v>
      </c>
      <c r="R58" s="1603" t="s">
        <v>3424</v>
      </c>
      <c r="S58" s="1679" t="s">
        <v>9383</v>
      </c>
      <c r="T58" s="1603" t="s">
        <v>9193</v>
      </c>
      <c r="U58" s="1603" t="s">
        <v>9741</v>
      </c>
      <c r="V58" s="1603" t="s">
        <v>1789</v>
      </c>
      <c r="W58" s="1603" t="s">
        <v>9742</v>
      </c>
      <c r="X58" s="1603" t="s">
        <v>1678</v>
      </c>
      <c r="Y58" s="1603" t="s">
        <v>3623</v>
      </c>
      <c r="Z58" s="1603" t="s">
        <v>7363</v>
      </c>
      <c r="AA58" s="1603" t="s">
        <v>895</v>
      </c>
      <c r="AB58" s="1603" t="s">
        <v>9743</v>
      </c>
      <c r="AC58" s="1603" t="s">
        <v>9728</v>
      </c>
      <c r="AD58" s="1603" t="s">
        <v>9744</v>
      </c>
      <c r="AE58" s="1603" t="s">
        <v>4255</v>
      </c>
      <c r="AF58" s="1505" t="s">
        <v>9745</v>
      </c>
      <c r="AG58" s="1603" t="s">
        <v>9746</v>
      </c>
      <c r="AH58" s="1603" t="s">
        <v>9747</v>
      </c>
      <c r="AI58" s="1603" t="s">
        <v>9748</v>
      </c>
      <c r="AJ58" s="1603" t="s">
        <v>9749</v>
      </c>
      <c r="AK58" s="1603" t="s">
        <v>5086</v>
      </c>
      <c r="AL58" s="1603" t="s">
        <v>9555</v>
      </c>
      <c r="AM58" s="1603" t="s">
        <v>9730</v>
      </c>
      <c r="AN58" s="1603" t="s">
        <v>2548</v>
      </c>
      <c r="AO58" s="1603" t="s">
        <v>5629</v>
      </c>
      <c r="AP58" s="1679" t="s">
        <v>9492</v>
      </c>
      <c r="AQ58" s="1603" t="s">
        <v>9750</v>
      </c>
      <c r="AR58" s="1603" t="s">
        <v>4982</v>
      </c>
      <c r="AS58" s="1603" t="s">
        <v>9160</v>
      </c>
      <c r="AT58" s="1603" t="s">
        <v>9751</v>
      </c>
      <c r="AU58" s="1603" t="s">
        <v>9752</v>
      </c>
      <c r="AV58" s="1680" t="str">
        <f t="shared" si="1"/>
        <v>2:41</v>
      </c>
      <c r="AW58" s="1681" t="s">
        <v>9753</v>
      </c>
    </row>
    <row r="59" ht="15.75" customHeight="1">
      <c r="A59" s="1501" t="s">
        <v>1952</v>
      </c>
      <c r="B59" s="1502" t="s">
        <v>8509</v>
      </c>
      <c r="C59" s="1503">
        <v>0.05157407407407407</v>
      </c>
      <c r="D59" s="1317" t="s">
        <v>9754</v>
      </c>
      <c r="E59" s="1555" t="s">
        <v>9755</v>
      </c>
      <c r="F59" s="1555" t="s">
        <v>9756</v>
      </c>
      <c r="G59" s="1584" t="s">
        <v>9252</v>
      </c>
      <c r="H59" s="1556" t="s">
        <v>9757</v>
      </c>
      <c r="I59" s="1556" t="s">
        <v>2089</v>
      </c>
      <c r="J59" s="1586" t="s">
        <v>5435</v>
      </c>
      <c r="K59" s="1586" t="s">
        <v>3595</v>
      </c>
      <c r="L59" s="1586" t="s">
        <v>9758</v>
      </c>
      <c r="M59" s="1586" t="s">
        <v>9426</v>
      </c>
      <c r="N59" s="1586" t="s">
        <v>1230</v>
      </c>
      <c r="O59" s="1586" t="s">
        <v>9725</v>
      </c>
      <c r="P59" s="1586" t="s">
        <v>8741</v>
      </c>
      <c r="Q59" s="1587" t="s">
        <v>9759</v>
      </c>
      <c r="R59" s="1587" t="s">
        <v>9760</v>
      </c>
      <c r="S59" s="1587" t="s">
        <v>9761</v>
      </c>
      <c r="T59" s="1587" t="s">
        <v>7367</v>
      </c>
      <c r="U59" s="1587" t="s">
        <v>3159</v>
      </c>
      <c r="V59" s="1587" t="s">
        <v>5072</v>
      </c>
      <c r="W59" s="1588" t="s">
        <v>9762</v>
      </c>
      <c r="X59" s="1588" t="s">
        <v>9763</v>
      </c>
      <c r="Y59" s="1588" t="s">
        <v>9620</v>
      </c>
      <c r="Z59" s="1588" t="s">
        <v>8585</v>
      </c>
      <c r="AA59" s="1588" t="s">
        <v>5963</v>
      </c>
      <c r="AB59" s="1588" t="s">
        <v>5674</v>
      </c>
      <c r="AC59" s="1588" t="s">
        <v>6311</v>
      </c>
      <c r="AD59" s="1555" t="s">
        <v>9764</v>
      </c>
      <c r="AE59" s="1584" t="s">
        <v>5485</v>
      </c>
      <c r="AF59" s="1589" t="s">
        <v>9765</v>
      </c>
      <c r="AG59" s="1589" t="s">
        <v>9766</v>
      </c>
      <c r="AH59" s="1589" t="s">
        <v>9767</v>
      </c>
      <c r="AI59" s="1589" t="s">
        <v>1039</v>
      </c>
      <c r="AJ59" s="1589" t="s">
        <v>9768</v>
      </c>
      <c r="AK59" s="1561" t="s">
        <v>627</v>
      </c>
      <c r="AL59" s="1561" t="s">
        <v>9769</v>
      </c>
      <c r="AM59" s="1562" t="s">
        <v>3663</v>
      </c>
      <c r="AN59" s="1562" t="s">
        <v>9770</v>
      </c>
      <c r="AO59" s="1562" t="s">
        <v>9771</v>
      </c>
      <c r="AP59" s="1562" t="s">
        <v>9772</v>
      </c>
      <c r="AQ59" s="1562" t="s">
        <v>9773</v>
      </c>
      <c r="AR59" s="1563" t="s">
        <v>7852</v>
      </c>
      <c r="AS59" s="1562" t="s">
        <v>4409</v>
      </c>
      <c r="AT59" s="1586" t="s">
        <v>9774</v>
      </c>
      <c r="AU59" s="1590" t="s">
        <v>9775</v>
      </c>
      <c r="AV59" s="1513" t="str">
        <f t="shared" si="1"/>
        <v>4:40</v>
      </c>
      <c r="AW59" s="1648" t="s">
        <v>9776</v>
      </c>
    </row>
    <row r="60" ht="15.75" customHeight="1">
      <c r="A60" s="1550" t="s">
        <v>9777</v>
      </c>
      <c r="B60" s="1548" t="s">
        <v>8509</v>
      </c>
      <c r="C60" s="1503">
        <v>0.051631944444444446</v>
      </c>
      <c r="D60" s="1555" t="s">
        <v>9778</v>
      </c>
      <c r="E60" s="1555" t="s">
        <v>6556</v>
      </c>
      <c r="F60" s="1555" t="s">
        <v>8748</v>
      </c>
      <c r="G60" s="1555" t="s">
        <v>9779</v>
      </c>
      <c r="H60" s="1646" t="s">
        <v>9780</v>
      </c>
      <c r="I60" s="1646" t="s">
        <v>9781</v>
      </c>
      <c r="J60" s="1557" t="s">
        <v>9782</v>
      </c>
      <c r="K60" s="1557" t="s">
        <v>7593</v>
      </c>
      <c r="L60" s="1557" t="s">
        <v>4456</v>
      </c>
      <c r="M60" s="1557" t="s">
        <v>9783</v>
      </c>
      <c r="N60" s="1557" t="s">
        <v>6005</v>
      </c>
      <c r="O60" s="1557" t="s">
        <v>9784</v>
      </c>
      <c r="P60" s="1557" t="s">
        <v>2241</v>
      </c>
      <c r="Q60" s="1559" t="s">
        <v>9785</v>
      </c>
      <c r="R60" s="1559" t="s">
        <v>5784</v>
      </c>
      <c r="S60" s="1559" t="s">
        <v>5588</v>
      </c>
      <c r="T60" s="1559" t="s">
        <v>6131</v>
      </c>
      <c r="U60" s="1559" t="s">
        <v>9786</v>
      </c>
      <c r="V60" s="1559" t="s">
        <v>9787</v>
      </c>
      <c r="W60" s="1560" t="s">
        <v>9788</v>
      </c>
      <c r="X60" s="1560" t="s">
        <v>627</v>
      </c>
      <c r="Y60" s="1560" t="s">
        <v>5062</v>
      </c>
      <c r="Z60" s="1560" t="s">
        <v>9789</v>
      </c>
      <c r="AA60" s="1515" t="s">
        <v>9790</v>
      </c>
      <c r="AB60" s="1560" t="s">
        <v>9393</v>
      </c>
      <c r="AC60" s="1560" t="s">
        <v>4676</v>
      </c>
      <c r="AD60" s="1555" t="s">
        <v>9791</v>
      </c>
      <c r="AE60" s="1555" t="s">
        <v>9083</v>
      </c>
      <c r="AF60" s="1682" t="s">
        <v>9792</v>
      </c>
      <c r="AG60" s="1561" t="s">
        <v>6667</v>
      </c>
      <c r="AH60" s="1561" t="s">
        <v>9767</v>
      </c>
      <c r="AI60" s="1561" t="s">
        <v>4052</v>
      </c>
      <c r="AJ60" s="1561" t="s">
        <v>9793</v>
      </c>
      <c r="AK60" s="1561" t="s">
        <v>1527</v>
      </c>
      <c r="AL60" s="1561" t="s">
        <v>3516</v>
      </c>
      <c r="AM60" s="1563" t="s">
        <v>5963</v>
      </c>
      <c r="AN60" s="1563" t="s">
        <v>5605</v>
      </c>
      <c r="AO60" s="1563" t="s">
        <v>6492</v>
      </c>
      <c r="AP60" s="1563" t="s">
        <v>9794</v>
      </c>
      <c r="AQ60" s="1563" t="s">
        <v>3603</v>
      </c>
      <c r="AR60" s="1563" t="s">
        <v>9359</v>
      </c>
      <c r="AS60" s="1563" t="s">
        <v>4027</v>
      </c>
      <c r="AT60" s="1557" t="s">
        <v>9795</v>
      </c>
      <c r="AU60" s="1543" t="s">
        <v>9796</v>
      </c>
      <c r="AV60" s="1513" t="str">
        <f t="shared" si="1"/>
        <v>2:25</v>
      </c>
      <c r="AW60" s="1606" t="s">
        <v>9797</v>
      </c>
    </row>
    <row r="61" ht="15.75" customHeight="1">
      <c r="A61" s="1604" t="s">
        <v>9798</v>
      </c>
      <c r="B61" s="1502" t="s">
        <v>8509</v>
      </c>
      <c r="C61" s="1649">
        <v>0.051631944444444446</v>
      </c>
      <c r="D61" s="1317" t="s">
        <v>9799</v>
      </c>
      <c r="E61" s="1680" t="s">
        <v>9800</v>
      </c>
      <c r="F61" s="1680" t="s">
        <v>8594</v>
      </c>
      <c r="G61" s="1680" t="s">
        <v>9801</v>
      </c>
      <c r="H61" s="1680" t="s">
        <v>9802</v>
      </c>
      <c r="I61" s="1680" t="s">
        <v>9728</v>
      </c>
      <c r="J61" s="1680" t="s">
        <v>3596</v>
      </c>
      <c r="K61" s="1680" t="s">
        <v>9803</v>
      </c>
      <c r="L61" s="1680" t="s">
        <v>5379</v>
      </c>
      <c r="M61" s="1680" t="s">
        <v>712</v>
      </c>
      <c r="N61" s="1680" t="s">
        <v>9804</v>
      </c>
      <c r="O61" s="1680" t="s">
        <v>4686</v>
      </c>
      <c r="P61" s="1680" t="s">
        <v>8545</v>
      </c>
      <c r="Q61" s="1680" t="s">
        <v>3173</v>
      </c>
      <c r="R61" s="1680" t="s">
        <v>9805</v>
      </c>
      <c r="S61" s="1680" t="s">
        <v>9582</v>
      </c>
      <c r="T61" s="1680" t="s">
        <v>9647</v>
      </c>
      <c r="U61" s="1680" t="s">
        <v>9806</v>
      </c>
      <c r="V61" s="1680" t="s">
        <v>9807</v>
      </c>
      <c r="W61" s="1680" t="s">
        <v>9808</v>
      </c>
      <c r="X61" s="1680" t="s">
        <v>9730</v>
      </c>
      <c r="Y61" s="1680" t="s">
        <v>4676</v>
      </c>
      <c r="Z61" s="1680" t="s">
        <v>7293</v>
      </c>
      <c r="AA61" s="1680" t="s">
        <v>5783</v>
      </c>
      <c r="AB61" s="1680" t="s">
        <v>9809</v>
      </c>
      <c r="AC61" s="1680" t="s">
        <v>386</v>
      </c>
      <c r="AD61" s="1680" t="s">
        <v>5998</v>
      </c>
      <c r="AE61" s="1680" t="s">
        <v>3006</v>
      </c>
      <c r="AF61" s="1680" t="s">
        <v>9498</v>
      </c>
      <c r="AG61" s="1680" t="s">
        <v>9810</v>
      </c>
      <c r="AH61" s="1680" t="s">
        <v>5340</v>
      </c>
      <c r="AI61" s="1680" t="s">
        <v>4072</v>
      </c>
      <c r="AJ61" s="1680" t="s">
        <v>9811</v>
      </c>
      <c r="AK61" s="1680" t="s">
        <v>9643</v>
      </c>
      <c r="AL61" s="1680" t="s">
        <v>4481</v>
      </c>
      <c r="AM61" s="1680" t="s">
        <v>9812</v>
      </c>
      <c r="AN61" s="1680" t="s">
        <v>8370</v>
      </c>
      <c r="AO61" s="1680" t="s">
        <v>5098</v>
      </c>
      <c r="AP61" s="1680" t="s">
        <v>9813</v>
      </c>
      <c r="AQ61" s="1680" t="s">
        <v>3629</v>
      </c>
      <c r="AR61" s="1680" t="s">
        <v>9175</v>
      </c>
      <c r="AS61" s="1680" t="s">
        <v>4663</v>
      </c>
      <c r="AT61" s="1680" t="s">
        <v>9814</v>
      </c>
      <c r="AU61" s="1683" t="str">
        <f>HYPERLINK("https://splits.io/pc9","1:16:48")</f>
        <v>1:16:48</v>
      </c>
      <c r="AV61" s="1680" t="str">
        <f t="shared" si="1"/>
        <v>2:27</v>
      </c>
      <c r="AW61" s="1684" t="s">
        <v>9815</v>
      </c>
    </row>
    <row r="62" ht="15.75" customHeight="1">
      <c r="A62" s="1501" t="s">
        <v>5671</v>
      </c>
      <c r="B62" s="1502" t="s">
        <v>8509</v>
      </c>
      <c r="C62" s="1649">
        <v>0.051631944444444446</v>
      </c>
      <c r="D62" s="1317" t="s">
        <v>9816</v>
      </c>
      <c r="E62" s="1680" t="s">
        <v>6699</v>
      </c>
      <c r="F62" s="1680" t="s">
        <v>9817</v>
      </c>
      <c r="G62" s="1680" t="s">
        <v>5272</v>
      </c>
      <c r="H62" s="1680" t="s">
        <v>9405</v>
      </c>
      <c r="I62" s="1680" t="s">
        <v>4676</v>
      </c>
      <c r="J62" s="1680" t="s">
        <v>8738</v>
      </c>
      <c r="K62" s="1680" t="s">
        <v>8406</v>
      </c>
      <c r="L62" s="1680" t="s">
        <v>5722</v>
      </c>
      <c r="M62" s="1680" t="s">
        <v>866</v>
      </c>
      <c r="N62" s="1680" t="s">
        <v>9818</v>
      </c>
      <c r="O62" s="1680" t="s">
        <v>9616</v>
      </c>
      <c r="P62" s="1680" t="s">
        <v>9501</v>
      </c>
      <c r="Q62" s="1680" t="s">
        <v>9819</v>
      </c>
      <c r="R62" s="1680" t="s">
        <v>9760</v>
      </c>
      <c r="S62" s="1680" t="s">
        <v>7250</v>
      </c>
      <c r="T62" s="1680" t="s">
        <v>9820</v>
      </c>
      <c r="U62" s="1680" t="s">
        <v>9821</v>
      </c>
      <c r="V62" s="1680" t="s">
        <v>9822</v>
      </c>
      <c r="W62" s="1680" t="s">
        <v>9823</v>
      </c>
      <c r="X62" s="1680" t="s">
        <v>9824</v>
      </c>
      <c r="Y62" s="1680" t="s">
        <v>1167</v>
      </c>
      <c r="Z62" s="1680" t="s">
        <v>4788</v>
      </c>
      <c r="AA62" s="1680" t="s">
        <v>9825</v>
      </c>
      <c r="AB62" s="1680" t="s">
        <v>7320</v>
      </c>
      <c r="AC62" s="1680" t="s">
        <v>9826</v>
      </c>
      <c r="AD62" s="1680" t="s">
        <v>9827</v>
      </c>
      <c r="AE62" s="1603" t="s">
        <v>5465</v>
      </c>
      <c r="AF62" s="1680" t="s">
        <v>9828</v>
      </c>
      <c r="AG62" s="1680" t="s">
        <v>9829</v>
      </c>
      <c r="AH62" s="1680" t="s">
        <v>2207</v>
      </c>
      <c r="AI62" s="1680" t="s">
        <v>5200</v>
      </c>
      <c r="AJ62" s="1680" t="s">
        <v>8189</v>
      </c>
      <c r="AK62" s="1680" t="s">
        <v>1707</v>
      </c>
      <c r="AL62" s="1680" t="s">
        <v>5605</v>
      </c>
      <c r="AM62" s="1680" t="s">
        <v>9830</v>
      </c>
      <c r="AN62" s="1680" t="s">
        <v>9831</v>
      </c>
      <c r="AO62" s="1680" t="s">
        <v>8786</v>
      </c>
      <c r="AP62" s="1680" t="s">
        <v>9832</v>
      </c>
      <c r="AQ62" s="1680" t="s">
        <v>9833</v>
      </c>
      <c r="AR62" s="1680" t="s">
        <v>4774</v>
      </c>
      <c r="AS62" s="1680" t="s">
        <v>2971</v>
      </c>
      <c r="AT62" s="1680" t="s">
        <v>9834</v>
      </c>
      <c r="AU62" s="1680" t="s">
        <v>9835</v>
      </c>
      <c r="AV62" s="1680" t="str">
        <f t="shared" si="1"/>
        <v>3:33</v>
      </c>
      <c r="AW62" s="1684"/>
    </row>
    <row r="63" ht="15.75" customHeight="1">
      <c r="A63" s="1501" t="s">
        <v>4210</v>
      </c>
      <c r="B63" s="1502" t="s">
        <v>8509</v>
      </c>
      <c r="C63" s="1649">
        <v>0.05164351851851852</v>
      </c>
      <c r="D63" s="1317" t="s">
        <v>9836</v>
      </c>
      <c r="E63" s="1680" t="s">
        <v>8684</v>
      </c>
      <c r="F63" s="1680" t="s">
        <v>9837</v>
      </c>
      <c r="G63" s="1680" t="s">
        <v>8570</v>
      </c>
      <c r="H63" s="1680" t="s">
        <v>9838</v>
      </c>
      <c r="I63" s="1680" t="s">
        <v>1293</v>
      </c>
      <c r="J63" s="1680" t="s">
        <v>805</v>
      </c>
      <c r="K63" s="1680" t="s">
        <v>7240</v>
      </c>
      <c r="L63" s="1680" t="s">
        <v>3664</v>
      </c>
      <c r="M63" s="1680" t="s">
        <v>9783</v>
      </c>
      <c r="N63" s="1680" t="s">
        <v>8854</v>
      </c>
      <c r="O63" s="1680" t="s">
        <v>9505</v>
      </c>
      <c r="P63" s="1680" t="s">
        <v>5145</v>
      </c>
      <c r="Q63" s="1680" t="s">
        <v>9839</v>
      </c>
      <c r="R63" s="1680" t="s">
        <v>9840</v>
      </c>
      <c r="S63" s="1680" t="s">
        <v>9841</v>
      </c>
      <c r="T63" s="1680" t="s">
        <v>9842</v>
      </c>
      <c r="U63" s="1680" t="s">
        <v>9843</v>
      </c>
      <c r="V63" s="1680" t="s">
        <v>9844</v>
      </c>
      <c r="W63" s="1680" t="s">
        <v>9845</v>
      </c>
      <c r="X63" s="1680" t="s">
        <v>606</v>
      </c>
      <c r="Y63" s="1680" t="s">
        <v>9846</v>
      </c>
      <c r="Z63" s="1680" t="s">
        <v>7629</v>
      </c>
      <c r="AA63" s="1680" t="s">
        <v>5592</v>
      </c>
      <c r="AB63" s="1680" t="s">
        <v>6493</v>
      </c>
      <c r="AC63" s="1680" t="s">
        <v>6639</v>
      </c>
      <c r="AD63" s="1680" t="s">
        <v>9847</v>
      </c>
      <c r="AE63" s="1680" t="s">
        <v>1844</v>
      </c>
      <c r="AF63" s="1680" t="s">
        <v>9848</v>
      </c>
      <c r="AG63" s="1680" t="s">
        <v>526</v>
      </c>
      <c r="AH63" s="1680" t="s">
        <v>5340</v>
      </c>
      <c r="AI63" s="1680" t="s">
        <v>9849</v>
      </c>
      <c r="AJ63" s="1680" t="s">
        <v>9850</v>
      </c>
      <c r="AK63" s="1680" t="s">
        <v>9851</v>
      </c>
      <c r="AL63" s="1680" t="s">
        <v>5142</v>
      </c>
      <c r="AM63" s="1680" t="s">
        <v>9300</v>
      </c>
      <c r="AN63" s="1680" t="s">
        <v>8943</v>
      </c>
      <c r="AO63" s="1680" t="s">
        <v>8602</v>
      </c>
      <c r="AP63" s="1680" t="s">
        <v>9852</v>
      </c>
      <c r="AQ63" s="1680" t="s">
        <v>9853</v>
      </c>
      <c r="AR63" s="1680" t="s">
        <v>3526</v>
      </c>
      <c r="AS63" s="1680" t="s">
        <v>9854</v>
      </c>
      <c r="AT63" s="1680" t="s">
        <v>9644</v>
      </c>
      <c r="AU63" s="1680" t="s">
        <v>9855</v>
      </c>
      <c r="AV63" s="1680" t="str">
        <f t="shared" si="1"/>
        <v>3:13</v>
      </c>
      <c r="AW63" s="1684" t="s">
        <v>9856</v>
      </c>
    </row>
    <row r="64" ht="15.75" customHeight="1">
      <c r="A64" s="1517" t="s">
        <v>827</v>
      </c>
      <c r="B64" s="1670" t="s">
        <v>8566</v>
      </c>
      <c r="C64" s="1649">
        <v>0.05167824074074074</v>
      </c>
      <c r="D64" s="1317" t="s">
        <v>9857</v>
      </c>
      <c r="E64" s="1680" t="s">
        <v>9858</v>
      </c>
      <c r="F64" s="1680" t="s">
        <v>5789</v>
      </c>
      <c r="G64" s="1680" t="s">
        <v>9859</v>
      </c>
      <c r="H64" s="1680" t="s">
        <v>9860</v>
      </c>
      <c r="I64" s="1680" t="s">
        <v>1834</v>
      </c>
      <c r="J64" s="1680" t="s">
        <v>9721</v>
      </c>
      <c r="K64" s="1680" t="s">
        <v>8834</v>
      </c>
      <c r="L64" s="1680" t="s">
        <v>1892</v>
      </c>
      <c r="M64" s="1680" t="s">
        <v>7351</v>
      </c>
      <c r="N64" s="1680" t="s">
        <v>9861</v>
      </c>
      <c r="O64" s="1680" t="s">
        <v>9862</v>
      </c>
      <c r="P64" s="1680" t="s">
        <v>2376</v>
      </c>
      <c r="Q64" s="1680" t="s">
        <v>720</v>
      </c>
      <c r="R64" s="1680" t="s">
        <v>9863</v>
      </c>
      <c r="S64" s="1680" t="s">
        <v>9864</v>
      </c>
      <c r="T64" s="1680" t="s">
        <v>9865</v>
      </c>
      <c r="U64" s="1680" t="s">
        <v>9459</v>
      </c>
      <c r="V64" s="1680" t="s">
        <v>487</v>
      </c>
      <c r="W64" s="1680" t="s">
        <v>5814</v>
      </c>
      <c r="X64" s="1680" t="s">
        <v>9866</v>
      </c>
      <c r="Y64" s="1680" t="s">
        <v>870</v>
      </c>
      <c r="Z64" s="1680" t="s">
        <v>3960</v>
      </c>
      <c r="AA64" s="1680" t="s">
        <v>1623</v>
      </c>
      <c r="AB64" s="1680" t="s">
        <v>9867</v>
      </c>
      <c r="AC64" s="1680" t="s">
        <v>9868</v>
      </c>
      <c r="AD64" s="1603" t="s">
        <v>9869</v>
      </c>
      <c r="AE64" s="1680" t="s">
        <v>1857</v>
      </c>
      <c r="AF64" s="1680" t="s">
        <v>9343</v>
      </c>
      <c r="AG64" s="1680" t="s">
        <v>6778</v>
      </c>
      <c r="AH64" s="1680" t="s">
        <v>4456</v>
      </c>
      <c r="AI64" s="1680" t="s">
        <v>6265</v>
      </c>
      <c r="AJ64" s="1680" t="s">
        <v>9870</v>
      </c>
      <c r="AK64" s="1680" t="s">
        <v>8643</v>
      </c>
      <c r="AL64" s="1680" t="s">
        <v>5199</v>
      </c>
      <c r="AM64" s="1680" t="s">
        <v>9871</v>
      </c>
      <c r="AN64" s="1680" t="s">
        <v>9872</v>
      </c>
      <c r="AO64" s="1680" t="s">
        <v>9873</v>
      </c>
      <c r="AP64" s="1680" t="s">
        <v>9874</v>
      </c>
      <c r="AQ64" s="1680" t="s">
        <v>9875</v>
      </c>
      <c r="AR64" s="1680" t="s">
        <v>9876</v>
      </c>
      <c r="AS64" s="1680" t="s">
        <v>9877</v>
      </c>
      <c r="AT64" s="1680" t="s">
        <v>9878</v>
      </c>
      <c r="AU64" s="1680" t="s">
        <v>9879</v>
      </c>
      <c r="AV64" s="1680" t="str">
        <f t="shared" si="1"/>
        <v>2:51</v>
      </c>
      <c r="AW64" s="1685"/>
    </row>
    <row r="65" ht="15.75" customHeight="1">
      <c r="A65" s="1550" t="s">
        <v>4624</v>
      </c>
      <c r="B65" s="1579" t="s">
        <v>8540</v>
      </c>
      <c r="C65" s="1649">
        <v>0.05170138888888889</v>
      </c>
      <c r="D65" s="1317" t="s">
        <v>9880</v>
      </c>
      <c r="E65" s="1680" t="s">
        <v>4247</v>
      </c>
      <c r="F65" s="1680" t="s">
        <v>9449</v>
      </c>
      <c r="G65" s="1680" t="s">
        <v>9355</v>
      </c>
      <c r="H65" s="1680" t="s">
        <v>9881</v>
      </c>
      <c r="I65" s="1680" t="s">
        <v>9882</v>
      </c>
      <c r="J65" s="1680" t="s">
        <v>9464</v>
      </c>
      <c r="K65" s="1680" t="s">
        <v>8786</v>
      </c>
      <c r="L65" s="1680" t="s">
        <v>4030</v>
      </c>
      <c r="M65" s="1680" t="s">
        <v>7550</v>
      </c>
      <c r="N65" s="1680" t="s">
        <v>6030</v>
      </c>
      <c r="O65" s="1680" t="s">
        <v>9566</v>
      </c>
      <c r="P65" s="1680" t="s">
        <v>482</v>
      </c>
      <c r="Q65" s="1680" t="s">
        <v>2766</v>
      </c>
      <c r="R65" s="1680" t="s">
        <v>9883</v>
      </c>
      <c r="S65" s="1680" t="s">
        <v>9771</v>
      </c>
      <c r="T65" s="1680" t="s">
        <v>2749</v>
      </c>
      <c r="U65" s="1680" t="s">
        <v>9884</v>
      </c>
      <c r="V65" s="1680" t="s">
        <v>9885</v>
      </c>
      <c r="W65" s="1680" t="s">
        <v>9808</v>
      </c>
      <c r="X65" s="1680" t="s">
        <v>3663</v>
      </c>
      <c r="Y65" s="1680" t="s">
        <v>2438</v>
      </c>
      <c r="Z65" s="1680" t="s">
        <v>490</v>
      </c>
      <c r="AA65" s="1680" t="s">
        <v>627</v>
      </c>
      <c r="AB65" s="1680" t="s">
        <v>9886</v>
      </c>
      <c r="AC65" s="1680" t="s">
        <v>924</v>
      </c>
      <c r="AD65" s="1680" t="s">
        <v>9521</v>
      </c>
      <c r="AE65" s="1680" t="s">
        <v>679</v>
      </c>
      <c r="AF65" s="1680" t="s">
        <v>9887</v>
      </c>
      <c r="AG65" s="1680" t="s">
        <v>9888</v>
      </c>
      <c r="AH65" s="1680" t="s">
        <v>9889</v>
      </c>
      <c r="AI65" s="1680" t="s">
        <v>9890</v>
      </c>
      <c r="AJ65" s="1680" t="s">
        <v>9891</v>
      </c>
      <c r="AK65" s="1680" t="s">
        <v>9468</v>
      </c>
      <c r="AL65" s="1680" t="s">
        <v>9892</v>
      </c>
      <c r="AM65" s="1680" t="s">
        <v>9748</v>
      </c>
      <c r="AN65" s="1680" t="s">
        <v>9893</v>
      </c>
      <c r="AO65" s="1680" t="s">
        <v>9512</v>
      </c>
      <c r="AP65" s="1680" t="s">
        <v>3351</v>
      </c>
      <c r="AQ65" s="1680" t="s">
        <v>9894</v>
      </c>
      <c r="AR65" s="1680" t="s">
        <v>9895</v>
      </c>
      <c r="AS65" s="1680" t="s">
        <v>6405</v>
      </c>
      <c r="AT65" s="1680" t="s">
        <v>9896</v>
      </c>
      <c r="AU65" s="1680" t="s">
        <v>9897</v>
      </c>
      <c r="AV65" s="1680" t="str">
        <f t="shared" si="1"/>
        <v>2:37</v>
      </c>
      <c r="AW65" s="1685" t="s">
        <v>9898</v>
      </c>
    </row>
    <row r="66" ht="15.75" customHeight="1">
      <c r="A66" s="1550" t="s">
        <v>5009</v>
      </c>
      <c r="B66" s="1545" t="s">
        <v>8540</v>
      </c>
      <c r="C66" s="1503">
        <v>0.05171296296296296</v>
      </c>
      <c r="D66" s="1656" t="s">
        <v>9899</v>
      </c>
      <c r="E66" s="1603" t="s">
        <v>9900</v>
      </c>
      <c r="F66" s="1603" t="s">
        <v>1471</v>
      </c>
      <c r="G66" s="1603" t="s">
        <v>9901</v>
      </c>
      <c r="H66" s="1603" t="s">
        <v>9902</v>
      </c>
      <c r="I66" s="1603" t="s">
        <v>9903</v>
      </c>
      <c r="J66" s="1603" t="s">
        <v>973</v>
      </c>
      <c r="K66" s="1603" t="s">
        <v>4892</v>
      </c>
      <c r="L66" s="1603" t="s">
        <v>1882</v>
      </c>
      <c r="M66" s="1686" t="s">
        <v>9904</v>
      </c>
      <c r="N66" s="1603" t="s">
        <v>9905</v>
      </c>
      <c r="O66" s="1603" t="s">
        <v>1783</v>
      </c>
      <c r="P66" s="1603" t="s">
        <v>5062</v>
      </c>
      <c r="Q66" s="1603" t="s">
        <v>2891</v>
      </c>
      <c r="R66" s="1603" t="s">
        <v>9906</v>
      </c>
      <c r="S66" s="1603" t="s">
        <v>8627</v>
      </c>
      <c r="T66" s="1603" t="s">
        <v>9907</v>
      </c>
      <c r="U66" s="1603" t="s">
        <v>9698</v>
      </c>
      <c r="V66" s="1686" t="s">
        <v>9908</v>
      </c>
      <c r="W66" s="1686" t="s">
        <v>9909</v>
      </c>
      <c r="X66" s="1603" t="s">
        <v>9572</v>
      </c>
      <c r="Y66" s="1317" t="s">
        <v>9254</v>
      </c>
      <c r="Z66" s="1603" t="s">
        <v>1525</v>
      </c>
      <c r="AA66" s="1603" t="s">
        <v>1338</v>
      </c>
      <c r="AB66" s="1686" t="s">
        <v>9910</v>
      </c>
      <c r="AC66" s="1603" t="s">
        <v>1844</v>
      </c>
      <c r="AD66" s="1603" t="s">
        <v>9911</v>
      </c>
      <c r="AE66" s="1603" t="s">
        <v>3785</v>
      </c>
      <c r="AF66" s="1603" t="s">
        <v>9912</v>
      </c>
      <c r="AG66" s="1603" t="s">
        <v>526</v>
      </c>
      <c r="AH66" s="1603" t="s">
        <v>9913</v>
      </c>
      <c r="AI66" s="1603" t="s">
        <v>5367</v>
      </c>
      <c r="AJ66" s="1603" t="s">
        <v>9914</v>
      </c>
      <c r="AK66" s="1603" t="s">
        <v>9915</v>
      </c>
      <c r="AL66" s="1603" t="s">
        <v>1664</v>
      </c>
      <c r="AM66" s="1603" t="s">
        <v>9739</v>
      </c>
      <c r="AN66" s="1603" t="s">
        <v>9916</v>
      </c>
      <c r="AO66" s="1603" t="s">
        <v>2723</v>
      </c>
      <c r="AP66" s="1603" t="s">
        <v>2000</v>
      </c>
      <c r="AQ66" s="1603" t="s">
        <v>758</v>
      </c>
      <c r="AR66" s="1603" t="s">
        <v>9539</v>
      </c>
      <c r="AS66" s="1603" t="s">
        <v>7030</v>
      </c>
      <c r="AT66" s="1603" t="s">
        <v>9917</v>
      </c>
      <c r="AU66" s="1603" t="s">
        <v>9918</v>
      </c>
      <c r="AV66" s="1680" t="str">
        <f t="shared" si="1"/>
        <v>4:14</v>
      </c>
      <c r="AW66" s="1681" t="s">
        <v>9919</v>
      </c>
    </row>
    <row r="67" ht="15.75" customHeight="1">
      <c r="A67" s="1550" t="s">
        <v>2142</v>
      </c>
      <c r="B67" s="1666" t="s">
        <v>8540</v>
      </c>
      <c r="C67" s="1503">
        <v>0.05173611111111111</v>
      </c>
      <c r="D67" s="1317" t="s">
        <v>9920</v>
      </c>
      <c r="E67" s="1603" t="s">
        <v>9921</v>
      </c>
      <c r="F67" s="1603" t="s">
        <v>9922</v>
      </c>
      <c r="G67" s="1603" t="s">
        <v>9923</v>
      </c>
      <c r="H67" s="1603" t="s">
        <v>7484</v>
      </c>
      <c r="I67" s="1603" t="s">
        <v>495</v>
      </c>
      <c r="J67" s="1603" t="s">
        <v>8925</v>
      </c>
      <c r="K67" s="1603" t="s">
        <v>9924</v>
      </c>
      <c r="L67" s="1603" t="s">
        <v>7107</v>
      </c>
      <c r="M67" s="1603" t="s">
        <v>3543</v>
      </c>
      <c r="N67" s="1603" t="s">
        <v>9925</v>
      </c>
      <c r="O67" s="1603" t="s">
        <v>9926</v>
      </c>
      <c r="P67" s="1603" t="s">
        <v>3716</v>
      </c>
      <c r="Q67" s="1603" t="s">
        <v>9927</v>
      </c>
      <c r="R67" s="1603" t="s">
        <v>9863</v>
      </c>
      <c r="S67" s="1603" t="s">
        <v>5503</v>
      </c>
      <c r="T67" s="1603" t="s">
        <v>9928</v>
      </c>
      <c r="U67" s="1603" t="s">
        <v>9929</v>
      </c>
      <c r="V67" s="1603" t="s">
        <v>358</v>
      </c>
      <c r="W67" s="1603" t="s">
        <v>5596</v>
      </c>
      <c r="X67" s="1603" t="s">
        <v>9766</v>
      </c>
      <c r="Y67" s="1603" t="s">
        <v>1167</v>
      </c>
      <c r="Z67" s="1603" t="s">
        <v>9930</v>
      </c>
      <c r="AA67" s="1603" t="s">
        <v>5783</v>
      </c>
      <c r="AB67" s="1603" t="s">
        <v>6491</v>
      </c>
      <c r="AC67" s="1603" t="s">
        <v>160</v>
      </c>
      <c r="AD67" s="1603" t="s">
        <v>9791</v>
      </c>
      <c r="AE67" s="1603" t="s">
        <v>6904</v>
      </c>
      <c r="AF67" s="1603" t="s">
        <v>9240</v>
      </c>
      <c r="AG67" s="1603" t="s">
        <v>4876</v>
      </c>
      <c r="AH67" s="1603" t="s">
        <v>9931</v>
      </c>
      <c r="AI67" s="1603" t="s">
        <v>9932</v>
      </c>
      <c r="AJ67" s="1603" t="s">
        <v>9933</v>
      </c>
      <c r="AK67" s="1603" t="s">
        <v>8865</v>
      </c>
      <c r="AL67" s="1603" t="s">
        <v>9934</v>
      </c>
      <c r="AM67" s="1603" t="s">
        <v>2854</v>
      </c>
      <c r="AN67" s="1603" t="s">
        <v>5142</v>
      </c>
      <c r="AO67" s="1603" t="s">
        <v>9691</v>
      </c>
      <c r="AP67" s="1603" t="s">
        <v>9935</v>
      </c>
      <c r="AQ67" s="1603" t="s">
        <v>9936</v>
      </c>
      <c r="AR67" s="1603" t="s">
        <v>194</v>
      </c>
      <c r="AS67" s="1603" t="s">
        <v>9937</v>
      </c>
      <c r="AT67" s="1603" t="s">
        <v>9938</v>
      </c>
      <c r="AU67" s="1603" t="s">
        <v>9939</v>
      </c>
      <c r="AV67" s="1680" t="str">
        <f t="shared" si="1"/>
        <v>3:51</v>
      </c>
      <c r="AW67" s="1681" t="s">
        <v>9940</v>
      </c>
    </row>
    <row r="68" ht="15.75" customHeight="1">
      <c r="A68" s="1550" t="s">
        <v>7890</v>
      </c>
      <c r="B68" s="1548" t="s">
        <v>8566</v>
      </c>
      <c r="C68" s="1503">
        <v>0.051805555555555556</v>
      </c>
      <c r="D68" s="1603" t="s">
        <v>9941</v>
      </c>
      <c r="E68" s="1603" t="s">
        <v>9942</v>
      </c>
      <c r="F68" s="1317" t="s">
        <v>9943</v>
      </c>
      <c r="G68" s="1603" t="s">
        <v>9944</v>
      </c>
      <c r="H68" s="1522" t="s">
        <v>9945</v>
      </c>
      <c r="I68" s="1522">
        <v>49.81</v>
      </c>
      <c r="J68" s="1522" t="s">
        <v>9946</v>
      </c>
      <c r="K68" s="1522" t="s">
        <v>6142</v>
      </c>
      <c r="L68" s="1522">
        <v>59.57</v>
      </c>
      <c r="M68" s="1522" t="s">
        <v>9947</v>
      </c>
      <c r="N68" s="1522" t="s">
        <v>9948</v>
      </c>
      <c r="O68" s="1521" t="s">
        <v>7405</v>
      </c>
      <c r="P68" s="1521" t="s">
        <v>9949</v>
      </c>
      <c r="Q68" s="1521" t="s">
        <v>9950</v>
      </c>
      <c r="R68" s="1522" t="s">
        <v>9951</v>
      </c>
      <c r="S68" s="1522" t="s">
        <v>9582</v>
      </c>
      <c r="T68" s="1522" t="s">
        <v>9952</v>
      </c>
      <c r="U68" s="1522" t="s">
        <v>9953</v>
      </c>
      <c r="V68" s="1522" t="s">
        <v>4361</v>
      </c>
      <c r="W68" s="1522" t="s">
        <v>9954</v>
      </c>
      <c r="X68" s="1522" t="s">
        <v>9955</v>
      </c>
      <c r="Y68" s="1521" t="s">
        <v>9469</v>
      </c>
      <c r="Z68" s="1687" t="s">
        <v>8583</v>
      </c>
      <c r="AA68" s="1522" t="s">
        <v>197</v>
      </c>
      <c r="AB68" s="1521" t="s">
        <v>4265</v>
      </c>
      <c r="AC68" s="1522">
        <v>49.53</v>
      </c>
      <c r="AD68" s="1522" t="s">
        <v>1931</v>
      </c>
      <c r="AE68" s="1521" t="s">
        <v>9956</v>
      </c>
      <c r="AF68" s="1522" t="s">
        <v>8746</v>
      </c>
      <c r="AG68" s="1522" t="s">
        <v>9957</v>
      </c>
      <c r="AH68" s="1522">
        <v>59.93</v>
      </c>
      <c r="AI68" s="1522" t="s">
        <v>9958</v>
      </c>
      <c r="AJ68" s="1522" t="s">
        <v>9959</v>
      </c>
      <c r="AK68" s="1522" t="s">
        <v>5803</v>
      </c>
      <c r="AL68" s="1522">
        <v>59.13</v>
      </c>
      <c r="AM68" s="1522" t="s">
        <v>9895</v>
      </c>
      <c r="AN68" s="1522">
        <v>57.86</v>
      </c>
      <c r="AO68" s="1522" t="s">
        <v>7700</v>
      </c>
      <c r="AP68" s="1522" t="s">
        <v>9960</v>
      </c>
      <c r="AQ68" s="1522" t="s">
        <v>9475</v>
      </c>
      <c r="AR68" s="1522" t="s">
        <v>6071</v>
      </c>
      <c r="AS68" s="1522">
        <v>47.67</v>
      </c>
      <c r="AT68" s="1603" t="s">
        <v>9961</v>
      </c>
      <c r="AU68" s="1603" t="s">
        <v>9962</v>
      </c>
      <c r="AV68" s="1680" t="str">
        <f t="shared" si="1"/>
        <v>2:57</v>
      </c>
      <c r="AW68" s="1688" t="s">
        <v>9963</v>
      </c>
    </row>
    <row r="69">
      <c r="A69" s="1689" t="s">
        <v>1258</v>
      </c>
      <c r="B69" s="1545" t="s">
        <v>8540</v>
      </c>
      <c r="C69" s="1690">
        <v>0.05181712962962963</v>
      </c>
      <c r="D69" s="1505" t="s">
        <v>9964</v>
      </c>
      <c r="E69" s="1640" t="s">
        <v>9965</v>
      </c>
      <c r="F69" s="1505" t="s">
        <v>9966</v>
      </c>
      <c r="G69" s="1505" t="s">
        <v>9967</v>
      </c>
      <c r="H69" s="1505" t="s">
        <v>9968</v>
      </c>
      <c r="I69" s="1505" t="s">
        <v>5003</v>
      </c>
      <c r="J69" s="1505" t="s">
        <v>8909</v>
      </c>
      <c r="K69" s="1640" t="s">
        <v>9146</v>
      </c>
      <c r="L69" s="1505" t="s">
        <v>9931</v>
      </c>
      <c r="M69" s="1505" t="s">
        <v>1456</v>
      </c>
      <c r="N69" s="1640" t="s">
        <v>9437</v>
      </c>
      <c r="O69" s="1505" t="s">
        <v>7457</v>
      </c>
      <c r="P69" s="1505" t="s">
        <v>9090</v>
      </c>
      <c r="Q69" s="1505" t="s">
        <v>9969</v>
      </c>
      <c r="R69" s="1505" t="s">
        <v>2892</v>
      </c>
      <c r="S69" s="1640" t="s">
        <v>4900</v>
      </c>
      <c r="T69" s="1505" t="s">
        <v>9970</v>
      </c>
      <c r="U69" s="1640" t="s">
        <v>9971</v>
      </c>
      <c r="V69" s="1505" t="s">
        <v>9885</v>
      </c>
      <c r="W69" s="1505" t="s">
        <v>9972</v>
      </c>
      <c r="X69" s="1505" t="s">
        <v>9529</v>
      </c>
      <c r="Y69" s="1505" t="s">
        <v>9973</v>
      </c>
      <c r="Z69" s="1640" t="s">
        <v>6246</v>
      </c>
      <c r="AA69" s="1505" t="s">
        <v>888</v>
      </c>
      <c r="AB69" s="1505" t="s">
        <v>9974</v>
      </c>
      <c r="AC69" s="1505" t="s">
        <v>2089</v>
      </c>
      <c r="AD69" s="1505" t="s">
        <v>9975</v>
      </c>
      <c r="AE69" s="1505" t="s">
        <v>2241</v>
      </c>
      <c r="AF69" s="1505" t="s">
        <v>9644</v>
      </c>
      <c r="AG69" s="1505" t="s">
        <v>399</v>
      </c>
      <c r="AH69" s="1505" t="s">
        <v>9976</v>
      </c>
      <c r="AI69" s="1505" t="s">
        <v>243</v>
      </c>
      <c r="AJ69" s="1640" t="s">
        <v>9977</v>
      </c>
      <c r="AK69" s="1505" t="s">
        <v>9244</v>
      </c>
      <c r="AL69" s="1505" t="s">
        <v>4692</v>
      </c>
      <c r="AM69" s="1505" t="s">
        <v>9978</v>
      </c>
      <c r="AN69" s="1505" t="s">
        <v>9294</v>
      </c>
      <c r="AO69" s="1505" t="s">
        <v>9979</v>
      </c>
      <c r="AP69" s="1640" t="s">
        <v>9980</v>
      </c>
      <c r="AQ69" s="1505" t="s">
        <v>9981</v>
      </c>
      <c r="AR69" s="1505" t="s">
        <v>9982</v>
      </c>
      <c r="AS69" s="1640" t="s">
        <v>351</v>
      </c>
      <c r="AT69" s="1505" t="s">
        <v>9983</v>
      </c>
      <c r="AU69" s="1515" t="s">
        <v>9984</v>
      </c>
      <c r="AV69" s="1590" t="str">
        <f t="shared" si="1"/>
        <v>3:49</v>
      </c>
      <c r="AW69" s="1691" t="s">
        <v>9985</v>
      </c>
    </row>
    <row r="70" ht="15.75" customHeight="1">
      <c r="A70" s="1501" t="s">
        <v>3062</v>
      </c>
      <c r="B70" s="1579" t="s">
        <v>8540</v>
      </c>
      <c r="C70" s="1649">
        <v>0.051863425925925924</v>
      </c>
      <c r="D70" s="1317" t="s">
        <v>9986</v>
      </c>
      <c r="E70" s="1680" t="s">
        <v>6384</v>
      </c>
      <c r="F70" s="1680" t="s">
        <v>9987</v>
      </c>
      <c r="G70" s="1680" t="s">
        <v>9988</v>
      </c>
      <c r="H70" s="1680" t="s">
        <v>7226</v>
      </c>
      <c r="I70" s="1680" t="s">
        <v>2022</v>
      </c>
      <c r="J70" s="1680" t="s">
        <v>1761</v>
      </c>
      <c r="K70" s="1680" t="s">
        <v>1596</v>
      </c>
      <c r="L70" s="1680" t="s">
        <v>3070</v>
      </c>
      <c r="M70" s="1680" t="s">
        <v>9760</v>
      </c>
      <c r="N70" s="1680" t="s">
        <v>5086</v>
      </c>
      <c r="O70" s="1680" t="s">
        <v>9989</v>
      </c>
      <c r="P70" s="1680" t="s">
        <v>1234</v>
      </c>
      <c r="Q70" s="1680" t="s">
        <v>9990</v>
      </c>
      <c r="R70" s="1680" t="s">
        <v>9991</v>
      </c>
      <c r="S70" s="1680" t="s">
        <v>9992</v>
      </c>
      <c r="T70" s="1680" t="s">
        <v>9993</v>
      </c>
      <c r="U70" s="1680" t="s">
        <v>9994</v>
      </c>
      <c r="V70" s="1680" t="s">
        <v>9548</v>
      </c>
      <c r="W70" s="1680" t="s">
        <v>9995</v>
      </c>
      <c r="X70" s="1680" t="s">
        <v>9890</v>
      </c>
      <c r="Y70" s="1680" t="s">
        <v>3300</v>
      </c>
      <c r="Z70" s="1680" t="s">
        <v>9996</v>
      </c>
      <c r="AA70" s="1680" t="s">
        <v>9997</v>
      </c>
      <c r="AB70" s="1680" t="s">
        <v>8409</v>
      </c>
      <c r="AC70" s="1680" t="s">
        <v>924</v>
      </c>
      <c r="AD70" s="1680" t="s">
        <v>9998</v>
      </c>
      <c r="AE70" s="1680" t="s">
        <v>1185</v>
      </c>
      <c r="AF70" s="1680" t="s">
        <v>9999</v>
      </c>
      <c r="AG70" s="1680" t="s">
        <v>10000</v>
      </c>
      <c r="AH70" s="1680" t="s">
        <v>5379</v>
      </c>
      <c r="AI70" s="1680" t="s">
        <v>9932</v>
      </c>
      <c r="AJ70" s="1680" t="s">
        <v>10001</v>
      </c>
      <c r="AK70" s="1680" t="s">
        <v>1838</v>
      </c>
      <c r="AL70" s="1680" t="s">
        <v>9976</v>
      </c>
      <c r="AM70" s="1680" t="s">
        <v>10002</v>
      </c>
      <c r="AN70" s="1680" t="s">
        <v>9457</v>
      </c>
      <c r="AO70" s="1680" t="s">
        <v>8740</v>
      </c>
      <c r="AP70" s="1680" t="s">
        <v>10003</v>
      </c>
      <c r="AQ70" s="1680" t="s">
        <v>10004</v>
      </c>
      <c r="AR70" s="1680" t="s">
        <v>2182</v>
      </c>
      <c r="AS70" s="1680" t="s">
        <v>4766</v>
      </c>
      <c r="AT70" s="1680" t="s">
        <v>10005</v>
      </c>
      <c r="AU70" s="1680" t="s">
        <v>10006</v>
      </c>
      <c r="AV70" s="1680" t="str">
        <f t="shared" si="1"/>
        <v>2:06</v>
      </c>
      <c r="AW70" s="1681" t="s">
        <v>10007</v>
      </c>
    </row>
    <row r="71" ht="15.75" customHeight="1">
      <c r="A71" s="1501" t="s">
        <v>1129</v>
      </c>
      <c r="B71" s="1502" t="s">
        <v>8509</v>
      </c>
      <c r="C71" s="1649">
        <v>0.051875</v>
      </c>
      <c r="D71" s="1317" t="s">
        <v>10008</v>
      </c>
      <c r="E71" s="1680" t="s">
        <v>3232</v>
      </c>
      <c r="F71" s="1680" t="s">
        <v>10009</v>
      </c>
      <c r="G71" s="1680" t="s">
        <v>10010</v>
      </c>
      <c r="H71" s="1680" t="s">
        <v>10011</v>
      </c>
      <c r="I71" s="1680" t="s">
        <v>10012</v>
      </c>
      <c r="J71" s="1680" t="s">
        <v>2520</v>
      </c>
      <c r="K71" s="1680" t="s">
        <v>10013</v>
      </c>
      <c r="L71" s="1680" t="s">
        <v>8761</v>
      </c>
      <c r="M71" s="1680" t="s">
        <v>7568</v>
      </c>
      <c r="N71" s="1680" t="s">
        <v>9647</v>
      </c>
      <c r="O71" s="1680" t="s">
        <v>4470</v>
      </c>
      <c r="P71" s="1680" t="s">
        <v>1530</v>
      </c>
      <c r="Q71" s="1680" t="s">
        <v>10014</v>
      </c>
      <c r="R71" s="1680" t="s">
        <v>8599</v>
      </c>
      <c r="S71" s="1680" t="s">
        <v>4435</v>
      </c>
      <c r="T71" s="1680" t="s">
        <v>10015</v>
      </c>
      <c r="U71" s="1680" t="s">
        <v>9806</v>
      </c>
      <c r="V71" s="1680" t="s">
        <v>6401</v>
      </c>
      <c r="W71" s="1680" t="s">
        <v>4470</v>
      </c>
      <c r="X71" s="1680" t="s">
        <v>9437</v>
      </c>
      <c r="Y71" s="1680" t="s">
        <v>9471</v>
      </c>
      <c r="Z71" s="1680" t="s">
        <v>10016</v>
      </c>
      <c r="AA71" s="1680" t="s">
        <v>418</v>
      </c>
      <c r="AB71" s="1680" t="s">
        <v>621</v>
      </c>
      <c r="AC71" s="1680" t="s">
        <v>10017</v>
      </c>
      <c r="AD71" s="1680" t="s">
        <v>9847</v>
      </c>
      <c r="AE71" s="1680" t="s">
        <v>935</v>
      </c>
      <c r="AF71" s="1680" t="s">
        <v>10018</v>
      </c>
      <c r="AG71" s="1680" t="s">
        <v>10019</v>
      </c>
      <c r="AH71" s="1680" t="s">
        <v>9758</v>
      </c>
      <c r="AI71" s="1680" t="s">
        <v>10020</v>
      </c>
      <c r="AJ71" s="1680" t="s">
        <v>10021</v>
      </c>
      <c r="AK71" s="1680" t="s">
        <v>10022</v>
      </c>
      <c r="AL71" s="1680" t="s">
        <v>5595</v>
      </c>
      <c r="AM71" s="1680" t="s">
        <v>10023</v>
      </c>
      <c r="AN71" s="1680" t="s">
        <v>6215</v>
      </c>
      <c r="AO71" s="1603" t="s">
        <v>9606</v>
      </c>
      <c r="AP71" s="1680" t="s">
        <v>10024</v>
      </c>
      <c r="AQ71" s="1680" t="s">
        <v>10025</v>
      </c>
      <c r="AR71" s="1680" t="s">
        <v>9282</v>
      </c>
      <c r="AS71" s="1680" t="s">
        <v>9349</v>
      </c>
      <c r="AT71" s="1680" t="s">
        <v>10026</v>
      </c>
      <c r="AU71" s="1603" t="s">
        <v>10027</v>
      </c>
      <c r="AV71" s="1680" t="str">
        <f t="shared" si="1"/>
        <v>0:37</v>
      </c>
      <c r="AW71" s="1685" t="s">
        <v>10028</v>
      </c>
    </row>
    <row r="72">
      <c r="A72" s="1550" t="s">
        <v>7860</v>
      </c>
      <c r="B72" s="1545" t="s">
        <v>8509</v>
      </c>
      <c r="C72" s="1503">
        <v>0.05188657407407407</v>
      </c>
      <c r="D72" s="1603" t="s">
        <v>10029</v>
      </c>
      <c r="E72" s="1317" t="s">
        <v>863</v>
      </c>
      <c r="F72" s="1317" t="s">
        <v>10030</v>
      </c>
      <c r="G72" s="1317" t="s">
        <v>10031</v>
      </c>
      <c r="H72" s="1317" t="s">
        <v>10032</v>
      </c>
      <c r="I72" s="1317" t="s">
        <v>679</v>
      </c>
      <c r="J72" s="1317" t="s">
        <v>4132</v>
      </c>
      <c r="K72" s="1317" t="s">
        <v>9255</v>
      </c>
      <c r="L72" s="1317" t="s">
        <v>2702</v>
      </c>
      <c r="M72" s="1317" t="s">
        <v>10033</v>
      </c>
      <c r="N72" s="1317" t="s">
        <v>4008</v>
      </c>
      <c r="O72" s="1317" t="s">
        <v>10034</v>
      </c>
      <c r="P72" s="1317" t="s">
        <v>5146</v>
      </c>
      <c r="Q72" s="1317" t="s">
        <v>10035</v>
      </c>
      <c r="R72" s="1317" t="s">
        <v>5538</v>
      </c>
      <c r="S72" s="1317" t="s">
        <v>10036</v>
      </c>
      <c r="T72" s="1317" t="s">
        <v>8588</v>
      </c>
      <c r="U72" s="1317" t="s">
        <v>10037</v>
      </c>
      <c r="V72" s="1317" t="s">
        <v>5422</v>
      </c>
      <c r="W72" s="1317" t="s">
        <v>10038</v>
      </c>
      <c r="X72" s="1317" t="s">
        <v>10039</v>
      </c>
      <c r="Y72" s="1317" t="s">
        <v>10040</v>
      </c>
      <c r="Z72" s="1317" t="s">
        <v>9266</v>
      </c>
      <c r="AA72" s="1317" t="s">
        <v>5105</v>
      </c>
      <c r="AB72" s="1317" t="s">
        <v>688</v>
      </c>
      <c r="AC72" s="1317" t="s">
        <v>10041</v>
      </c>
      <c r="AD72" s="1317" t="s">
        <v>3142</v>
      </c>
      <c r="AE72" s="1317" t="s">
        <v>5768</v>
      </c>
      <c r="AF72" s="1317" t="s">
        <v>10042</v>
      </c>
      <c r="AG72" s="1317" t="s">
        <v>2406</v>
      </c>
      <c r="AH72" s="1317" t="s">
        <v>2702</v>
      </c>
      <c r="AI72" s="1317" t="s">
        <v>196</v>
      </c>
      <c r="AJ72" s="1317" t="s">
        <v>10043</v>
      </c>
      <c r="AK72" s="1317" t="s">
        <v>9273</v>
      </c>
      <c r="AL72" s="1317" t="s">
        <v>9720</v>
      </c>
      <c r="AM72" s="1317" t="s">
        <v>9242</v>
      </c>
      <c r="AN72" s="1317" t="s">
        <v>3537</v>
      </c>
      <c r="AO72" s="1317" t="s">
        <v>8734</v>
      </c>
      <c r="AP72" s="1317" t="s">
        <v>9671</v>
      </c>
      <c r="AQ72" s="1317" t="s">
        <v>10025</v>
      </c>
      <c r="AR72" s="1317" t="s">
        <v>10044</v>
      </c>
      <c r="AS72" s="1317" t="s">
        <v>6405</v>
      </c>
      <c r="AT72" s="1317" t="s">
        <v>8805</v>
      </c>
      <c r="AU72" s="1603" t="s">
        <v>10045</v>
      </c>
      <c r="AV72" s="1680" t="str">
        <f t="shared" si="1"/>
        <v>4:21</v>
      </c>
      <c r="AW72" s="1681" t="s">
        <v>10046</v>
      </c>
    </row>
    <row r="73" ht="15.75" customHeight="1">
      <c r="A73" s="1501" t="s">
        <v>4867</v>
      </c>
      <c r="B73" s="1670" t="s">
        <v>8566</v>
      </c>
      <c r="C73" s="1503">
        <v>0.051909722222222225</v>
      </c>
      <c r="D73" s="1692" t="s">
        <v>10047</v>
      </c>
      <c r="E73" s="1599" t="s">
        <v>2197</v>
      </c>
      <c r="F73" s="1599" t="s">
        <v>10048</v>
      </c>
      <c r="G73" s="1599" t="s">
        <v>10049</v>
      </c>
      <c r="H73" s="1599" t="s">
        <v>10050</v>
      </c>
      <c r="I73" s="1692">
        <v>49.97</v>
      </c>
      <c r="J73" s="1599" t="s">
        <v>2180</v>
      </c>
      <c r="K73" s="1599" t="s">
        <v>10051</v>
      </c>
      <c r="L73" s="1599" t="s">
        <v>10052</v>
      </c>
      <c r="M73" s="1599" t="s">
        <v>3010</v>
      </c>
      <c r="N73" s="1599" t="s">
        <v>4694</v>
      </c>
      <c r="O73" s="1599" t="s">
        <v>5808</v>
      </c>
      <c r="P73" s="1692">
        <v>48.99</v>
      </c>
      <c r="Q73" s="1599" t="s">
        <v>10053</v>
      </c>
      <c r="R73" s="1599" t="s">
        <v>5719</v>
      </c>
      <c r="S73" s="1599" t="s">
        <v>4201</v>
      </c>
      <c r="T73" s="1599" t="s">
        <v>10054</v>
      </c>
      <c r="U73" s="1599" t="s">
        <v>10055</v>
      </c>
      <c r="V73" s="1599" t="s">
        <v>2412</v>
      </c>
      <c r="W73" s="1599" t="s">
        <v>10056</v>
      </c>
      <c r="X73" s="1599" t="s">
        <v>9763</v>
      </c>
      <c r="Y73" s="1693">
        <v>47.93</v>
      </c>
      <c r="Z73" s="1599" t="s">
        <v>10057</v>
      </c>
      <c r="AA73" s="1599" t="s">
        <v>5038</v>
      </c>
      <c r="AB73" s="1599" t="s">
        <v>9743</v>
      </c>
      <c r="AC73" s="1687">
        <v>49.24</v>
      </c>
      <c r="AD73" s="1599" t="s">
        <v>9166</v>
      </c>
      <c r="AE73" s="1692">
        <v>49.87</v>
      </c>
      <c r="AF73" s="1599" t="s">
        <v>10058</v>
      </c>
      <c r="AG73" s="1599" t="s">
        <v>10059</v>
      </c>
      <c r="AH73" s="1692">
        <v>59.9</v>
      </c>
      <c r="AI73" s="1599" t="s">
        <v>10060</v>
      </c>
      <c r="AJ73" s="1694" t="s">
        <v>8589</v>
      </c>
      <c r="AK73" s="1599" t="s">
        <v>1956</v>
      </c>
      <c r="AL73" s="1692">
        <v>58.74</v>
      </c>
      <c r="AM73" s="1599" t="s">
        <v>2002</v>
      </c>
      <c r="AN73" s="1692">
        <v>57.51</v>
      </c>
      <c r="AO73" s="1599" t="s">
        <v>4855</v>
      </c>
      <c r="AP73" s="1599" t="s">
        <v>10061</v>
      </c>
      <c r="AQ73" s="1599" t="s">
        <v>3263</v>
      </c>
      <c r="AR73" s="1694" t="s">
        <v>6492</v>
      </c>
      <c r="AS73" s="1692">
        <v>47.44</v>
      </c>
      <c r="AT73" s="1599" t="s">
        <v>10062</v>
      </c>
      <c r="AU73" s="1603" t="s">
        <v>10063</v>
      </c>
      <c r="AV73" s="1680" t="str">
        <f t="shared" si="1"/>
        <v>2:59</v>
      </c>
      <c r="AW73" s="1681" t="s">
        <v>7835</v>
      </c>
    </row>
    <row r="74">
      <c r="A74" s="1550" t="s">
        <v>8454</v>
      </c>
      <c r="B74" s="1548" t="s">
        <v>8509</v>
      </c>
      <c r="C74" s="1503">
        <v>0.05193287037037037</v>
      </c>
      <c r="D74" s="1656" t="s">
        <v>10064</v>
      </c>
      <c r="E74" s="1603" t="s">
        <v>7596</v>
      </c>
      <c r="F74" s="1603" t="s">
        <v>10065</v>
      </c>
      <c r="G74" s="1603" t="s">
        <v>10066</v>
      </c>
      <c r="H74" s="1603" t="s">
        <v>10067</v>
      </c>
      <c r="I74" s="1603" t="s">
        <v>2376</v>
      </c>
      <c r="J74" s="1603" t="s">
        <v>4230</v>
      </c>
      <c r="K74" s="1603" t="s">
        <v>9195</v>
      </c>
      <c r="L74" s="1603"/>
      <c r="M74" s="1603" t="s">
        <v>7246</v>
      </c>
      <c r="N74" s="1603" t="s">
        <v>4803</v>
      </c>
      <c r="O74" s="1603" t="s">
        <v>8581</v>
      </c>
      <c r="P74" s="1603" t="s">
        <v>9664</v>
      </c>
      <c r="Q74" s="1603" t="s">
        <v>10068</v>
      </c>
      <c r="R74" s="1603" t="s">
        <v>10069</v>
      </c>
      <c r="S74" s="1603" t="s">
        <v>8891</v>
      </c>
      <c r="T74" s="1603" t="s">
        <v>9211</v>
      </c>
      <c r="U74" s="1603" t="s">
        <v>2263</v>
      </c>
      <c r="V74" s="1603" t="s">
        <v>9044</v>
      </c>
      <c r="W74" s="1603" t="s">
        <v>5808</v>
      </c>
      <c r="X74" s="1603" t="s">
        <v>627</v>
      </c>
      <c r="Y74" s="1603" t="s">
        <v>8988</v>
      </c>
      <c r="Z74" s="1603" t="s">
        <v>8610</v>
      </c>
      <c r="AA74" s="1603" t="s">
        <v>7713</v>
      </c>
      <c r="AB74" s="1603" t="s">
        <v>9672</v>
      </c>
      <c r="AC74" s="1603" t="s">
        <v>2946</v>
      </c>
      <c r="AD74" s="1603" t="s">
        <v>10070</v>
      </c>
      <c r="AE74" s="1603" t="s">
        <v>10071</v>
      </c>
      <c r="AF74" s="1603" t="s">
        <v>10072</v>
      </c>
      <c r="AG74" s="1603" t="s">
        <v>9810</v>
      </c>
      <c r="AH74" s="1603" t="s">
        <v>10073</v>
      </c>
      <c r="AI74" s="1603" t="s">
        <v>10074</v>
      </c>
      <c r="AJ74" s="1603" t="s">
        <v>10075</v>
      </c>
      <c r="AK74" s="1603" t="s">
        <v>10076</v>
      </c>
      <c r="AL74" s="1603" t="s">
        <v>3295</v>
      </c>
      <c r="AM74" s="1603" t="s">
        <v>10077</v>
      </c>
      <c r="AN74" s="1603" t="s">
        <v>3548</v>
      </c>
      <c r="AO74" s="1603" t="s">
        <v>10078</v>
      </c>
      <c r="AP74" s="1603" t="s">
        <v>10079</v>
      </c>
      <c r="AQ74" s="1603" t="s">
        <v>10080</v>
      </c>
      <c r="AR74" s="1603" t="s">
        <v>10081</v>
      </c>
      <c r="AS74" s="1603" t="s">
        <v>3758</v>
      </c>
      <c r="AT74" s="1603" t="s">
        <v>10082</v>
      </c>
      <c r="AU74" s="1603" t="s">
        <v>10083</v>
      </c>
      <c r="AV74" s="1680" t="str">
        <f t="shared" si="1"/>
        <v>4:12</v>
      </c>
      <c r="AW74" s="1685"/>
    </row>
    <row r="75">
      <c r="A75" s="1550" t="s">
        <v>3124</v>
      </c>
      <c r="B75" s="1545" t="s">
        <v>8509</v>
      </c>
      <c r="C75" s="1503">
        <v>0.05196759259259259</v>
      </c>
      <c r="D75" s="1317" t="s">
        <v>10084</v>
      </c>
      <c r="E75" s="1603" t="s">
        <v>10085</v>
      </c>
      <c r="F75" s="1603" t="s">
        <v>1393</v>
      </c>
      <c r="G75" s="1603" t="s">
        <v>10086</v>
      </c>
      <c r="H75" s="1317" t="s">
        <v>10087</v>
      </c>
      <c r="I75" s="1603" t="s">
        <v>9781</v>
      </c>
      <c r="J75" s="1603" t="s">
        <v>4007</v>
      </c>
      <c r="K75" s="1603" t="s">
        <v>9399</v>
      </c>
      <c r="L75" s="1603" t="s">
        <v>4908</v>
      </c>
      <c r="M75" s="1603" t="s">
        <v>3311</v>
      </c>
      <c r="N75" s="1603" t="s">
        <v>4808</v>
      </c>
      <c r="O75" s="1603" t="s">
        <v>10088</v>
      </c>
      <c r="P75" s="1603" t="s">
        <v>6671</v>
      </c>
      <c r="Q75" s="1603" t="s">
        <v>10089</v>
      </c>
      <c r="R75" s="1603" t="s">
        <v>3311</v>
      </c>
      <c r="S75" s="1512" t="s">
        <v>2068</v>
      </c>
      <c r="T75" s="1603" t="s">
        <v>9643</v>
      </c>
      <c r="U75" s="1603" t="s">
        <v>9806</v>
      </c>
      <c r="V75" s="1603" t="s">
        <v>9209</v>
      </c>
      <c r="W75" s="1603" t="s">
        <v>10090</v>
      </c>
      <c r="X75" s="1603" t="s">
        <v>9825</v>
      </c>
      <c r="Y75" s="1603" t="s">
        <v>595</v>
      </c>
      <c r="Z75" s="1603" t="s">
        <v>8810</v>
      </c>
      <c r="AA75" s="1603" t="s">
        <v>9300</v>
      </c>
      <c r="AB75" s="1603" t="s">
        <v>490</v>
      </c>
      <c r="AC75" s="1603" t="s">
        <v>1072</v>
      </c>
      <c r="AD75" s="1603" t="s">
        <v>8522</v>
      </c>
      <c r="AE75" s="1603" t="s">
        <v>8972</v>
      </c>
      <c r="AF75" s="1603" t="s">
        <v>10091</v>
      </c>
      <c r="AG75" s="1603" t="s">
        <v>3155</v>
      </c>
      <c r="AH75" s="1603" t="s">
        <v>4999</v>
      </c>
      <c r="AI75" s="1603" t="s">
        <v>6110</v>
      </c>
      <c r="AJ75" s="1603" t="s">
        <v>10092</v>
      </c>
      <c r="AK75" s="1603" t="s">
        <v>460</v>
      </c>
      <c r="AL75" s="1603" t="s">
        <v>2211</v>
      </c>
      <c r="AM75" s="1603" t="s">
        <v>3783</v>
      </c>
      <c r="AN75" s="1603" t="s">
        <v>653</v>
      </c>
      <c r="AO75" s="1603" t="s">
        <v>10093</v>
      </c>
      <c r="AP75" s="1603" t="s">
        <v>10089</v>
      </c>
      <c r="AQ75" s="1603" t="s">
        <v>10094</v>
      </c>
      <c r="AR75" s="1603" t="s">
        <v>4007</v>
      </c>
      <c r="AS75" s="1603" t="s">
        <v>904</v>
      </c>
      <c r="AT75" s="1603" t="s">
        <v>10095</v>
      </c>
      <c r="AU75" s="1603" t="s">
        <v>10096</v>
      </c>
      <c r="AV75" s="1603" t="s">
        <v>8393</v>
      </c>
      <c r="AW75" s="1688" t="s">
        <v>10097</v>
      </c>
    </row>
    <row r="76" ht="15.75" customHeight="1">
      <c r="A76" s="1604" t="s">
        <v>10098</v>
      </c>
      <c r="B76" s="1502" t="s">
        <v>8509</v>
      </c>
      <c r="C76" s="1649">
        <v>0.05199074074074074</v>
      </c>
      <c r="D76" s="1317" t="s">
        <v>10099</v>
      </c>
      <c r="E76" s="1680" t="s">
        <v>10100</v>
      </c>
      <c r="F76" s="1680" t="s">
        <v>10101</v>
      </c>
      <c r="G76" s="1680" t="s">
        <v>10102</v>
      </c>
      <c r="H76" s="1680" t="s">
        <v>7511</v>
      </c>
      <c r="I76" s="1680" t="s">
        <v>9620</v>
      </c>
      <c r="J76" s="1680" t="s">
        <v>10103</v>
      </c>
      <c r="K76" s="1680" t="s">
        <v>10104</v>
      </c>
      <c r="L76" s="1680" t="s">
        <v>3070</v>
      </c>
      <c r="M76" s="1680" t="s">
        <v>10105</v>
      </c>
      <c r="N76" s="1680" t="s">
        <v>9345</v>
      </c>
      <c r="O76" s="1680" t="s">
        <v>10106</v>
      </c>
      <c r="P76" s="1680" t="s">
        <v>2429</v>
      </c>
      <c r="Q76" s="1680" t="s">
        <v>5012</v>
      </c>
      <c r="R76" s="1680" t="s">
        <v>5263</v>
      </c>
      <c r="S76" s="1680" t="s">
        <v>4869</v>
      </c>
      <c r="T76" s="1680" t="s">
        <v>5708</v>
      </c>
      <c r="U76" s="1680" t="s">
        <v>10107</v>
      </c>
      <c r="V76" s="1680" t="s">
        <v>6401</v>
      </c>
      <c r="W76" s="1680" t="s">
        <v>7868</v>
      </c>
      <c r="X76" s="1680" t="s">
        <v>10108</v>
      </c>
      <c r="Y76" s="1680" t="s">
        <v>2089</v>
      </c>
      <c r="Z76" s="1680" t="s">
        <v>10109</v>
      </c>
      <c r="AA76" s="1680" t="s">
        <v>9763</v>
      </c>
      <c r="AB76" s="1680" t="s">
        <v>10110</v>
      </c>
      <c r="AC76" s="1680" t="s">
        <v>8587</v>
      </c>
      <c r="AD76" s="1680" t="s">
        <v>10111</v>
      </c>
      <c r="AE76" s="1680" t="s">
        <v>6639</v>
      </c>
      <c r="AF76" s="1680" t="s">
        <v>10112</v>
      </c>
      <c r="AG76" s="1680" t="s">
        <v>10022</v>
      </c>
      <c r="AH76" s="1680" t="s">
        <v>10113</v>
      </c>
      <c r="AI76" s="1680" t="s">
        <v>10114</v>
      </c>
      <c r="AJ76" s="1680" t="s">
        <v>10115</v>
      </c>
      <c r="AK76" s="1680" t="s">
        <v>810</v>
      </c>
      <c r="AL76" s="1680" t="s">
        <v>3363</v>
      </c>
      <c r="AM76" s="1680" t="s">
        <v>9533</v>
      </c>
      <c r="AN76" s="1680" t="s">
        <v>10116</v>
      </c>
      <c r="AO76" s="1603" t="s">
        <v>7471</v>
      </c>
      <c r="AP76" s="1603" t="s">
        <v>10117</v>
      </c>
      <c r="AQ76" s="1680" t="s">
        <v>5302</v>
      </c>
      <c r="AR76" s="1680" t="s">
        <v>10118</v>
      </c>
      <c r="AS76" s="1680" t="s">
        <v>1090</v>
      </c>
      <c r="AT76" s="1680" t="s">
        <v>9665</v>
      </c>
      <c r="AU76" s="1683" t="str">
        <f>HYPERLINK("https://splits.io/m3t","1:18:40")</f>
        <v>1:18:40</v>
      </c>
      <c r="AV76" s="1680" t="str">
        <f t="shared" ref="AV76:AV79" si="2">TEXT(AU76-C76,"m:ss")</f>
        <v>3:48</v>
      </c>
      <c r="AW76" s="1684" t="s">
        <v>10119</v>
      </c>
    </row>
    <row r="77" ht="15.75" customHeight="1">
      <c r="A77" s="1604" t="s">
        <v>10120</v>
      </c>
      <c r="B77" s="1502" t="s">
        <v>8509</v>
      </c>
      <c r="C77" s="1649">
        <v>0.052002314814814814</v>
      </c>
      <c r="D77" s="1317" t="s">
        <v>10121</v>
      </c>
      <c r="E77" s="1680" t="s">
        <v>8825</v>
      </c>
      <c r="F77" s="1680" t="s">
        <v>10122</v>
      </c>
      <c r="G77" s="1680" t="s">
        <v>10123</v>
      </c>
      <c r="H77" s="1680" t="s">
        <v>10124</v>
      </c>
      <c r="I77" s="1680" t="s">
        <v>3549</v>
      </c>
      <c r="J77" s="1680" t="s">
        <v>9230</v>
      </c>
      <c r="K77" s="1680" t="s">
        <v>4435</v>
      </c>
      <c r="L77" s="1680" t="s">
        <v>3589</v>
      </c>
      <c r="M77" s="1680" t="s">
        <v>9805</v>
      </c>
      <c r="N77" s="1680" t="s">
        <v>4473</v>
      </c>
      <c r="O77" s="1680" t="s">
        <v>10125</v>
      </c>
      <c r="P77" s="1680" t="s">
        <v>10126</v>
      </c>
      <c r="Q77" s="1680" t="s">
        <v>4851</v>
      </c>
      <c r="R77" s="1680" t="s">
        <v>1456</v>
      </c>
      <c r="S77" s="1680" t="s">
        <v>9316</v>
      </c>
      <c r="T77" s="1680" t="s">
        <v>527</v>
      </c>
      <c r="U77" s="1680" t="s">
        <v>1917</v>
      </c>
      <c r="V77" s="1680" t="s">
        <v>464</v>
      </c>
      <c r="W77" s="1680" t="s">
        <v>5634</v>
      </c>
      <c r="X77" s="1680" t="s">
        <v>9576</v>
      </c>
      <c r="Y77" s="1680" t="s">
        <v>2438</v>
      </c>
      <c r="Z77" s="1680" t="s">
        <v>5405</v>
      </c>
      <c r="AA77" s="1680" t="s">
        <v>9345</v>
      </c>
      <c r="AB77" s="1680" t="s">
        <v>10127</v>
      </c>
      <c r="AC77" s="1680" t="s">
        <v>3006</v>
      </c>
      <c r="AD77" s="1680" t="s">
        <v>10128</v>
      </c>
      <c r="AE77" s="1680" t="s">
        <v>5146</v>
      </c>
      <c r="AF77" s="1680" t="s">
        <v>10129</v>
      </c>
      <c r="AG77" s="1680" t="s">
        <v>10130</v>
      </c>
      <c r="AH77" s="1680" t="s">
        <v>2207</v>
      </c>
      <c r="AI77" s="1680" t="s">
        <v>10131</v>
      </c>
      <c r="AJ77" s="1680" t="s">
        <v>10132</v>
      </c>
      <c r="AK77" s="1680" t="s">
        <v>4586</v>
      </c>
      <c r="AL77" s="1680" t="s">
        <v>8974</v>
      </c>
      <c r="AM77" s="1680" t="s">
        <v>1461</v>
      </c>
      <c r="AN77" s="1680" t="s">
        <v>8689</v>
      </c>
      <c r="AO77" s="1680" t="s">
        <v>9039</v>
      </c>
      <c r="AP77" s="1680" t="s">
        <v>4798</v>
      </c>
      <c r="AQ77" s="1680" t="s">
        <v>10133</v>
      </c>
      <c r="AR77" s="1680" t="s">
        <v>10054</v>
      </c>
      <c r="AS77" s="1680" t="s">
        <v>10134</v>
      </c>
      <c r="AT77" s="1680" t="s">
        <v>10135</v>
      </c>
      <c r="AU77" s="1680" t="s">
        <v>10136</v>
      </c>
      <c r="AV77" s="1680" t="str">
        <f t="shared" si="2"/>
        <v>3:32</v>
      </c>
      <c r="AW77" s="1684" t="s">
        <v>10137</v>
      </c>
    </row>
    <row r="78" ht="15.75" customHeight="1">
      <c r="A78" s="1604" t="s">
        <v>10138</v>
      </c>
      <c r="B78" s="1579" t="s">
        <v>8540</v>
      </c>
      <c r="C78" s="1649">
        <v>0.05201388888888889</v>
      </c>
      <c r="D78" s="1317" t="s">
        <v>10139</v>
      </c>
      <c r="E78" s="1603" t="s">
        <v>10140</v>
      </c>
      <c r="F78" s="1680" t="s">
        <v>10141</v>
      </c>
      <c r="G78" s="1680" t="s">
        <v>10142</v>
      </c>
      <c r="H78" s="1680" t="s">
        <v>1657</v>
      </c>
      <c r="I78" s="1680" t="s">
        <v>10143</v>
      </c>
      <c r="J78" s="1680" t="s">
        <v>10144</v>
      </c>
      <c r="K78" s="1680" t="s">
        <v>4201</v>
      </c>
      <c r="L78" s="1680" t="s">
        <v>10145</v>
      </c>
      <c r="M78" s="1680" t="s">
        <v>10146</v>
      </c>
      <c r="N78" s="1680" t="s">
        <v>10147</v>
      </c>
      <c r="O78" s="1680" t="s">
        <v>10148</v>
      </c>
      <c r="P78" s="1680" t="s">
        <v>160</v>
      </c>
      <c r="Q78" s="1680" t="s">
        <v>10149</v>
      </c>
      <c r="R78" s="1680" t="s">
        <v>7398</v>
      </c>
      <c r="S78" s="1680" t="s">
        <v>10150</v>
      </c>
      <c r="T78" s="1680" t="s">
        <v>10151</v>
      </c>
      <c r="U78" s="1680" t="s">
        <v>10152</v>
      </c>
      <c r="V78" s="1680" t="s">
        <v>8128</v>
      </c>
      <c r="W78" s="1680" t="s">
        <v>10153</v>
      </c>
      <c r="X78" s="1680" t="s">
        <v>9576</v>
      </c>
      <c r="Y78" s="1680" t="s">
        <v>300</v>
      </c>
      <c r="Z78" s="1680" t="s">
        <v>2370</v>
      </c>
      <c r="AA78" s="1680" t="s">
        <v>5756</v>
      </c>
      <c r="AB78" s="1680" t="s">
        <v>8848</v>
      </c>
      <c r="AC78" s="1680" t="s">
        <v>855</v>
      </c>
      <c r="AD78" s="1680" t="s">
        <v>10154</v>
      </c>
      <c r="AE78" s="1680" t="s">
        <v>1167</v>
      </c>
      <c r="AF78" s="1680" t="s">
        <v>10155</v>
      </c>
      <c r="AG78" s="1680" t="s">
        <v>2854</v>
      </c>
      <c r="AH78" s="1680" t="s">
        <v>6033</v>
      </c>
      <c r="AI78" s="1680" t="s">
        <v>1576</v>
      </c>
      <c r="AJ78" s="1680" t="s">
        <v>10156</v>
      </c>
      <c r="AK78" s="1680" t="s">
        <v>3526</v>
      </c>
      <c r="AL78" s="1680" t="s">
        <v>3829</v>
      </c>
      <c r="AM78" s="1680" t="s">
        <v>927</v>
      </c>
      <c r="AN78" s="1680" t="s">
        <v>9892</v>
      </c>
      <c r="AO78" s="1680" t="s">
        <v>2210</v>
      </c>
      <c r="AP78" s="1680" t="s">
        <v>10157</v>
      </c>
      <c r="AQ78" s="1680" t="s">
        <v>1006</v>
      </c>
      <c r="AR78" s="1680" t="s">
        <v>8582</v>
      </c>
      <c r="AS78" s="1680" t="s">
        <v>9651</v>
      </c>
      <c r="AT78" s="1680" t="s">
        <v>10158</v>
      </c>
      <c r="AU78" s="1680" t="s">
        <v>10159</v>
      </c>
      <c r="AV78" s="1680" t="str">
        <f t="shared" si="2"/>
        <v>2:58</v>
      </c>
      <c r="AW78" s="1685" t="s">
        <v>10160</v>
      </c>
    </row>
    <row r="79" ht="15.75" customHeight="1">
      <c r="A79" s="1501" t="s">
        <v>6466</v>
      </c>
      <c r="B79" s="1579" t="s">
        <v>8540</v>
      </c>
      <c r="C79" s="1649">
        <v>0.05207175925925926</v>
      </c>
      <c r="D79" s="1317" t="s">
        <v>10161</v>
      </c>
      <c r="E79" s="1680" t="s">
        <v>10162</v>
      </c>
      <c r="F79" s="1680" t="s">
        <v>10163</v>
      </c>
      <c r="G79" s="1680" t="s">
        <v>10164</v>
      </c>
      <c r="H79" s="1680" t="s">
        <v>8804</v>
      </c>
      <c r="I79" s="1680" t="s">
        <v>4890</v>
      </c>
      <c r="J79" s="1680" t="s">
        <v>9138</v>
      </c>
      <c r="K79" s="1680" t="s">
        <v>9771</v>
      </c>
      <c r="L79" s="1680" t="s">
        <v>10165</v>
      </c>
      <c r="M79" s="1680" t="s">
        <v>2687</v>
      </c>
      <c r="N79" s="1680" t="s">
        <v>10166</v>
      </c>
      <c r="O79" s="1680" t="s">
        <v>10167</v>
      </c>
      <c r="P79" s="1680" t="s">
        <v>766</v>
      </c>
      <c r="Q79" s="1680" t="s">
        <v>10168</v>
      </c>
      <c r="R79" s="1680" t="s">
        <v>4902</v>
      </c>
      <c r="S79" s="1680" t="s">
        <v>5959</v>
      </c>
      <c r="T79" s="1680" t="s">
        <v>5708</v>
      </c>
      <c r="U79" s="1680" t="s">
        <v>10169</v>
      </c>
      <c r="V79" s="1680" t="s">
        <v>2412</v>
      </c>
      <c r="W79" s="1680" t="s">
        <v>8586</v>
      </c>
      <c r="X79" s="1680" t="s">
        <v>10170</v>
      </c>
      <c r="Y79" s="1680" t="s">
        <v>1414</v>
      </c>
      <c r="Z79" s="1680" t="s">
        <v>7342</v>
      </c>
      <c r="AA79" s="1680" t="s">
        <v>1489</v>
      </c>
      <c r="AB79" s="1680" t="s">
        <v>10171</v>
      </c>
      <c r="AC79" s="1680" t="s">
        <v>236</v>
      </c>
      <c r="AD79" s="1680" t="s">
        <v>4237</v>
      </c>
      <c r="AE79" s="1680" t="s">
        <v>6057</v>
      </c>
      <c r="AF79" s="1680" t="s">
        <v>10172</v>
      </c>
      <c r="AG79" s="1680" t="s">
        <v>9576</v>
      </c>
      <c r="AH79" s="1680" t="s">
        <v>7110</v>
      </c>
      <c r="AI79" s="1680" t="s">
        <v>9932</v>
      </c>
      <c r="AJ79" s="1680" t="s">
        <v>10173</v>
      </c>
      <c r="AK79" s="1680" t="s">
        <v>10174</v>
      </c>
      <c r="AL79" s="1680" t="s">
        <v>4281</v>
      </c>
      <c r="AM79" s="1680" t="s">
        <v>9689</v>
      </c>
      <c r="AN79" s="1680" t="s">
        <v>3829</v>
      </c>
      <c r="AO79" s="1680" t="s">
        <v>4201</v>
      </c>
      <c r="AP79" s="1680" t="s">
        <v>9428</v>
      </c>
      <c r="AQ79" s="1680" t="s">
        <v>10175</v>
      </c>
      <c r="AR79" s="1680" t="s">
        <v>1488</v>
      </c>
      <c r="AS79" s="1680" t="s">
        <v>6109</v>
      </c>
      <c r="AT79" s="1680" t="s">
        <v>7658</v>
      </c>
      <c r="AU79" s="1680" t="s">
        <v>10176</v>
      </c>
      <c r="AV79" s="1680" t="str">
        <f t="shared" si="2"/>
        <v>3:10</v>
      </c>
      <c r="AW79" s="1685" t="s">
        <v>10177</v>
      </c>
    </row>
    <row r="80">
      <c r="A80" s="1689" t="s">
        <v>3915</v>
      </c>
      <c r="B80" s="1670" t="s">
        <v>8566</v>
      </c>
      <c r="C80" s="1695">
        <v>0.052141203703703703</v>
      </c>
      <c r="D80" s="1317" t="s">
        <v>10178</v>
      </c>
      <c r="E80" s="1555" t="s">
        <v>2938</v>
      </c>
      <c r="F80" s="1555" t="s">
        <v>10179</v>
      </c>
      <c r="G80" s="1599" t="s">
        <v>10180</v>
      </c>
      <c r="H80" s="1599" t="s">
        <v>10181</v>
      </c>
      <c r="I80" s="1599" t="s">
        <v>2424</v>
      </c>
      <c r="J80" s="1599" t="s">
        <v>6941</v>
      </c>
      <c r="K80" s="1696" t="s">
        <v>6149</v>
      </c>
      <c r="L80" s="1697" t="s">
        <v>7107</v>
      </c>
      <c r="M80" s="1599" t="s">
        <v>5830</v>
      </c>
      <c r="N80" s="1599" t="s">
        <v>5708</v>
      </c>
      <c r="O80" s="1599" t="s">
        <v>5541</v>
      </c>
      <c r="P80" s="1599" t="s">
        <v>1844</v>
      </c>
      <c r="Q80" s="1599" t="s">
        <v>10182</v>
      </c>
      <c r="R80" s="1599" t="s">
        <v>10183</v>
      </c>
      <c r="S80" s="1698" t="s">
        <v>2261</v>
      </c>
      <c r="T80" s="1599" t="s">
        <v>8882</v>
      </c>
      <c r="U80" s="1599" t="s">
        <v>3450</v>
      </c>
      <c r="V80" s="1599" t="s">
        <v>10184</v>
      </c>
      <c r="W80" s="1599" t="s">
        <v>10185</v>
      </c>
      <c r="X80" s="1599" t="s">
        <v>4459</v>
      </c>
      <c r="Y80" s="1599" t="s">
        <v>3623</v>
      </c>
      <c r="Z80" s="1599" t="s">
        <v>4171</v>
      </c>
      <c r="AA80" s="1599" t="s">
        <v>399</v>
      </c>
      <c r="AB80" s="1599" t="s">
        <v>624</v>
      </c>
      <c r="AC80" s="1599" t="s">
        <v>6057</v>
      </c>
      <c r="AD80" s="1505" t="s">
        <v>8942</v>
      </c>
      <c r="AE80" s="1599" t="s">
        <v>478</v>
      </c>
      <c r="AF80" s="1599" t="s">
        <v>10186</v>
      </c>
      <c r="AG80" s="1599" t="s">
        <v>10187</v>
      </c>
      <c r="AH80" s="1599" t="s">
        <v>4558</v>
      </c>
      <c r="AI80" s="1599" t="s">
        <v>10188</v>
      </c>
      <c r="AJ80" s="1599" t="s">
        <v>10189</v>
      </c>
      <c r="AK80" s="1599" t="s">
        <v>10190</v>
      </c>
      <c r="AL80" s="1599" t="s">
        <v>5014</v>
      </c>
      <c r="AM80" s="1599" t="s">
        <v>9812</v>
      </c>
      <c r="AN80" s="1599" t="s">
        <v>4364</v>
      </c>
      <c r="AO80" s="1599" t="s">
        <v>8925</v>
      </c>
      <c r="AP80" s="1599" t="s">
        <v>10191</v>
      </c>
      <c r="AQ80" s="1696" t="s">
        <v>8595</v>
      </c>
      <c r="AR80" s="1599" t="s">
        <v>10192</v>
      </c>
      <c r="AS80" s="1694" t="s">
        <v>755</v>
      </c>
      <c r="AT80" s="1599" t="s">
        <v>10193</v>
      </c>
      <c r="AU80" s="1543" t="s">
        <v>10194</v>
      </c>
      <c r="AV80" s="1543" t="s">
        <v>10195</v>
      </c>
      <c r="AW80" s="1699" t="s">
        <v>10196</v>
      </c>
    </row>
    <row r="81">
      <c r="A81" s="1550" t="s">
        <v>3854</v>
      </c>
      <c r="B81" s="1548" t="s">
        <v>8509</v>
      </c>
      <c r="C81" s="1503">
        <v>0.0522337962962963</v>
      </c>
      <c r="D81" s="1656" t="s">
        <v>10197</v>
      </c>
      <c r="E81" s="1603" t="s">
        <v>10198</v>
      </c>
      <c r="F81" s="1603" t="s">
        <v>10199</v>
      </c>
      <c r="G81" s="1603" t="s">
        <v>10200</v>
      </c>
      <c r="H81" s="1603" t="s">
        <v>10201</v>
      </c>
      <c r="I81" s="1603" t="s">
        <v>141</v>
      </c>
      <c r="J81" s="1603" t="s">
        <v>8204</v>
      </c>
      <c r="K81" s="1603" t="s">
        <v>4435</v>
      </c>
      <c r="L81" s="1603" t="s">
        <v>6167</v>
      </c>
      <c r="M81" s="1603" t="s">
        <v>10202</v>
      </c>
      <c r="N81" s="1603" t="s">
        <v>10203</v>
      </c>
      <c r="O81" s="1603" t="s">
        <v>10204</v>
      </c>
      <c r="P81" s="1603" t="s">
        <v>5146</v>
      </c>
      <c r="Q81" s="1603" t="s">
        <v>4878</v>
      </c>
      <c r="R81" s="1603" t="s">
        <v>6147</v>
      </c>
      <c r="S81" s="1603" t="s">
        <v>606</v>
      </c>
      <c r="T81" s="1603" t="s">
        <v>9978</v>
      </c>
      <c r="U81" s="1603" t="s">
        <v>8967</v>
      </c>
      <c r="V81" s="1603" t="s">
        <v>10205</v>
      </c>
      <c r="W81" s="1603" t="s">
        <v>10206</v>
      </c>
      <c r="X81" s="1603" t="s">
        <v>3155</v>
      </c>
      <c r="Y81" s="1603" t="s">
        <v>760</v>
      </c>
      <c r="Z81" s="1603" t="s">
        <v>10207</v>
      </c>
      <c r="AA81" s="1317" t="s">
        <v>10208</v>
      </c>
      <c r="AB81" s="1603" t="s">
        <v>7052</v>
      </c>
      <c r="AC81" s="1603" t="s">
        <v>9956</v>
      </c>
      <c r="AD81" s="1603" t="s">
        <v>7508</v>
      </c>
      <c r="AE81" s="1603" t="s">
        <v>4906</v>
      </c>
      <c r="AF81" s="1514" t="s">
        <v>10209</v>
      </c>
      <c r="AG81" s="1603" t="s">
        <v>10210</v>
      </c>
      <c r="AH81" s="1603" t="s">
        <v>5037</v>
      </c>
      <c r="AI81" s="1603" t="s">
        <v>6662</v>
      </c>
      <c r="AJ81" s="1603" t="s">
        <v>10211</v>
      </c>
      <c r="AK81" s="1603" t="s">
        <v>10212</v>
      </c>
      <c r="AL81" s="1603" t="s">
        <v>9893</v>
      </c>
      <c r="AM81" s="1603" t="s">
        <v>10213</v>
      </c>
      <c r="AN81" s="1603" t="s">
        <v>1080</v>
      </c>
      <c r="AO81" s="1603" t="s">
        <v>6327</v>
      </c>
      <c r="AP81" s="1603" t="s">
        <v>5598</v>
      </c>
      <c r="AQ81" s="1603" t="s">
        <v>10214</v>
      </c>
      <c r="AR81" s="1603" t="s">
        <v>691</v>
      </c>
      <c r="AS81" s="1514" t="s">
        <v>2765</v>
      </c>
      <c r="AT81" s="1603" t="s">
        <v>10215</v>
      </c>
      <c r="AU81" s="1603" t="s">
        <v>10216</v>
      </c>
      <c r="AV81" s="1680" t="str">
        <f t="shared" ref="AV81:AV99" si="3">TEXT(AU81-C81,"m:ss")</f>
        <v>4:32</v>
      </c>
      <c r="AW81" s="1681" t="s">
        <v>10217</v>
      </c>
    </row>
    <row r="82">
      <c r="A82" s="1550" t="s">
        <v>5177</v>
      </c>
      <c r="B82" s="1545" t="s">
        <v>8540</v>
      </c>
      <c r="C82" s="1503">
        <v>0.05232638888888889</v>
      </c>
      <c r="D82" s="1656" t="s">
        <v>10218</v>
      </c>
      <c r="E82" s="1603" t="s">
        <v>1231</v>
      </c>
      <c r="F82" s="1603" t="s">
        <v>10219</v>
      </c>
      <c r="G82" s="1603" t="s">
        <v>10220</v>
      </c>
      <c r="H82" s="1603" t="s">
        <v>10221</v>
      </c>
      <c r="I82" s="1603" t="s">
        <v>1355</v>
      </c>
      <c r="J82" s="1603" t="s">
        <v>7796</v>
      </c>
      <c r="K82" s="1603" t="s">
        <v>9782</v>
      </c>
      <c r="L82" s="1603" t="s">
        <v>10222</v>
      </c>
      <c r="M82" s="1603" t="s">
        <v>7536</v>
      </c>
      <c r="N82" s="1603" t="s">
        <v>10223</v>
      </c>
      <c r="O82" s="1603" t="s">
        <v>10224</v>
      </c>
      <c r="P82" s="1603" t="s">
        <v>519</v>
      </c>
      <c r="Q82" s="1603" t="s">
        <v>9617</v>
      </c>
      <c r="R82" s="1603" t="s">
        <v>5376</v>
      </c>
      <c r="S82" s="1603" t="s">
        <v>9437</v>
      </c>
      <c r="T82" s="1603" t="s">
        <v>10225</v>
      </c>
      <c r="U82" s="1603" t="s">
        <v>10226</v>
      </c>
      <c r="V82" s="1603" t="s">
        <v>10227</v>
      </c>
      <c r="W82" s="1603" t="s">
        <v>6253</v>
      </c>
      <c r="X82" s="1603" t="s">
        <v>310</v>
      </c>
      <c r="Y82" s="1603" t="s">
        <v>6505</v>
      </c>
      <c r="Z82" s="1603" t="s">
        <v>782</v>
      </c>
      <c r="AA82" s="1680" t="s">
        <v>9437</v>
      </c>
      <c r="AB82" s="1603" t="s">
        <v>10228</v>
      </c>
      <c r="AC82" s="1603" t="s">
        <v>6143</v>
      </c>
      <c r="AD82" s="1603" t="s">
        <v>10229</v>
      </c>
      <c r="AE82" s="1603" t="s">
        <v>222</v>
      </c>
      <c r="AF82" s="1603" t="s">
        <v>8121</v>
      </c>
      <c r="AG82" s="1603" t="s">
        <v>4013</v>
      </c>
      <c r="AH82" s="1603" t="s">
        <v>1882</v>
      </c>
      <c r="AI82" s="1603" t="s">
        <v>417</v>
      </c>
      <c r="AJ82" s="1603" t="s">
        <v>10230</v>
      </c>
      <c r="AK82" s="1603" t="s">
        <v>10231</v>
      </c>
      <c r="AL82" s="1603" t="s">
        <v>9934</v>
      </c>
      <c r="AM82" s="1603" t="s">
        <v>2854</v>
      </c>
      <c r="AN82" s="1603" t="s">
        <v>5885</v>
      </c>
      <c r="AO82" s="1603" t="s">
        <v>3657</v>
      </c>
      <c r="AP82" s="1603" t="s">
        <v>10232</v>
      </c>
      <c r="AQ82" s="1603" t="s">
        <v>7535</v>
      </c>
      <c r="AR82" s="1603" t="s">
        <v>6142</v>
      </c>
      <c r="AS82" s="1603" t="s">
        <v>10233</v>
      </c>
      <c r="AT82" s="1603" t="s">
        <v>10234</v>
      </c>
      <c r="AU82" s="1603" t="s">
        <v>10235</v>
      </c>
      <c r="AV82" s="1680" t="str">
        <f t="shared" si="3"/>
        <v>3:48</v>
      </c>
      <c r="AW82" s="1685"/>
    </row>
    <row r="83" ht="15.75" customHeight="1">
      <c r="A83" s="1501" t="s">
        <v>10236</v>
      </c>
      <c r="B83" s="1502" t="s">
        <v>8509</v>
      </c>
      <c r="C83" s="1649">
        <v>0.05240740740740741</v>
      </c>
      <c r="D83" s="1317" t="s">
        <v>10237</v>
      </c>
      <c r="E83" s="1680" t="s">
        <v>1661</v>
      </c>
      <c r="F83" s="1680" t="s">
        <v>7786</v>
      </c>
      <c r="G83" s="1680" t="s">
        <v>9914</v>
      </c>
      <c r="H83" s="1680" t="s">
        <v>10238</v>
      </c>
      <c r="I83" s="1680" t="s">
        <v>10239</v>
      </c>
      <c r="J83" s="1680" t="s">
        <v>10240</v>
      </c>
      <c r="K83" s="1680" t="s">
        <v>10241</v>
      </c>
      <c r="L83" s="1680" t="s">
        <v>4464</v>
      </c>
      <c r="M83" s="1680" t="s">
        <v>3322</v>
      </c>
      <c r="N83" s="1680" t="s">
        <v>4785</v>
      </c>
      <c r="O83" s="1680" t="s">
        <v>10242</v>
      </c>
      <c r="P83" s="1680" t="s">
        <v>10243</v>
      </c>
      <c r="Q83" s="1680" t="s">
        <v>4213</v>
      </c>
      <c r="R83" s="1680" t="s">
        <v>9547</v>
      </c>
      <c r="S83" s="1680" t="s">
        <v>9691</v>
      </c>
      <c r="T83" s="1680" t="s">
        <v>5038</v>
      </c>
      <c r="U83" s="1680" t="s">
        <v>10244</v>
      </c>
      <c r="V83" s="1680" t="s">
        <v>10245</v>
      </c>
      <c r="W83" s="1680" t="s">
        <v>10246</v>
      </c>
      <c r="X83" s="1680" t="s">
        <v>10247</v>
      </c>
      <c r="Y83" s="1680" t="s">
        <v>6416</v>
      </c>
      <c r="Z83" s="1680" t="s">
        <v>10109</v>
      </c>
      <c r="AA83" s="1680" t="s">
        <v>1863</v>
      </c>
      <c r="AB83" s="1680" t="s">
        <v>10248</v>
      </c>
      <c r="AC83" s="1680" t="s">
        <v>1545</v>
      </c>
      <c r="AD83" s="1680" t="s">
        <v>10249</v>
      </c>
      <c r="AE83" s="1680" t="s">
        <v>1545</v>
      </c>
      <c r="AF83" s="1680" t="s">
        <v>10250</v>
      </c>
      <c r="AG83" s="1680" t="s">
        <v>9849</v>
      </c>
      <c r="AH83" s="1680" t="s">
        <v>2104</v>
      </c>
      <c r="AI83" s="1680" t="s">
        <v>3303</v>
      </c>
      <c r="AJ83" s="1680" t="s">
        <v>10251</v>
      </c>
      <c r="AK83" s="1680" t="s">
        <v>7053</v>
      </c>
      <c r="AL83" s="1680" t="s">
        <v>10252</v>
      </c>
      <c r="AM83" s="1680" t="s">
        <v>1192</v>
      </c>
      <c r="AN83" s="1680" t="s">
        <v>2939</v>
      </c>
      <c r="AO83" s="1680" t="s">
        <v>10253</v>
      </c>
      <c r="AP83" s="1680" t="s">
        <v>3557</v>
      </c>
      <c r="AQ83" s="1680" t="s">
        <v>10254</v>
      </c>
      <c r="AR83" s="1680" t="s">
        <v>10255</v>
      </c>
      <c r="AS83" s="1680" t="s">
        <v>9160</v>
      </c>
      <c r="AT83" s="1680" t="s">
        <v>9243</v>
      </c>
      <c r="AU83" s="1680" t="s">
        <v>10256</v>
      </c>
      <c r="AV83" s="1680" t="str">
        <f t="shared" si="3"/>
        <v>3:40</v>
      </c>
      <c r="AW83" s="1684" t="s">
        <v>10257</v>
      </c>
    </row>
    <row r="84" ht="15.75" customHeight="1">
      <c r="A84" s="1604" t="s">
        <v>10258</v>
      </c>
      <c r="B84" s="1502" t="s">
        <v>8509</v>
      </c>
      <c r="C84" s="1649">
        <v>0.05263888888888889</v>
      </c>
      <c r="D84" s="1317" t="s">
        <v>10259</v>
      </c>
      <c r="E84" s="1680" t="s">
        <v>9965</v>
      </c>
      <c r="F84" s="1680" t="s">
        <v>10260</v>
      </c>
      <c r="G84" s="1680" t="s">
        <v>10261</v>
      </c>
      <c r="H84" s="1680" t="s">
        <v>10262</v>
      </c>
      <c r="I84" s="1680" t="s">
        <v>10263</v>
      </c>
      <c r="J84" s="1680" t="s">
        <v>10264</v>
      </c>
      <c r="K84" s="1680" t="s">
        <v>4132</v>
      </c>
      <c r="L84" s="1680" t="s">
        <v>4206</v>
      </c>
      <c r="M84" s="1680" t="s">
        <v>9264</v>
      </c>
      <c r="N84" s="1680" t="s">
        <v>10265</v>
      </c>
      <c r="O84" s="1680" t="s">
        <v>8555</v>
      </c>
      <c r="P84" s="1680" t="s">
        <v>482</v>
      </c>
      <c r="Q84" s="1680" t="s">
        <v>10266</v>
      </c>
      <c r="R84" s="1680" t="s">
        <v>5538</v>
      </c>
      <c r="S84" s="1680" t="s">
        <v>6362</v>
      </c>
      <c r="T84" s="1680" t="s">
        <v>10267</v>
      </c>
      <c r="U84" s="1680" t="s">
        <v>10268</v>
      </c>
      <c r="V84" s="1680" t="s">
        <v>10269</v>
      </c>
      <c r="W84" s="1680" t="s">
        <v>10270</v>
      </c>
      <c r="X84" s="1680" t="s">
        <v>5681</v>
      </c>
      <c r="Y84" s="1680" t="s">
        <v>1545</v>
      </c>
      <c r="Z84" s="1680" t="s">
        <v>6493</v>
      </c>
      <c r="AA84" s="1603" t="s">
        <v>6323</v>
      </c>
      <c r="AB84" s="1680" t="s">
        <v>9158</v>
      </c>
      <c r="AC84" s="1680" t="s">
        <v>9973</v>
      </c>
      <c r="AD84" s="1680" t="s">
        <v>2976</v>
      </c>
      <c r="AE84" s="1680" t="s">
        <v>1072</v>
      </c>
      <c r="AF84" s="1680" t="s">
        <v>10271</v>
      </c>
      <c r="AG84" s="1680" t="s">
        <v>2710</v>
      </c>
      <c r="AH84" s="1680" t="s">
        <v>6657</v>
      </c>
      <c r="AI84" s="1680" t="s">
        <v>10272</v>
      </c>
      <c r="AJ84" s="1680" t="s">
        <v>10273</v>
      </c>
      <c r="AK84" s="1680" t="s">
        <v>9572</v>
      </c>
      <c r="AL84" s="1680" t="s">
        <v>10274</v>
      </c>
      <c r="AM84" s="1680" t="s">
        <v>10275</v>
      </c>
      <c r="AN84" s="1680" t="s">
        <v>3828</v>
      </c>
      <c r="AO84" s="1680" t="s">
        <v>8925</v>
      </c>
      <c r="AP84" s="1680" t="s">
        <v>10276</v>
      </c>
      <c r="AQ84" s="1680" t="s">
        <v>10277</v>
      </c>
      <c r="AR84" s="1680" t="s">
        <v>1386</v>
      </c>
      <c r="AS84" s="1680" t="s">
        <v>1090</v>
      </c>
      <c r="AT84" s="1680" t="s">
        <v>10278</v>
      </c>
      <c r="AU84" s="1680" t="s">
        <v>10279</v>
      </c>
      <c r="AV84" s="1680" t="str">
        <f t="shared" si="3"/>
        <v>4:28</v>
      </c>
      <c r="AW84" s="1684" t="s">
        <v>10280</v>
      </c>
    </row>
    <row r="85">
      <c r="A85" s="1550" t="s">
        <v>3522</v>
      </c>
      <c r="B85" s="1657" t="s">
        <v>8566</v>
      </c>
      <c r="C85" s="1503">
        <v>0.052662037037037035</v>
      </c>
      <c r="D85" s="1317" t="s">
        <v>10281</v>
      </c>
      <c r="E85" s="1317" t="s">
        <v>531</v>
      </c>
      <c r="F85" s="1317" t="s">
        <v>10282</v>
      </c>
      <c r="G85" s="1317" t="s">
        <v>10283</v>
      </c>
      <c r="H85" s="1317" t="s">
        <v>8760</v>
      </c>
      <c r="I85" s="1317" t="s">
        <v>10284</v>
      </c>
      <c r="J85" s="1317" t="s">
        <v>1598</v>
      </c>
      <c r="K85" s="1317" t="s">
        <v>10285</v>
      </c>
      <c r="L85" s="1317" t="s">
        <v>2703</v>
      </c>
      <c r="M85" s="1317" t="s">
        <v>267</v>
      </c>
      <c r="N85" s="1317" t="s">
        <v>9072</v>
      </c>
      <c r="O85" s="1317" t="s">
        <v>10286</v>
      </c>
      <c r="P85" s="1317" t="s">
        <v>2046</v>
      </c>
      <c r="Q85" s="1317" t="s">
        <v>3504</v>
      </c>
      <c r="R85" s="1317" t="s">
        <v>10287</v>
      </c>
      <c r="S85" s="1317" t="s">
        <v>6054</v>
      </c>
      <c r="T85" s="1317" t="s">
        <v>10288</v>
      </c>
      <c r="U85" s="1317" t="s">
        <v>10289</v>
      </c>
      <c r="V85" s="1317" t="s">
        <v>10290</v>
      </c>
      <c r="W85" s="1317" t="s">
        <v>10291</v>
      </c>
      <c r="X85" s="1317" t="s">
        <v>2675</v>
      </c>
      <c r="Y85" s="1317" t="s">
        <v>2779</v>
      </c>
      <c r="Z85" s="1317" t="s">
        <v>6259</v>
      </c>
      <c r="AA85" s="1603" t="s">
        <v>10292</v>
      </c>
      <c r="AB85" s="1317" t="s">
        <v>10293</v>
      </c>
      <c r="AC85" s="1317" t="s">
        <v>6504</v>
      </c>
      <c r="AD85" s="1700" t="s">
        <v>8586</v>
      </c>
      <c r="AE85" s="1317" t="s">
        <v>333</v>
      </c>
      <c r="AF85" s="1317" t="s">
        <v>10294</v>
      </c>
      <c r="AG85" s="1317" t="s">
        <v>7459</v>
      </c>
      <c r="AH85" s="1317" t="s">
        <v>3696</v>
      </c>
      <c r="AI85" s="1317" t="s">
        <v>10295</v>
      </c>
      <c r="AJ85" s="1317" t="s">
        <v>10296</v>
      </c>
      <c r="AK85" s="1317" t="s">
        <v>10297</v>
      </c>
      <c r="AL85" s="1317" t="s">
        <v>4601</v>
      </c>
      <c r="AM85" s="1317" t="s">
        <v>5633</v>
      </c>
      <c r="AN85" s="1700" t="s">
        <v>8592</v>
      </c>
      <c r="AO85" s="1317" t="s">
        <v>10298</v>
      </c>
      <c r="AP85" s="1317" t="s">
        <v>10299</v>
      </c>
      <c r="AQ85" s="1317" t="s">
        <v>10300</v>
      </c>
      <c r="AR85" s="1317" t="s">
        <v>5930</v>
      </c>
      <c r="AS85" s="1317" t="s">
        <v>6990</v>
      </c>
      <c r="AT85" s="1317" t="s">
        <v>10301</v>
      </c>
      <c r="AU85" s="1701" t="s">
        <v>10302</v>
      </c>
      <c r="AV85" s="1680" t="str">
        <f t="shared" si="3"/>
        <v>4:43</v>
      </c>
      <c r="AW85" s="1688" t="s">
        <v>10303</v>
      </c>
    </row>
    <row r="86" ht="15.75" customHeight="1">
      <c r="A86" s="1550" t="s">
        <v>10304</v>
      </c>
      <c r="B86" s="1545" t="s">
        <v>8509</v>
      </c>
      <c r="C86" s="1503">
        <v>0.05267361111111111</v>
      </c>
      <c r="D86" s="1656" t="s">
        <v>9654</v>
      </c>
      <c r="E86" s="1603" t="s">
        <v>863</v>
      </c>
      <c r="F86" s="1603" t="s">
        <v>7483</v>
      </c>
      <c r="G86" s="1603" t="s">
        <v>10305</v>
      </c>
      <c r="H86" s="1603" t="s">
        <v>10306</v>
      </c>
      <c r="I86" s="1603" t="s">
        <v>5591</v>
      </c>
      <c r="J86" s="1317" t="s">
        <v>10307</v>
      </c>
      <c r="K86" s="1603" t="s">
        <v>10308</v>
      </c>
      <c r="L86" s="1603" t="s">
        <v>3696</v>
      </c>
      <c r="M86" s="1603" t="s">
        <v>7441</v>
      </c>
      <c r="N86" s="1603" t="s">
        <v>10309</v>
      </c>
      <c r="O86" s="1603" t="s">
        <v>10310</v>
      </c>
      <c r="P86" s="1603" t="s">
        <v>9620</v>
      </c>
      <c r="Q86" s="1603" t="s">
        <v>10311</v>
      </c>
      <c r="R86" s="1603" t="s">
        <v>5559</v>
      </c>
      <c r="S86" s="1603" t="s">
        <v>7476</v>
      </c>
      <c r="T86" s="1603" t="s">
        <v>10312</v>
      </c>
      <c r="U86" s="1603" t="s">
        <v>10313</v>
      </c>
      <c r="V86" s="1603" t="s">
        <v>3935</v>
      </c>
      <c r="W86" s="1603" t="s">
        <v>10314</v>
      </c>
      <c r="X86" s="1603" t="s">
        <v>2406</v>
      </c>
      <c r="Y86" s="1603" t="s">
        <v>6904</v>
      </c>
      <c r="Z86" s="1603" t="s">
        <v>8710</v>
      </c>
      <c r="AA86" s="1603" t="s">
        <v>10315</v>
      </c>
      <c r="AB86" s="1603" t="s">
        <v>9841</v>
      </c>
      <c r="AC86" s="1603" t="s">
        <v>9114</v>
      </c>
      <c r="AD86" s="1603" t="s">
        <v>10316</v>
      </c>
      <c r="AE86" s="1603" t="s">
        <v>2376</v>
      </c>
      <c r="AF86" s="1603" t="s">
        <v>10317</v>
      </c>
      <c r="AG86" s="1603" t="s">
        <v>10318</v>
      </c>
      <c r="AH86" s="1603" t="s">
        <v>4206</v>
      </c>
      <c r="AI86" s="1603" t="s">
        <v>10319</v>
      </c>
      <c r="AJ86" s="1603" t="s">
        <v>10320</v>
      </c>
      <c r="AK86" s="1603" t="s">
        <v>1690</v>
      </c>
      <c r="AL86" s="1603" t="s">
        <v>2563</v>
      </c>
      <c r="AM86" s="1603" t="s">
        <v>1690</v>
      </c>
      <c r="AN86" s="1603" t="s">
        <v>2563</v>
      </c>
      <c r="AO86" s="1603" t="s">
        <v>6071</v>
      </c>
      <c r="AP86" s="1603" t="s">
        <v>10321</v>
      </c>
      <c r="AQ86" s="1603" t="s">
        <v>2160</v>
      </c>
      <c r="AR86" s="1603" t="s">
        <v>10133</v>
      </c>
      <c r="AS86" s="1603" t="s">
        <v>10322</v>
      </c>
      <c r="AT86" s="1603" t="s">
        <v>10323</v>
      </c>
      <c r="AU86" s="1603" t="s">
        <v>10324</v>
      </c>
      <c r="AV86" s="1680" t="str">
        <f t="shared" si="3"/>
        <v>5:58</v>
      </c>
      <c r="AW86" s="1681" t="s">
        <v>10325</v>
      </c>
    </row>
    <row r="87" ht="15.75" customHeight="1">
      <c r="A87" s="1501" t="s">
        <v>5950</v>
      </c>
      <c r="B87" s="1579" t="s">
        <v>8540</v>
      </c>
      <c r="C87" s="1649">
        <v>0.05275462962962963</v>
      </c>
      <c r="D87" s="1317" t="s">
        <v>10326</v>
      </c>
      <c r="E87" s="1680" t="s">
        <v>9676</v>
      </c>
      <c r="F87" s="1680" t="s">
        <v>10327</v>
      </c>
      <c r="G87" s="1680" t="s">
        <v>8746</v>
      </c>
      <c r="H87" s="1680" t="s">
        <v>7315</v>
      </c>
      <c r="I87" s="1680" t="s">
        <v>2277</v>
      </c>
      <c r="J87" s="1680" t="s">
        <v>4148</v>
      </c>
      <c r="K87" s="1680" t="s">
        <v>9992</v>
      </c>
      <c r="L87" s="1680" t="s">
        <v>5243</v>
      </c>
      <c r="M87" s="1680" t="s">
        <v>4131</v>
      </c>
      <c r="N87" s="1680" t="s">
        <v>10328</v>
      </c>
      <c r="O87" s="1680" t="s">
        <v>10329</v>
      </c>
      <c r="P87" s="1680" t="s">
        <v>6200</v>
      </c>
      <c r="Q87" s="1680" t="s">
        <v>10330</v>
      </c>
      <c r="R87" s="1680" t="s">
        <v>10331</v>
      </c>
      <c r="S87" s="1680" t="s">
        <v>8529</v>
      </c>
      <c r="T87" s="1680" t="s">
        <v>2568</v>
      </c>
      <c r="U87" s="1680" t="s">
        <v>497</v>
      </c>
      <c r="V87" s="1680" t="s">
        <v>4100</v>
      </c>
      <c r="W87" s="1680" t="s">
        <v>10332</v>
      </c>
      <c r="X87" s="1680" t="s">
        <v>10333</v>
      </c>
      <c r="Y87" s="1680" t="s">
        <v>5646</v>
      </c>
      <c r="Z87" s="1680" t="s">
        <v>8848</v>
      </c>
      <c r="AA87" s="1680" t="s">
        <v>10334</v>
      </c>
      <c r="AB87" s="1680" t="s">
        <v>490</v>
      </c>
      <c r="AC87" s="1680" t="s">
        <v>9868</v>
      </c>
      <c r="AD87" s="1680" t="s">
        <v>10335</v>
      </c>
      <c r="AE87" s="1680" t="s">
        <v>10336</v>
      </c>
      <c r="AF87" s="1680" t="s">
        <v>9396</v>
      </c>
      <c r="AG87" s="1680" t="s">
        <v>6936</v>
      </c>
      <c r="AH87" s="1680" t="s">
        <v>723</v>
      </c>
      <c r="AI87" s="1680" t="s">
        <v>5271</v>
      </c>
      <c r="AJ87" s="1680" t="s">
        <v>10337</v>
      </c>
      <c r="AK87" s="1680" t="s">
        <v>8890</v>
      </c>
      <c r="AL87" s="1680" t="s">
        <v>5386</v>
      </c>
      <c r="AM87" s="1680" t="s">
        <v>10338</v>
      </c>
      <c r="AN87" s="1680" t="s">
        <v>6375</v>
      </c>
      <c r="AO87" s="1680" t="s">
        <v>10339</v>
      </c>
      <c r="AP87" s="1680" t="s">
        <v>10340</v>
      </c>
      <c r="AQ87" s="1680" t="s">
        <v>10341</v>
      </c>
      <c r="AR87" s="1680" t="s">
        <v>9928</v>
      </c>
      <c r="AS87" s="1680" t="s">
        <v>8858</v>
      </c>
      <c r="AT87" s="1680" t="s">
        <v>10342</v>
      </c>
      <c r="AU87" s="1680" t="s">
        <v>10343</v>
      </c>
      <c r="AV87" s="1680" t="str">
        <f t="shared" si="3"/>
        <v>3:59</v>
      </c>
      <c r="AW87" s="1685" t="s">
        <v>10344</v>
      </c>
    </row>
    <row r="88" ht="15.75" customHeight="1">
      <c r="A88" s="1604" t="s">
        <v>10345</v>
      </c>
      <c r="B88" s="1670" t="s">
        <v>8566</v>
      </c>
      <c r="C88" s="1649">
        <v>0.05291666666666667</v>
      </c>
      <c r="D88" s="1317" t="s">
        <v>10346</v>
      </c>
      <c r="E88" s="1680" t="s">
        <v>10347</v>
      </c>
      <c r="F88" s="1680" t="s">
        <v>5759</v>
      </c>
      <c r="G88" s="1680" t="s">
        <v>9534</v>
      </c>
      <c r="H88" s="1680" t="s">
        <v>9860</v>
      </c>
      <c r="I88" s="1680" t="s">
        <v>3013</v>
      </c>
      <c r="J88" s="1680" t="s">
        <v>10348</v>
      </c>
      <c r="K88" s="1680" t="s">
        <v>5369</v>
      </c>
      <c r="L88" s="1680" t="s">
        <v>7774</v>
      </c>
      <c r="M88" s="1680" t="s">
        <v>10349</v>
      </c>
      <c r="N88" s="1680" t="s">
        <v>10350</v>
      </c>
      <c r="O88" s="1680" t="s">
        <v>10351</v>
      </c>
      <c r="P88" s="1680" t="s">
        <v>9728</v>
      </c>
      <c r="Q88" s="1680" t="s">
        <v>10352</v>
      </c>
      <c r="R88" s="1680" t="s">
        <v>5784</v>
      </c>
      <c r="S88" s="1680" t="s">
        <v>4568</v>
      </c>
      <c r="T88" s="1680" t="s">
        <v>8745</v>
      </c>
      <c r="U88" s="1680" t="s">
        <v>5432</v>
      </c>
      <c r="V88" s="1680" t="s">
        <v>1150</v>
      </c>
      <c r="W88" s="1680" t="s">
        <v>1828</v>
      </c>
      <c r="X88" s="1680" t="s">
        <v>3297</v>
      </c>
      <c r="Y88" s="1680" t="s">
        <v>658</v>
      </c>
      <c r="Z88" s="1680" t="s">
        <v>10353</v>
      </c>
      <c r="AA88" s="1603" t="s">
        <v>7708</v>
      </c>
      <c r="AB88" s="1680" t="s">
        <v>3574</v>
      </c>
      <c r="AC88" s="1680" t="s">
        <v>2438</v>
      </c>
      <c r="AD88" s="1680" t="s">
        <v>10354</v>
      </c>
      <c r="AE88" s="1680" t="s">
        <v>10355</v>
      </c>
      <c r="AF88" s="1680" t="s">
        <v>10356</v>
      </c>
      <c r="AG88" s="1680" t="s">
        <v>10357</v>
      </c>
      <c r="AH88" s="1680" t="s">
        <v>10358</v>
      </c>
      <c r="AI88" s="1680" t="s">
        <v>10359</v>
      </c>
      <c r="AJ88" s="1680" t="s">
        <v>10360</v>
      </c>
      <c r="AK88" s="1680" t="s">
        <v>10361</v>
      </c>
      <c r="AL88" s="1680" t="s">
        <v>1664</v>
      </c>
      <c r="AM88" s="1680" t="s">
        <v>2902</v>
      </c>
      <c r="AN88" s="1680" t="s">
        <v>10362</v>
      </c>
      <c r="AO88" s="1680" t="s">
        <v>10363</v>
      </c>
      <c r="AP88" s="1680" t="s">
        <v>2896</v>
      </c>
      <c r="AQ88" s="1680" t="s">
        <v>10364</v>
      </c>
      <c r="AR88" s="1680" t="s">
        <v>10267</v>
      </c>
      <c r="AS88" s="1680" t="s">
        <v>4289</v>
      </c>
      <c r="AT88" s="1680" t="s">
        <v>10365</v>
      </c>
      <c r="AU88" s="1680" t="s">
        <v>10366</v>
      </c>
      <c r="AV88" s="1680" t="str">
        <f t="shared" si="3"/>
        <v>2:38</v>
      </c>
      <c r="AW88" s="1685"/>
    </row>
    <row r="89" ht="15.75" customHeight="1">
      <c r="A89" s="1550" t="s">
        <v>6278</v>
      </c>
      <c r="B89" s="1548" t="s">
        <v>8509</v>
      </c>
      <c r="C89" s="1503">
        <v>0.05324074074074074</v>
      </c>
      <c r="D89" s="1317" t="s">
        <v>10367</v>
      </c>
      <c r="E89" s="1317" t="s">
        <v>10368</v>
      </c>
      <c r="F89" s="1317" t="s">
        <v>10369</v>
      </c>
      <c r="G89" s="1317" t="s">
        <v>9270</v>
      </c>
      <c r="H89" s="1317" t="s">
        <v>10370</v>
      </c>
      <c r="I89" s="1317" t="s">
        <v>6057</v>
      </c>
      <c r="J89" s="1317" t="s">
        <v>1792</v>
      </c>
      <c r="K89" s="1317" t="s">
        <v>4324</v>
      </c>
      <c r="L89" s="1317" t="s">
        <v>10371</v>
      </c>
      <c r="M89" s="1317" t="s">
        <v>10372</v>
      </c>
      <c r="N89" s="1317" t="s">
        <v>10373</v>
      </c>
      <c r="O89" s="1317" t="s">
        <v>10374</v>
      </c>
      <c r="P89" s="1317" t="s">
        <v>10375</v>
      </c>
      <c r="Q89" s="1317" t="s">
        <v>10376</v>
      </c>
      <c r="R89" s="1317" t="s">
        <v>8525</v>
      </c>
      <c r="S89" s="1317" t="s">
        <v>10247</v>
      </c>
      <c r="T89" s="1317" t="s">
        <v>10377</v>
      </c>
      <c r="U89" s="1317" t="s">
        <v>10378</v>
      </c>
      <c r="V89" s="1317" t="s">
        <v>2725</v>
      </c>
      <c r="W89" s="1317" t="s">
        <v>10379</v>
      </c>
      <c r="X89" s="1317" t="s">
        <v>10380</v>
      </c>
      <c r="Y89" s="1317" t="s">
        <v>5591</v>
      </c>
      <c r="Z89" s="1317" t="s">
        <v>4064</v>
      </c>
      <c r="AA89" s="1603" t="s">
        <v>10381</v>
      </c>
      <c r="AB89" s="1317" t="s">
        <v>9660</v>
      </c>
      <c r="AC89" s="1317" t="s">
        <v>5537</v>
      </c>
      <c r="AD89" s="1317" t="s">
        <v>10382</v>
      </c>
      <c r="AE89" s="1317" t="s">
        <v>9471</v>
      </c>
      <c r="AF89" s="1317" t="s">
        <v>10383</v>
      </c>
      <c r="AG89" s="1317" t="s">
        <v>10187</v>
      </c>
      <c r="AH89" s="1317" t="s">
        <v>5635</v>
      </c>
      <c r="AI89" s="1317" t="s">
        <v>10384</v>
      </c>
      <c r="AJ89" s="1317" t="s">
        <v>10385</v>
      </c>
      <c r="AK89" s="1603" t="s">
        <v>10386</v>
      </c>
      <c r="AL89" s="1317" t="s">
        <v>9976</v>
      </c>
      <c r="AM89" s="1317" t="s">
        <v>10387</v>
      </c>
      <c r="AN89" s="1317" t="s">
        <v>9807</v>
      </c>
      <c r="AO89" s="1317" t="s">
        <v>4518</v>
      </c>
      <c r="AP89" s="1317" t="s">
        <v>10388</v>
      </c>
      <c r="AQ89" s="1317" t="s">
        <v>10389</v>
      </c>
      <c r="AR89" s="1603" t="s">
        <v>3695</v>
      </c>
      <c r="AS89" s="1317" t="s">
        <v>10390</v>
      </c>
      <c r="AT89" s="1317" t="s">
        <v>10391</v>
      </c>
      <c r="AU89" s="1603" t="s">
        <v>10302</v>
      </c>
      <c r="AV89" s="1680" t="str">
        <f t="shared" si="3"/>
        <v>3:53</v>
      </c>
      <c r="AW89" s="1681" t="s">
        <v>10392</v>
      </c>
    </row>
    <row r="90">
      <c r="A90" s="1550" t="s">
        <v>4724</v>
      </c>
      <c r="B90" s="1545" t="s">
        <v>8566</v>
      </c>
      <c r="C90" s="1503">
        <v>0.05331018518518518</v>
      </c>
      <c r="D90" s="1603" t="s">
        <v>10393</v>
      </c>
      <c r="E90" s="1603" t="s">
        <v>7853</v>
      </c>
      <c r="F90" s="1603" t="s">
        <v>10163</v>
      </c>
      <c r="G90" s="1603" t="s">
        <v>10394</v>
      </c>
      <c r="H90" s="1317" t="s">
        <v>10395</v>
      </c>
      <c r="I90" s="1603" t="s">
        <v>10396</v>
      </c>
      <c r="J90" s="1603" t="s">
        <v>9905</v>
      </c>
      <c r="K90" s="1603" t="s">
        <v>8740</v>
      </c>
      <c r="L90" s="1603" t="s">
        <v>4097</v>
      </c>
      <c r="M90" s="1603" t="s">
        <v>10397</v>
      </c>
      <c r="N90" s="1603" t="s">
        <v>9689</v>
      </c>
      <c r="O90" s="1603" t="s">
        <v>10398</v>
      </c>
      <c r="P90" s="1603" t="s">
        <v>6143</v>
      </c>
      <c r="Q90" s="1603" t="s">
        <v>10399</v>
      </c>
      <c r="R90" s="1603" t="s">
        <v>2140</v>
      </c>
      <c r="S90" s="1603" t="s">
        <v>7723</v>
      </c>
      <c r="T90" s="1603" t="s">
        <v>7297</v>
      </c>
      <c r="U90" s="1603" t="s">
        <v>10400</v>
      </c>
      <c r="V90" s="1603" t="s">
        <v>9885</v>
      </c>
      <c r="W90" s="1603" t="s">
        <v>10401</v>
      </c>
      <c r="X90" s="1603" t="s">
        <v>6937</v>
      </c>
      <c r="Y90" s="1603" t="s">
        <v>5445</v>
      </c>
      <c r="Z90" s="1603" t="s">
        <v>9691</v>
      </c>
      <c r="AA90" s="1603" t="s">
        <v>10402</v>
      </c>
      <c r="AB90" s="1603" t="s">
        <v>3467</v>
      </c>
      <c r="AC90" s="1603" t="s">
        <v>10403</v>
      </c>
      <c r="AD90" s="1603" t="s">
        <v>10404</v>
      </c>
      <c r="AE90" s="1603" t="s">
        <v>5646</v>
      </c>
      <c r="AF90" s="1603" t="s">
        <v>10405</v>
      </c>
      <c r="AG90" s="1603" t="s">
        <v>10406</v>
      </c>
      <c r="AH90" s="1603" t="s">
        <v>10407</v>
      </c>
      <c r="AI90" s="1603" t="s">
        <v>10408</v>
      </c>
      <c r="AJ90" s="1603" t="s">
        <v>10409</v>
      </c>
      <c r="AK90" s="1603" t="s">
        <v>2182</v>
      </c>
      <c r="AL90" s="1603" t="s">
        <v>2151</v>
      </c>
      <c r="AM90" s="1603" t="s">
        <v>10410</v>
      </c>
      <c r="AN90" s="1603" t="s">
        <v>4794</v>
      </c>
      <c r="AO90" s="1603" t="s">
        <v>10411</v>
      </c>
      <c r="AP90" s="1603" t="s">
        <v>2681</v>
      </c>
      <c r="AQ90" s="1603" t="s">
        <v>10412</v>
      </c>
      <c r="AR90" s="1603" t="s">
        <v>1677</v>
      </c>
      <c r="AS90" s="1603" t="s">
        <v>904</v>
      </c>
      <c r="AT90" s="1603" t="s">
        <v>10413</v>
      </c>
      <c r="AU90" s="1603" t="s">
        <v>10414</v>
      </c>
      <c r="AV90" s="1680" t="str">
        <f t="shared" si="3"/>
        <v>4:18</v>
      </c>
      <c r="AW90" s="1685"/>
    </row>
    <row r="91" ht="15.75" customHeight="1">
      <c r="A91" s="1604" t="s">
        <v>10415</v>
      </c>
      <c r="B91" s="1670" t="s">
        <v>8566</v>
      </c>
      <c r="C91" s="1503">
        <v>0.05348379629629629</v>
      </c>
      <c r="D91" s="1317" t="s">
        <v>10416</v>
      </c>
      <c r="E91" s="1680" t="s">
        <v>10198</v>
      </c>
      <c r="F91" s="1680" t="s">
        <v>6374</v>
      </c>
      <c r="G91" s="1680" t="s">
        <v>10417</v>
      </c>
      <c r="H91" s="1680" t="s">
        <v>10418</v>
      </c>
      <c r="I91" s="1680" t="s">
        <v>2344</v>
      </c>
      <c r="J91" s="1680" t="s">
        <v>9087</v>
      </c>
      <c r="K91" s="1680" t="s">
        <v>8578</v>
      </c>
      <c r="L91" s="1680" t="s">
        <v>4783</v>
      </c>
      <c r="M91" s="1680" t="s">
        <v>10419</v>
      </c>
      <c r="N91" s="1680" t="s">
        <v>10420</v>
      </c>
      <c r="O91" s="1680" t="s">
        <v>4366</v>
      </c>
      <c r="P91" s="1680" t="s">
        <v>855</v>
      </c>
      <c r="Q91" s="1603" t="s">
        <v>10421</v>
      </c>
      <c r="R91" s="1680" t="s">
        <v>9951</v>
      </c>
      <c r="S91" s="1680" t="s">
        <v>9302</v>
      </c>
      <c r="T91" s="1680" t="s">
        <v>10170</v>
      </c>
      <c r="U91" s="1680" t="s">
        <v>10422</v>
      </c>
      <c r="V91" s="1680" t="s">
        <v>3249</v>
      </c>
      <c r="W91" s="1680" t="s">
        <v>3176</v>
      </c>
      <c r="X91" s="1680" t="s">
        <v>3075</v>
      </c>
      <c r="Y91" s="1680" t="s">
        <v>114</v>
      </c>
      <c r="Z91" s="1680" t="s">
        <v>8965</v>
      </c>
      <c r="AA91" s="1603" t="s">
        <v>10423</v>
      </c>
      <c r="AB91" s="1680" t="s">
        <v>9699</v>
      </c>
      <c r="AC91" s="1680" t="s">
        <v>1156</v>
      </c>
      <c r="AD91" s="1680" t="s">
        <v>10424</v>
      </c>
      <c r="AE91" s="1680" t="s">
        <v>584</v>
      </c>
      <c r="AF91" s="1603" t="s">
        <v>10425</v>
      </c>
      <c r="AG91" s="1680" t="s">
        <v>5694</v>
      </c>
      <c r="AH91" s="1680" t="s">
        <v>9171</v>
      </c>
      <c r="AI91" s="1680" t="s">
        <v>2593</v>
      </c>
      <c r="AJ91" s="1680" t="s">
        <v>10426</v>
      </c>
      <c r="AK91" s="1680" t="s">
        <v>8981</v>
      </c>
      <c r="AL91" s="1680" t="s">
        <v>10427</v>
      </c>
      <c r="AM91" s="1680" t="s">
        <v>8724</v>
      </c>
      <c r="AN91" s="1680" t="s">
        <v>9976</v>
      </c>
      <c r="AO91" s="1680" t="s">
        <v>8669</v>
      </c>
      <c r="AP91" s="1680" t="s">
        <v>10428</v>
      </c>
      <c r="AQ91" s="1680" t="s">
        <v>4461</v>
      </c>
      <c r="AR91" s="1680" t="s">
        <v>1386</v>
      </c>
      <c r="AS91" s="1680" t="s">
        <v>8756</v>
      </c>
      <c r="AT91" s="1680" t="s">
        <v>4664</v>
      </c>
      <c r="AU91" s="1680" t="s">
        <v>10429</v>
      </c>
      <c r="AV91" s="1680" t="str">
        <f t="shared" si="3"/>
        <v>3:27</v>
      </c>
      <c r="AW91" s="1681" t="s">
        <v>10430</v>
      </c>
    </row>
    <row r="92">
      <c r="A92" s="1550" t="s">
        <v>5323</v>
      </c>
      <c r="B92" s="1548" t="s">
        <v>8509</v>
      </c>
      <c r="C92" s="1503">
        <v>0.05376157407407407</v>
      </c>
      <c r="D92" s="1603" t="s">
        <v>10431</v>
      </c>
      <c r="E92" s="1603" t="s">
        <v>10432</v>
      </c>
      <c r="F92" s="1603" t="s">
        <v>10433</v>
      </c>
      <c r="G92" s="1603" t="s">
        <v>10434</v>
      </c>
      <c r="H92" s="1702" t="s">
        <v>10435</v>
      </c>
      <c r="I92" s="1317" t="s">
        <v>236</v>
      </c>
      <c r="J92" s="1603" t="s">
        <v>9572</v>
      </c>
      <c r="K92" s="1603" t="s">
        <v>10436</v>
      </c>
      <c r="L92" s="1603" t="s">
        <v>2509</v>
      </c>
      <c r="M92" s="1603" t="s">
        <v>1262</v>
      </c>
      <c r="N92" s="1603" t="s">
        <v>10437</v>
      </c>
      <c r="O92" s="1603" t="s">
        <v>10438</v>
      </c>
      <c r="P92" s="1603" t="s">
        <v>949</v>
      </c>
      <c r="Q92" s="1603" t="s">
        <v>4386</v>
      </c>
      <c r="R92" s="1603" t="s">
        <v>10439</v>
      </c>
      <c r="S92" s="1703" t="s">
        <v>10440</v>
      </c>
      <c r="T92" s="1703" t="s">
        <v>9134</v>
      </c>
      <c r="U92" s="1603" t="s">
        <v>10441</v>
      </c>
      <c r="V92" s="1603" t="s">
        <v>10442</v>
      </c>
      <c r="W92" s="1603" t="s">
        <v>7692</v>
      </c>
      <c r="X92" s="1603" t="s">
        <v>10443</v>
      </c>
      <c r="Y92" s="1603" t="s">
        <v>2115</v>
      </c>
      <c r="Z92" s="1603" t="s">
        <v>9699</v>
      </c>
      <c r="AA92" s="1603" t="s">
        <v>10444</v>
      </c>
      <c r="AB92" s="1603" t="s">
        <v>10445</v>
      </c>
      <c r="AC92" s="1603" t="s">
        <v>7645</v>
      </c>
      <c r="AD92" s="1603" t="s">
        <v>5916</v>
      </c>
      <c r="AE92" s="1603" t="s">
        <v>2438</v>
      </c>
      <c r="AF92" s="1603" t="s">
        <v>10446</v>
      </c>
      <c r="AG92" s="1603" t="s">
        <v>10447</v>
      </c>
      <c r="AH92" s="1603" t="s">
        <v>4975</v>
      </c>
      <c r="AI92" s="1603" t="s">
        <v>7528</v>
      </c>
      <c r="AJ92" s="1603" t="s">
        <v>10448</v>
      </c>
      <c r="AK92" s="1603" t="s">
        <v>4774</v>
      </c>
      <c r="AL92" s="1603" t="s">
        <v>10449</v>
      </c>
      <c r="AM92" s="1603" t="s">
        <v>4786</v>
      </c>
      <c r="AN92" s="1603" t="s">
        <v>10450</v>
      </c>
      <c r="AO92" s="1603" t="s">
        <v>8524</v>
      </c>
      <c r="AP92" s="1603" t="s">
        <v>10451</v>
      </c>
      <c r="AQ92" s="1603" t="s">
        <v>10452</v>
      </c>
      <c r="AR92" s="1603" t="s">
        <v>5143</v>
      </c>
      <c r="AS92" s="1603" t="s">
        <v>8703</v>
      </c>
      <c r="AT92" s="1603" t="s">
        <v>10453</v>
      </c>
      <c r="AU92" s="1603" t="s">
        <v>10454</v>
      </c>
      <c r="AV92" s="1680" t="str">
        <f t="shared" si="3"/>
        <v>4:58</v>
      </c>
      <c r="AW92" s="1704"/>
    </row>
    <row r="93" ht="15.75" customHeight="1">
      <c r="A93" s="1604" t="s">
        <v>6417</v>
      </c>
      <c r="B93" s="1670" t="s">
        <v>8566</v>
      </c>
      <c r="C93" s="1649">
        <v>0.05386574074074074</v>
      </c>
      <c r="D93" s="1680" t="s">
        <v>10455</v>
      </c>
      <c r="E93" s="1680" t="s">
        <v>7279</v>
      </c>
      <c r="F93" s="1680" t="s">
        <v>10456</v>
      </c>
      <c r="G93" s="1680" t="s">
        <v>4331</v>
      </c>
      <c r="H93" s="1680" t="s">
        <v>10457</v>
      </c>
      <c r="I93" s="1680" t="s">
        <v>10396</v>
      </c>
      <c r="J93" s="1680" t="s">
        <v>10458</v>
      </c>
      <c r="K93" s="1680" t="s">
        <v>10459</v>
      </c>
      <c r="L93" s="1680" t="s">
        <v>1437</v>
      </c>
      <c r="M93" s="1680" t="s">
        <v>4539</v>
      </c>
      <c r="N93" s="1680" t="s">
        <v>7433</v>
      </c>
      <c r="O93" s="1680" t="s">
        <v>10460</v>
      </c>
      <c r="P93" s="1680" t="s">
        <v>6143</v>
      </c>
      <c r="Q93" s="1680" t="s">
        <v>10461</v>
      </c>
      <c r="R93" s="1680" t="s">
        <v>10462</v>
      </c>
      <c r="S93" s="1680" t="s">
        <v>10463</v>
      </c>
      <c r="T93" s="1680" t="s">
        <v>9680</v>
      </c>
      <c r="U93" s="1680" t="s">
        <v>10464</v>
      </c>
      <c r="V93" s="1680" t="s">
        <v>10465</v>
      </c>
      <c r="W93" s="1680" t="s">
        <v>10466</v>
      </c>
      <c r="X93" s="1680" t="s">
        <v>1335</v>
      </c>
      <c r="Y93" s="1680" t="s">
        <v>1878</v>
      </c>
      <c r="Z93" s="1680" t="s">
        <v>9146</v>
      </c>
      <c r="AA93" s="1317" t="s">
        <v>10467</v>
      </c>
      <c r="AB93" s="1680" t="s">
        <v>10468</v>
      </c>
      <c r="AC93" s="1680" t="s">
        <v>7021</v>
      </c>
      <c r="AD93" s="1680" t="s">
        <v>10469</v>
      </c>
      <c r="AE93" s="1680" t="s">
        <v>10470</v>
      </c>
      <c r="AF93" s="1680" t="s">
        <v>10021</v>
      </c>
      <c r="AG93" s="1680" t="s">
        <v>10471</v>
      </c>
      <c r="AH93" s="1680" t="s">
        <v>10472</v>
      </c>
      <c r="AI93" s="1680" t="s">
        <v>3550</v>
      </c>
      <c r="AJ93" s="1680" t="s">
        <v>10473</v>
      </c>
      <c r="AK93" s="1680" t="s">
        <v>10474</v>
      </c>
      <c r="AL93" s="1680" t="s">
        <v>4512</v>
      </c>
      <c r="AM93" s="1680" t="s">
        <v>9668</v>
      </c>
      <c r="AN93" s="1680" t="s">
        <v>9209</v>
      </c>
      <c r="AO93" s="1603" t="s">
        <v>9387</v>
      </c>
      <c r="AP93" s="1680" t="s">
        <v>10475</v>
      </c>
      <c r="AQ93" s="1680" t="s">
        <v>10476</v>
      </c>
      <c r="AR93" s="1680" t="s">
        <v>10477</v>
      </c>
      <c r="AS93" s="1680" t="s">
        <v>8972</v>
      </c>
      <c r="AT93" s="1680" t="s">
        <v>6227</v>
      </c>
      <c r="AU93" s="1680" t="s">
        <v>10414</v>
      </c>
      <c r="AV93" s="1680" t="str">
        <f t="shared" si="3"/>
        <v>3:30</v>
      </c>
      <c r="AW93" s="1685"/>
    </row>
    <row r="94">
      <c r="A94" s="1550" t="s">
        <v>5221</v>
      </c>
      <c r="B94" s="1548" t="s">
        <v>8566</v>
      </c>
      <c r="C94" s="1503">
        <v>0.05482638888888889</v>
      </c>
      <c r="D94" s="1656" t="s">
        <v>10478</v>
      </c>
      <c r="E94" s="1603" t="s">
        <v>9295</v>
      </c>
      <c r="F94" s="1603" t="s">
        <v>10479</v>
      </c>
      <c r="G94" s="1603" t="s">
        <v>10480</v>
      </c>
      <c r="H94" s="1603" t="s">
        <v>10481</v>
      </c>
      <c r="I94" s="1603" t="s">
        <v>10482</v>
      </c>
      <c r="J94" s="1603" t="s">
        <v>10483</v>
      </c>
      <c r="K94" s="1603" t="s">
        <v>9703</v>
      </c>
      <c r="L94" s="1603" t="s">
        <v>10484</v>
      </c>
      <c r="M94" s="1603" t="s">
        <v>1675</v>
      </c>
      <c r="N94" s="1603" t="s">
        <v>6332</v>
      </c>
      <c r="O94" s="1603" t="s">
        <v>10485</v>
      </c>
      <c r="P94" s="1603" t="s">
        <v>6416</v>
      </c>
      <c r="Q94" s="1603" t="s">
        <v>10486</v>
      </c>
      <c r="R94" s="1603" t="s">
        <v>8970</v>
      </c>
      <c r="S94" s="1603" t="s">
        <v>10487</v>
      </c>
      <c r="T94" s="1603" t="s">
        <v>10402</v>
      </c>
      <c r="U94" s="1603" t="s">
        <v>10488</v>
      </c>
      <c r="V94" s="1603" t="s">
        <v>928</v>
      </c>
      <c r="W94" s="1603" t="s">
        <v>10489</v>
      </c>
      <c r="X94" s="1603" t="s">
        <v>10490</v>
      </c>
      <c r="Y94" s="1603" t="s">
        <v>1766</v>
      </c>
      <c r="Z94" s="1603" t="s">
        <v>9721</v>
      </c>
      <c r="AA94" s="1603" t="s">
        <v>2382</v>
      </c>
      <c r="AB94" s="1603" t="s">
        <v>5375</v>
      </c>
      <c r="AC94" s="1603" t="s">
        <v>10491</v>
      </c>
      <c r="AD94" s="1603" t="s">
        <v>10492</v>
      </c>
      <c r="AE94" s="1603" t="s">
        <v>1545</v>
      </c>
      <c r="AF94" s="1603" t="s">
        <v>10493</v>
      </c>
      <c r="AG94" s="1603" t="s">
        <v>10494</v>
      </c>
      <c r="AH94" s="1603" t="s">
        <v>10495</v>
      </c>
      <c r="AI94" s="1603" t="s">
        <v>6018</v>
      </c>
      <c r="AJ94" s="1603" t="s">
        <v>10496</v>
      </c>
      <c r="AK94" s="1603" t="s">
        <v>243</v>
      </c>
      <c r="AL94" s="1603" t="s">
        <v>7107</v>
      </c>
      <c r="AM94" s="1603" t="s">
        <v>4335</v>
      </c>
      <c r="AN94" s="1603" t="s">
        <v>10497</v>
      </c>
      <c r="AO94" s="1603" t="s">
        <v>1792</v>
      </c>
      <c r="AP94" s="1603" t="s">
        <v>971</v>
      </c>
      <c r="AQ94" s="1603" t="s">
        <v>10498</v>
      </c>
      <c r="AR94" s="1603" t="s">
        <v>10499</v>
      </c>
      <c r="AS94" s="1603" t="s">
        <v>2177</v>
      </c>
      <c r="AT94" s="1603" t="s">
        <v>10500</v>
      </c>
      <c r="AU94" s="1603" t="s">
        <v>10501</v>
      </c>
      <c r="AV94" s="1680" t="str">
        <f t="shared" si="3"/>
        <v>3:40</v>
      </c>
      <c r="AW94" s="1681" t="s">
        <v>10502</v>
      </c>
    </row>
    <row r="95">
      <c r="A95" s="1550" t="s">
        <v>5403</v>
      </c>
      <c r="B95" s="1548" t="s">
        <v>8509</v>
      </c>
      <c r="C95" s="1503">
        <v>0.05482638888888889</v>
      </c>
      <c r="D95" s="1526" t="s">
        <v>10503</v>
      </c>
      <c r="E95" s="1526" t="s">
        <v>9145</v>
      </c>
      <c r="F95" s="1526" t="s">
        <v>10504</v>
      </c>
      <c r="G95" s="1526" t="s">
        <v>10505</v>
      </c>
      <c r="H95" s="1526" t="s">
        <v>10506</v>
      </c>
      <c r="I95" s="1526">
        <v>50.26</v>
      </c>
      <c r="J95" s="1526" t="s">
        <v>10483</v>
      </c>
      <c r="K95" s="1526" t="s">
        <v>10507</v>
      </c>
      <c r="L95" s="1526" t="s">
        <v>10508</v>
      </c>
      <c r="M95" s="1526" t="s">
        <v>2206</v>
      </c>
      <c r="N95" s="1526" t="s">
        <v>10509</v>
      </c>
      <c r="O95" s="1526" t="s">
        <v>10510</v>
      </c>
      <c r="P95" s="1526">
        <v>49.15</v>
      </c>
      <c r="Q95" s="1526" t="s">
        <v>10511</v>
      </c>
      <c r="R95" s="1526" t="s">
        <v>3388</v>
      </c>
      <c r="S95" s="1526" t="s">
        <v>10512</v>
      </c>
      <c r="T95" s="1526" t="s">
        <v>5038</v>
      </c>
      <c r="U95" s="1526" t="s">
        <v>3188</v>
      </c>
      <c r="V95" s="1526" t="s">
        <v>10513</v>
      </c>
      <c r="W95" s="1526" t="s">
        <v>10514</v>
      </c>
      <c r="X95" s="1526" t="s">
        <v>10515</v>
      </c>
      <c r="Y95" s="1526">
        <v>51.87</v>
      </c>
      <c r="Z95" s="1526" t="s">
        <v>6142</v>
      </c>
      <c r="AA95" s="1526" t="s">
        <v>6386</v>
      </c>
      <c r="AB95" s="1526" t="s">
        <v>6362</v>
      </c>
      <c r="AC95" s="1526">
        <v>49.75</v>
      </c>
      <c r="AD95" s="1526" t="s">
        <v>10516</v>
      </c>
      <c r="AE95" s="1526">
        <v>50.16</v>
      </c>
      <c r="AF95" s="1526" t="s">
        <v>10517</v>
      </c>
      <c r="AG95" s="1526" t="s">
        <v>10518</v>
      </c>
      <c r="AH95" s="1526" t="s">
        <v>6250</v>
      </c>
      <c r="AI95" s="1526" t="s">
        <v>7265</v>
      </c>
      <c r="AJ95" s="1526" t="s">
        <v>10519</v>
      </c>
      <c r="AK95" s="1526" t="s">
        <v>10437</v>
      </c>
      <c r="AL95" s="1526">
        <v>59.29</v>
      </c>
      <c r="AM95" s="1526" t="s">
        <v>4461</v>
      </c>
      <c r="AN95" s="1526" t="s">
        <v>622</v>
      </c>
      <c r="AO95" s="1526" t="s">
        <v>10520</v>
      </c>
      <c r="AP95" s="1526" t="s">
        <v>10521</v>
      </c>
      <c r="AQ95" s="1526" t="s">
        <v>10522</v>
      </c>
      <c r="AR95" s="1526" t="s">
        <v>7337</v>
      </c>
      <c r="AS95" s="1526">
        <v>47.7</v>
      </c>
      <c r="AT95" s="1526" t="s">
        <v>10523</v>
      </c>
      <c r="AU95" s="1531" t="s">
        <v>10524</v>
      </c>
      <c r="AV95" s="1680" t="str">
        <f t="shared" si="3"/>
        <v>5:51</v>
      </c>
      <c r="AW95" s="1688" t="s">
        <v>10525</v>
      </c>
    </row>
    <row r="96">
      <c r="A96" s="1550" t="s">
        <v>5474</v>
      </c>
      <c r="B96" s="1545" t="s">
        <v>8509</v>
      </c>
      <c r="C96" s="1503">
        <v>0.05559027777777778</v>
      </c>
      <c r="D96" s="1656" t="s">
        <v>10526</v>
      </c>
      <c r="E96" s="1603" t="s">
        <v>10527</v>
      </c>
      <c r="F96" s="1603" t="s">
        <v>10528</v>
      </c>
      <c r="G96" s="1603" t="s">
        <v>8208</v>
      </c>
      <c r="H96" s="1603" t="s">
        <v>5770</v>
      </c>
      <c r="I96" s="1603" t="s">
        <v>1843</v>
      </c>
      <c r="J96" s="1603" t="s">
        <v>10529</v>
      </c>
      <c r="K96" s="1603" t="s">
        <v>6146</v>
      </c>
      <c r="L96" s="1603" t="s">
        <v>8351</v>
      </c>
      <c r="M96" s="1603" t="s">
        <v>7342</v>
      </c>
      <c r="N96" s="1603" t="s">
        <v>10530</v>
      </c>
      <c r="O96" s="1603" t="s">
        <v>10531</v>
      </c>
      <c r="P96" s="1603" t="s">
        <v>187</v>
      </c>
      <c r="Q96" s="1603" t="s">
        <v>1757</v>
      </c>
      <c r="R96" s="1603" t="s">
        <v>10532</v>
      </c>
      <c r="S96" s="1603" t="s">
        <v>5213</v>
      </c>
      <c r="T96" s="1603" t="s">
        <v>10533</v>
      </c>
      <c r="U96" s="1603" t="s">
        <v>10534</v>
      </c>
      <c r="V96" s="1603" t="s">
        <v>6414</v>
      </c>
      <c r="W96" s="1603" t="s">
        <v>9277</v>
      </c>
      <c r="X96" s="1603" t="s">
        <v>4977</v>
      </c>
      <c r="Y96" s="1603" t="s">
        <v>99</v>
      </c>
      <c r="Z96" s="1603" t="s">
        <v>10535</v>
      </c>
      <c r="AA96" s="1603" t="s">
        <v>10295</v>
      </c>
      <c r="AB96" s="1603" t="s">
        <v>3595</v>
      </c>
      <c r="AC96" s="1603" t="s">
        <v>4676</v>
      </c>
      <c r="AD96" s="1603" t="s">
        <v>6068</v>
      </c>
      <c r="AE96" s="1603" t="s">
        <v>946</v>
      </c>
      <c r="AF96" s="1603" t="s">
        <v>10536</v>
      </c>
      <c r="AG96" s="1603" t="s">
        <v>10537</v>
      </c>
      <c r="AH96" s="1603" t="s">
        <v>8241</v>
      </c>
      <c r="AI96" s="1603" t="s">
        <v>10538</v>
      </c>
      <c r="AJ96" s="1603" t="s">
        <v>10539</v>
      </c>
      <c r="AK96" s="1603" t="s">
        <v>4533</v>
      </c>
      <c r="AL96" s="1603" t="s">
        <v>125</v>
      </c>
      <c r="AM96" s="1603" t="s">
        <v>10540</v>
      </c>
      <c r="AN96" s="1603" t="s">
        <v>10541</v>
      </c>
      <c r="AO96" s="1603" t="s">
        <v>1039</v>
      </c>
      <c r="AP96" s="1603" t="s">
        <v>10542</v>
      </c>
      <c r="AQ96" s="1603" t="s">
        <v>10543</v>
      </c>
      <c r="AR96" s="1603" t="s">
        <v>10544</v>
      </c>
      <c r="AS96" s="1603" t="s">
        <v>916</v>
      </c>
      <c r="AT96" s="1603" t="s">
        <v>10545</v>
      </c>
      <c r="AU96" s="1603" t="s">
        <v>10546</v>
      </c>
      <c r="AV96" s="1680" t="str">
        <f t="shared" si="3"/>
        <v>5:05</v>
      </c>
      <c r="AW96" s="1681" t="s">
        <v>10547</v>
      </c>
    </row>
    <row r="97">
      <c r="A97" s="1550" t="s">
        <v>4898</v>
      </c>
      <c r="B97" s="1545" t="s">
        <v>8540</v>
      </c>
      <c r="C97" s="1591">
        <v>0.05565972222222222</v>
      </c>
      <c r="D97" s="1603" t="s">
        <v>10548</v>
      </c>
      <c r="E97" s="1603" t="s">
        <v>3231</v>
      </c>
      <c r="F97" s="1603" t="s">
        <v>10549</v>
      </c>
      <c r="G97" s="1603" t="s">
        <v>10550</v>
      </c>
      <c r="H97" s="1317" t="s">
        <v>9052</v>
      </c>
      <c r="I97" s="1603" t="s">
        <v>3592</v>
      </c>
      <c r="J97" s="1603" t="s">
        <v>9286</v>
      </c>
      <c r="K97" s="1603" t="s">
        <v>805</v>
      </c>
      <c r="L97" s="1603" t="s">
        <v>10551</v>
      </c>
      <c r="M97" s="1603" t="s">
        <v>10552</v>
      </c>
      <c r="N97" s="1603" t="s">
        <v>6271</v>
      </c>
      <c r="O97" s="1603" t="s">
        <v>10553</v>
      </c>
      <c r="P97" s="1603" t="s">
        <v>9956</v>
      </c>
      <c r="Q97" s="1603" t="s">
        <v>10554</v>
      </c>
      <c r="R97" s="1603" t="s">
        <v>9723</v>
      </c>
      <c r="S97" s="1603" t="s">
        <v>417</v>
      </c>
      <c r="T97" s="1603" t="s">
        <v>10555</v>
      </c>
      <c r="U97" s="1603" t="s">
        <v>10556</v>
      </c>
      <c r="V97" s="1603" t="s">
        <v>10557</v>
      </c>
      <c r="W97" s="1603" t="s">
        <v>10558</v>
      </c>
      <c r="X97" s="1603" t="s">
        <v>10559</v>
      </c>
      <c r="Y97" s="1603" t="s">
        <v>2438</v>
      </c>
      <c r="Z97" s="1603" t="s">
        <v>5288</v>
      </c>
      <c r="AA97" s="1603" t="s">
        <v>9890</v>
      </c>
      <c r="AB97" s="1603" t="s">
        <v>10241</v>
      </c>
      <c r="AC97" s="1603" t="s">
        <v>9728</v>
      </c>
      <c r="AD97" s="1603" t="s">
        <v>10560</v>
      </c>
      <c r="AE97" s="1603" t="s">
        <v>10561</v>
      </c>
      <c r="AF97" s="1603" t="s">
        <v>10562</v>
      </c>
      <c r="AG97" s="1603" t="s">
        <v>10563</v>
      </c>
      <c r="AH97" s="1603" t="s">
        <v>10564</v>
      </c>
      <c r="AI97" s="1603" t="s">
        <v>10565</v>
      </c>
      <c r="AJ97" s="1603" t="s">
        <v>10566</v>
      </c>
      <c r="AK97" s="1603" t="s">
        <v>7297</v>
      </c>
      <c r="AL97" s="1603" t="s">
        <v>3721</v>
      </c>
      <c r="AM97" s="1603" t="s">
        <v>4786</v>
      </c>
      <c r="AN97" s="1603" t="s">
        <v>10567</v>
      </c>
      <c r="AO97" s="1603" t="s">
        <v>1983</v>
      </c>
      <c r="AP97" s="1603" t="s">
        <v>10568</v>
      </c>
      <c r="AQ97" s="1603" t="s">
        <v>10569</v>
      </c>
      <c r="AR97" s="1603" t="s">
        <v>10570</v>
      </c>
      <c r="AS97" s="1603" t="s">
        <v>2238</v>
      </c>
      <c r="AT97" s="1603" t="s">
        <v>10571</v>
      </c>
      <c r="AU97" s="1603" t="s">
        <v>10572</v>
      </c>
      <c r="AV97" s="1680" t="str">
        <f t="shared" si="3"/>
        <v>8:24</v>
      </c>
      <c r="AW97" s="1681" t="s">
        <v>9585</v>
      </c>
    </row>
    <row r="98">
      <c r="A98" s="1604" t="s">
        <v>10573</v>
      </c>
      <c r="B98" s="1579" t="s">
        <v>8540</v>
      </c>
      <c r="C98" s="1649">
        <v>0.057881944444444444</v>
      </c>
      <c r="D98" s="1603" t="s">
        <v>10574</v>
      </c>
      <c r="E98" s="1680" t="s">
        <v>10575</v>
      </c>
      <c r="F98" s="1603" t="s">
        <v>10576</v>
      </c>
      <c r="G98" s="1603" t="s">
        <v>10577</v>
      </c>
      <c r="H98" s="1680" t="s">
        <v>10578</v>
      </c>
      <c r="I98" s="1680" t="s">
        <v>1029</v>
      </c>
      <c r="J98" s="1680" t="s">
        <v>10579</v>
      </c>
      <c r="K98" s="1680" t="s">
        <v>3646</v>
      </c>
      <c r="L98" s="1680" t="s">
        <v>10580</v>
      </c>
      <c r="M98" s="1680" t="s">
        <v>6771</v>
      </c>
      <c r="N98" s="1680" t="s">
        <v>10581</v>
      </c>
      <c r="O98" s="1680" t="s">
        <v>10582</v>
      </c>
      <c r="P98" s="1680" t="s">
        <v>3682</v>
      </c>
      <c r="Q98" s="1680" t="s">
        <v>10583</v>
      </c>
      <c r="R98" s="1680" t="s">
        <v>10584</v>
      </c>
      <c r="S98" s="1680" t="s">
        <v>10585</v>
      </c>
      <c r="T98" s="1680" t="s">
        <v>1765</v>
      </c>
      <c r="U98" s="1680" t="s">
        <v>10586</v>
      </c>
      <c r="V98" s="1680" t="s">
        <v>10587</v>
      </c>
      <c r="W98" s="1680" t="s">
        <v>10588</v>
      </c>
      <c r="X98" s="1680" t="s">
        <v>10589</v>
      </c>
      <c r="Y98" s="1680" t="s">
        <v>2851</v>
      </c>
      <c r="Z98" s="1680" t="s">
        <v>10590</v>
      </c>
      <c r="AA98" s="1603" t="s">
        <v>10591</v>
      </c>
      <c r="AB98" s="1680" t="s">
        <v>9087</v>
      </c>
      <c r="AC98" s="1680" t="s">
        <v>3501</v>
      </c>
      <c r="AD98" s="1680" t="s">
        <v>5252</v>
      </c>
      <c r="AE98" s="1680" t="s">
        <v>2570</v>
      </c>
      <c r="AF98" s="1680" t="s">
        <v>10592</v>
      </c>
      <c r="AG98" s="1680" t="s">
        <v>5697</v>
      </c>
      <c r="AH98" s="1680" t="s">
        <v>10593</v>
      </c>
      <c r="AI98" s="1680" t="s">
        <v>4827</v>
      </c>
      <c r="AJ98" s="1680" t="s">
        <v>10594</v>
      </c>
      <c r="AK98" s="1680" t="s">
        <v>10595</v>
      </c>
      <c r="AL98" s="1680" t="s">
        <v>3912</v>
      </c>
      <c r="AM98" s="1680" t="s">
        <v>4835</v>
      </c>
      <c r="AN98" s="1680" t="s">
        <v>10596</v>
      </c>
      <c r="AO98" s="1680" t="s">
        <v>9957</v>
      </c>
      <c r="AP98" s="1680" t="s">
        <v>10597</v>
      </c>
      <c r="AQ98" s="1680" t="s">
        <v>7314</v>
      </c>
      <c r="AR98" s="1680" t="s">
        <v>10598</v>
      </c>
      <c r="AS98" s="1680" t="s">
        <v>617</v>
      </c>
      <c r="AT98" s="1680" t="s">
        <v>10599</v>
      </c>
      <c r="AU98" s="1680" t="s">
        <v>10600</v>
      </c>
      <c r="AV98" s="1680" t="str">
        <f t="shared" si="3"/>
        <v>2:11</v>
      </c>
      <c r="AW98" s="1685" t="s">
        <v>10601</v>
      </c>
    </row>
    <row r="99" ht="15.75" customHeight="1">
      <c r="A99" s="1550" t="s">
        <v>6235</v>
      </c>
      <c r="B99" s="1579" t="s">
        <v>8540</v>
      </c>
      <c r="C99" s="1503">
        <v>0.06635416666666667</v>
      </c>
      <c r="D99" s="1317" t="s">
        <v>10602</v>
      </c>
      <c r="E99" s="1317" t="s">
        <v>8406</v>
      </c>
      <c r="F99" s="1317" t="s">
        <v>10603</v>
      </c>
      <c r="G99" s="1317" t="s">
        <v>10604</v>
      </c>
      <c r="H99" s="1317" t="s">
        <v>10605</v>
      </c>
      <c r="I99" s="1317" t="s">
        <v>3510</v>
      </c>
      <c r="J99" s="1317" t="s">
        <v>10606</v>
      </c>
      <c r="K99" s="1317" t="s">
        <v>3880</v>
      </c>
      <c r="L99" s="1317" t="s">
        <v>7343</v>
      </c>
      <c r="M99" s="1317" t="s">
        <v>865</v>
      </c>
      <c r="N99" s="1317" t="s">
        <v>10607</v>
      </c>
      <c r="O99" s="1317" t="s">
        <v>10608</v>
      </c>
      <c r="P99" s="1317" t="s">
        <v>5170</v>
      </c>
      <c r="Q99" s="1317" t="s">
        <v>10609</v>
      </c>
      <c r="R99" s="1317" t="s">
        <v>4548</v>
      </c>
      <c r="S99" s="1317" t="s">
        <v>10610</v>
      </c>
      <c r="T99" s="1317" t="s">
        <v>10489</v>
      </c>
      <c r="U99" s="1317" t="s">
        <v>10611</v>
      </c>
      <c r="V99" s="1317" t="s">
        <v>7853</v>
      </c>
      <c r="W99" s="1317" t="s">
        <v>10612</v>
      </c>
      <c r="X99" s="1317" t="s">
        <v>10613</v>
      </c>
      <c r="Y99" s="1317" t="s">
        <v>757</v>
      </c>
      <c r="Z99" s="1317" t="s">
        <v>10614</v>
      </c>
      <c r="AA99" s="1680"/>
      <c r="AB99" s="1317" t="s">
        <v>10615</v>
      </c>
      <c r="AC99" s="1317" t="s">
        <v>884</v>
      </c>
      <c r="AD99" s="1317" t="s">
        <v>10616</v>
      </c>
      <c r="AE99" s="1317" t="s">
        <v>10617</v>
      </c>
      <c r="AF99" s="1317" t="s">
        <v>10618</v>
      </c>
      <c r="AG99" s="1317" t="s">
        <v>10619</v>
      </c>
      <c r="AH99" s="1317" t="s">
        <v>4108</v>
      </c>
      <c r="AI99" s="1317" t="s">
        <v>10620</v>
      </c>
      <c r="AJ99" s="1317" t="s">
        <v>10621</v>
      </c>
      <c r="AK99" s="1317" t="s">
        <v>10622</v>
      </c>
      <c r="AL99" s="1317" t="s">
        <v>10623</v>
      </c>
      <c r="AM99" s="1317" t="s">
        <v>10624</v>
      </c>
      <c r="AN99" s="1317" t="s">
        <v>9151</v>
      </c>
      <c r="AO99" s="1317" t="s">
        <v>2323</v>
      </c>
      <c r="AP99" s="1317" t="s">
        <v>10625</v>
      </c>
      <c r="AQ99" s="1317" t="s">
        <v>129</v>
      </c>
      <c r="AR99" s="1317" t="s">
        <v>10626</v>
      </c>
      <c r="AS99" s="1317" t="s">
        <v>4014</v>
      </c>
      <c r="AT99" s="1317" t="s">
        <v>10627</v>
      </c>
      <c r="AU99" s="1582" t="s">
        <v>10628</v>
      </c>
      <c r="AV99" s="1680" t="str">
        <f t="shared" si="3"/>
        <v>9:53</v>
      </c>
      <c r="AW99" s="1688" t="s">
        <v>10629</v>
      </c>
    </row>
    <row r="100">
      <c r="A100" s="1550" t="s">
        <v>4630</v>
      </c>
      <c r="B100" s="1548" t="s">
        <v>8540</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8556</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6457</v>
      </c>
      <c r="B101" s="1545" t="s">
        <v>8540</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9045</v>
      </c>
      <c r="X101" s="1526"/>
      <c r="Y101" s="1526"/>
      <c r="Z101" s="1526"/>
      <c r="AA101" s="1526"/>
      <c r="AB101" s="1705" t="s">
        <v>2859</v>
      </c>
      <c r="AC101" s="1526"/>
      <c r="AD101" s="1526"/>
      <c r="AE101" s="1531"/>
      <c r="AF101" s="1526"/>
      <c r="AG101" s="1526"/>
      <c r="AH101" s="1526"/>
      <c r="AI101" s="1526"/>
      <c r="AJ101" s="1526"/>
      <c r="AK101" s="1526"/>
      <c r="AL101" s="1526"/>
      <c r="AM101" s="1534" t="s">
        <v>2393</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8471</v>
      </c>
      <c r="C1" s="1437" t="s">
        <v>8472</v>
      </c>
      <c r="D1" s="1733" t="s">
        <v>10630</v>
      </c>
      <c r="E1" s="1734" t="s">
        <v>6689</v>
      </c>
      <c r="F1" s="1735" t="s">
        <v>6986</v>
      </c>
      <c r="G1" s="1736" t="s">
        <v>38</v>
      </c>
      <c r="H1" s="1737" t="s">
        <v>36</v>
      </c>
      <c r="I1" s="1733" t="s">
        <v>10631</v>
      </c>
      <c r="J1" s="1738" t="s">
        <v>39</v>
      </c>
      <c r="K1" s="1739" t="s">
        <v>6925</v>
      </c>
      <c r="L1" s="1445" t="s">
        <v>8504</v>
      </c>
      <c r="M1" s="1740" t="s">
        <v>8505</v>
      </c>
      <c r="N1" s="1741" t="s">
        <v>8506</v>
      </c>
      <c r="O1" s="1435" t="s">
        <v>8507</v>
      </c>
    </row>
    <row r="2" ht="15.75" customHeight="1">
      <c r="A2" s="1742" t="s">
        <v>8508</v>
      </c>
      <c r="B2" s="1743" t="s">
        <v>8509</v>
      </c>
      <c r="C2" s="1744">
        <v>0.04982638888888889</v>
      </c>
      <c r="D2" s="1745" t="s">
        <v>10632</v>
      </c>
      <c r="E2" s="1746" t="s">
        <v>10633</v>
      </c>
      <c r="F2" s="1747" t="s">
        <v>10634</v>
      </c>
      <c r="G2" s="1748" t="s">
        <v>10635</v>
      </c>
      <c r="H2" s="1749" t="s">
        <v>10636</v>
      </c>
      <c r="I2" s="1750" t="s">
        <v>10637</v>
      </c>
      <c r="J2" s="1751" t="s">
        <v>10638</v>
      </c>
      <c r="K2" s="1752" t="s">
        <v>10639</v>
      </c>
      <c r="L2" s="1753" t="s">
        <v>8537</v>
      </c>
      <c r="M2" s="1744">
        <v>0.0505787037037037</v>
      </c>
      <c r="N2" s="1754" t="str">
        <f t="shared" ref="N2:N39" si="1">TEXT(M2-C2, "m:ss")</f>
        <v>1:05</v>
      </c>
      <c r="O2" s="1755"/>
    </row>
    <row r="3" ht="15.75" customHeight="1">
      <c r="A3" s="1468" t="s">
        <v>8539</v>
      </c>
      <c r="B3" s="1756" t="s">
        <v>8540</v>
      </c>
      <c r="C3" s="1757">
        <v>0.051458333333333335</v>
      </c>
      <c r="D3" s="1471" t="s">
        <v>10640</v>
      </c>
      <c r="E3" s="1758" t="s">
        <v>5862</v>
      </c>
      <c r="F3" s="1473" t="s">
        <v>10641</v>
      </c>
      <c r="G3" s="1474" t="s">
        <v>10642</v>
      </c>
      <c r="H3" s="1478" t="s">
        <v>10643</v>
      </c>
      <c r="I3" s="1471" t="s">
        <v>10644</v>
      </c>
      <c r="J3" s="1480" t="s">
        <v>10645</v>
      </c>
      <c r="K3" s="1482" t="s">
        <v>10646</v>
      </c>
      <c r="L3" s="1484" t="s">
        <v>9141</v>
      </c>
      <c r="M3" s="1757">
        <v>0.05236111111111111</v>
      </c>
      <c r="N3" s="1759" t="str">
        <f t="shared" si="1"/>
        <v>1:18</v>
      </c>
    </row>
    <row r="4" ht="15.75" customHeight="1">
      <c r="A4" s="1486" t="s">
        <v>8565</v>
      </c>
      <c r="B4" s="1760" t="s">
        <v>8566</v>
      </c>
      <c r="C4" s="1761">
        <f>C24</f>
        <v>0.05158564815</v>
      </c>
      <c r="D4" s="1489" t="s">
        <v>10647</v>
      </c>
      <c r="E4" s="1762" t="s">
        <v>10648</v>
      </c>
      <c r="F4" s="1491" t="s">
        <v>10649</v>
      </c>
      <c r="G4" s="1492" t="s">
        <v>10650</v>
      </c>
      <c r="H4" s="1493" t="s">
        <v>10651</v>
      </c>
      <c r="I4" s="1489" t="s">
        <v>10652</v>
      </c>
      <c r="J4" s="1495" t="s">
        <v>10653</v>
      </c>
      <c r="K4" s="1496" t="s">
        <v>10654</v>
      </c>
      <c r="L4" s="1498" t="s">
        <v>8596</v>
      </c>
      <c r="M4" s="1763">
        <f>M24</f>
        <v>0.0521412037</v>
      </c>
      <c r="N4" s="1763" t="str">
        <f t="shared" si="1"/>
        <v>0:48</v>
      </c>
    </row>
    <row r="5" ht="15.75" customHeight="1">
      <c r="A5" s="1689" t="s">
        <v>1060</v>
      </c>
      <c r="B5" s="1666" t="s">
        <v>8509</v>
      </c>
      <c r="C5" s="1764">
        <v>0.04986111111111111</v>
      </c>
      <c r="D5" s="1765" t="s">
        <v>10632</v>
      </c>
      <c r="E5" s="1527" t="s">
        <v>10655</v>
      </c>
      <c r="F5" s="1765" t="s">
        <v>10634</v>
      </c>
      <c r="G5" s="1765" t="s">
        <v>10635</v>
      </c>
      <c r="H5" s="1765" t="s">
        <v>10636</v>
      </c>
      <c r="I5" s="1524" t="s">
        <v>10656</v>
      </c>
      <c r="J5" s="1766" t="s">
        <v>10657</v>
      </c>
      <c r="K5" s="1765" t="s">
        <v>10639</v>
      </c>
      <c r="L5" s="1512" t="s">
        <v>10658</v>
      </c>
      <c r="M5" s="1581" t="s">
        <v>8538</v>
      </c>
      <c r="N5" s="1767" t="str">
        <f t="shared" si="1"/>
        <v>1:02</v>
      </c>
      <c r="O5" s="1524" t="s">
        <v>10659</v>
      </c>
    </row>
    <row r="6" ht="15.75" customHeight="1">
      <c r="A6" s="1768" t="s">
        <v>434</v>
      </c>
      <c r="B6" s="1502" t="s">
        <v>8509</v>
      </c>
      <c r="C6" s="1769">
        <v>0.04998842592592593</v>
      </c>
      <c r="D6" s="1524" t="s">
        <v>10660</v>
      </c>
      <c r="E6" s="1770" t="s">
        <v>10633</v>
      </c>
      <c r="F6" s="1524" t="s">
        <v>10661</v>
      </c>
      <c r="G6" s="1524" t="s">
        <v>10662</v>
      </c>
      <c r="H6" s="1524" t="s">
        <v>10663</v>
      </c>
      <c r="I6" s="1524" t="s">
        <v>10664</v>
      </c>
      <c r="J6" s="1581" t="s">
        <v>10638</v>
      </c>
      <c r="K6" s="1524" t="s">
        <v>10665</v>
      </c>
      <c r="L6" s="1524" t="s">
        <v>8632</v>
      </c>
      <c r="M6" s="1524" t="s">
        <v>8633</v>
      </c>
      <c r="N6" s="1771" t="str">
        <f t="shared" si="1"/>
        <v>1:18</v>
      </c>
      <c r="O6" s="1524" t="s">
        <v>10666</v>
      </c>
    </row>
    <row r="7" ht="15.75" customHeight="1">
      <c r="A7" s="1718" t="s">
        <v>1807</v>
      </c>
      <c r="B7" s="1502" t="s">
        <v>8509</v>
      </c>
      <c r="C7" s="1764">
        <v>0.050150462962962966</v>
      </c>
      <c r="D7" s="1524" t="s">
        <v>10667</v>
      </c>
      <c r="E7" s="1524" t="s">
        <v>10668</v>
      </c>
      <c r="F7" s="1524" t="s">
        <v>10669</v>
      </c>
      <c r="G7" s="1524" t="s">
        <v>10670</v>
      </c>
      <c r="H7" s="1524" t="s">
        <v>10671</v>
      </c>
      <c r="I7" s="1524" t="s">
        <v>10672</v>
      </c>
      <c r="J7" s="1524" t="s">
        <v>10673</v>
      </c>
      <c r="K7" s="1524" t="s">
        <v>10674</v>
      </c>
      <c r="L7" s="1766" t="s">
        <v>8537</v>
      </c>
      <c r="M7" s="1772">
        <v>0.05077546296296296</v>
      </c>
      <c r="N7" s="1771" t="str">
        <f t="shared" si="1"/>
        <v>0:54</v>
      </c>
      <c r="O7" s="1524" t="s">
        <v>10666</v>
      </c>
    </row>
    <row r="8" ht="15.75" customHeight="1">
      <c r="A8" s="1768" t="s">
        <v>6410</v>
      </c>
      <c r="B8" s="1565" t="s">
        <v>8509</v>
      </c>
      <c r="C8" s="1773">
        <v>0.05025462962962963</v>
      </c>
      <c r="D8" s="1709" t="s">
        <v>10675</v>
      </c>
      <c r="E8" s="1525" t="s">
        <v>10676</v>
      </c>
      <c r="F8" s="1524" t="s">
        <v>10677</v>
      </c>
      <c r="G8" s="1524" t="s">
        <v>10678</v>
      </c>
      <c r="H8" s="1524" t="s">
        <v>10679</v>
      </c>
      <c r="I8" s="1524" t="s">
        <v>10461</v>
      </c>
      <c r="J8" s="1524" t="s">
        <v>10680</v>
      </c>
      <c r="K8" s="1524" t="s">
        <v>10681</v>
      </c>
      <c r="L8" s="1524" t="s">
        <v>8726</v>
      </c>
      <c r="M8" s="1772" t="s">
        <v>8727</v>
      </c>
      <c r="N8" s="1771" t="str">
        <f t="shared" si="1"/>
        <v>0:36</v>
      </c>
      <c r="O8" s="1524"/>
    </row>
    <row r="9" ht="15.75" customHeight="1">
      <c r="A9" s="1718" t="s">
        <v>6468</v>
      </c>
      <c r="B9" s="1502" t="s">
        <v>8509</v>
      </c>
      <c r="C9" s="1773">
        <v>0.050416666666666665</v>
      </c>
      <c r="D9" s="1524" t="s">
        <v>10682</v>
      </c>
      <c r="E9" s="1525" t="s">
        <v>10683</v>
      </c>
      <c r="F9" s="1527" t="s">
        <v>10684</v>
      </c>
      <c r="G9" s="1527" t="s">
        <v>10685</v>
      </c>
      <c r="H9" s="1524" t="s">
        <v>10686</v>
      </c>
      <c r="I9" s="1581" t="s">
        <v>10637</v>
      </c>
      <c r="J9" s="1524" t="s">
        <v>10687</v>
      </c>
      <c r="K9" s="1524" t="s">
        <v>10688</v>
      </c>
      <c r="L9" s="1527" t="s">
        <v>10689</v>
      </c>
      <c r="M9" s="1772">
        <v>0.0512037037037037</v>
      </c>
      <c r="N9" s="1771" t="str">
        <f t="shared" si="1"/>
        <v>1:08</v>
      </c>
      <c r="O9" s="1524" t="s">
        <v>10666</v>
      </c>
    </row>
    <row r="10">
      <c r="A10" s="1774" t="s">
        <v>912</v>
      </c>
      <c r="B10" s="1775" t="s">
        <v>8509</v>
      </c>
      <c r="C10" s="1773">
        <v>0.05047453703703704</v>
      </c>
      <c r="D10" s="1639" t="s">
        <v>10690</v>
      </c>
      <c r="E10" s="1525" t="s">
        <v>10691</v>
      </c>
      <c r="F10" s="1766" t="s">
        <v>10692</v>
      </c>
      <c r="G10" s="1524" t="s">
        <v>10693</v>
      </c>
      <c r="H10" s="1524" t="s">
        <v>10694</v>
      </c>
      <c r="I10" s="1524" t="s">
        <v>10695</v>
      </c>
      <c r="J10" s="1524" t="s">
        <v>10696</v>
      </c>
      <c r="K10" s="1524" t="s">
        <v>10697</v>
      </c>
      <c r="L10" s="1524" t="s">
        <v>3572</v>
      </c>
      <c r="M10" s="1772">
        <v>0.051076388888888886</v>
      </c>
      <c r="N10" s="1771" t="str">
        <f t="shared" si="1"/>
        <v>0:52</v>
      </c>
      <c r="O10" s="1524" t="s">
        <v>10698</v>
      </c>
    </row>
    <row r="11" ht="15.75" customHeight="1">
      <c r="A11" s="1689" t="s">
        <v>1557</v>
      </c>
      <c r="B11" s="1776" t="s">
        <v>8509</v>
      </c>
      <c r="C11" s="1773">
        <v>0.05061342592592592</v>
      </c>
      <c r="D11" s="1777" t="s">
        <v>10699</v>
      </c>
      <c r="E11" s="1525" t="s">
        <v>10700</v>
      </c>
      <c r="F11" s="1778" t="s">
        <v>10701</v>
      </c>
      <c r="G11" s="1524" t="s">
        <v>10702</v>
      </c>
      <c r="H11" s="1778" t="s">
        <v>10703</v>
      </c>
      <c r="I11" s="1778" t="s">
        <v>10704</v>
      </c>
      <c r="J11" s="1524" t="s">
        <v>10705</v>
      </c>
      <c r="K11" s="1524" t="s">
        <v>10706</v>
      </c>
      <c r="L11" s="1524" t="s">
        <v>3602</v>
      </c>
      <c r="M11" s="1772">
        <v>0.05122685185185185</v>
      </c>
      <c r="N11" s="1771" t="str">
        <f t="shared" si="1"/>
        <v>0:53</v>
      </c>
      <c r="O11" s="1524" t="s">
        <v>10707</v>
      </c>
    </row>
    <row r="12" ht="15.75" customHeight="1">
      <c r="A12" s="1723" t="s">
        <v>2076</v>
      </c>
      <c r="B12" s="1502" t="s">
        <v>8509</v>
      </c>
      <c r="C12" s="1769">
        <v>0.05061342592592592</v>
      </c>
      <c r="D12" s="1639" t="s">
        <v>10708</v>
      </c>
      <c r="E12" s="1779" t="s">
        <v>10709</v>
      </c>
      <c r="F12" s="1524" t="s">
        <v>10710</v>
      </c>
      <c r="G12" s="1524" t="s">
        <v>10711</v>
      </c>
      <c r="H12" s="1524" t="s">
        <v>10712</v>
      </c>
      <c r="I12" s="1524" t="s">
        <v>10713</v>
      </c>
      <c r="J12" s="1524" t="s">
        <v>10714</v>
      </c>
      <c r="K12" s="1524" t="s">
        <v>10715</v>
      </c>
      <c r="L12" s="1524" t="s">
        <v>6382</v>
      </c>
      <c r="M12" s="1772">
        <v>0.05153935185185185</v>
      </c>
      <c r="N12" s="1771" t="str">
        <f t="shared" si="1"/>
        <v>1:20</v>
      </c>
      <c r="O12" s="1524" t="s">
        <v>10666</v>
      </c>
    </row>
    <row r="13" ht="15.75" customHeight="1">
      <c r="A13" s="1768" t="s">
        <v>328</v>
      </c>
      <c r="B13" s="1502" t="s">
        <v>8509</v>
      </c>
      <c r="C13" s="1769">
        <v>0.05068287037037037</v>
      </c>
      <c r="D13" s="1524" t="s">
        <v>10716</v>
      </c>
      <c r="E13" s="1779" t="s">
        <v>10717</v>
      </c>
      <c r="F13" s="1524" t="s">
        <v>10718</v>
      </c>
      <c r="G13" s="1524" t="s">
        <v>10719</v>
      </c>
      <c r="H13" s="1524" t="s">
        <v>10720</v>
      </c>
      <c r="I13" s="1524" t="s">
        <v>6342</v>
      </c>
      <c r="J13" s="1524" t="s">
        <v>10721</v>
      </c>
      <c r="K13" s="1524" t="s">
        <v>10722</v>
      </c>
      <c r="L13" s="1780" t="s">
        <v>8704</v>
      </c>
      <c r="M13" s="1772">
        <v>0.05164351851851852</v>
      </c>
      <c r="N13" s="1771" t="str">
        <f t="shared" si="1"/>
        <v>1:23</v>
      </c>
      <c r="O13" s="1524" t="s">
        <v>10666</v>
      </c>
    </row>
    <row r="14">
      <c r="A14" s="1781" t="s">
        <v>2893</v>
      </c>
      <c r="B14" s="1782" t="s">
        <v>8509</v>
      </c>
      <c r="C14" s="1769">
        <v>0.05074791666666666</v>
      </c>
      <c r="D14" s="1783" t="s">
        <v>10723</v>
      </c>
      <c r="E14" s="1784" t="s">
        <v>5054</v>
      </c>
      <c r="F14" s="1766" t="s">
        <v>10724</v>
      </c>
      <c r="G14" s="1766" t="s">
        <v>10725</v>
      </c>
      <c r="H14" s="1766" t="s">
        <v>10726</v>
      </c>
      <c r="I14" s="1766" t="s">
        <v>10727</v>
      </c>
      <c r="J14" s="1766" t="s">
        <v>10728</v>
      </c>
      <c r="K14" s="1766" t="s">
        <v>10729</v>
      </c>
      <c r="L14" s="1766" t="s">
        <v>1990</v>
      </c>
      <c r="M14" s="1772">
        <v>0.052210648148148145</v>
      </c>
      <c r="N14" s="1772" t="str">
        <f t="shared" si="1"/>
        <v>2:06</v>
      </c>
      <c r="O14" s="1524"/>
    </row>
    <row r="15" ht="15.75" customHeight="1">
      <c r="A15" s="1706" t="s">
        <v>2219</v>
      </c>
      <c r="B15" s="1666" t="s">
        <v>8540</v>
      </c>
      <c r="C15" s="1773">
        <v>0.05096064814814815</v>
      </c>
      <c r="D15" s="1709" t="s">
        <v>10730</v>
      </c>
      <c r="E15" s="1785" t="s">
        <v>10731</v>
      </c>
      <c r="F15" s="1785" t="s">
        <v>10732</v>
      </c>
      <c r="G15" s="1785" t="s">
        <v>10733</v>
      </c>
      <c r="H15" s="1785" t="s">
        <v>10734</v>
      </c>
      <c r="I15" s="1785" t="s">
        <v>10735</v>
      </c>
      <c r="J15" s="1785" t="s">
        <v>10736</v>
      </c>
      <c r="K15" s="1524" t="s">
        <v>10737</v>
      </c>
      <c r="L15" s="1786" t="s">
        <v>8815</v>
      </c>
      <c r="M15" s="1772">
        <v>0.0528125</v>
      </c>
      <c r="N15" s="1771" t="str">
        <f t="shared" si="1"/>
        <v>2:40</v>
      </c>
      <c r="O15" s="1524" t="s">
        <v>10666</v>
      </c>
    </row>
    <row r="16" ht="15.75" customHeight="1">
      <c r="A16" s="1787" t="s">
        <v>2638</v>
      </c>
      <c r="B16" s="1502" t="s">
        <v>8509</v>
      </c>
      <c r="C16" s="1788">
        <v>0.05103009259259259</v>
      </c>
      <c r="D16" s="1524" t="s">
        <v>10738</v>
      </c>
      <c r="E16" s="1779" t="s">
        <v>10271</v>
      </c>
      <c r="F16" s="1524" t="s">
        <v>10739</v>
      </c>
      <c r="G16" s="1524" t="s">
        <v>10740</v>
      </c>
      <c r="H16" s="1766" t="s">
        <v>10741</v>
      </c>
      <c r="I16" s="1524" t="s">
        <v>10742</v>
      </c>
      <c r="J16" s="1524" t="s">
        <v>10743</v>
      </c>
      <c r="K16" s="1524" t="s">
        <v>10744</v>
      </c>
      <c r="L16" s="1524" t="s">
        <v>10745</v>
      </c>
      <c r="M16" s="1772">
        <v>0.051909722222222225</v>
      </c>
      <c r="N16" s="1771" t="str">
        <f t="shared" si="1"/>
        <v>1:16</v>
      </c>
      <c r="O16" s="1524" t="s">
        <v>10666</v>
      </c>
    </row>
    <row r="17" ht="15.75" customHeight="1">
      <c r="A17" s="1706" t="s">
        <v>2258</v>
      </c>
      <c r="B17" s="1565" t="s">
        <v>8509</v>
      </c>
      <c r="C17" s="1769">
        <v>0.051145833333333335</v>
      </c>
      <c r="D17" s="1639" t="s">
        <v>10746</v>
      </c>
      <c r="E17" s="1525" t="s">
        <v>10747</v>
      </c>
      <c r="F17" s="1524" t="s">
        <v>10748</v>
      </c>
      <c r="G17" s="1524" t="s">
        <v>10749</v>
      </c>
      <c r="H17" s="1524" t="s">
        <v>10750</v>
      </c>
      <c r="I17" s="1524" t="s">
        <v>10751</v>
      </c>
      <c r="J17" s="1524" t="s">
        <v>10752</v>
      </c>
      <c r="K17" s="1524" t="s">
        <v>10753</v>
      </c>
      <c r="L17" s="1524" t="s">
        <v>3014</v>
      </c>
      <c r="M17" s="1772">
        <v>0.05228009259259259</v>
      </c>
      <c r="N17" s="1771" t="str">
        <f t="shared" si="1"/>
        <v>1:38</v>
      </c>
      <c r="O17" s="1524" t="s">
        <v>10754</v>
      </c>
    </row>
    <row r="18" ht="15.75" customHeight="1">
      <c r="A18" s="1768" t="s">
        <v>1419</v>
      </c>
      <c r="B18" s="1502" t="s">
        <v>8509</v>
      </c>
      <c r="C18" s="1769">
        <v>0.05122685185185185</v>
      </c>
      <c r="D18" s="1524" t="s">
        <v>10755</v>
      </c>
      <c r="E18" s="1779" t="s">
        <v>8570</v>
      </c>
      <c r="F18" s="1524" t="s">
        <v>10756</v>
      </c>
      <c r="G18" s="1524" t="s">
        <v>10757</v>
      </c>
      <c r="H18" s="1524" t="s">
        <v>10635</v>
      </c>
      <c r="I18" s="1524" t="s">
        <v>10758</v>
      </c>
      <c r="J18" s="1524" t="s">
        <v>10759</v>
      </c>
      <c r="K18" s="1524" t="s">
        <v>10760</v>
      </c>
      <c r="L18" s="1524" t="s">
        <v>10761</v>
      </c>
      <c r="M18" s="1772">
        <v>0.052037037037037034</v>
      </c>
      <c r="N18" s="1771" t="str">
        <f t="shared" si="1"/>
        <v>1:10</v>
      </c>
      <c r="O18" s="1524" t="s">
        <v>10666</v>
      </c>
    </row>
    <row r="19" ht="15.75" customHeight="1">
      <c r="A19" s="1706" t="s">
        <v>1724</v>
      </c>
      <c r="B19" s="1565" t="s">
        <v>8509</v>
      </c>
      <c r="C19" s="1769">
        <v>0.05122685185185185</v>
      </c>
      <c r="D19" s="1709" t="s">
        <v>10762</v>
      </c>
      <c r="E19" s="1525" t="s">
        <v>10763</v>
      </c>
      <c r="F19" s="1524" t="s">
        <v>10764</v>
      </c>
      <c r="G19" s="1524" t="s">
        <v>10765</v>
      </c>
      <c r="H19" s="1524" t="s">
        <v>10766</v>
      </c>
      <c r="I19" s="1524" t="s">
        <v>10767</v>
      </c>
      <c r="J19" s="1524" t="s">
        <v>10768</v>
      </c>
      <c r="K19" s="1524" t="s">
        <v>10769</v>
      </c>
      <c r="L19" s="1524" t="s">
        <v>5944</v>
      </c>
      <c r="M19" s="1772">
        <v>0.05224537037037037</v>
      </c>
      <c r="N19" s="1771" t="str">
        <f t="shared" si="1"/>
        <v>1:28</v>
      </c>
      <c r="O19" s="1524" t="s">
        <v>10770</v>
      </c>
    </row>
    <row r="20" ht="15.75" customHeight="1">
      <c r="A20" s="1706" t="s">
        <v>6457</v>
      </c>
      <c r="B20" s="1565" t="s">
        <v>8509</v>
      </c>
      <c r="C20" s="1769">
        <v>0.05133101851851852</v>
      </c>
      <c r="D20" s="1524" t="s">
        <v>10771</v>
      </c>
      <c r="E20" s="1525" t="s">
        <v>10772</v>
      </c>
      <c r="F20" s="1524" t="s">
        <v>10773</v>
      </c>
      <c r="G20" s="1527" t="s">
        <v>10774</v>
      </c>
      <c r="H20" s="1527" t="s">
        <v>10775</v>
      </c>
      <c r="I20" s="1524" t="s">
        <v>10776</v>
      </c>
      <c r="J20" s="1524" t="s">
        <v>10777</v>
      </c>
      <c r="K20" s="1524" t="s">
        <v>10778</v>
      </c>
      <c r="L20" s="1524" t="s">
        <v>10779</v>
      </c>
      <c r="M20" s="1772">
        <v>0.05197916666666667</v>
      </c>
      <c r="N20" s="1771" t="str">
        <f t="shared" si="1"/>
        <v>0:56</v>
      </c>
      <c r="O20" s="1524" t="s">
        <v>10780</v>
      </c>
    </row>
    <row r="21" ht="15.75" customHeight="1">
      <c r="A21" s="1718" t="s">
        <v>8961</v>
      </c>
      <c r="B21" s="1502" t="s">
        <v>8509</v>
      </c>
      <c r="C21" s="1773">
        <v>0.05144675925925926</v>
      </c>
      <c r="D21" s="1524" t="s">
        <v>10781</v>
      </c>
      <c r="E21" s="1779" t="s">
        <v>10782</v>
      </c>
      <c r="F21" s="1524" t="s">
        <v>10783</v>
      </c>
      <c r="G21" s="1524" t="s">
        <v>10784</v>
      </c>
      <c r="H21" s="1524" t="s">
        <v>10785</v>
      </c>
      <c r="I21" s="1524" t="s">
        <v>10786</v>
      </c>
      <c r="J21" s="1524" t="s">
        <v>10787</v>
      </c>
      <c r="K21" s="1524" t="s">
        <v>10788</v>
      </c>
      <c r="L21" s="1789" t="s">
        <v>8831</v>
      </c>
      <c r="M21" s="1772">
        <v>0.05258101851851852</v>
      </c>
      <c r="N21" s="1771" t="str">
        <f t="shared" si="1"/>
        <v>1:38</v>
      </c>
      <c r="O21" s="1524" t="s">
        <v>10666</v>
      </c>
    </row>
    <row r="22" ht="15.75" customHeight="1">
      <c r="A22" s="1706" t="s">
        <v>9126</v>
      </c>
      <c r="B22" s="1565" t="s">
        <v>8540</v>
      </c>
      <c r="C22" s="1769">
        <v>0.05146990740740741</v>
      </c>
      <c r="D22" s="1785" t="s">
        <v>10640</v>
      </c>
      <c r="E22" s="1525" t="s">
        <v>10102</v>
      </c>
      <c r="F22" s="1525" t="s">
        <v>10641</v>
      </c>
      <c r="G22" s="1525" t="s">
        <v>10642</v>
      </c>
      <c r="H22" s="1525" t="s">
        <v>10643</v>
      </c>
      <c r="I22" s="1524" t="s">
        <v>10789</v>
      </c>
      <c r="J22" s="1639" t="s">
        <v>10645</v>
      </c>
      <c r="K22" s="1785" t="s">
        <v>10646</v>
      </c>
      <c r="L22" s="1639" t="s">
        <v>9141</v>
      </c>
      <c r="M22" s="1790">
        <v>0.05236111111111111</v>
      </c>
      <c r="N22" s="1771" t="str">
        <f t="shared" si="1"/>
        <v>1:17</v>
      </c>
      <c r="O22" s="1524" t="s">
        <v>10666</v>
      </c>
    </row>
    <row r="23" ht="15.75" customHeight="1">
      <c r="A23" s="1768" t="s">
        <v>827</v>
      </c>
      <c r="B23" s="1502" t="s">
        <v>8509</v>
      </c>
      <c r="C23" s="1773">
        <v>0.051550925925925924</v>
      </c>
      <c r="D23" s="1524" t="s">
        <v>10790</v>
      </c>
      <c r="E23" s="1779" t="s">
        <v>10072</v>
      </c>
      <c r="F23" s="1524" t="s">
        <v>10791</v>
      </c>
      <c r="G23" s="1524" t="s">
        <v>10792</v>
      </c>
      <c r="H23" s="1524" t="s">
        <v>10793</v>
      </c>
      <c r="I23" s="1524" t="s">
        <v>10794</v>
      </c>
      <c r="J23" s="1524" t="s">
        <v>10795</v>
      </c>
      <c r="K23" s="1524" t="s">
        <v>10796</v>
      </c>
      <c r="L23" s="1789" t="s">
        <v>10797</v>
      </c>
      <c r="M23" s="1772">
        <v>0.05229166666666667</v>
      </c>
      <c r="N23" s="1771" t="str">
        <f t="shared" si="1"/>
        <v>1:04</v>
      </c>
      <c r="O23" s="1524" t="s">
        <v>10666</v>
      </c>
    </row>
    <row r="24">
      <c r="A24" s="1781" t="s">
        <v>1807</v>
      </c>
      <c r="B24" s="1666" t="s">
        <v>8566</v>
      </c>
      <c r="C24" s="1769">
        <v>0.05158564814814815</v>
      </c>
      <c r="D24" s="1791" t="s">
        <v>10647</v>
      </c>
      <c r="E24" s="1792" t="s">
        <v>10648</v>
      </c>
      <c r="F24" s="1791" t="s">
        <v>10649</v>
      </c>
      <c r="G24" s="1791" t="s">
        <v>10650</v>
      </c>
      <c r="H24" s="1791" t="s">
        <v>10651</v>
      </c>
      <c r="I24" s="1791" t="s">
        <v>10652</v>
      </c>
      <c r="J24" s="1791" t="s">
        <v>10653</v>
      </c>
      <c r="K24" s="1791" t="s">
        <v>10654</v>
      </c>
      <c r="L24" s="1791" t="s">
        <v>8596</v>
      </c>
      <c r="M24" s="1793">
        <v>0.052141203703703703</v>
      </c>
      <c r="N24" s="1771" t="str">
        <f t="shared" si="1"/>
        <v>0:48</v>
      </c>
      <c r="O24" s="1524" t="s">
        <v>10798</v>
      </c>
    </row>
    <row r="25" ht="15.75" customHeight="1">
      <c r="A25" s="1689" t="s">
        <v>2759</v>
      </c>
      <c r="B25" s="1565" t="s">
        <v>8509</v>
      </c>
      <c r="C25" s="1773">
        <v>0.051706365740740744</v>
      </c>
      <c r="D25" s="1639" t="s">
        <v>10799</v>
      </c>
      <c r="E25" s="1525" t="s">
        <v>10800</v>
      </c>
      <c r="F25" s="1524" t="s">
        <v>10801</v>
      </c>
      <c r="G25" s="1524" t="s">
        <v>10802</v>
      </c>
      <c r="H25" s="1524" t="s">
        <v>10803</v>
      </c>
      <c r="I25" s="1524" t="s">
        <v>10804</v>
      </c>
      <c r="J25" s="1524" t="s">
        <v>10805</v>
      </c>
      <c r="K25" s="1524" t="s">
        <v>10806</v>
      </c>
      <c r="L25" s="1524" t="s">
        <v>9441</v>
      </c>
      <c r="M25" s="1772">
        <v>0.0525</v>
      </c>
      <c r="N25" s="1772" t="str">
        <f t="shared" si="1"/>
        <v>1:09</v>
      </c>
      <c r="O25" s="1524"/>
    </row>
    <row r="26" ht="15.75" customHeight="1">
      <c r="A26" s="1794" t="s">
        <v>2095</v>
      </c>
      <c r="B26" s="1657" t="s">
        <v>8509</v>
      </c>
      <c r="C26" s="1773">
        <v>0.05171296296296296</v>
      </c>
      <c r="D26" s="1795" t="s">
        <v>10807</v>
      </c>
      <c r="E26" s="1795" t="s">
        <v>10808</v>
      </c>
      <c r="F26" s="1795" t="s">
        <v>10809</v>
      </c>
      <c r="G26" s="1795" t="s">
        <v>10810</v>
      </c>
      <c r="H26" s="1639" t="s">
        <v>10811</v>
      </c>
      <c r="I26" s="1795" t="s">
        <v>10812</v>
      </c>
      <c r="J26" s="1639" t="s">
        <v>10813</v>
      </c>
      <c r="K26" s="1795" t="s">
        <v>10814</v>
      </c>
      <c r="L26" s="1639" t="s">
        <v>8006</v>
      </c>
      <c r="M26" s="1772">
        <v>0.054375</v>
      </c>
      <c r="N26" s="1771" t="str">
        <f t="shared" si="1"/>
        <v>3:50</v>
      </c>
      <c r="O26" s="1524" t="s">
        <v>10815</v>
      </c>
    </row>
    <row r="27" ht="15.75" customHeight="1">
      <c r="A27" s="1706" t="s">
        <v>2989</v>
      </c>
      <c r="B27" s="1565" t="s">
        <v>8509</v>
      </c>
      <c r="C27" s="1769">
        <v>0.05180160879629629</v>
      </c>
      <c r="D27" s="1639" t="s">
        <v>10816</v>
      </c>
      <c r="E27" s="1525" t="s">
        <v>10817</v>
      </c>
      <c r="F27" s="1524" t="s">
        <v>10818</v>
      </c>
      <c r="G27" s="1524" t="s">
        <v>10819</v>
      </c>
      <c r="H27" s="1524" t="s">
        <v>10820</v>
      </c>
      <c r="I27" s="1524" t="s">
        <v>10821</v>
      </c>
      <c r="J27" s="1524" t="s">
        <v>10822</v>
      </c>
      <c r="K27" s="1524" t="s">
        <v>10823</v>
      </c>
      <c r="L27" s="1524" t="s">
        <v>10824</v>
      </c>
      <c r="M27" s="1772">
        <v>0.05303240740740741</v>
      </c>
      <c r="N27" s="1771" t="str">
        <f t="shared" si="1"/>
        <v>1:46</v>
      </c>
      <c r="O27" s="1524"/>
    </row>
    <row r="28" ht="15.75" customHeight="1">
      <c r="A28" s="1689" t="s">
        <v>1351</v>
      </c>
      <c r="B28" s="1666" t="s">
        <v>8566</v>
      </c>
      <c r="C28" s="1773">
        <v>0.052088194444444444</v>
      </c>
      <c r="D28" s="1639" t="s">
        <v>10825</v>
      </c>
      <c r="E28" s="1525" t="s">
        <v>10826</v>
      </c>
      <c r="F28" s="1524" t="s">
        <v>10827</v>
      </c>
      <c r="G28" s="1524" t="s">
        <v>10828</v>
      </c>
      <c r="H28" s="1524" t="s">
        <v>10829</v>
      </c>
      <c r="I28" s="1524" t="s">
        <v>10830</v>
      </c>
      <c r="J28" s="1524" t="s">
        <v>10831</v>
      </c>
      <c r="K28" s="1524" t="s">
        <v>10832</v>
      </c>
      <c r="L28" s="1524" t="s">
        <v>9733</v>
      </c>
      <c r="M28" s="1772">
        <v>0.053043981481481484</v>
      </c>
      <c r="N28" s="1771" t="str">
        <f t="shared" si="1"/>
        <v>1:23</v>
      </c>
      <c r="O28" s="1524" t="s">
        <v>10666</v>
      </c>
    </row>
    <row r="29" ht="15.75" customHeight="1">
      <c r="A29" s="1689" t="s">
        <v>2534</v>
      </c>
      <c r="B29" s="1565" t="s">
        <v>8540</v>
      </c>
      <c r="C29" s="1773">
        <v>0.05215277777777778</v>
      </c>
      <c r="D29" s="1524" t="s">
        <v>10833</v>
      </c>
      <c r="E29" s="1524" t="s">
        <v>5862</v>
      </c>
      <c r="F29" s="1524" t="s">
        <v>10834</v>
      </c>
      <c r="G29" s="1524" t="s">
        <v>10835</v>
      </c>
      <c r="H29" s="1524" t="s">
        <v>10836</v>
      </c>
      <c r="I29" s="1524" t="s">
        <v>10700</v>
      </c>
      <c r="J29" s="1524" t="s">
        <v>10837</v>
      </c>
      <c r="K29" s="1524" t="s">
        <v>10838</v>
      </c>
      <c r="L29" s="1524" t="s">
        <v>9493</v>
      </c>
      <c r="M29" s="1772">
        <v>0.05399305555555556</v>
      </c>
      <c r="N29" s="1771" t="str">
        <f t="shared" si="1"/>
        <v>2:39</v>
      </c>
      <c r="O29" s="1524" t="s">
        <v>10839</v>
      </c>
    </row>
    <row r="30" ht="15.75" customHeight="1">
      <c r="A30" s="1706" t="s">
        <v>2921</v>
      </c>
      <c r="B30" s="1565" t="s">
        <v>8509</v>
      </c>
      <c r="C30" s="1796">
        <v>0.05216435185185185</v>
      </c>
      <c r="D30" s="1524" t="s">
        <v>10840</v>
      </c>
      <c r="E30" s="1525" t="s">
        <v>10841</v>
      </c>
      <c r="F30" s="1524" t="s">
        <v>10842</v>
      </c>
      <c r="G30" s="1524" t="s">
        <v>10843</v>
      </c>
      <c r="H30" s="1524" t="s">
        <v>10844</v>
      </c>
      <c r="I30" s="1524" t="s">
        <v>10845</v>
      </c>
      <c r="J30" s="1524" t="s">
        <v>10846</v>
      </c>
      <c r="K30" s="1524" t="s">
        <v>10847</v>
      </c>
      <c r="L30" s="1524" t="s">
        <v>10848</v>
      </c>
      <c r="M30" s="1797">
        <v>0.05337962962962963</v>
      </c>
      <c r="N30" s="1771" t="str">
        <f t="shared" si="1"/>
        <v>1:45</v>
      </c>
      <c r="O30" s="1524" t="s">
        <v>10849</v>
      </c>
    </row>
    <row r="31" ht="15.75" customHeight="1">
      <c r="A31" s="1689" t="s">
        <v>739</v>
      </c>
      <c r="B31" s="1565" t="s">
        <v>8540</v>
      </c>
      <c r="C31" s="1773">
        <v>0.05224537037037037</v>
      </c>
      <c r="D31" s="1524" t="s">
        <v>10850</v>
      </c>
      <c r="E31" s="1798" t="s">
        <v>10851</v>
      </c>
      <c r="F31" s="1524" t="s">
        <v>10852</v>
      </c>
      <c r="G31" s="1524" t="s">
        <v>10853</v>
      </c>
      <c r="H31" s="1524" t="s">
        <v>10854</v>
      </c>
      <c r="I31" s="1524" t="s">
        <v>10644</v>
      </c>
      <c r="J31" s="1524" t="s">
        <v>10855</v>
      </c>
      <c r="K31" s="1527" t="s">
        <v>10856</v>
      </c>
      <c r="L31" s="1524" t="s">
        <v>10857</v>
      </c>
      <c r="M31" s="1772">
        <v>0.053043981481481484</v>
      </c>
      <c r="N31" s="1771" t="str">
        <f t="shared" si="1"/>
        <v>1:09</v>
      </c>
      <c r="O31" s="1524" t="s">
        <v>10858</v>
      </c>
    </row>
    <row r="32" ht="15.75" customHeight="1">
      <c r="A32" s="1706" t="s">
        <v>2989</v>
      </c>
      <c r="B32" s="1666" t="s">
        <v>8540</v>
      </c>
      <c r="C32" s="1769">
        <v>0.052316898148148154</v>
      </c>
      <c r="D32" s="1639" t="s">
        <v>10859</v>
      </c>
      <c r="E32" s="1525" t="s">
        <v>10860</v>
      </c>
      <c r="F32" s="1524" t="s">
        <v>10861</v>
      </c>
      <c r="G32" s="1524" t="s">
        <v>10862</v>
      </c>
      <c r="H32" s="1524" t="s">
        <v>10863</v>
      </c>
      <c r="I32" s="1524" t="s">
        <v>10864</v>
      </c>
      <c r="J32" s="1524" t="s">
        <v>10865</v>
      </c>
      <c r="K32" s="1524" t="s">
        <v>10866</v>
      </c>
      <c r="L32" s="1524" t="s">
        <v>9218</v>
      </c>
      <c r="M32" s="1772">
        <v>0.0537625</v>
      </c>
      <c r="N32" s="1771" t="str">
        <f t="shared" si="1"/>
        <v>2:05</v>
      </c>
      <c r="O32" s="1524" t="s">
        <v>10666</v>
      </c>
    </row>
    <row r="33" ht="15.75" customHeight="1">
      <c r="A33" s="1689" t="s">
        <v>3983</v>
      </c>
      <c r="B33" s="1565" t="s">
        <v>8509</v>
      </c>
      <c r="C33" s="1773">
        <v>0.05238425925925926</v>
      </c>
      <c r="D33" s="1709" t="s">
        <v>10867</v>
      </c>
      <c r="E33" s="1525" t="s">
        <v>10841</v>
      </c>
      <c r="F33" s="1524" t="s">
        <v>10868</v>
      </c>
      <c r="G33" s="1799" t="s">
        <v>10869</v>
      </c>
      <c r="H33" s="1524" t="s">
        <v>10870</v>
      </c>
      <c r="I33" s="1524" t="s">
        <v>10871</v>
      </c>
      <c r="J33" s="1524" t="s">
        <v>10872</v>
      </c>
      <c r="K33" s="1524" t="s">
        <v>10873</v>
      </c>
      <c r="L33" s="1524" t="s">
        <v>9751</v>
      </c>
      <c r="M33" s="1772">
        <v>0.05340277777777778</v>
      </c>
      <c r="N33" s="1771" t="str">
        <f t="shared" si="1"/>
        <v>1:28</v>
      </c>
      <c r="O33" s="1524" t="s">
        <v>10874</v>
      </c>
    </row>
    <row r="34" ht="15.75" customHeight="1">
      <c r="A34" s="1706" t="s">
        <v>9777</v>
      </c>
      <c r="B34" s="1565" t="s">
        <v>8509</v>
      </c>
      <c r="C34" s="1769">
        <v>0.05268518518518518</v>
      </c>
      <c r="D34" s="1639" t="s">
        <v>10875</v>
      </c>
      <c r="E34" s="1525" t="s">
        <v>10876</v>
      </c>
      <c r="F34" s="1524" t="s">
        <v>10877</v>
      </c>
      <c r="G34" s="1524" t="s">
        <v>10878</v>
      </c>
      <c r="H34" s="1524" t="s">
        <v>10879</v>
      </c>
      <c r="I34" s="1524" t="s">
        <v>10880</v>
      </c>
      <c r="J34" s="1524" t="s">
        <v>10881</v>
      </c>
      <c r="K34" s="1524" t="s">
        <v>10882</v>
      </c>
      <c r="L34" s="1524" t="s">
        <v>9795</v>
      </c>
      <c r="M34" s="1772">
        <v>0.05331018518518518</v>
      </c>
      <c r="N34" s="1771" t="str">
        <f t="shared" si="1"/>
        <v>0:54</v>
      </c>
      <c r="O34" s="1524" t="s">
        <v>10883</v>
      </c>
    </row>
    <row r="35" ht="15.75" customHeight="1">
      <c r="A35" s="1800" t="s">
        <v>3709</v>
      </c>
      <c r="B35" s="1775" t="s">
        <v>8509</v>
      </c>
      <c r="C35" s="1769">
        <v>0.05270034722222223</v>
      </c>
      <c r="D35" s="1709" t="s">
        <v>10884</v>
      </c>
      <c r="E35" s="1525" t="s">
        <v>10885</v>
      </c>
      <c r="F35" s="1524" t="s">
        <v>10886</v>
      </c>
      <c r="G35" s="1524" t="s">
        <v>10887</v>
      </c>
      <c r="H35" s="1524" t="s">
        <v>10888</v>
      </c>
      <c r="I35" s="1524" t="s">
        <v>10889</v>
      </c>
      <c r="J35" s="1524" t="s">
        <v>10890</v>
      </c>
      <c r="K35" s="1524" t="s">
        <v>10891</v>
      </c>
      <c r="L35" s="1524" t="s">
        <v>10892</v>
      </c>
      <c r="M35" s="1772">
        <v>0.05425925925925926</v>
      </c>
      <c r="N35" s="1771" t="str">
        <f t="shared" si="1"/>
        <v>2:15</v>
      </c>
      <c r="O35" s="1524" t="s">
        <v>10666</v>
      </c>
    </row>
    <row r="36" ht="15.75" customHeight="1">
      <c r="A36" s="1689" t="s">
        <v>3124</v>
      </c>
      <c r="B36" s="1565" t="s">
        <v>8509</v>
      </c>
      <c r="C36" s="1773">
        <v>0.05269675925925926</v>
      </c>
      <c r="D36" s="1639" t="s">
        <v>10893</v>
      </c>
      <c r="E36" s="1525" t="s">
        <v>10894</v>
      </c>
      <c r="F36" s="1524" t="s">
        <v>10895</v>
      </c>
      <c r="G36" s="1524" t="s">
        <v>10896</v>
      </c>
      <c r="H36" s="1524" t="s">
        <v>10897</v>
      </c>
      <c r="I36" s="1524" t="s">
        <v>10898</v>
      </c>
      <c r="J36" s="1524" t="s">
        <v>10899</v>
      </c>
      <c r="K36" s="1524" t="s">
        <v>10900</v>
      </c>
      <c r="L36" s="1524" t="s">
        <v>10901</v>
      </c>
      <c r="M36" s="1772">
        <v>0.05417824074074074</v>
      </c>
      <c r="N36" s="1771" t="str">
        <f t="shared" si="1"/>
        <v>2:08</v>
      </c>
      <c r="O36" s="1524" t="s">
        <v>10902</v>
      </c>
    </row>
    <row r="37">
      <c r="A37" s="1801" t="s">
        <v>3472</v>
      </c>
      <c r="B37" s="1775" t="s">
        <v>8509</v>
      </c>
      <c r="C37" s="1769">
        <v>0.053009259259259256</v>
      </c>
      <c r="D37" s="1709" t="s">
        <v>10903</v>
      </c>
      <c r="E37" s="1525" t="s">
        <v>10904</v>
      </c>
      <c r="F37" s="1524" t="s">
        <v>10905</v>
      </c>
      <c r="G37" s="1524" t="s">
        <v>10906</v>
      </c>
      <c r="H37" s="1524" t="s">
        <v>10907</v>
      </c>
      <c r="I37" s="1524" t="s">
        <v>10908</v>
      </c>
      <c r="J37" s="1524" t="s">
        <v>10909</v>
      </c>
      <c r="K37" s="1524" t="s">
        <v>10910</v>
      </c>
      <c r="L37" s="1524" t="s">
        <v>10911</v>
      </c>
      <c r="M37" s="1772">
        <v>0.05372685185185185</v>
      </c>
      <c r="N37" s="1771" t="str">
        <f t="shared" si="1"/>
        <v>1:02</v>
      </c>
      <c r="O37" s="1524" t="s">
        <v>10666</v>
      </c>
    </row>
    <row r="38" ht="15.75" customHeight="1">
      <c r="A38" s="1689" t="s">
        <v>986</v>
      </c>
      <c r="B38" s="1756" t="s">
        <v>8540</v>
      </c>
      <c r="C38" s="1773">
        <v>0.05378472222222222</v>
      </c>
      <c r="D38" s="1639" t="s">
        <v>10912</v>
      </c>
      <c r="E38" s="1525" t="s">
        <v>10913</v>
      </c>
      <c r="F38" s="1524" t="s">
        <v>10914</v>
      </c>
      <c r="G38" s="1524" t="s">
        <v>10915</v>
      </c>
      <c r="H38" s="1524" t="s">
        <v>10916</v>
      </c>
      <c r="I38" s="1524" t="s">
        <v>8121</v>
      </c>
      <c r="J38" s="1524" t="s">
        <v>10917</v>
      </c>
      <c r="K38" s="1524" t="s">
        <v>10918</v>
      </c>
      <c r="L38" s="1524" t="s">
        <v>9540</v>
      </c>
      <c r="M38" s="1772">
        <v>0.054560185185185184</v>
      </c>
      <c r="N38" s="1771" t="str">
        <f t="shared" si="1"/>
        <v>1:07</v>
      </c>
      <c r="O38" s="1524"/>
    </row>
    <row r="39" ht="15.75" customHeight="1">
      <c r="A39" s="1689" t="s">
        <v>4898</v>
      </c>
      <c r="B39" s="1666" t="s">
        <v>8540</v>
      </c>
      <c r="C39" s="1773">
        <v>0.05748842592592593</v>
      </c>
      <c r="D39" s="1639" t="s">
        <v>10919</v>
      </c>
      <c r="E39" s="1525" t="s">
        <v>10920</v>
      </c>
      <c r="F39" s="1524" t="s">
        <v>10921</v>
      </c>
      <c r="G39" s="1524" t="s">
        <v>10922</v>
      </c>
      <c r="H39" s="1524" t="s">
        <v>10923</v>
      </c>
      <c r="I39" s="1524" t="s">
        <v>10924</v>
      </c>
      <c r="J39" s="1524" t="s">
        <v>10925</v>
      </c>
      <c r="K39" s="1524" t="s">
        <v>10926</v>
      </c>
      <c r="L39" s="1524" t="s">
        <v>10571</v>
      </c>
      <c r="M39" s="1772">
        <v>0.06149305555555556</v>
      </c>
      <c r="N39" s="1771" t="str">
        <f t="shared" si="1"/>
        <v>5:46</v>
      </c>
      <c r="O39" s="1524" t="s">
        <v>10666</v>
      </c>
    </row>
    <row r="40">
      <c r="A40" s="1706" t="s">
        <v>2014</v>
      </c>
      <c r="B40" s="1802" t="s">
        <v>8509</v>
      </c>
      <c r="C40" s="1769">
        <v>0.05059429398148148</v>
      </c>
      <c r="D40" s="1709" t="s">
        <v>10927</v>
      </c>
      <c r="E40" s="1525" t="s">
        <v>10928</v>
      </c>
      <c r="F40" s="1524" t="s">
        <v>10929</v>
      </c>
      <c r="G40" s="1524" t="s">
        <v>10930</v>
      </c>
      <c r="H40" s="1524" t="s">
        <v>10931</v>
      </c>
      <c r="I40" s="1524" t="s">
        <v>10932</v>
      </c>
      <c r="J40" s="1524" t="s">
        <v>10933</v>
      </c>
      <c r="K40" s="1524" t="s">
        <v>10934</v>
      </c>
      <c r="L40" s="1524" t="s">
        <v>10935</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8471</v>
      </c>
      <c r="C1" s="1825" t="s">
        <v>10630</v>
      </c>
      <c r="D1" s="1826" t="s">
        <v>6689</v>
      </c>
      <c r="E1" s="1827" t="s">
        <v>6986</v>
      </c>
      <c r="F1" s="1828" t="s">
        <v>38</v>
      </c>
      <c r="G1" s="1829" t="s">
        <v>36</v>
      </c>
      <c r="H1" s="1825" t="s">
        <v>10631</v>
      </c>
      <c r="I1" s="1830" t="s">
        <v>39</v>
      </c>
      <c r="J1" s="1831" t="s">
        <v>6925</v>
      </c>
      <c r="K1" s="1435" t="s">
        <v>8505</v>
      </c>
      <c r="L1" s="1435" t="s">
        <v>8507</v>
      </c>
    </row>
    <row r="2" ht="15.75" customHeight="1">
      <c r="A2" s="1742" t="s">
        <v>8508</v>
      </c>
      <c r="B2" s="1743" t="s">
        <v>8509</v>
      </c>
      <c r="C2" s="1745" t="s">
        <v>10632</v>
      </c>
      <c r="D2" s="1832" t="s">
        <v>10936</v>
      </c>
      <c r="E2" s="1747" t="s">
        <v>10937</v>
      </c>
      <c r="F2" s="1833" t="s">
        <v>10938</v>
      </c>
      <c r="G2" s="1749" t="s">
        <v>10939</v>
      </c>
      <c r="H2" s="1745" t="s">
        <v>10940</v>
      </c>
      <c r="I2" s="1834" t="s">
        <v>10941</v>
      </c>
      <c r="J2" s="1752" t="s">
        <v>10942</v>
      </c>
      <c r="K2" s="1835" t="s">
        <v>8538</v>
      </c>
      <c r="L2" s="1836"/>
    </row>
    <row r="3" ht="15.75" customHeight="1">
      <c r="A3" s="1468" t="s">
        <v>8539</v>
      </c>
      <c r="B3" s="1756" t="s">
        <v>8540</v>
      </c>
      <c r="C3" s="1471" t="s">
        <v>10833</v>
      </c>
      <c r="D3" s="1472" t="s">
        <v>10943</v>
      </c>
      <c r="E3" s="1473" t="s">
        <v>10944</v>
      </c>
      <c r="F3" s="1474" t="s">
        <v>10945</v>
      </c>
      <c r="G3" s="1478" t="s">
        <v>10946</v>
      </c>
      <c r="H3" s="1471" t="s">
        <v>10947</v>
      </c>
      <c r="I3" s="1480" t="s">
        <v>10948</v>
      </c>
      <c r="J3" s="1482" t="s">
        <v>10949</v>
      </c>
      <c r="K3" s="1757">
        <v>0.053043981481481484</v>
      </c>
    </row>
    <row r="4" ht="15.75" customHeight="1">
      <c r="A4" s="1486" t="s">
        <v>8565</v>
      </c>
      <c r="B4" s="1760" t="s">
        <v>8566</v>
      </c>
      <c r="C4" s="1489" t="s">
        <v>10825</v>
      </c>
      <c r="D4" s="1490" t="s">
        <v>10950</v>
      </c>
      <c r="E4" s="1491" t="s">
        <v>10951</v>
      </c>
      <c r="F4" s="1492" t="s">
        <v>10952</v>
      </c>
      <c r="G4" s="1493" t="s">
        <v>10953</v>
      </c>
      <c r="H4" s="1489" t="s">
        <v>10954</v>
      </c>
      <c r="I4" s="1495" t="s">
        <v>10955</v>
      </c>
      <c r="J4" s="1496" t="s">
        <v>10956</v>
      </c>
      <c r="K4" s="1761">
        <v>0.053043981481481484</v>
      </c>
    </row>
    <row r="5" ht="15.75" customHeight="1">
      <c r="A5" s="1689" t="s">
        <v>1060</v>
      </c>
      <c r="B5" s="1565" t="s">
        <v>8509</v>
      </c>
      <c r="C5" s="1765" t="s">
        <v>10632</v>
      </c>
      <c r="D5" s="1765" t="s">
        <v>10936</v>
      </c>
      <c r="E5" s="1765" t="s">
        <v>10937</v>
      </c>
      <c r="F5" s="1765" t="s">
        <v>10938</v>
      </c>
      <c r="G5" s="1765" t="s">
        <v>10957</v>
      </c>
      <c r="H5" s="1765" t="s">
        <v>10958</v>
      </c>
      <c r="I5" s="1765" t="s">
        <v>10941</v>
      </c>
      <c r="J5" s="1765" t="s">
        <v>10942</v>
      </c>
      <c r="K5" s="1837" t="s">
        <v>8538</v>
      </c>
      <c r="L5" s="1524" t="s">
        <v>10959</v>
      </c>
    </row>
    <row r="6" ht="15.75" customHeight="1">
      <c r="A6" s="1838" t="s">
        <v>6410</v>
      </c>
      <c r="B6" s="1565" t="s">
        <v>8509</v>
      </c>
      <c r="C6" s="1697" t="s">
        <v>10675</v>
      </c>
      <c r="D6" s="1524" t="s">
        <v>10960</v>
      </c>
      <c r="E6" s="1524" t="s">
        <v>10961</v>
      </c>
      <c r="F6" s="1524" t="s">
        <v>10962</v>
      </c>
      <c r="G6" s="1524" t="s">
        <v>10963</v>
      </c>
      <c r="H6" s="1524" t="s">
        <v>10964</v>
      </c>
      <c r="I6" s="1524" t="s">
        <v>10965</v>
      </c>
      <c r="J6" s="1524" t="s">
        <v>10966</v>
      </c>
      <c r="K6" s="1524" t="s">
        <v>8727</v>
      </c>
      <c r="L6" s="1524"/>
    </row>
    <row r="7" ht="15.75" customHeight="1">
      <c r="A7" s="1718" t="s">
        <v>1807</v>
      </c>
      <c r="B7" s="1839" t="s">
        <v>8509</v>
      </c>
      <c r="C7" s="1524" t="s">
        <v>10667</v>
      </c>
      <c r="D7" s="1524" t="s">
        <v>10967</v>
      </c>
      <c r="E7" s="1766" t="s">
        <v>10968</v>
      </c>
      <c r="F7" s="1527" t="s">
        <v>10969</v>
      </c>
      <c r="G7" s="1840" t="s">
        <v>10970</v>
      </c>
      <c r="H7" s="1840" t="s">
        <v>10971</v>
      </c>
      <c r="I7" s="1524" t="s">
        <v>10972</v>
      </c>
      <c r="J7" s="1841" t="s">
        <v>10973</v>
      </c>
      <c r="K7" s="1841" t="s">
        <v>8678</v>
      </c>
      <c r="L7" s="1524" t="s">
        <v>10974</v>
      </c>
    </row>
    <row r="8" ht="15.75" customHeight="1">
      <c r="A8" s="1768" t="s">
        <v>434</v>
      </c>
      <c r="B8" s="1502" t="s">
        <v>8509</v>
      </c>
      <c r="C8" s="1697" t="s">
        <v>10660</v>
      </c>
      <c r="D8" s="1524" t="s">
        <v>10975</v>
      </c>
      <c r="E8" s="1524" t="s">
        <v>10976</v>
      </c>
      <c r="F8" s="1524" t="s">
        <v>10977</v>
      </c>
      <c r="G8" s="1524" t="s">
        <v>10978</v>
      </c>
      <c r="H8" s="1524" t="s">
        <v>10979</v>
      </c>
      <c r="I8" s="1524" t="s">
        <v>10980</v>
      </c>
      <c r="J8" s="1524" t="s">
        <v>10981</v>
      </c>
      <c r="K8" s="1524" t="s">
        <v>8633</v>
      </c>
      <c r="L8" s="1524"/>
    </row>
    <row r="9" ht="15.75" customHeight="1">
      <c r="A9" s="1718" t="s">
        <v>6468</v>
      </c>
      <c r="B9" s="1502" t="s">
        <v>8509</v>
      </c>
      <c r="C9" s="1524" t="s">
        <v>10982</v>
      </c>
      <c r="D9" s="1524" t="s">
        <v>10983</v>
      </c>
      <c r="E9" s="1524" t="s">
        <v>10984</v>
      </c>
      <c r="F9" s="1527" t="s">
        <v>10985</v>
      </c>
      <c r="G9" s="1527" t="s">
        <v>10986</v>
      </c>
      <c r="H9" s="1842" t="s">
        <v>10987</v>
      </c>
      <c r="I9" s="1527" t="s">
        <v>10988</v>
      </c>
      <c r="J9" s="1527" t="s">
        <v>10989</v>
      </c>
      <c r="K9" s="1524" t="s">
        <v>8657</v>
      </c>
      <c r="L9" s="1524"/>
    </row>
    <row r="10" ht="15.75" customHeight="1">
      <c r="A10" s="1689" t="s">
        <v>1557</v>
      </c>
      <c r="B10" s="1565" t="s">
        <v>8509</v>
      </c>
      <c r="C10" s="1843" t="s">
        <v>10699</v>
      </c>
      <c r="D10" s="1778" t="s">
        <v>10990</v>
      </c>
      <c r="E10" s="1778" t="s">
        <v>10991</v>
      </c>
      <c r="F10" s="1524" t="s">
        <v>10992</v>
      </c>
      <c r="G10" s="1799" t="s">
        <v>10993</v>
      </c>
      <c r="H10" s="1799" t="s">
        <v>10994</v>
      </c>
      <c r="I10" s="1799" t="s">
        <v>10995</v>
      </c>
      <c r="J10" s="1799" t="s">
        <v>10996</v>
      </c>
      <c r="K10" s="1799" t="s">
        <v>8916</v>
      </c>
      <c r="L10" s="1524" t="s">
        <v>10997</v>
      </c>
    </row>
    <row r="11" ht="15.75" customHeight="1">
      <c r="A11" s="1706" t="s">
        <v>912</v>
      </c>
      <c r="B11" s="1666" t="s">
        <v>8509</v>
      </c>
      <c r="C11" s="1844" t="s">
        <v>10690</v>
      </c>
      <c r="D11" s="1524" t="s">
        <v>10998</v>
      </c>
      <c r="E11" s="1524" t="s">
        <v>10999</v>
      </c>
      <c r="F11" s="1524" t="s">
        <v>11000</v>
      </c>
      <c r="G11" s="1524" t="s">
        <v>11001</v>
      </c>
      <c r="H11" s="1524" t="s">
        <v>11002</v>
      </c>
      <c r="I11" s="1524" t="s">
        <v>11003</v>
      </c>
      <c r="J11" s="1524" t="s">
        <v>11004</v>
      </c>
      <c r="K11" s="1524" t="s">
        <v>8750</v>
      </c>
      <c r="L11" s="1524" t="s">
        <v>11005</v>
      </c>
    </row>
    <row r="12" ht="15.75" customHeight="1">
      <c r="A12" s="1723" t="s">
        <v>2076</v>
      </c>
      <c r="B12" s="1502" t="s">
        <v>8509</v>
      </c>
      <c r="C12" s="1843" t="s">
        <v>10708</v>
      </c>
      <c r="D12" s="1524" t="s">
        <v>11006</v>
      </c>
      <c r="E12" s="1524" t="s">
        <v>11007</v>
      </c>
      <c r="F12" s="1524" t="s">
        <v>11008</v>
      </c>
      <c r="G12" s="1524" t="s">
        <v>11009</v>
      </c>
      <c r="H12" s="1524" t="s">
        <v>11010</v>
      </c>
      <c r="I12" s="1524" t="s">
        <v>11011</v>
      </c>
      <c r="J12" s="1524" t="s">
        <v>11012</v>
      </c>
      <c r="K12" s="1524" t="s">
        <v>8867</v>
      </c>
      <c r="L12" s="1524"/>
    </row>
    <row r="13" ht="15.75" customHeight="1">
      <c r="A13" s="1768" t="s">
        <v>328</v>
      </c>
      <c r="B13" s="1502" t="s">
        <v>8509</v>
      </c>
      <c r="C13" s="1524" t="s">
        <v>11013</v>
      </c>
      <c r="D13" s="1524" t="s">
        <v>11014</v>
      </c>
      <c r="E13" s="1524" t="s">
        <v>11015</v>
      </c>
      <c r="F13" s="1524" t="s">
        <v>11016</v>
      </c>
      <c r="G13" s="1524" t="s">
        <v>11017</v>
      </c>
      <c r="H13" s="1524" t="s">
        <v>11018</v>
      </c>
      <c r="I13" s="1524" t="s">
        <v>11019</v>
      </c>
      <c r="J13" s="1524" t="s">
        <v>11020</v>
      </c>
      <c r="K13" s="1524" t="s">
        <v>8705</v>
      </c>
      <c r="L13" s="1524"/>
    </row>
    <row r="14" ht="16.5" customHeight="1">
      <c r="A14" s="1787" t="s">
        <v>2638</v>
      </c>
      <c r="B14" s="1502" t="s">
        <v>8509</v>
      </c>
      <c r="C14" s="1524" t="s">
        <v>10738</v>
      </c>
      <c r="D14" s="1524" t="s">
        <v>11021</v>
      </c>
      <c r="E14" s="1524" t="s">
        <v>11022</v>
      </c>
      <c r="F14" s="1524" t="s">
        <v>11023</v>
      </c>
      <c r="G14" s="1524" t="s">
        <v>11024</v>
      </c>
      <c r="H14" s="1524" t="s">
        <v>11025</v>
      </c>
      <c r="I14" s="1524" t="s">
        <v>11026</v>
      </c>
      <c r="J14" s="1524" t="s">
        <v>11027</v>
      </c>
      <c r="K14" s="1524" t="s">
        <v>11028</v>
      </c>
      <c r="L14" s="1524" t="s">
        <v>11029</v>
      </c>
    </row>
    <row r="15" ht="15.0" customHeight="1">
      <c r="A15" s="1794" t="s">
        <v>1635</v>
      </c>
      <c r="B15" s="1657" t="s">
        <v>8509</v>
      </c>
      <c r="C15" s="1844" t="s">
        <v>11030</v>
      </c>
      <c r="D15" s="1524" t="s">
        <v>11031</v>
      </c>
      <c r="E15" s="1524" t="s">
        <v>11032</v>
      </c>
      <c r="F15" s="1524" t="s">
        <v>11033</v>
      </c>
      <c r="G15" s="1524" t="s">
        <v>11034</v>
      </c>
      <c r="H15" s="1524" t="s">
        <v>11035</v>
      </c>
      <c r="I15" s="1524" t="s">
        <v>11036</v>
      </c>
      <c r="J15" s="1524" t="s">
        <v>11037</v>
      </c>
      <c r="K15" s="1524" t="s">
        <v>9198</v>
      </c>
      <c r="L15" s="1524"/>
    </row>
    <row r="16" ht="15.75" customHeight="1">
      <c r="A16" s="1689" t="s">
        <v>6457</v>
      </c>
      <c r="B16" s="1502" t="s">
        <v>8509</v>
      </c>
      <c r="C16" s="1524" t="s">
        <v>10771</v>
      </c>
      <c r="D16" s="1524" t="s">
        <v>11038</v>
      </c>
      <c r="E16" s="1524" t="s">
        <v>11039</v>
      </c>
      <c r="F16" s="1524" t="s">
        <v>11040</v>
      </c>
      <c r="G16" s="1524" t="s">
        <v>11041</v>
      </c>
      <c r="H16" s="1524" t="s">
        <v>11042</v>
      </c>
      <c r="I16" s="1524" t="s">
        <v>11043</v>
      </c>
      <c r="J16" s="1524" t="s">
        <v>11044</v>
      </c>
      <c r="K16" s="1524" t="s">
        <v>9098</v>
      </c>
      <c r="L16" s="1524" t="s">
        <v>11045</v>
      </c>
    </row>
    <row r="17" ht="15.75" customHeight="1">
      <c r="A17" s="1768" t="s">
        <v>1419</v>
      </c>
      <c r="B17" s="1502" t="s">
        <v>8509</v>
      </c>
      <c r="C17" s="1524" t="s">
        <v>11046</v>
      </c>
      <c r="D17" s="1524" t="s">
        <v>11047</v>
      </c>
      <c r="E17" s="1524" t="s">
        <v>11048</v>
      </c>
      <c r="F17" s="1524" t="s">
        <v>11049</v>
      </c>
      <c r="G17" s="1524" t="s">
        <v>11050</v>
      </c>
      <c r="H17" s="1524" t="s">
        <v>11051</v>
      </c>
      <c r="I17" s="1524" t="s">
        <v>11052</v>
      </c>
      <c r="J17" s="1524" t="s">
        <v>11053</v>
      </c>
      <c r="K17" s="1524" t="s">
        <v>9074</v>
      </c>
      <c r="L17" s="1524"/>
    </row>
    <row r="18" ht="15.75" customHeight="1">
      <c r="A18" s="1689" t="s">
        <v>2893</v>
      </c>
      <c r="B18" s="1565" t="s">
        <v>8509</v>
      </c>
      <c r="C18" s="1783" t="s">
        <v>10723</v>
      </c>
      <c r="D18" s="1766" t="s">
        <v>11054</v>
      </c>
      <c r="E18" s="1766" t="s">
        <v>11055</v>
      </c>
      <c r="F18" s="1766" t="s">
        <v>11056</v>
      </c>
      <c r="G18" s="1766" t="s">
        <v>11057</v>
      </c>
      <c r="H18" s="1766" t="s">
        <v>11058</v>
      </c>
      <c r="I18" s="1766" t="s">
        <v>11059</v>
      </c>
      <c r="J18" s="1766" t="s">
        <v>11060</v>
      </c>
      <c r="K18" s="1766" t="s">
        <v>9034</v>
      </c>
      <c r="L18" s="1524"/>
    </row>
    <row r="19" ht="15.75" customHeight="1">
      <c r="A19" s="1689" t="s">
        <v>2258</v>
      </c>
      <c r="B19" s="1666" t="s">
        <v>8509</v>
      </c>
      <c r="C19" s="1844" t="s">
        <v>10746</v>
      </c>
      <c r="D19" s="1524" t="s">
        <v>11061</v>
      </c>
      <c r="E19" s="1524" t="s">
        <v>11062</v>
      </c>
      <c r="F19" s="1524" t="s">
        <v>11063</v>
      </c>
      <c r="G19" s="1524" t="s">
        <v>11064</v>
      </c>
      <c r="H19" s="1524" t="s">
        <v>11065</v>
      </c>
      <c r="I19" s="1524" t="s">
        <v>11066</v>
      </c>
      <c r="J19" s="1524" t="s">
        <v>11067</v>
      </c>
      <c r="K19" s="1524" t="s">
        <v>8959</v>
      </c>
      <c r="L19" s="1524" t="s">
        <v>11068</v>
      </c>
    </row>
    <row r="20" ht="15.75" customHeight="1">
      <c r="A20" s="1768" t="s">
        <v>827</v>
      </c>
      <c r="B20" s="1502" t="s">
        <v>8509</v>
      </c>
      <c r="C20" s="1524" t="s">
        <v>11069</v>
      </c>
      <c r="D20" s="1524" t="s">
        <v>11070</v>
      </c>
      <c r="E20" s="1524" t="s">
        <v>11071</v>
      </c>
      <c r="F20" s="1524" t="s">
        <v>11072</v>
      </c>
      <c r="G20" s="1524" t="s">
        <v>11073</v>
      </c>
      <c r="H20" s="1524" t="s">
        <v>11074</v>
      </c>
      <c r="I20" s="1524" t="s">
        <v>11075</v>
      </c>
      <c r="J20" s="1524" t="s">
        <v>11076</v>
      </c>
      <c r="K20" s="1524" t="s">
        <v>9351</v>
      </c>
      <c r="L20" s="1524"/>
    </row>
    <row r="21" ht="15.75" customHeight="1">
      <c r="A21" s="1689" t="s">
        <v>1724</v>
      </c>
      <c r="B21" s="1565" t="s">
        <v>8509</v>
      </c>
      <c r="C21" s="1524" t="s">
        <v>11077</v>
      </c>
      <c r="D21" s="1524" t="s">
        <v>11078</v>
      </c>
      <c r="E21" s="1799" t="s">
        <v>11079</v>
      </c>
      <c r="F21" s="1524" t="s">
        <v>11080</v>
      </c>
      <c r="G21" s="1524" t="s">
        <v>11081</v>
      </c>
      <c r="H21" s="1524" t="s">
        <v>11082</v>
      </c>
      <c r="I21" s="1524" t="s">
        <v>11083</v>
      </c>
      <c r="J21" s="1524" t="s">
        <v>11084</v>
      </c>
      <c r="K21" s="1524" t="s">
        <v>9124</v>
      </c>
      <c r="L21" s="1524"/>
    </row>
    <row r="22" ht="15.75" customHeight="1">
      <c r="A22" s="1718" t="s">
        <v>8961</v>
      </c>
      <c r="B22" s="1502" t="s">
        <v>8509</v>
      </c>
      <c r="C22" s="1524" t="s">
        <v>10781</v>
      </c>
      <c r="D22" s="1524" t="s">
        <v>11085</v>
      </c>
      <c r="E22" s="1524" t="s">
        <v>11086</v>
      </c>
      <c r="F22" s="1524" t="s">
        <v>11087</v>
      </c>
      <c r="G22" s="1524" t="s">
        <v>11088</v>
      </c>
      <c r="H22" s="1524" t="s">
        <v>11089</v>
      </c>
      <c r="I22" s="1524" t="s">
        <v>11090</v>
      </c>
      <c r="J22" s="1524" t="s">
        <v>11091</v>
      </c>
      <c r="K22" s="1524" t="s">
        <v>8977</v>
      </c>
      <c r="L22" s="1524"/>
    </row>
    <row r="23" ht="15.75" customHeight="1">
      <c r="A23" s="1689" t="s">
        <v>739</v>
      </c>
      <c r="B23" s="1565" t="s">
        <v>8540</v>
      </c>
      <c r="C23" s="1524" t="s">
        <v>11092</v>
      </c>
      <c r="D23" s="1785" t="s">
        <v>10943</v>
      </c>
      <c r="E23" s="1785" t="s">
        <v>10944</v>
      </c>
      <c r="F23" s="1785" t="s">
        <v>10945</v>
      </c>
      <c r="G23" s="1785" t="s">
        <v>10946</v>
      </c>
      <c r="H23" s="1785" t="s">
        <v>10947</v>
      </c>
      <c r="I23" s="1785" t="s">
        <v>10948</v>
      </c>
      <c r="J23" s="1785" t="s">
        <v>10949</v>
      </c>
      <c r="K23" s="1785" t="s">
        <v>8937</v>
      </c>
      <c r="L23" s="1524" t="s">
        <v>11093</v>
      </c>
    </row>
    <row r="24" ht="15.75" customHeight="1">
      <c r="A24" s="1706" t="s">
        <v>1351</v>
      </c>
      <c r="B24" s="1565" t="s">
        <v>8566</v>
      </c>
      <c r="C24" s="1658" t="s">
        <v>10825</v>
      </c>
      <c r="D24" s="1658" t="s">
        <v>10950</v>
      </c>
      <c r="E24" s="1658" t="s">
        <v>10951</v>
      </c>
      <c r="F24" s="1658" t="s">
        <v>10952</v>
      </c>
      <c r="G24" s="1658" t="s">
        <v>10953</v>
      </c>
      <c r="H24" s="1658" t="s">
        <v>10954</v>
      </c>
      <c r="I24" s="1658" t="s">
        <v>10955</v>
      </c>
      <c r="J24" s="1658" t="s">
        <v>10956</v>
      </c>
      <c r="K24" s="1658" t="s">
        <v>8937</v>
      </c>
      <c r="L24" s="1524"/>
    </row>
    <row r="25" ht="16.5" customHeight="1">
      <c r="A25" s="1706" t="s">
        <v>11094</v>
      </c>
      <c r="B25" s="1565" t="s">
        <v>8509</v>
      </c>
      <c r="C25" s="1795" t="s">
        <v>10807</v>
      </c>
      <c r="D25" s="1524" t="s">
        <v>11095</v>
      </c>
      <c r="E25" s="1524" t="s">
        <v>11096</v>
      </c>
      <c r="F25" s="1524" t="s">
        <v>11097</v>
      </c>
      <c r="G25" s="1524" t="s">
        <v>11088</v>
      </c>
      <c r="H25" s="1524" t="s">
        <v>11098</v>
      </c>
      <c r="I25" s="1524" t="s">
        <v>11099</v>
      </c>
      <c r="J25" s="1524" t="s">
        <v>11100</v>
      </c>
      <c r="K25" s="1524" t="s">
        <v>9516</v>
      </c>
      <c r="L25" s="1524"/>
    </row>
    <row r="26" ht="15.75" customHeight="1">
      <c r="A26" s="1706" t="s">
        <v>2921</v>
      </c>
      <c r="B26" s="1565" t="s">
        <v>8509</v>
      </c>
      <c r="C26" s="1524" t="s">
        <v>11101</v>
      </c>
      <c r="D26" s="1524" t="s">
        <v>11102</v>
      </c>
      <c r="E26" s="1524" t="s">
        <v>11103</v>
      </c>
      <c r="F26" s="1524" t="s">
        <v>11104</v>
      </c>
      <c r="G26" s="1524" t="s">
        <v>11105</v>
      </c>
      <c r="H26" s="1524" t="s">
        <v>11106</v>
      </c>
      <c r="I26" s="1524" t="s">
        <v>11107</v>
      </c>
      <c r="J26" s="1524" t="s">
        <v>11108</v>
      </c>
      <c r="K26" s="1524" t="s">
        <v>11109</v>
      </c>
      <c r="L26" s="1524" t="s">
        <v>11110</v>
      </c>
    </row>
    <row r="27">
      <c r="A27" s="1801" t="s">
        <v>2989</v>
      </c>
      <c r="B27" s="1775" t="s">
        <v>8540</v>
      </c>
      <c r="C27" s="1844" t="s">
        <v>11111</v>
      </c>
      <c r="D27" s="1524"/>
      <c r="E27" s="1524" t="s">
        <v>11112</v>
      </c>
      <c r="F27" s="1524" t="s">
        <v>11113</v>
      </c>
      <c r="G27" s="1524"/>
      <c r="H27" s="1524"/>
      <c r="I27" s="1524"/>
      <c r="J27" s="1524"/>
      <c r="K27" s="1524" t="s">
        <v>9628</v>
      </c>
      <c r="L27" s="1524"/>
    </row>
    <row r="28">
      <c r="A28" s="1781" t="s">
        <v>2219</v>
      </c>
      <c r="B28" s="1666" t="s">
        <v>8540</v>
      </c>
      <c r="C28" s="1524" t="s">
        <v>11114</v>
      </c>
      <c r="D28" s="1524" t="s">
        <v>11115</v>
      </c>
      <c r="E28" s="1524" t="s">
        <v>11116</v>
      </c>
      <c r="F28" s="1524" t="s">
        <v>11117</v>
      </c>
      <c r="G28" s="1524" t="s">
        <v>11118</v>
      </c>
      <c r="H28" s="1524" t="s">
        <v>11119</v>
      </c>
      <c r="I28" s="1524" t="s">
        <v>11120</v>
      </c>
      <c r="J28" s="1524" t="s">
        <v>11121</v>
      </c>
      <c r="K28" s="1524" t="s">
        <v>11122</v>
      </c>
      <c r="L28" s="1524" t="s">
        <v>11123</v>
      </c>
    </row>
    <row r="29" ht="15.75" customHeight="1">
      <c r="A29" s="1689" t="s">
        <v>2534</v>
      </c>
      <c r="B29" s="1657" t="s">
        <v>8540</v>
      </c>
      <c r="C29" s="1785" t="s">
        <v>10833</v>
      </c>
      <c r="D29" s="1524" t="s">
        <v>11124</v>
      </c>
      <c r="E29" s="1524" t="s">
        <v>11125</v>
      </c>
      <c r="F29" s="1524" t="s">
        <v>11126</v>
      </c>
      <c r="G29" s="1524" t="s">
        <v>11127</v>
      </c>
      <c r="H29" s="1524" t="s">
        <v>11128</v>
      </c>
      <c r="I29" s="1524" t="s">
        <v>11129</v>
      </c>
      <c r="J29" s="1524" t="s">
        <v>11130</v>
      </c>
      <c r="K29" s="1524" t="s">
        <v>9494</v>
      </c>
      <c r="L29" s="1524"/>
    </row>
    <row r="30" ht="15.75" customHeight="1">
      <c r="A30" s="1706" t="s">
        <v>5403</v>
      </c>
      <c r="B30" s="1565" t="s">
        <v>8509</v>
      </c>
      <c r="C30" s="1844" t="s">
        <v>11131</v>
      </c>
      <c r="D30" s="1524" t="s">
        <v>11132</v>
      </c>
      <c r="E30" s="1524" t="s">
        <v>11133</v>
      </c>
      <c r="F30" s="1524" t="s">
        <v>11134</v>
      </c>
      <c r="G30" s="1524" t="s">
        <v>11135</v>
      </c>
      <c r="H30" s="1524" t="s">
        <v>11136</v>
      </c>
      <c r="I30" s="1524" t="s">
        <v>11137</v>
      </c>
      <c r="J30" s="1524" t="s">
        <v>11138</v>
      </c>
      <c r="K30" s="1524" t="s">
        <v>11139</v>
      </c>
      <c r="L30" s="1524" t="s">
        <v>11140</v>
      </c>
    </row>
    <row r="31" ht="15.75" customHeight="1">
      <c r="A31" s="1706" t="s">
        <v>4898</v>
      </c>
      <c r="B31" s="1565" t="s">
        <v>8540</v>
      </c>
      <c r="C31" s="1844" t="s">
        <v>10919</v>
      </c>
      <c r="D31" s="1524" t="s">
        <v>11141</v>
      </c>
      <c r="E31" s="1524" t="s">
        <v>11142</v>
      </c>
      <c r="F31" s="1524" t="s">
        <v>11143</v>
      </c>
      <c r="G31" s="1524" t="s">
        <v>11144</v>
      </c>
      <c r="H31" s="1524" t="s">
        <v>11145</v>
      </c>
      <c r="I31" s="1524" t="s">
        <v>11146</v>
      </c>
      <c r="J31" s="1524" t="s">
        <v>11147</v>
      </c>
      <c r="K31" s="1524" t="s">
        <v>10572</v>
      </c>
      <c r="L31" s="1524" t="s">
        <v>11148</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11149</v>
      </c>
      <c r="C1" s="1849" t="s">
        <v>43</v>
      </c>
      <c r="D1" s="1850" t="s">
        <v>11150</v>
      </c>
      <c r="E1" s="1849" t="s">
        <v>11151</v>
      </c>
      <c r="F1" s="1851" t="s">
        <v>11152</v>
      </c>
    </row>
    <row r="2">
      <c r="A2" s="1852"/>
      <c r="B2" s="1853"/>
      <c r="C2" s="1853"/>
      <c r="D2" s="1853"/>
      <c r="E2" s="1853"/>
      <c r="F2" s="1853"/>
    </row>
    <row r="3">
      <c r="A3" s="1852"/>
      <c r="B3" s="1853"/>
      <c r="C3" s="1853"/>
      <c r="D3" s="1853"/>
      <c r="E3" s="1853"/>
      <c r="F3" s="1853"/>
    </row>
    <row r="4">
      <c r="A4" s="1854" t="s">
        <v>11153</v>
      </c>
      <c r="B4" s="1855" t="s">
        <v>11154</v>
      </c>
      <c r="C4" s="1856"/>
      <c r="D4" s="1856"/>
      <c r="E4" s="1856"/>
      <c r="F4" s="1857"/>
    </row>
    <row r="5">
      <c r="A5" s="1853"/>
      <c r="B5" s="1858"/>
      <c r="C5" s="1859"/>
      <c r="D5" s="1859"/>
      <c r="E5" s="1859"/>
      <c r="F5" s="1860"/>
    </row>
    <row r="6">
      <c r="A6" s="1861" t="s">
        <v>11154</v>
      </c>
      <c r="B6" s="1862" t="s">
        <v>11155</v>
      </c>
      <c r="C6" s="1863" t="s">
        <v>4263</v>
      </c>
      <c r="D6" s="1864" t="s">
        <v>11156</v>
      </c>
      <c r="E6" s="1863" t="s">
        <v>11157</v>
      </c>
      <c r="F6" s="1865">
        <v>44233.0</v>
      </c>
    </row>
    <row r="7">
      <c r="A7" s="1861" t="s">
        <v>11158</v>
      </c>
      <c r="B7" s="1866" t="s">
        <v>11159</v>
      </c>
      <c r="C7" s="1863" t="s">
        <v>827</v>
      </c>
      <c r="D7" s="1864" t="s">
        <v>11160</v>
      </c>
      <c r="E7" s="1863" t="s">
        <v>11157</v>
      </c>
      <c r="F7" s="1865">
        <v>43878.0</v>
      </c>
    </row>
    <row r="8">
      <c r="A8" s="1861" t="s">
        <v>11161</v>
      </c>
      <c r="B8" s="1867" t="s">
        <v>11162</v>
      </c>
      <c r="C8" s="1863" t="s">
        <v>328</v>
      </c>
      <c r="D8" s="1864" t="s">
        <v>11163</v>
      </c>
      <c r="E8" s="1863" t="s">
        <v>11157</v>
      </c>
      <c r="F8" s="1865">
        <v>43879.0</v>
      </c>
    </row>
    <row r="9">
      <c r="A9" s="1861" t="s">
        <v>11164</v>
      </c>
      <c r="B9" s="1868" t="s">
        <v>11165</v>
      </c>
      <c r="C9" s="1863" t="s">
        <v>3983</v>
      </c>
      <c r="D9" s="1864" t="s">
        <v>11166</v>
      </c>
      <c r="E9" s="1863" t="s">
        <v>11167</v>
      </c>
      <c r="F9" s="1865">
        <v>44084.0</v>
      </c>
    </row>
    <row r="10">
      <c r="A10" s="1861" t="s">
        <v>11168</v>
      </c>
      <c r="B10" s="1868" t="s">
        <v>11169</v>
      </c>
      <c r="C10" s="1869"/>
      <c r="D10" s="1870"/>
      <c r="E10" s="1869"/>
      <c r="F10" s="1869"/>
    </row>
    <row r="11">
      <c r="A11" s="1861" t="s">
        <v>11170</v>
      </c>
      <c r="B11" s="1855" t="s">
        <v>11158</v>
      </c>
      <c r="C11" s="1856"/>
      <c r="D11" s="1856"/>
      <c r="E11" s="1856"/>
      <c r="F11" s="1857"/>
    </row>
    <row r="12">
      <c r="A12" s="1861" t="s">
        <v>11171</v>
      </c>
      <c r="B12" s="1858"/>
      <c r="C12" s="1859"/>
      <c r="D12" s="1859"/>
      <c r="E12" s="1859"/>
      <c r="F12" s="1860"/>
    </row>
    <row r="13">
      <c r="A13" s="1861" t="s">
        <v>11172</v>
      </c>
      <c r="B13" s="1862" t="s">
        <v>11155</v>
      </c>
      <c r="C13" s="1863" t="s">
        <v>4263</v>
      </c>
      <c r="D13" s="1864" t="s">
        <v>11173</v>
      </c>
      <c r="E13" s="1863" t="s">
        <v>11157</v>
      </c>
      <c r="F13" s="1865">
        <v>44250.0</v>
      </c>
    </row>
    <row r="14" ht="15.75" customHeight="1">
      <c r="A14" s="1861" t="s">
        <v>11174</v>
      </c>
      <c r="B14" s="1866" t="s">
        <v>11159</v>
      </c>
      <c r="C14" s="1863" t="s">
        <v>4231</v>
      </c>
      <c r="D14" s="1864" t="s">
        <v>11175</v>
      </c>
      <c r="E14" s="1863" t="s">
        <v>11157</v>
      </c>
      <c r="F14" s="1865">
        <v>43364.0</v>
      </c>
    </row>
    <row r="15">
      <c r="A15" s="1861" t="s">
        <v>11176</v>
      </c>
      <c r="B15" s="1867" t="s">
        <v>11162</v>
      </c>
      <c r="C15" s="1863" t="s">
        <v>11177</v>
      </c>
      <c r="D15" s="1864" t="s">
        <v>11178</v>
      </c>
      <c r="E15" s="1863" t="s">
        <v>11167</v>
      </c>
      <c r="F15" s="1865">
        <v>43757.0</v>
      </c>
    </row>
    <row r="16">
      <c r="A16" s="1861" t="s">
        <v>11179</v>
      </c>
      <c r="B16" s="1868" t="s">
        <v>11165</v>
      </c>
      <c r="C16" s="1863" t="s">
        <v>11180</v>
      </c>
      <c r="D16" s="1864" t="s">
        <v>11181</v>
      </c>
      <c r="E16" s="1863" t="s">
        <v>11167</v>
      </c>
      <c r="F16" s="1865">
        <v>43438.0</v>
      </c>
    </row>
    <row r="17">
      <c r="A17" s="1861" t="s">
        <v>11182</v>
      </c>
      <c r="B17" s="1868" t="s">
        <v>11169</v>
      </c>
      <c r="C17" s="1869"/>
      <c r="D17" s="1870"/>
      <c r="E17" s="1869"/>
      <c r="F17" s="1869"/>
    </row>
    <row r="18">
      <c r="A18" s="1861" t="s">
        <v>11183</v>
      </c>
      <c r="B18" s="1871" t="s">
        <v>11161</v>
      </c>
      <c r="C18" s="1856"/>
      <c r="D18" s="1856"/>
      <c r="E18" s="1856"/>
      <c r="F18" s="1857"/>
    </row>
    <row r="19">
      <c r="A19" s="1861" t="s">
        <v>11184</v>
      </c>
      <c r="B19" s="1859"/>
      <c r="C19" s="1859"/>
      <c r="D19" s="1859"/>
      <c r="E19" s="1859"/>
      <c r="F19" s="1860"/>
    </row>
    <row r="20">
      <c r="A20" s="1872"/>
      <c r="B20" s="1862" t="s">
        <v>11155</v>
      </c>
      <c r="C20" s="1863" t="s">
        <v>11185</v>
      </c>
      <c r="D20" s="1864" t="s">
        <v>11186</v>
      </c>
      <c r="E20" s="1863" t="s">
        <v>11157</v>
      </c>
      <c r="F20" s="1865">
        <v>44021.0</v>
      </c>
    </row>
    <row r="21">
      <c r="A21" s="1872"/>
      <c r="B21" s="1866" t="s">
        <v>11159</v>
      </c>
      <c r="C21" s="1863" t="s">
        <v>5221</v>
      </c>
      <c r="D21" s="1864" t="s">
        <v>11187</v>
      </c>
      <c r="E21" s="1863" t="s">
        <v>11167</v>
      </c>
      <c r="F21" s="1865">
        <v>44022.0</v>
      </c>
    </row>
    <row r="22">
      <c r="A22" s="1873"/>
      <c r="B22" s="1867" t="s">
        <v>11162</v>
      </c>
      <c r="C22" s="1863" t="s">
        <v>11188</v>
      </c>
      <c r="D22" s="1864" t="s">
        <v>11189</v>
      </c>
      <c r="E22" s="1863" t="s">
        <v>11190</v>
      </c>
      <c r="F22" s="1865">
        <v>43884.0</v>
      </c>
    </row>
    <row r="23">
      <c r="A23" s="1873"/>
      <c r="B23" s="1868" t="s">
        <v>11165</v>
      </c>
      <c r="C23" s="1863" t="s">
        <v>5403</v>
      </c>
      <c r="D23" s="1864" t="s">
        <v>11191</v>
      </c>
      <c r="E23" s="1863" t="s">
        <v>11157</v>
      </c>
      <c r="F23" s="1865">
        <v>43892.0</v>
      </c>
    </row>
    <row r="24">
      <c r="A24" s="1873"/>
      <c r="B24" s="1868" t="s">
        <v>11169</v>
      </c>
      <c r="C24" s="1869"/>
      <c r="D24" s="1870"/>
      <c r="E24" s="1869"/>
      <c r="F24" s="1869"/>
    </row>
    <row r="25">
      <c r="A25" s="1873"/>
      <c r="B25" s="1855" t="s">
        <v>11164</v>
      </c>
      <c r="C25" s="1856"/>
      <c r="D25" s="1856"/>
      <c r="E25" s="1856"/>
      <c r="F25" s="1857"/>
    </row>
    <row r="26">
      <c r="A26" s="1873"/>
      <c r="B26" s="1858"/>
      <c r="C26" s="1859"/>
      <c r="D26" s="1859"/>
      <c r="E26" s="1859"/>
      <c r="F26" s="1860"/>
    </row>
    <row r="27">
      <c r="A27" s="1873"/>
      <c r="B27" s="1874" t="s">
        <v>11192</v>
      </c>
      <c r="C27" s="1856"/>
      <c r="D27" s="1856"/>
      <c r="E27" s="1856"/>
      <c r="F27" s="1857"/>
    </row>
    <row r="28">
      <c r="A28" s="1873"/>
      <c r="B28" s="1858"/>
      <c r="C28" s="1859"/>
      <c r="D28" s="1859"/>
      <c r="E28" s="1859"/>
      <c r="F28" s="1860"/>
    </row>
    <row r="29">
      <c r="A29" s="1873"/>
      <c r="B29" s="1862" t="s">
        <v>11155</v>
      </c>
      <c r="C29" s="1875" t="s">
        <v>434</v>
      </c>
      <c r="D29" s="1864" t="s">
        <v>11193</v>
      </c>
      <c r="E29" s="1863" t="s">
        <v>11157</v>
      </c>
      <c r="F29" s="1865">
        <v>43659.0</v>
      </c>
    </row>
    <row r="30">
      <c r="A30" s="1873"/>
      <c r="B30" s="1866" t="s">
        <v>11159</v>
      </c>
      <c r="C30" s="1863" t="s">
        <v>1635</v>
      </c>
      <c r="D30" s="1864" t="s">
        <v>11194</v>
      </c>
      <c r="E30" s="1863" t="s">
        <v>11157</v>
      </c>
      <c r="F30" s="1865">
        <v>43228.0</v>
      </c>
    </row>
    <row r="31">
      <c r="A31" s="1873"/>
      <c r="B31" s="1867" t="s">
        <v>11162</v>
      </c>
      <c r="C31" s="1869"/>
      <c r="D31" s="1876"/>
      <c r="E31" s="1869"/>
      <c r="F31" s="1869"/>
    </row>
    <row r="32">
      <c r="A32" s="1873"/>
      <c r="B32" s="1868" t="s">
        <v>11165</v>
      </c>
      <c r="C32" s="1869"/>
      <c r="D32" s="1876"/>
      <c r="E32" s="1869"/>
      <c r="F32" s="1869"/>
    </row>
    <row r="33">
      <c r="A33" s="1873"/>
      <c r="B33" s="1868" t="s">
        <v>11169</v>
      </c>
      <c r="C33" s="1869"/>
      <c r="D33" s="1876"/>
      <c r="E33" s="1869"/>
      <c r="F33" s="1869"/>
    </row>
    <row r="34">
      <c r="A34" s="1873"/>
      <c r="B34" s="1874" t="s">
        <v>11195</v>
      </c>
      <c r="C34" s="1856"/>
      <c r="D34" s="1856"/>
      <c r="E34" s="1856"/>
      <c r="F34" s="1857"/>
    </row>
    <row r="35">
      <c r="A35" s="1873"/>
      <c r="B35" s="1858"/>
      <c r="C35" s="1859"/>
      <c r="D35" s="1859"/>
      <c r="E35" s="1859"/>
      <c r="F35" s="1860"/>
    </row>
    <row r="36">
      <c r="A36" s="1873"/>
      <c r="B36" s="1862" t="s">
        <v>11155</v>
      </c>
      <c r="C36" s="1863" t="s">
        <v>1635</v>
      </c>
      <c r="D36" s="1864" t="s">
        <v>11196</v>
      </c>
      <c r="E36" s="1863" t="s">
        <v>11157</v>
      </c>
      <c r="F36" s="1865">
        <v>43352.0</v>
      </c>
    </row>
    <row r="37">
      <c r="A37" s="1873"/>
      <c r="B37" s="1866" t="s">
        <v>11159</v>
      </c>
      <c r="C37" s="1863" t="s">
        <v>11197</v>
      </c>
      <c r="D37" s="1864" t="s">
        <v>11198</v>
      </c>
      <c r="E37" s="1863" t="s">
        <v>11157</v>
      </c>
      <c r="F37" s="1865">
        <v>43799.0</v>
      </c>
    </row>
    <row r="38">
      <c r="A38" s="1873"/>
      <c r="B38" s="1867" t="s">
        <v>11162</v>
      </c>
      <c r="C38" s="1869"/>
      <c r="D38" s="1870"/>
      <c r="E38" s="1869"/>
      <c r="F38" s="1869"/>
    </row>
    <row r="39">
      <c r="A39" s="1873"/>
      <c r="B39" s="1868" t="s">
        <v>11165</v>
      </c>
      <c r="C39" s="1869"/>
      <c r="D39" s="1870"/>
      <c r="E39" s="1869"/>
      <c r="F39" s="1869"/>
    </row>
    <row r="40">
      <c r="A40" s="1873"/>
      <c r="B40" s="1868" t="s">
        <v>11169</v>
      </c>
      <c r="C40" s="1869"/>
      <c r="D40" s="1870"/>
      <c r="E40" s="1869"/>
      <c r="F40" s="1869"/>
    </row>
    <row r="41">
      <c r="A41" s="1873"/>
      <c r="B41" s="1855" t="s">
        <v>11168</v>
      </c>
      <c r="C41" s="1856"/>
      <c r="D41" s="1856"/>
      <c r="E41" s="1856"/>
      <c r="F41" s="1857"/>
    </row>
    <row r="42">
      <c r="A42" s="1873"/>
      <c r="B42" s="1858"/>
      <c r="C42" s="1859"/>
      <c r="D42" s="1859"/>
      <c r="E42" s="1859"/>
      <c r="F42" s="1860"/>
    </row>
    <row r="43">
      <c r="A43" s="1873"/>
      <c r="B43" s="1862" t="s">
        <v>11155</v>
      </c>
      <c r="C43" s="1863" t="s">
        <v>7207</v>
      </c>
      <c r="D43" s="1877" t="s">
        <v>11199</v>
      </c>
      <c r="E43" s="1863" t="s">
        <v>11157</v>
      </c>
      <c r="F43" s="1878">
        <v>44511.0</v>
      </c>
    </row>
    <row r="44">
      <c r="A44" s="1873"/>
      <c r="B44" s="1866" t="s">
        <v>11159</v>
      </c>
      <c r="C44" s="1863" t="s">
        <v>11197</v>
      </c>
      <c r="D44" s="1877" t="s">
        <v>11200</v>
      </c>
      <c r="E44" s="1863" t="s">
        <v>11157</v>
      </c>
      <c r="F44" s="1878">
        <v>43740.0</v>
      </c>
    </row>
    <row r="45">
      <c r="A45" s="1873"/>
      <c r="B45" s="1867" t="s">
        <v>11162</v>
      </c>
      <c r="C45" s="1863" t="s">
        <v>10258</v>
      </c>
      <c r="D45" s="1877" t="s">
        <v>11201</v>
      </c>
      <c r="E45" s="1863" t="s">
        <v>11157</v>
      </c>
      <c r="F45" s="1878">
        <v>42098.0</v>
      </c>
    </row>
    <row r="46">
      <c r="A46" s="1873"/>
      <c r="B46" s="1868" t="s">
        <v>11165</v>
      </c>
      <c r="C46" s="1863"/>
      <c r="D46" s="1877"/>
      <c r="E46" s="1863"/>
      <c r="F46" s="1878"/>
    </row>
    <row r="47">
      <c r="A47" s="1873"/>
      <c r="B47" s="1868" t="s">
        <v>11169</v>
      </c>
      <c r="C47" s="1869"/>
      <c r="D47" s="1879"/>
      <c r="E47" s="1869"/>
      <c r="F47" s="1873"/>
    </row>
    <row r="48">
      <c r="A48" s="1873"/>
      <c r="B48" s="1855" t="s">
        <v>11170</v>
      </c>
      <c r="C48" s="1856"/>
      <c r="D48" s="1856"/>
      <c r="E48" s="1856"/>
      <c r="F48" s="1857"/>
    </row>
    <row r="49">
      <c r="A49" s="1873"/>
      <c r="B49" s="1858"/>
      <c r="C49" s="1859"/>
      <c r="D49" s="1859"/>
      <c r="E49" s="1859"/>
      <c r="F49" s="1860"/>
    </row>
    <row r="50">
      <c r="A50" s="1873"/>
      <c r="B50" s="1862" t="s">
        <v>11155</v>
      </c>
      <c r="C50" s="1863" t="s">
        <v>11202</v>
      </c>
      <c r="D50" s="1877" t="s">
        <v>11203</v>
      </c>
      <c r="E50" s="1863" t="s">
        <v>11204</v>
      </c>
      <c r="F50" s="1878">
        <v>43395.0</v>
      </c>
    </row>
    <row r="51">
      <c r="A51" s="1873"/>
      <c r="B51" s="1866" t="s">
        <v>11159</v>
      </c>
      <c r="C51" s="1863" t="s">
        <v>2258</v>
      </c>
      <c r="D51" s="1877" t="s">
        <v>11205</v>
      </c>
      <c r="E51" s="1863" t="s">
        <v>11167</v>
      </c>
      <c r="F51" s="1878">
        <v>43376.0</v>
      </c>
    </row>
    <row r="52">
      <c r="A52" s="1873"/>
      <c r="B52" s="1867" t="s">
        <v>11162</v>
      </c>
      <c r="C52" s="1869"/>
      <c r="D52" s="1879"/>
      <c r="E52" s="1869"/>
      <c r="F52" s="1873"/>
    </row>
    <row r="53">
      <c r="A53" s="1873"/>
      <c r="B53" s="1868" t="s">
        <v>11165</v>
      </c>
      <c r="C53" s="1869"/>
      <c r="D53" s="1879"/>
      <c r="E53" s="1869"/>
      <c r="F53" s="1873"/>
    </row>
    <row r="54">
      <c r="A54" s="1873"/>
      <c r="B54" s="1868" t="s">
        <v>11169</v>
      </c>
      <c r="C54" s="1869"/>
      <c r="D54" s="1879"/>
      <c r="E54" s="1869"/>
      <c r="F54" s="1873"/>
    </row>
    <row r="55">
      <c r="A55" s="1873"/>
      <c r="B55" s="1855" t="s">
        <v>11171</v>
      </c>
      <c r="C55" s="1856"/>
      <c r="D55" s="1856"/>
      <c r="E55" s="1856"/>
      <c r="F55" s="1857"/>
    </row>
    <row r="56">
      <c r="A56" s="1873"/>
      <c r="B56" s="1858"/>
      <c r="C56" s="1859"/>
      <c r="D56" s="1859"/>
      <c r="E56" s="1859"/>
      <c r="F56" s="1860"/>
    </row>
    <row r="57">
      <c r="A57" s="1873"/>
      <c r="B57" s="1880" t="s">
        <v>11206</v>
      </c>
      <c r="C57" s="1856"/>
      <c r="D57" s="1856"/>
      <c r="E57" s="1856"/>
      <c r="F57" s="1857"/>
    </row>
    <row r="58">
      <c r="A58" s="1873"/>
      <c r="B58" s="1858"/>
      <c r="C58" s="1859"/>
      <c r="D58" s="1859"/>
      <c r="E58" s="1859"/>
      <c r="F58" s="1860"/>
    </row>
    <row r="59">
      <c r="A59" s="1873"/>
      <c r="B59" s="1862" t="s">
        <v>11155</v>
      </c>
      <c r="C59" s="1881" t="s">
        <v>434</v>
      </c>
      <c r="D59" s="1877" t="s">
        <v>11207</v>
      </c>
      <c r="E59" s="1863" t="s">
        <v>11157</v>
      </c>
      <c r="F59" s="1878">
        <v>43758.0</v>
      </c>
    </row>
    <row r="60">
      <c r="A60" s="1873"/>
      <c r="B60" s="1866" t="s">
        <v>11159</v>
      </c>
      <c r="C60" s="1869"/>
      <c r="D60" s="1879"/>
      <c r="E60" s="1869"/>
      <c r="F60" s="1873"/>
    </row>
    <row r="61">
      <c r="A61" s="1873"/>
      <c r="B61" s="1867" t="s">
        <v>11162</v>
      </c>
      <c r="C61" s="1869"/>
      <c r="D61" s="1879"/>
      <c r="E61" s="1869"/>
      <c r="F61" s="1873"/>
    </row>
    <row r="62">
      <c r="A62" s="1873"/>
      <c r="B62" s="1868" t="s">
        <v>11165</v>
      </c>
      <c r="C62" s="1869"/>
      <c r="D62" s="1879"/>
      <c r="E62" s="1869"/>
      <c r="F62" s="1873"/>
    </row>
    <row r="63">
      <c r="A63" s="1873"/>
      <c r="B63" s="1868" t="s">
        <v>11169</v>
      </c>
      <c r="C63" s="1869"/>
      <c r="D63" s="1879"/>
      <c r="E63" s="1869"/>
      <c r="F63" s="1873"/>
    </row>
    <row r="64">
      <c r="A64" s="1873"/>
      <c r="B64" s="1880" t="s">
        <v>11195</v>
      </c>
      <c r="C64" s="1856"/>
      <c r="D64" s="1856"/>
      <c r="E64" s="1856"/>
      <c r="F64" s="1857"/>
    </row>
    <row r="65">
      <c r="A65" s="1873"/>
      <c r="B65" s="1858"/>
      <c r="C65" s="1859"/>
      <c r="D65" s="1859"/>
      <c r="E65" s="1859"/>
      <c r="F65" s="1860"/>
    </row>
    <row r="66">
      <c r="A66" s="1873"/>
      <c r="B66" s="1862" t="s">
        <v>11155</v>
      </c>
      <c r="C66" s="1863" t="s">
        <v>11208</v>
      </c>
      <c r="D66" s="1882" t="s">
        <v>11209</v>
      </c>
      <c r="E66" s="1863" t="s">
        <v>11157</v>
      </c>
      <c r="F66" s="1878">
        <v>44805.0</v>
      </c>
    </row>
    <row r="67">
      <c r="A67" s="1873"/>
      <c r="B67" s="1866" t="s">
        <v>11159</v>
      </c>
      <c r="C67" s="1863" t="s">
        <v>11210</v>
      </c>
      <c r="D67" s="1877" t="s">
        <v>11211</v>
      </c>
      <c r="E67" s="1863" t="s">
        <v>11157</v>
      </c>
      <c r="F67" s="1878">
        <v>43307.0</v>
      </c>
    </row>
    <row r="68">
      <c r="A68" s="1873"/>
      <c r="B68" s="1867" t="s">
        <v>11162</v>
      </c>
      <c r="C68" s="1869"/>
      <c r="D68" s="1879"/>
      <c r="E68" s="1869"/>
      <c r="F68" s="1873"/>
    </row>
    <row r="69">
      <c r="A69" s="1873"/>
      <c r="B69" s="1868" t="s">
        <v>11165</v>
      </c>
      <c r="C69" s="1869"/>
      <c r="D69" s="1879"/>
      <c r="E69" s="1869"/>
      <c r="F69" s="1873"/>
    </row>
    <row r="70">
      <c r="A70" s="1873"/>
      <c r="B70" s="1868" t="s">
        <v>11169</v>
      </c>
      <c r="C70" s="1869"/>
      <c r="D70" s="1879"/>
      <c r="E70" s="1869"/>
      <c r="F70" s="1873"/>
    </row>
    <row r="71">
      <c r="A71" s="1873"/>
      <c r="B71" s="1855" t="s">
        <v>11172</v>
      </c>
      <c r="C71" s="1856"/>
      <c r="D71" s="1856"/>
      <c r="E71" s="1856"/>
      <c r="F71" s="1857"/>
    </row>
    <row r="72">
      <c r="A72" s="1873"/>
      <c r="B72" s="1858"/>
      <c r="C72" s="1859"/>
      <c r="D72" s="1859"/>
      <c r="E72" s="1859"/>
      <c r="F72" s="1860"/>
    </row>
    <row r="73">
      <c r="A73" s="1873"/>
      <c r="B73" s="1880" t="s">
        <v>11212</v>
      </c>
      <c r="C73" s="1856"/>
      <c r="D73" s="1856"/>
      <c r="E73" s="1856"/>
      <c r="F73" s="1857"/>
    </row>
    <row r="74">
      <c r="A74" s="1873"/>
      <c r="B74" s="1858"/>
      <c r="C74" s="1859"/>
      <c r="D74" s="1859"/>
      <c r="E74" s="1859"/>
      <c r="F74" s="1860"/>
    </row>
    <row r="75">
      <c r="A75" s="1873"/>
      <c r="B75" s="1862" t="s">
        <v>11155</v>
      </c>
      <c r="C75" s="1863" t="s">
        <v>4263</v>
      </c>
      <c r="D75" s="1877" t="s">
        <v>11213</v>
      </c>
      <c r="E75" s="1863" t="s">
        <v>11157</v>
      </c>
      <c r="F75" s="1878">
        <v>44246.0</v>
      </c>
    </row>
    <row r="76">
      <c r="A76" s="1873"/>
      <c r="B76" s="1866" t="s">
        <v>11159</v>
      </c>
      <c r="C76" s="1863" t="s">
        <v>11202</v>
      </c>
      <c r="D76" s="1877" t="s">
        <v>11214</v>
      </c>
      <c r="E76" s="1863" t="s">
        <v>11204</v>
      </c>
      <c r="F76" s="1878">
        <v>43637.0</v>
      </c>
    </row>
    <row r="77">
      <c r="A77" s="1873"/>
      <c r="B77" s="1867" t="s">
        <v>11162</v>
      </c>
      <c r="C77" s="1869"/>
      <c r="D77" s="1879"/>
      <c r="E77" s="1869"/>
      <c r="F77" s="1873"/>
    </row>
    <row r="78">
      <c r="A78" s="1873"/>
      <c r="B78" s="1868" t="s">
        <v>11165</v>
      </c>
      <c r="C78" s="1869"/>
      <c r="D78" s="1879"/>
      <c r="E78" s="1869"/>
      <c r="F78" s="1873"/>
    </row>
    <row r="79">
      <c r="A79" s="1873"/>
      <c r="B79" s="1868" t="s">
        <v>11169</v>
      </c>
      <c r="C79" s="1869"/>
      <c r="D79" s="1879"/>
      <c r="E79" s="1869"/>
      <c r="F79" s="1873"/>
    </row>
    <row r="80">
      <c r="A80" s="1873"/>
      <c r="B80" s="1880" t="s">
        <v>11215</v>
      </c>
      <c r="C80" s="1856"/>
      <c r="D80" s="1856"/>
      <c r="E80" s="1856"/>
      <c r="F80" s="1857"/>
    </row>
    <row r="81">
      <c r="A81" s="1873"/>
      <c r="B81" s="1858"/>
      <c r="C81" s="1859"/>
      <c r="D81" s="1859"/>
      <c r="E81" s="1859"/>
      <c r="F81" s="1860"/>
    </row>
    <row r="82">
      <c r="A82" s="1873"/>
      <c r="B82" s="1862" t="s">
        <v>11155</v>
      </c>
      <c r="C82" s="1863" t="s">
        <v>6217</v>
      </c>
      <c r="D82" s="1877" t="s">
        <v>11216</v>
      </c>
      <c r="E82" s="1863" t="s">
        <v>11157</v>
      </c>
      <c r="F82" s="1878">
        <v>43592.0</v>
      </c>
    </row>
    <row r="83">
      <c r="A83" s="1873"/>
      <c r="B83" s="1866" t="s">
        <v>11159</v>
      </c>
      <c r="C83" s="1863" t="s">
        <v>11217</v>
      </c>
      <c r="D83" s="1877" t="s">
        <v>11218</v>
      </c>
      <c r="E83" s="1863" t="s">
        <v>11157</v>
      </c>
      <c r="F83" s="1878">
        <v>43396.0</v>
      </c>
    </row>
    <row r="84">
      <c r="A84" s="1873"/>
      <c r="B84" s="1867" t="s">
        <v>11162</v>
      </c>
      <c r="C84" s="1869"/>
      <c r="D84" s="1879"/>
      <c r="E84" s="1869"/>
      <c r="F84" s="1873"/>
    </row>
    <row r="85">
      <c r="A85" s="1873"/>
      <c r="B85" s="1868" t="s">
        <v>11165</v>
      </c>
      <c r="C85" s="1869"/>
      <c r="D85" s="1879"/>
      <c r="E85" s="1869"/>
      <c r="F85" s="1873"/>
    </row>
    <row r="86">
      <c r="A86" s="1873"/>
      <c r="B86" s="1868" t="s">
        <v>11169</v>
      </c>
      <c r="C86" s="1869"/>
      <c r="D86" s="1879"/>
      <c r="E86" s="1869"/>
      <c r="F86" s="1873"/>
    </row>
    <row r="87">
      <c r="A87" s="1873"/>
      <c r="B87" s="1855" t="s">
        <v>11174</v>
      </c>
      <c r="C87" s="1856"/>
      <c r="D87" s="1856"/>
      <c r="E87" s="1856"/>
      <c r="F87" s="1857"/>
    </row>
    <row r="88">
      <c r="A88" s="1873"/>
      <c r="B88" s="1858"/>
      <c r="C88" s="1859"/>
      <c r="D88" s="1859"/>
      <c r="E88" s="1859"/>
      <c r="F88" s="1860"/>
    </row>
    <row r="89">
      <c r="A89" s="1873"/>
      <c r="B89" s="1862" t="s">
        <v>11155</v>
      </c>
      <c r="C89" s="1881" t="s">
        <v>434</v>
      </c>
      <c r="D89" s="1877" t="s">
        <v>11219</v>
      </c>
      <c r="E89" s="1863" t="s">
        <v>11157</v>
      </c>
      <c r="F89" s="1878">
        <v>43457.0</v>
      </c>
    </row>
    <row r="90">
      <c r="A90" s="1873"/>
      <c r="B90" s="1866" t="s">
        <v>11159</v>
      </c>
      <c r="C90" s="1863" t="s">
        <v>2451</v>
      </c>
      <c r="D90" s="1877" t="s">
        <v>11220</v>
      </c>
      <c r="E90" s="1863" t="s">
        <v>11157</v>
      </c>
      <c r="F90" s="1878">
        <v>43925.0</v>
      </c>
    </row>
    <row r="91">
      <c r="A91" s="1873"/>
      <c r="B91" s="1867" t="s">
        <v>11162</v>
      </c>
      <c r="C91" s="1863" t="s">
        <v>4724</v>
      </c>
      <c r="D91" s="1877" t="s">
        <v>11221</v>
      </c>
      <c r="E91" s="1863" t="s">
        <v>11190</v>
      </c>
      <c r="F91" s="1878">
        <v>43433.0</v>
      </c>
    </row>
    <row r="92">
      <c r="A92" s="1873"/>
      <c r="B92" s="1868" t="s">
        <v>11165</v>
      </c>
      <c r="C92" s="1869"/>
      <c r="D92" s="1879"/>
      <c r="E92" s="1869"/>
      <c r="F92" s="1873"/>
    </row>
    <row r="93">
      <c r="A93" s="1873"/>
      <c r="B93" s="1868" t="s">
        <v>11169</v>
      </c>
      <c r="C93" s="1869"/>
      <c r="D93" s="1879"/>
      <c r="E93" s="1869"/>
      <c r="F93" s="1873"/>
    </row>
    <row r="94">
      <c r="A94" s="1873"/>
      <c r="B94" s="1855" t="s">
        <v>11176</v>
      </c>
      <c r="C94" s="1856"/>
      <c r="D94" s="1856"/>
      <c r="E94" s="1856"/>
      <c r="F94" s="1857"/>
    </row>
    <row r="95">
      <c r="A95" s="1873"/>
      <c r="B95" s="1858"/>
      <c r="C95" s="1859"/>
      <c r="D95" s="1859"/>
      <c r="E95" s="1859"/>
      <c r="F95" s="1860"/>
    </row>
    <row r="96">
      <c r="A96" s="1873"/>
      <c r="B96" s="1880" t="s">
        <v>11222</v>
      </c>
      <c r="C96" s="1856"/>
      <c r="D96" s="1856"/>
      <c r="E96" s="1856"/>
      <c r="F96" s="1857"/>
    </row>
    <row r="97">
      <c r="A97" s="1873"/>
      <c r="B97" s="1858"/>
      <c r="C97" s="1859"/>
      <c r="D97" s="1859"/>
      <c r="E97" s="1859"/>
      <c r="F97" s="1860"/>
    </row>
    <row r="98">
      <c r="A98" s="1873"/>
      <c r="B98" s="1862" t="s">
        <v>11155</v>
      </c>
      <c r="C98" s="1863" t="s">
        <v>11197</v>
      </c>
      <c r="D98" s="1877" t="s">
        <v>11223</v>
      </c>
      <c r="E98" s="1863" t="s">
        <v>11157</v>
      </c>
      <c r="F98" s="1878">
        <v>43862.0</v>
      </c>
    </row>
    <row r="99">
      <c r="A99" s="1873"/>
      <c r="B99" s="1866" t="s">
        <v>11159</v>
      </c>
      <c r="C99" s="1869"/>
      <c r="D99" s="1879"/>
      <c r="E99" s="1869"/>
      <c r="F99" s="1873"/>
    </row>
    <row r="100">
      <c r="A100" s="1873"/>
      <c r="B100" s="1867" t="s">
        <v>11162</v>
      </c>
      <c r="C100" s="1869"/>
      <c r="D100" s="1879"/>
      <c r="E100" s="1869"/>
      <c r="F100" s="1873"/>
    </row>
    <row r="101">
      <c r="A101" s="1873"/>
      <c r="B101" s="1868" t="s">
        <v>11165</v>
      </c>
      <c r="C101" s="1869"/>
      <c r="D101" s="1879"/>
      <c r="E101" s="1869"/>
      <c r="F101" s="1873"/>
    </row>
    <row r="102">
      <c r="A102" s="1873"/>
      <c r="B102" s="1868" t="s">
        <v>11169</v>
      </c>
      <c r="C102" s="1869"/>
      <c r="D102" s="1879"/>
      <c r="E102" s="1869"/>
      <c r="F102" s="1873"/>
    </row>
    <row r="103">
      <c r="A103" s="1873"/>
      <c r="B103" s="1880" t="s">
        <v>11224</v>
      </c>
      <c r="C103" s="1856"/>
      <c r="D103" s="1856"/>
      <c r="E103" s="1856"/>
      <c r="F103" s="1857"/>
    </row>
    <row r="104">
      <c r="A104" s="1873"/>
      <c r="B104" s="1858"/>
      <c r="C104" s="1859"/>
      <c r="D104" s="1859"/>
      <c r="E104" s="1859"/>
      <c r="F104" s="1860"/>
    </row>
    <row r="105">
      <c r="A105" s="1873"/>
      <c r="B105" s="1862" t="s">
        <v>11155</v>
      </c>
      <c r="C105" s="1863" t="s">
        <v>11197</v>
      </c>
      <c r="D105" s="1877" t="s">
        <v>11225</v>
      </c>
      <c r="E105" s="1863" t="s">
        <v>11157</v>
      </c>
      <c r="F105" s="1878">
        <v>43862.0</v>
      </c>
    </row>
    <row r="106">
      <c r="A106" s="1873"/>
      <c r="B106" s="1866" t="s">
        <v>11159</v>
      </c>
      <c r="C106" s="1883" t="s">
        <v>6127</v>
      </c>
      <c r="D106" s="1877" t="s">
        <v>11226</v>
      </c>
      <c r="E106" s="1863" t="s">
        <v>11204</v>
      </c>
      <c r="F106" s="1878">
        <v>43630.0</v>
      </c>
    </row>
    <row r="107">
      <c r="A107" s="1873"/>
      <c r="B107" s="1867" t="s">
        <v>11162</v>
      </c>
      <c r="C107" s="1869"/>
      <c r="D107" s="1879"/>
      <c r="E107" s="1869"/>
      <c r="F107" s="1873"/>
    </row>
    <row r="108">
      <c r="A108" s="1873"/>
      <c r="B108" s="1868" t="s">
        <v>11165</v>
      </c>
      <c r="C108" s="1869"/>
      <c r="D108" s="1879"/>
      <c r="E108" s="1869"/>
      <c r="F108" s="1873"/>
    </row>
    <row r="109">
      <c r="A109" s="1873"/>
      <c r="B109" s="1868" t="s">
        <v>11169</v>
      </c>
      <c r="C109" s="1869"/>
      <c r="D109" s="1879"/>
      <c r="E109" s="1869"/>
      <c r="F109" s="1873"/>
    </row>
    <row r="110">
      <c r="A110" s="1873"/>
      <c r="B110" s="1855" t="s">
        <v>11179</v>
      </c>
      <c r="C110" s="1856"/>
      <c r="D110" s="1856"/>
      <c r="E110" s="1856"/>
      <c r="F110" s="1857"/>
    </row>
    <row r="111">
      <c r="A111" s="1873"/>
      <c r="B111" s="1858"/>
      <c r="C111" s="1859"/>
      <c r="D111" s="1859"/>
      <c r="E111" s="1859"/>
      <c r="F111" s="1860"/>
    </row>
    <row r="112">
      <c r="A112" s="1873"/>
      <c r="B112" s="1862" t="s">
        <v>11155</v>
      </c>
      <c r="C112" s="1863" t="s">
        <v>5221</v>
      </c>
      <c r="D112" s="1877" t="s">
        <v>11227</v>
      </c>
      <c r="E112" s="1863" t="s">
        <v>11167</v>
      </c>
      <c r="F112" s="1878">
        <v>44132.0</v>
      </c>
    </row>
    <row r="113">
      <c r="A113" s="1873"/>
      <c r="B113" s="1866" t="s">
        <v>11159</v>
      </c>
      <c r="C113" s="1869"/>
      <c r="D113" s="1879"/>
      <c r="E113" s="1869"/>
      <c r="F113" s="1873"/>
    </row>
    <row r="114">
      <c r="A114" s="1873"/>
      <c r="B114" s="1867" t="s">
        <v>11162</v>
      </c>
      <c r="C114" s="1869"/>
      <c r="D114" s="1879"/>
      <c r="E114" s="1869"/>
      <c r="F114" s="1873"/>
    </row>
    <row r="115">
      <c r="A115" s="1873"/>
      <c r="B115" s="1868" t="s">
        <v>11165</v>
      </c>
      <c r="C115" s="1869"/>
      <c r="D115" s="1879"/>
      <c r="E115" s="1869"/>
      <c r="F115" s="1873"/>
    </row>
    <row r="116">
      <c r="A116" s="1873"/>
      <c r="B116" s="1868" t="s">
        <v>11169</v>
      </c>
      <c r="C116" s="1869"/>
      <c r="D116" s="1879"/>
      <c r="E116" s="1869"/>
      <c r="F116" s="1873"/>
    </row>
    <row r="117">
      <c r="A117" s="1873"/>
      <c r="B117" s="1855" t="s">
        <v>11182</v>
      </c>
      <c r="C117" s="1856"/>
      <c r="D117" s="1856"/>
      <c r="E117" s="1856"/>
      <c r="F117" s="1857"/>
    </row>
    <row r="118">
      <c r="A118" s="1873"/>
      <c r="B118" s="1858"/>
      <c r="C118" s="1859"/>
      <c r="D118" s="1859"/>
      <c r="E118" s="1859"/>
      <c r="F118" s="1860"/>
    </row>
    <row r="119">
      <c r="A119" s="1873"/>
      <c r="B119" s="1862" t="s">
        <v>11155</v>
      </c>
      <c r="C119" s="1863" t="s">
        <v>6184</v>
      </c>
      <c r="D119" s="1877" t="s">
        <v>11228</v>
      </c>
      <c r="E119" s="1863" t="s">
        <v>11157</v>
      </c>
      <c r="F119" s="1878">
        <v>43741.0</v>
      </c>
    </row>
    <row r="120">
      <c r="A120" s="1873"/>
      <c r="B120" s="1866" t="s">
        <v>11159</v>
      </c>
      <c r="C120" s="1863" t="s">
        <v>11229</v>
      </c>
      <c r="D120" s="1877" t="s">
        <v>11230</v>
      </c>
      <c r="E120" s="1863" t="s">
        <v>11190</v>
      </c>
      <c r="F120" s="1878">
        <v>43748.0</v>
      </c>
    </row>
    <row r="121">
      <c r="A121" s="1873"/>
      <c r="B121" s="1867" t="s">
        <v>11162</v>
      </c>
      <c r="C121" s="1863" t="s">
        <v>2142</v>
      </c>
      <c r="D121" s="1877" t="s">
        <v>11231</v>
      </c>
      <c r="E121" s="1863" t="s">
        <v>11204</v>
      </c>
      <c r="F121" s="1878">
        <v>43729.0</v>
      </c>
    </row>
    <row r="122">
      <c r="A122" s="1873"/>
      <c r="B122" s="1868" t="s">
        <v>11165</v>
      </c>
      <c r="C122" s="1881" t="s">
        <v>434</v>
      </c>
      <c r="D122" s="1877" t="s">
        <v>11232</v>
      </c>
      <c r="E122" s="1863" t="s">
        <v>11157</v>
      </c>
      <c r="F122" s="1878">
        <v>44470.0</v>
      </c>
    </row>
    <row r="123">
      <c r="A123" s="1873"/>
      <c r="B123" s="1868" t="s">
        <v>11169</v>
      </c>
      <c r="C123" s="1863" t="s">
        <v>5221</v>
      </c>
      <c r="D123" s="1877" t="s">
        <v>11233</v>
      </c>
      <c r="E123" s="1863" t="s">
        <v>11167</v>
      </c>
      <c r="F123" s="1878">
        <v>44020.0</v>
      </c>
    </row>
    <row r="124">
      <c r="A124" s="1884" t="s">
        <v>11234</v>
      </c>
      <c r="B124" s="1855" t="s">
        <v>11183</v>
      </c>
      <c r="C124" s="1856"/>
      <c r="D124" s="1856"/>
      <c r="E124" s="1856"/>
      <c r="F124" s="1857"/>
    </row>
    <row r="125">
      <c r="A125" s="1884" t="s">
        <v>11235</v>
      </c>
      <c r="B125" s="1858"/>
      <c r="C125" s="1859"/>
      <c r="D125" s="1859"/>
      <c r="E125" s="1859"/>
      <c r="F125" s="1860"/>
    </row>
    <row r="126">
      <c r="A126" s="1885"/>
      <c r="B126" s="1862" t="s">
        <v>11155</v>
      </c>
      <c r="C126" s="1863" t="s">
        <v>986</v>
      </c>
      <c r="D126" s="1886">
        <v>0.06525462962962963</v>
      </c>
      <c r="E126" s="1863" t="s">
        <v>11167</v>
      </c>
      <c r="F126" s="1865">
        <v>44652.0</v>
      </c>
    </row>
    <row r="127">
      <c r="A127" s="1885"/>
      <c r="B127" s="1866" t="s">
        <v>11159</v>
      </c>
      <c r="C127" s="1863" t="s">
        <v>4113</v>
      </c>
      <c r="D127" s="1886">
        <v>0.06892361111111112</v>
      </c>
      <c r="E127" s="1863" t="s">
        <v>11167</v>
      </c>
      <c r="F127" s="1865">
        <v>44652.0</v>
      </c>
    </row>
    <row r="128">
      <c r="A128" s="1885"/>
      <c r="B128" s="1867" t="s">
        <v>11162</v>
      </c>
      <c r="C128" s="1872" t="s">
        <v>5323</v>
      </c>
      <c r="D128" s="1887">
        <v>0.07195601851851852</v>
      </c>
      <c r="E128" s="1872" t="s">
        <v>11167</v>
      </c>
      <c r="F128" s="1878">
        <v>44652.0</v>
      </c>
    </row>
    <row r="129">
      <c r="A129" s="1885"/>
      <c r="B129" s="1868" t="s">
        <v>11165</v>
      </c>
      <c r="C129" s="1869" t="s">
        <v>11236</v>
      </c>
      <c r="D129" s="1888">
        <v>0.07211805555555556</v>
      </c>
      <c r="E129" s="1889" t="s">
        <v>11237</v>
      </c>
      <c r="F129" s="1878">
        <v>44652.0</v>
      </c>
    </row>
    <row r="130">
      <c r="A130" s="1885"/>
      <c r="B130" s="1868" t="s">
        <v>11169</v>
      </c>
      <c r="C130" s="1869"/>
      <c r="D130" s="1869"/>
      <c r="E130" s="1869"/>
      <c r="F130" s="1869"/>
    </row>
    <row r="131">
      <c r="A131" s="1890" t="s">
        <v>11184</v>
      </c>
      <c r="B131" s="1855" t="s">
        <v>11184</v>
      </c>
      <c r="C131" s="1856"/>
      <c r="D131" s="1856"/>
      <c r="E131" s="1856"/>
      <c r="F131" s="1857"/>
    </row>
    <row r="132">
      <c r="A132" s="1885"/>
      <c r="B132" s="1858"/>
      <c r="C132" s="1859"/>
      <c r="D132" s="1859"/>
      <c r="E132" s="1859"/>
      <c r="F132" s="1860"/>
    </row>
    <row r="133">
      <c r="A133" s="1885"/>
      <c r="B133" s="1862" t="s">
        <v>11155</v>
      </c>
      <c r="C133" s="1863" t="s">
        <v>2451</v>
      </c>
      <c r="D133" s="1891" t="s">
        <v>11238</v>
      </c>
      <c r="E133" s="1863" t="s">
        <v>11157</v>
      </c>
      <c r="F133" s="1865">
        <v>45152.0</v>
      </c>
    </row>
    <row r="134">
      <c r="A134" s="1885"/>
      <c r="B134" s="1866" t="s">
        <v>11159</v>
      </c>
      <c r="C134" s="1863" t="s">
        <v>4231</v>
      </c>
      <c r="D134" s="1891" t="s">
        <v>11239</v>
      </c>
      <c r="E134" s="1863" t="s">
        <v>11157</v>
      </c>
      <c r="F134" s="1865">
        <v>44866.0</v>
      </c>
    </row>
    <row r="135">
      <c r="A135" s="1885"/>
      <c r="B135" s="1867" t="s">
        <v>11162</v>
      </c>
      <c r="C135" s="1869"/>
      <c r="D135" s="1888"/>
      <c r="E135" s="1889"/>
      <c r="F135" s="1878"/>
    </row>
    <row r="136">
      <c r="A136" s="1885"/>
      <c r="B136" s="1868" t="s">
        <v>11165</v>
      </c>
      <c r="C136" s="1869"/>
      <c r="D136" s="1888"/>
      <c r="E136" s="1889"/>
      <c r="F136" s="1878"/>
    </row>
    <row r="137">
      <c r="A137" s="1885"/>
      <c r="B137" s="1868" t="s">
        <v>11169</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