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<sst xmlns="http://schemas.openxmlformats.org/spreadsheetml/2006/main" count="28324" uniqueCount="11885">
  <si>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</si>
  <si>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</si>
  <si>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</si>
  <si>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</si>
  <si>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</si>
  <si>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</si>
  <si>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</si>
  <si>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</si>
  <si>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</si>
  <si>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</si>
  <si>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</si>
  <si>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</si>
  <si>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</si>
  <si>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</si>
  <si>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</si>
  <si>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</si>
  <si>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</si>
  <si>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</si>
  <si>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</si>
  <si>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</si>
  <si>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</si>
  <si>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</si>
  <si>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</si>
  <si>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</si>
  <si>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</si>
  <si>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</si>
  <si>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</si>
  <si>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</si>
  <si>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</si>
  <si>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</si>
  <si>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</si>
  <si>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</si>
  <si>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</si>
  <si>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</si>
  <si>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</si>
  <si>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</si>
  <si>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</si>
  <si>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</si>
  <si>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</si>
  <si>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</si>
  <si>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</si>
  <si>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</si>
  <si>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</si>
  <si>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</si>
  <si>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</si>
  <si>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</si>
  <si>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</si>
  <si>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</si>
  <si>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</si>
  <si>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</si>
  <si>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</si>
  <si>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</si>
  <si>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</si>
  <si>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</si>
  <si>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</si>
  <si>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</si>
  <si>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</si>
  <si>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</si>
  <si>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</si>
  <si>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</si>
  <si>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</si>
  <si>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</si>
  <si>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</si>
  <si>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</si>
  <si>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</si>
  <si>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</si>
  <si>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</si>
  <si>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</si>
  <si>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</si>
  <si>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</si>
  <si>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</si>
  <si>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</si>
  <si>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</si>
  <si>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</si>
  <si>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</si>
  <si>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</si>
  <si>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</si>
  <si>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</si>
  <si>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</si>
  <si>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</si>
  <si>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</si>
  <si>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</si>
  <si>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</si>
  <si>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</si>
  <si>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</si>
  <si>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</si>
  <si>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</si>
  <si>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</si>
  <si>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</si>
  <si>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</si>
  <si>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</si>
  <si>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</si>
  <si>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</si>
  <si>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</si>
  <si>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</si>
  <si>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</si>
  <si>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</si>
  <si>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</si>
  <si>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</si>
  <si>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</si>
  <si>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</si>
  <si>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</si>
  <si>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</si>
  <si>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</si>
  <si>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</si>
  <si>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</si>
  <si>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</si>
  <si>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</si>
  <si>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</si>
  <si>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</si>
  <si>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</si>
  <si>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</si>
  <si>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</si>
  <si>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</si>
  <si>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</si>
  <si>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</si>
  <si>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</si>
  <si>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</si>
  <si>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</si>
  <si>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</si>
  <si>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</si>
  <si>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</si>
  <si>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</si>
  <si>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</si>
  <si>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</si>
  <si>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</si>
  <si>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</si>
  <si>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</si>
  <si>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</si>
  <si>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</si>
  <si>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</si>
  <si>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</si>
  <si>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</si>
  <si>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</si>
  <si>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</si>
  <si>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</si>
  <si>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</si>
  <si>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</si>
  <si>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</si>
  <si>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</si>
  <si>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</si>
  <si>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</si>
  <si>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</si>
  <si>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</si>
  <si>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</si>
  <si>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</si>
  <si>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</si>
  <si>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</si>
  <si>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</si>
  <si>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</si>
  <si>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</si>
  <si>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</si>
  <si>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</si>
  <si>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</si>
  <si>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</si>
  <si>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</si>
  <si>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</si>
  <si>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</si>
  <si>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</si>
  <si>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</si>
  <si>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</si>
  <si>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</si>
  <si>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</si>
  <si>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</si>
  <si>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</si>
  <si>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</si>
  <si>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</si>
  <si>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</si>
  <si>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</si>
  <si>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</si>
  <si>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</si>
  <si>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</si>
  <si>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</si>
  <si>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</si>
  <si>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</si>
  <si>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</si>
  <si>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</si>
  <si>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</si>
  <si>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</si>
  <si>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</si>
  <si>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</si>
  <si>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</si>
  <si>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</si>
  <si>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</si>
  <si>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</si>
  <si>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</si>
  <si>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</si>
  <si>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</si>
  <si>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</si>
  <si>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</si>
  <si>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</si>
  <si>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</si>
  <si>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</si>
  <si>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</si>
  <si>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</si>
  <si>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</si>
  <si>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</si>
  <si>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</si>
  <si>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</si>
  <si>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</si>
  <si>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</si>
  <si>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</si>
  <si>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</si>
  <si>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</si>
  <si>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</si>
  <si>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</si>
  <si>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</si>
  <si>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</si>
  <si>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</si>
  <si>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</si>
  <si>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</si>
  <si>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</si>
  <si>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</si>
  <si>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</si>
  <si>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</si>
  <si>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</si>
  <si>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</si>
  <si>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</si>
  <si>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</si>
  <si>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</si>
  <si>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</si>
  <si>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</si>
  <si>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</si>
  <si>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</si>
  <si>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</si>
  <si>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</si>
  <si>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</si>
  <si>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</si>
  <si>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</si>
  <si>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</si>
  <si>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</si>
  <si>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</si>
  <si>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</si>
  <si>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</si>
  <si>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</si>
  <si>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</si>
  <si>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</si>
  <si>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</si>
  <si>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</si>
  <si>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</si>
  <si>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</si>
  <si>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</si>
  <si>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</si>
  <si>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</si>
  <si>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</si>
  <si>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</si>
  <si>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</si>
  <si>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</si>
  <si>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</si>
  <si>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</si>
  <si>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</si>
  <si>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</si>
  <si>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</si>
  <si>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</si>
  <si>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</si>
  <si>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</si>
  <si>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</si>
  <si>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</si>
  <si>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</si>
  <si>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</si>
  <si>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</si>
  <si>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</si>
  <si>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</si>
  <si>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</si>
  <si>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</si>
  <si>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</si>
  <si>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</si>
  <si>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</si>
  <si>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</si>
  <si>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</si>
  <si>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</si>
  <si>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</si>
  <si>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</si>
  <si>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</si>
  <si>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</si>
  <si>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</si>
  <si>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</si>
  <si>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</si>
  <si>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</si>
  <si>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</si>
  <si>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</si>
  <si>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</si>
  <si>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</si>
  <si>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</si>
  <si>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</si>
  <si>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</si>
  <si>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</si>
  <si>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</si>
  <si>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</si>
  <si>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</si>
  <si>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</si>
  <si>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</si>
  <si>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</si>
  <si>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</si>
  <si>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</si>
  <si>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</si>
  <si>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</si>
  <si>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</si>
  <si>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</si>
  <si>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</si>
  <si>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</si>
  <si>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</si>
  <si>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</si>
  <si>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</si>
  <si>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</si>
  <si>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</si>
  <si>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</si>
  <si>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</si>
  <si>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</si>
  <si>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</si>
  <si>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</si>
  <si>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</si>
  <si>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</si>
  <si>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</si>
  <si>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</si>
  <si>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</si>
  <si>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</si>
  <si>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</si>
  <si>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</si>
  <si>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</si>
  <si>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</si>
  <si>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</si>
  <si>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</si>
  <si>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</si>
  <si>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</si>
  <si>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</si>
  <si>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</si>
  <si>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</si>
  <si>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</si>
  <si>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</si>
  <si>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</si>
  <si>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</si>
  <si>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</si>
  <si>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</si>
  <si>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</si>
  <si>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</si>
  <si>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</si>
  <si>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</si>
  <si>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</si>
  <si>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</si>
  <si>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</si>
  <si>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</si>
  <si>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</si>
  <si>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</si>
  <si>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</si>
  <si>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</si>
  <si>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</si>
  <si>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</si>
  <si>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</si>
  <si>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</si>
  <si>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</si>
  <si>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</si>
  <si>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</si>
  <si>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</si>
  <si>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</si>
  <si>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</si>
  <si>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</si>
  <si>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</si>
  <si>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</si>
  <si>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</si>
  <si>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</si>
  <si>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</si>
  <si>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</si>
  <si>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</si>
  <si>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</si>
  <si>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</si>
  <si>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</si>
  <si>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</si>
  <si>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</si>
  <si>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</si>
  <si>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</si>
  <si>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</si>
  <si>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</si>
  <si>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</si>
  <si>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</si>
  <si>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</si>
  <si>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</si>
  <si>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</si>
  <si>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</si>
  <si>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</si>
  <si>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</si>
  <si>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</si>
  <si>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</si>
  <si>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</si>
  <si>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</si>
  <si>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</si>
  <si>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</si>
  <si>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</si>
  <si>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</si>
  <si>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</si>
  <si>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</si>
  <si>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</si>
  <si>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</si>
  <si>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</si>
  <si>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</si>
  <si>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</si>
  <si>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</si>
  <si>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</si>
  <si>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</si>
  <si>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</si>
  <si>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</si>
  <si>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</si>
  <si>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</si>
  <si>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</si>
  <si>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</si>
  <si>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</si>
  <si>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</si>
  <si>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</si>
  <si>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</si>
  <si>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</si>
  <si>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</si>
  <si>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</si>
  <si>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</si>
  <si>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</si>
  <si>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</si>
  <si>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</si>
  <si>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</si>
  <si>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</si>
  <si>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</si>
  <si>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</si>
  <si>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</si>
  <si>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</si>
  <si>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</si>
  <si>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</si>
  <si>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</si>
  <si>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</si>
  <si>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</si>
  <si>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</si>
  <si>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</si>
  <si>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</si>
  <si>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</si>
  <si>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</si>
  <si>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</si>
  <si>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</si>
  <si>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</si>
  <si>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</si>
  <si>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</si>
  <si>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</si>
  <si>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</si>
  <si>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</si>
  <si>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</si>
  <si>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</si>
  <si>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</si>
  <si>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</si>
  <si>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</si>
  <si>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</si>
  <si>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</si>
  <si>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</si>
  <si>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</si>
  <si>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</si>
  <si>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</si>
  <si>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</si>
  <si>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</si>
  <si>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</si>
  <si>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</si>
  <si>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</si>
  <si>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</si>
  <si>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</si>
  <si>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</si>
  <si>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</si>
  <si>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</si>
  <si>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</si>
  <si>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</si>
  <si>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</si>
  <si>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</si>
  <si>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</si>
  <si>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</si>
  <si>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</si>
  <si>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</si>
  <si>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</si>
  <si>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</si>
  <si>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</si>
  <si>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</si>
  <si>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</si>
  <si>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</si>
  <si>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</si>
  <si>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</si>
  <si>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</si>
  <si>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</si>
  <si>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</si>
  <si>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</si>
  <si>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</si>
  <si>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</si>
  <si>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</si>
  <si>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</si>
  <si>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</si>
  <si>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</si>
  <si>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</si>
  <si>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</si>
  <si>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</si>
  <si>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</si>
  <si>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</si>
  <si>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</si>
  <si>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</si>
  <si>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</si>
  <si>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</si>
  <si>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</si>
  <si>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</si>
  <si>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</si>
  <si>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</si>
  <si>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</si>
  <si>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</si>
  <si>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</si>
  <si>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</si>
  <si>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</si>
  <si>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</si>
  <si>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</si>
  <si>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</si>
  <si>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</si>
  <si>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</si>
  <si>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</si>
  <si>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</si>
  <si>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</si>
  <si>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</si>
  <si>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</si>
  <si>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</si>
  <si>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</si>
  <si>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</si>
  <si>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</si>
  <si>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</si>
  <si>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</si>
  <si>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</si>
  <si>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</si>
  <si>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</si>
  <si>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</si>
  <si>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</si>
  <si>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</si>
  <si>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</si>
  <si>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</si>
  <si>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</si>
  <si>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</si>
  <si>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</si>
  <si>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</si>
  <si>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</si>
  <si>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</si>
  <si>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</si>
  <si>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</si>
  <si>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</si>
  <si>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</si>
  <si>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</si>
  <si>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</si>
  <si>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</si>
  <si>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</si>
  <si>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</si>
  <si>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</si>
  <si>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</si>
  <si>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</si>
  <si>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</si>
  <si>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</si>
  <si>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</si>
  <si>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</si>
  <si>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</si>
  <si>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</si>
  <si>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</si>
  <si>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</si>
  <si>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</si>
  <si>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</si>
  <si>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</si>
  <si>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</si>
  <si>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</si>
  <si>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</si>
  <si>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</si>
  <si>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</si>
  <si>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</si>
  <si>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</si>
  <si>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</si>
  <si>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</si>
  <si>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</si>
  <si>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</si>
  <si>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</si>
  <si>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</si>
  <si>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</si>
  <si>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</si>
  <si>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</si>
  <si>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</si>
  <si>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</si>
  <si>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</si>
  <si>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</si>
  <si>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</si>
  <si>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</si>
  <si>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</si>
  <si>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</si>
  <si>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</si>
  <si>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</si>
  <si>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</si>
  <si>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</si>
  <si>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</si>
  <si>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</si>
  <si>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</si>
  <si>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</si>
  <si>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</si>
  <si>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</si>
  <si>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</si>
  <si>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</si>
  <si>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</si>
  <si>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</si>
  <si>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</si>
  <si>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</si>
  <si>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</si>
  <si>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</si>
  <si>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</si>
  <si>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</si>
  <si>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</si>
  <si>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</si>
  <si>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</si>
  <si>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</si>
  <si>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</si>
  <si>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</si>
  <si>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</si>
  <si>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</si>
  <si>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</si>
  <si>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</si>
  <si>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</si>
  <si>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</si>
  <si>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</si>
  <si>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</si>
  <si>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</si>
  <si>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</si>
  <si>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</si>
  <si>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</si>
  <si>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</si>
  <si>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</si>
  <si>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</si>
  <si>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</si>
  <si>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</si>
  <si>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</si>
  <si>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</si>
  <si>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</si>
  <si>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</si>
  <si>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</si>
  <si>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</si>
  <si>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</si>
  <si>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</si>
  <si>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</si>
  <si>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</si>
  <si>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</si>
  <si>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</si>
  <si>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</si>
  <si>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</si>
  <si>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</si>
  <si>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</si>
  <si>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</si>
  <si>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</si>
  <si>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</si>
  <si>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</si>
  <si>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</si>
  <si>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</si>
  <si>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</si>
  <si>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</si>
  <si>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</si>
  <si>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</si>
  <si>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</si>
  <si>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</si>
  <si>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</si>
  <si>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</si>
  <si>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</si>
  <si>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</si>
  <si>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</si>
  <si>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</si>
  <si>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</si>
  <si>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</si>
  <si>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</si>
  <si>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</si>
  <si>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</si>
  <si>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</si>
  <si>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</si>
  <si>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</si>
  <si>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</si>
  <si>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</si>
  <si>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</si>
  <si>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</si>
  <si>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</si>
  <si>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</si>
  <si>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</si>
  <si>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</si>
  <si>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</si>
  <si>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</si>
  <si>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</si>
  <si>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</si>
  <si>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</si>
  <si>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</si>
  <si>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</si>
  <si>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</si>
  <si>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</si>
  <si>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</si>
  <si>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</si>
  <si>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</si>
  <si>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</si>
  <si>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</si>
  <si>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</si>
  <si>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</si>
  <si>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</si>
  <si>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</si>
  <si>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</si>
  <si>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</si>
  <si>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</si>
  <si>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</si>
  <si>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</si>
  <si>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</si>
  <si>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</si>
  <si>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</si>
  <si>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</si>
  <si>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</si>
  <si>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</si>
  <si>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</si>
  <si>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</si>
  <si>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</si>
  <si>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</si>
  <si>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</si>
  <si>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</si>
  <si>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</si>
  <si>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</si>
  <si>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</si>
  <si>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</si>
  <si>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</si>
  <si>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</si>
  <si>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</si>
  <si>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</si>
  <si>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</si>
  <si>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</si>
  <si>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</si>
  <si>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</si>
  <si>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</si>
  <si>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</si>
  <si>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</si>
  <si>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</si>
  <si>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</si>
  <si>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</si>
  <si>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</si>
  <si>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</si>
  <si>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</si>
  <si>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</si>
  <si>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</si>
  <si>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</si>
  <si>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</si>
  <si>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</si>
  <si>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</si>
  <si>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</si>
  <si>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</si>
  <si>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</si>
  <si>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</si>
  <si>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</si>
  <si>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</si>
  <si>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</si>
  <si>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</si>
  <si>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</si>
  <si>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</si>
  <si>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</si>
  <si>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</si>
  <si>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</si>
  <si>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</si>
  <si>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</si>
  <si>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</si>
  <si>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</si>
  <si>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</si>
  <si>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</si>
  <si>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</si>
  <si>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</si>
  <si>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</si>
  <si>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</si>
  <si>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</si>
  <si>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</si>
  <si>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</si>
  <si>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</si>
  <si>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</si>
  <si>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</si>
  <si>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</si>
  <si>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</si>
  <si>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</si>
  <si>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</si>
  <si>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</si>
  <si>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</si>
  <si>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</si>
  <si>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</si>
  <si>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</si>
  <si>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</si>
  <si>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</si>
  <si>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</si>
  <si>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</si>
  <si>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</si>
  <si>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</si>
  <si>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</si>
  <si>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</si>
  <si>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</si>
  <si>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</si>
  <si>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</si>
  <si>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</si>
  <si>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</si>
  <si>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</si>
  <si>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</si>
  <si>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</si>
  <si>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</si>
  <si>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</si>
  <si>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</si>
  <si>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</si>
  <si>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</si>
  <si>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</si>
  <si>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</si>
  <si>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</si>
  <si>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</si>
  <si>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</si>
  <si>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</si>
  <si>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</si>
  <si>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</si>
  <si>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</si>
  <si>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</si>
  <si>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</si>
  <si>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</si>
  <si>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</si>
  <si>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</si>
  <si>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</si>
  <si>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</si>
  <si>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</si>
  <si>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</si>
  <si>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</si>
  <si>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</si>
  <si>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</si>
  <si>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</si>
  <si>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</si>
  <si>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</si>
  <si>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</si>
  <si>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</si>
  <si>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</si>
  <si>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</si>
  <si>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</si>
  <si>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</si>
  <si>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</si>
  <si>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</si>
  <si>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</si>
  <si>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</si>
  <si>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</si>
  <si>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</si>
  <si>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</si>
  <si>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</si>
  <si>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</si>
  <si>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</si>
  <si>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</si>
  <si>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</si>
  <si>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</si>
  <si>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</si>
  <si>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</si>
  <si>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</si>
  <si>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</si>
  <si>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</si>
  <si>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</si>
  <si>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</si>
  <si>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</si>
  <si>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</si>
  <si>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</si>
  <si>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</si>
  <si>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</si>
  <si>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</si>
  <si>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</si>
  <si>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</si>
  <si>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</si>
  <si>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</si>
  <si>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</si>
  <si>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</si>
  <si>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</si>
  <si>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</si>
  <si>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</si>
  <si>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</si>
  <si>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</si>
  <si>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</si>
  <si>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</si>
  <si>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</si>
  <si>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</si>
  <si>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</si>
  <si>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</si>
  <si>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</si>
  <si>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</si>
  <si>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</si>
  <si>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</si>
  <si>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</si>
  <si>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</si>
  <si>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</si>
  <si>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</si>
  <si>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</si>
  <si>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</si>
  <si>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</si>
  <si>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</si>
  <si>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</si>
  <si>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</si>
  <si>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</si>
  <si>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</si>
  <si>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</si>
  <si>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</si>
  <si>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</si>
  <si>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</si>
  <si>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</si>
  <si>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</si>
  <si>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</si>
  <si>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</si>
  <si>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</si>
  <si>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</si>
  <si>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</si>
  <si>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</si>
  <si>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</si>
  <si>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</si>
  <si>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</si>
  <si>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</si>
  <si>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</si>
  <si>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</si>
  <si>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</si>
  <si>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</si>
  <si>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</si>
  <si>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</si>
  <si>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</si>
  <si>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</si>
  <si>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</si>
  <si>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</si>
  <si>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</si>
  <si>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</si>
  <si>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</si>
  <si>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</si>
  <si>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</si>
  <si>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</si>
  <si>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</si>
  <si>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</si>
  <si>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</si>
  <si>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</si>
  <si>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</si>
  <si>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</si>
  <si>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</si>
  <si>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</si>
  <si>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</si>
  <si>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</si>
  <si>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</si>
  <si>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</si>
  <si>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</si>
  <si>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</si>
  <si>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</si>
  <si>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</si>
  <si>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</si>
  <si>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</si>
  <si>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</si>
  <si>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</si>
  <si>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</si>
  <si>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</si>
  <si>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</si>
  <si>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</si>
  <si>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</si>
  <si>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</si>
  <si>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</si>
  <si>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</si>
  <si>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</si>
  <si>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</si>
  <si>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</si>
  <si>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</si>
  <si>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</si>
  <si>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</si>
  <si>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</si>
  <si>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</si>
  <si>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</si>
  <si>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</si>
  <si>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</si>
  <si>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</si>
  <si>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</si>
  <si>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</si>
  <si>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</si>
  <si>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</si>
  <si>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</si>
  <si>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</si>
  <si>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</si>
  <si>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</si>
  <si>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</si>
  <si>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</si>
  <si>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</si>
  <si>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</si>
  <si>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</si>
  <si>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</si>
  <si>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</si>
  <si>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</si>
  <si>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</si>
  <si>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</si>
  <si>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</si>
  <si>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</si>
  <si>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</si>
  <si>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</si>
  <si>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</si>
  <si>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</si>
  <si>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</si>
  <si>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</si>
  <si>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</si>
  <si>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</si>
  <si>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</si>
  <si>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</si>
  <si>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</si>
  <si>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</si>
  <si>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</si>
  <si>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</si>
  <si>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</si>
  <si>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</si>
  <si>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</si>
  <si>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</si>
  <si>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</si>
  <si>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</si>
  <si>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</si>
  <si>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</si>
  <si>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</si>
  <si>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</si>
  <si>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</si>
  <si>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</si>
  <si>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</si>
  <si>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</si>
  <si>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</si>
  <si>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</si>
  <si>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</si>
  <si>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</si>
  <si>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</si>
  <si>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</si>
  <si>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</si>
  <si>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</si>
  <si>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</si>
  <si>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</si>
  <si>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</si>
  <si>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</si>
  <si>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</si>
  <si>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</si>
  <si>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</si>
  <si>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</si>
  <si>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</si>
  <si>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</si>
  <si>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</si>
  <si>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</si>
  <si>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</si>
  <si>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</si>
  <si>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</si>
  <si>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</si>
  <si>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</si>
  <si>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</si>
  <si>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</si>
  <si>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</si>
  <si>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</si>
  <si>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</si>
  <si>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</si>
  <si>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</si>
  <si>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</si>
  <si>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</si>
  <si>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</si>
  <si>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</si>
  <si>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</si>
  <si>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</si>
  <si>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</si>
  <si>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</si>
  <si>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</si>
  <si>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</si>
  <si>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</si>
  <si>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</si>
  <si>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</si>
  <si>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</si>
  <si>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</si>
  <si>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</si>
  <si>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</si>
  <si>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</si>
  <si>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</si>
  <si>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</si>
  <si>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</si>
  <si>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</si>
  <si>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</si>
  <si>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</si>
  <si>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</si>
  <si>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</si>
  <si>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</si>
  <si>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</si>
  <si>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</si>
  <si>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</si>
  <si>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</si>
  <si>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</si>
  <si>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</si>
  <si>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</si>
  <si>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</si>
  <si>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</si>
  <si>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</si>
  <si>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</si>
  <si>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</si>
  <si>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</si>
  <si>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</si>
  <si>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</si>
  <si>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</si>
  <si>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</si>
  <si>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</si>
  <si>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</si>
  <si>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</si>
  <si>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</si>
  <si>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</si>
  <si>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</si>
  <si>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</si>
  <si>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</si>
  <si>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</si>
  <si>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</si>
  <si>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</si>
  <si>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</si>
  <si>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</si>
  <si>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</si>
  <si>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</si>
  <si>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</si>
  <si>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</si>
  <si>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</si>
  <si>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</si>
  <si>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</si>
  <si>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</si>
  <si>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</si>
  <si>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</si>
  <si>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</si>
  <si>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</si>
  <si>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</si>
  <si>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</si>
  <si>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</si>
  <si>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</si>
  <si>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</si>
  <si>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</si>
  <si>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</si>
  <si>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</si>
  <si>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</si>
  <si>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</si>
  <si>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</si>
  <si>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</si>
  <si>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</si>
  <si>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</si>
  <si>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</si>
  <si>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</si>
  <si>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</si>
  <si>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</si>
  <si>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</si>
  <si>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</si>
  <si>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</si>
  <si>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</si>
  <si>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</si>
  <si>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</si>
  <si>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</si>
  <si>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</si>
  <si>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</si>
  <si>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</si>
  <si>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</si>
  <si>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</si>
  <si>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</si>
  <si>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</si>
  <si>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</si>
  <si>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</si>
  <si>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</si>
  <si>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</si>
  <si>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</si>
  <si>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</si>
  <si>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</si>
  <si>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</si>
  <si>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</si>
  <si>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</si>
  <si>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</si>
  <si>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</si>
  <si>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</si>
  <si>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</si>
  <si>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</si>
  <si>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</si>
  <si>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</si>
  <si>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</si>
  <si>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</si>
  <si>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</si>
  <si>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</si>
  <si>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</si>
  <si>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</si>
  <si>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</si>
  <si>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</si>
  <si>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</si>
  <si>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</si>
  <si>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</si>
  <si>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</si>
  <si>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</si>
  <si>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</si>
  <si>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</si>
  <si>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</si>
  <si>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</si>
  <si>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</si>
  <si>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</si>
  <si>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</si>
  <si>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</si>
  <si>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</si>
  <si>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</si>
  <si>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</si>
  <si>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</si>
  <si>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</si>
  <si>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</si>
  <si>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</si>
  <si>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</si>
  <si>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</si>
  <si>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</si>
  <si>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</si>
  <si>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</si>
  <si>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</si>
  <si>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</si>
  <si>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</si>
  <si>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</si>
  <si>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</si>
  <si>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</si>
  <si>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</si>
  <si>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</si>
  <si>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</si>
  <si>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</si>
  <si>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</si>
  <si>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</si>
  <si>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</si>
  <si>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</si>
  <si>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</si>
  <si>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</si>
  <si>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</si>
  <si>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</si>
  <si>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</si>
  <si>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</si>
  <si>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</si>
  <si>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</si>
  <si>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</si>
  <si>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</si>
  <si>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</si>
  <si>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</si>
  <si>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</si>
  <si>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</si>
  <si>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</si>
  <si>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</si>
  <si>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</si>
  <si>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</si>
  <si>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</si>
  <si>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</si>
  <si>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</si>
  <si>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</si>
  <si>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</si>
  <si>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</si>
  <si>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</si>
  <si>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</si>
  <si>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</si>
  <si>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</si>
  <si>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</si>
  <si>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</si>
  <si>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</si>
  <si>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</si>
  <si>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</si>
  <si>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</si>
  <si>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</si>
  <si>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</si>
  <si>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</si>
  <si>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</si>
  <si>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</si>
  <si>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</si>
  <si>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</si>
  <si>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</si>
  <si>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</si>
  <si>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</si>
  <si>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</si>
  <si>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</si>
  <si>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</si>
  <si>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</si>
  <si>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</si>
  <si>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</si>
  <si>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</si>
  <si>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</si>
  <si>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</si>
  <si>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</si>
  <si>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</si>
  <si>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</si>
  <si>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</si>
  <si>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</si>
  <si>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</si>
  <si>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</si>
  <si>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</si>
  <si>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</si>
  <si>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</si>
  <si>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</si>
  <si>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</si>
  <si>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</si>
  <si>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</si>
  <si>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</si>
  <si>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</si>
  <si>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</si>
  <si>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</si>
  <si>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</si>
  <si>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</si>
  <si>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</si>
  <si>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</si>
  <si>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</si>
  <si>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</si>
  <si>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</si>
  <si>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</si>
  <si>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</si>
  <si>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</si>
  <si>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</si>
  <si>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</si>
  <si>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</si>
  <si>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</si>
  <si>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</si>
  <si>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</si>
  <si>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</si>
  <si>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</si>
  <si>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</si>
  <si>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</si>
  <si>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</si>
  <si>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</si>
  <si>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</si>
  <si>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</si>
  <si>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</si>
  <si>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</si>
  <si>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</si>
  <si>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</si>
  <si>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</si>
  <si>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</si>
  <si>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</si>
  <si>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</si>
  <si>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</si>
  <si>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</si>
  <si>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</si>
  <si>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</si>
  <si>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</si>
  <si>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</si>
  <si>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</si>
  <si>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</si>
  <si>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</si>
  <si>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</si>
  <si>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</si>
  <si>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</si>
  <si>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</si>
  <si>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</si>
  <si>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</si>
  <si>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</si>
  <si>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</si>
  <si>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</si>
  <si>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</si>
  <si>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</si>
  <si>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</si>
  <si>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</si>
  <si>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</si>
  <si>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</si>
  <si>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</si>
  <si>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</si>
  <si>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</si>
  <si>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</si>
  <si>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</si>
  <si>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</si>
  <si>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</si>
  <si>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</si>
  <si>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</si>
  <si>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</si>
  <si>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</si>
  <si>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</si>
  <si>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</si>
  <si>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</si>
  <si>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</si>
  <si>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</si>
  <si>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</si>
  <si>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</si>
  <si>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</si>
  <si>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</si>
  <si>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</si>
  <si>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</si>
  <si>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</si>
  <si>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</si>
  <si>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</si>
  <si>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</si>
  <si>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</si>
  <si>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</si>
  <si>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</si>
  <si>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</si>
  <si>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</si>
  <si>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</si>
  <si>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</si>
  <si>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</si>
  <si>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</si>
  <si>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</si>
  <si>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</si>
  <si>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</si>
  <si>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</si>
  <si>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</si>
  <si>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</si>
  <si>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</si>
  <si>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</si>
  <si>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</si>
  <si>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</si>
  <si>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</si>
  <si>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</si>
  <si>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</si>
  <si>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</si>
  <si>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</si>
  <si>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</si>
  <si>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</si>
  <si>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</si>
  <si>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</si>
  <si>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</si>
  <si>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</si>
  <si>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</si>
  <si>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</si>
  <si>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</si>
  <si>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</si>
  <si>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</si>
  <si>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</si>
  <si>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</si>
  <si>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</si>
  <si>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</si>
  <si>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</si>
  <si>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</si>
  <si>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</si>
  <si>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</si>
  <si>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</si>
  <si>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</si>
  <si>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</si>
  <si>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</si>
  <si>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</si>
  <si>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</si>
  <si>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</si>
  <si>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</si>
  <si>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</si>
  <si>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</si>
  <si>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</si>
  <si>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</si>
  <si>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</si>
  <si>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</si>
  <si>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</si>
  <si>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</si>
  <si>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</si>
  <si>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</si>
  <si>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</si>
  <si>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</si>
  <si>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</si>
  <si>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</si>
  <si>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</si>
  <si>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</si>
  <si>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</si>
  <si>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</si>
  <si>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</si>
  <si>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</si>
  <si>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</si>
  <si>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</si>
  <si>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</si>
  <si>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</si>
  <si>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</si>
  <si>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</si>
  <si>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</si>
  <si>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</si>
  <si>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</si>
  <si>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</si>
  <si>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</si>
  <si>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</si>
  <si>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</si>
  <si>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</si>
  <si>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</si>
  <si>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</si>
  <si>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</si>
  <si>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</si>
  <si>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</si>
  <si>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</si>
  <si>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</si>
  <si>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</si>
  <si>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</si>
  <si>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</si>
  <si>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</si>
  <si>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</si>
  <si>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</si>
  <si>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</si>
  <si>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</si>
  <si>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</si>
  <si>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</si>
  <si>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</si>
  <si>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</si>
  <si>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</si>
  <si>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</si>
  <si>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</si>
  <si>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</si>
  <si>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</si>
  <si>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</si>
  <si>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</si>
  <si>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</si>
  <si>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</si>
  <si>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</si>
  <si>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</si>
  <si>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</si>
  <si>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</si>
  <si>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</si>
  <si>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</si>
  <si>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</si>
  <si>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</si>
  <si>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</si>
  <si>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</si>
  <si>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</si>
  <si>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</si>
  <si>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</si>
  <si>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</si>
  <si>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</si>
  <si>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</si>
  <si>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</si>
  <si>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</si>
  <si>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</si>
  <si>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</si>
  <si>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</si>
  <si>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</si>
  <si>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</si>
  <si>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</si>
  <si>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</si>
  <si>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</si>
  <si>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</si>
  <si>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</si>
  <si>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</si>
  <si>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</si>
  <si>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</si>
  <si>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</si>
  <si>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</si>
  <si>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</si>
  <si>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</si>
  <si>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</si>
  <si>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</si>
  <si>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</si>
  <si>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</si>
  <si>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</si>
  <si>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</si>
  <si>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</si>
  <si>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</si>
  <si>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</si>
  <si>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</si>
  <si>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</si>
  <si>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</si>
  <si>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</si>
  <si>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</si>
  <si>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</si>
  <si>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</si>
  <si>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</si>
  <si>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</si>
  <si>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</si>
  <si>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</si>
  <si>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</si>
  <si>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</si>
  <si>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</si>
  <si>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</si>
  <si>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</si>
  <si>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</si>
  <si>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</si>
  <si>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</si>
  <si>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</si>
  <si>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</si>
  <si>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</si>
  <si>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</si>
  <si>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</si>
  <si>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</si>
  <si>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</si>
  <si>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</si>
  <si>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</si>
  <si>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</si>
  <si>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</si>
  <si>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</si>
  <si>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</si>
  <si>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</si>
  <si>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</si>
  <si>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</si>
  <si>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</si>
  <si>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</si>
  <si>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</si>
  <si>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</si>
  <si>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</si>
  <si>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</si>
  <si>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</si>
  <si>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</si>
  <si>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</si>
  <si>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</si>
  <si>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</si>
  <si>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</si>
  <si>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</si>
  <si>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</si>
  <si>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</si>
  <si>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</si>
  <si>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</si>
  <si>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</si>
  <si>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</si>
  <si>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</si>
  <si>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</si>
  <si>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</si>
  <si>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</si>
  <si>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</si>
  <si>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</si>
  <si>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</si>
  <si>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</si>
  <si>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</si>
  <si>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</si>
  <si>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</si>
  <si>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</si>
  <si>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</si>
  <si>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</si>
  <si>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</si>
  <si>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</si>
  <si>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</si>
  <si>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</si>
  <si>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</si>
  <si>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</si>
  <si>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</si>
  <si>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</si>
  <si>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</si>
  <si>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</si>
  <si>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</si>
  <si>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</si>
  <si>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</si>
  <si>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</si>
  <si>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</si>
  <si>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</si>
  <si>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</si>
  <si>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</si>
  <si>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</si>
  <si>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</si>
  <si>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</si>
  <si>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</si>
  <si>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</si>
  <si>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</si>
  <si>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</si>
  <si>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</si>
  <si>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</si>
  <si>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</si>
  <si>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</si>
  <si>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</si>
  <si>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</si>
  <si>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</si>
  <si>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</si>
  <si>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</si>
  <si>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</si>
  <si>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</si>
  <si>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</si>
  <si>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</si>
  <si>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</si>
  <si>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</si>
  <si>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</si>
  <si>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</si>
  <si>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</si>
  <si>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</si>
  <si>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</si>
  <si>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</si>
  <si>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</si>
  <si>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</si>
  <si>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</si>
  <si>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</si>
  <si>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</si>
  <si>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</si>
  <si>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</si>
  <si>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</si>
  <si>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</si>
  <si>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</si>
  <si>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</si>
  <si>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</si>
  <si>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</si>
  <si>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</si>
  <si>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</si>
  <si>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</si>
  <si>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</si>
  <si>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</si>
  <si>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</si>
  <si>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</si>
  <si>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</si>
  <si>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</si>
  <si>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</si>
  <si>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</si>
  <si>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</si>
  <si>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</si>
  <si>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</si>
  <si>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</si>
  <si>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</si>
  <si>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</si>
  <si>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</si>
  <si>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</si>
  <si>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</si>
  <si>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</si>
  <si>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</si>
  <si>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</si>
  <si>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</si>
  <si>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</si>
  <si>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</si>
  <si>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</si>
  <si>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</si>
  <si>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</si>
  <si>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</si>
  <si>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</si>
  <si>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</si>
  <si>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</si>
  <si>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</si>
  <si>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</si>
  <si>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</si>
  <si>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</si>
  <si>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</si>
  <si>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</si>
  <si>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</si>
  <si>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</si>
  <si>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</si>
  <si>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</si>
  <si>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</si>
  <si>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</si>
  <si>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</si>
  <si>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</si>
  <si>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</si>
  <si>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</si>
  <si>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</si>
  <si>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</si>
  <si>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</si>
  <si>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</si>
  <si>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</si>
  <si>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</si>
  <si>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</si>
  <si>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</si>
  <si>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</si>
  <si>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</si>
  <si>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</si>
  <si>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</si>
  <si>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</si>
  <si>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</si>
  <si>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</si>
  <si>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</si>
  <si>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</si>
  <si>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</si>
  <si>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</si>
  <si>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</si>
  <si>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</si>
  <si>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</si>
  <si>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</si>
  <si>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</si>
  <si>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</si>
  <si>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</si>
  <si>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</si>
  <si>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</si>
  <si>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</si>
  <si>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</si>
  <si>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</si>
  <si>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</si>
  <si>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</si>
  <si>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</si>
  <si>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</si>
  <si>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</si>
  <si>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</si>
  <si>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</si>
  <si>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</si>
  <si>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</si>
  <si>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</si>
  <si>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</si>
  <si>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</si>
  <si>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</si>
  <si>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</si>
  <si>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</si>
  <si>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</si>
  <si>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</si>
  <si>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</si>
  <si>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</si>
  <si>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</si>
  <si>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</si>
  <si>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</si>
  <si>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</si>
  <si>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</si>
  <si>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</si>
  <si>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</si>
  <si>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</si>
  <si>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</si>
  <si>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</si>
  <si>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</si>
  <si>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</si>
  <si>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</si>
  <si>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</si>
  <si>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</si>
  <si>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</si>
  <si>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</si>
  <si>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</si>
  <si>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</si>
  <si>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</si>
  <si>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</si>
  <si>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</si>
  <si>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</si>
  <si>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</si>
  <si>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</si>
  <si>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</si>
  <si>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</si>
  <si>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</si>
  <si>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</si>
  <si>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</si>
  <si>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</si>
  <si>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</si>
  <si>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</si>
  <si>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</si>
  <si>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</si>
  <si>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</si>
  <si>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</si>
  <si>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</si>
  <si>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</si>
  <si>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</si>
  <si>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</si>
  <si>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</si>
  <si>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</si>
  <si>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</si>
  <si>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</si>
  <si>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</si>
  <si>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</si>
  <si>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</si>
  <si>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</si>
  <si>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</si>
  <si>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</si>
  <si>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</si>
  <si>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</si>
  <si>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</si>
  <si>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</si>
  <si>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</si>
  <si>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</si>
  <si>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</si>
  <si>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</si>
  <si>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</si>
  <si>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</si>
  <si>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</si>
  <si>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</si>
  <si>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</si>
  <si>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</si>
  <si>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</si>
  <si>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</si>
  <si>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</si>
  <si>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</si>
  <si>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</si>
  <si>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</si>
  <si>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</si>
  <si>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</si>
  <si>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</si>
  <si>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</si>
  <si>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</si>
  <si>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</si>
  <si>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</si>
  <si>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</si>
  <si>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</si>
  <si>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</si>
  <si>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</si>
  <si>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</si>
  <si>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</si>
  <si>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</si>
  <si>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</si>
  <si>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</si>
  <si>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</si>
  <si>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</si>
  <si>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</si>
  <si>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</si>
  <si>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</si>
  <si>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</si>
  <si>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</si>
  <si>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</si>
  <si>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</si>
  <si>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</si>
  <si>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</si>
  <si>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</si>
  <si>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</si>
  <si>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</si>
  <si>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</si>
  <si>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</si>
  <si>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</si>
  <si>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</si>
  <si>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</si>
  <si>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</si>
  <si>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</si>
  <si>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</si>
  <si>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</si>
  <si>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</si>
  <si>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</si>
  <si>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</si>
  <si>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</si>
  <si>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</si>
  <si>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</si>
  <si>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</si>
  <si>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</si>
  <si>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</si>
  <si>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</si>
  <si>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</si>
  <si>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</si>
  <si>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</si>
  <si>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</si>
  <si>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</si>
  <si>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</si>
  <si>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</si>
  <si>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</si>
  <si>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</si>
  <si>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</si>
  <si>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</si>
  <si>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</si>
  <si>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</si>
  <si>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</si>
  <si>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</si>
  <si>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</si>
  <si>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</si>
  <si>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</si>
  <si>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</si>
  <si>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</si>
  <si>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</si>
  <si>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</si>
  <si>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</si>
  <si>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</si>
  <si>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</si>
  <si>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</si>
  <si>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</si>
  <si>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</si>
  <si>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</si>
  <si>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</si>
  <si>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</si>
  <si>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</si>
  <si>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</si>
  <si>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</si>
  <si>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</si>
  <si>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</si>
  <si>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</si>
  <si>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</si>
  <si>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</si>
  <si>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</si>
  <si>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</si>
  <si>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</si>
  <si>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</si>
  <si>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</si>
  <si>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</si>
  <si>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</si>
  <si>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</si>
  <si>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</si>
  <si>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</si>
  <si>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</si>
  <si>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</si>
  <si>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</si>
  <si>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</si>
  <si>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</si>
  <si>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</si>
  <si>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</si>
  <si>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</si>
  <si>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</si>
  <si>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</si>
  <si>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</si>
  <si>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</si>
  <si>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</si>
  <si>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</si>
  <si>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</si>
  <si>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</si>
  <si>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</si>
  <si>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</si>
  <si>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</si>
  <si>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</si>
  <si>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</si>
  <si>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</si>
  <si>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</si>
  <si>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</si>
  <si>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</si>
  <si>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</si>
  <si>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</si>
  <si>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</si>
  <si>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</si>
  <si>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</si>
  <si>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</si>
  <si>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</si>
  <si>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</si>
  <si>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</si>
  <si>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</si>
  <si>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</si>
  <si>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</si>
  <si>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</si>
  <si>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</si>
  <si>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</si>
  <si>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</si>
  <si>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</si>
  <si>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</si>
  <si>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</si>
  <si>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</si>
  <si>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</si>
  <si>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</si>
  <si>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</si>
  <si>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</si>
  <si>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</si>
  <si>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</si>
  <si>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</si>
  <si>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</si>
  <si>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</si>
  <si>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</si>
  <si>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</si>
  <si>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</si>
  <si>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</si>
  <si>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</si>
  <si>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</si>
  <si>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</si>
  <si>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</si>
  <si>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</si>
  <si>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</si>
  <si>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</si>
  <si>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</si>
  <si>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</si>
  <si>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</si>
  <si>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</si>
  <si>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</si>
  <si>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</si>
  <si>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</si>
  <si>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</si>
  <si>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</si>
  <si>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</si>
  <si>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</si>
  <si>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</si>
  <si>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</si>
  <si>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</si>
  <si>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</si>
  <si>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</si>
  <si>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</si>
  <si>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</si>
  <si>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</si>
  <si>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</si>
  <si>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</si>
  <si>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</si>
  <si>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</si>
  <si>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</si>
  <si>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</si>
  <si>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</si>
  <si>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</si>
  <si>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</si>
  <si>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</si>
  <si>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</si>
  <si>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</si>
  <si>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</si>
  <si>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</si>
  <si>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</si>
  <si>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</si>
  <si>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</si>
  <si>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</si>
  <si>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</si>
  <si>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</si>
  <si>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</si>
  <si>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</si>
  <si>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</si>
  <si>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</si>
  <si>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</si>
  <si>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</si>
  <si>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</si>
  <si>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</si>
  <si>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</si>
  <si>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</si>
  <si>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</si>
  <si>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</si>
  <si>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</si>
  <si>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</si>
  <si>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</si>
  <si>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</si>
  <si>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</si>
  <si>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</si>
  <si>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</si>
  <si>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</si>
  <si>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</si>
  <si>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</si>
  <si>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</si>
  <si>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</si>
  <si>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</si>
  <si>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</si>
  <si>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</si>
  <si>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</si>
  <si>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</si>
  <si>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</si>
  <si>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</si>
  <si>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</si>
  <si>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</si>
  <si>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</si>
  <si>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</si>
  <si>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</si>
  <si>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</si>
  <si>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</si>
  <si>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</si>
  <si>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</si>
  <si>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</si>
  <si>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</si>
  <si>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</si>
  <si>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</si>
  <si>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</si>
  <si>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</si>
  <si>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</si>
  <si>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</si>
  <si>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</si>
  <si>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</si>
  <si>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</si>
  <si>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</si>
  <si>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</si>
  <si>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</si>
  <si>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</si>
  <si>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</si>
  <si>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</si>
  <si>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</si>
  <si>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</si>
  <si>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</si>
  <si>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</si>
  <si>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</si>
  <si>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</si>
  <si>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</si>
  <si>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</si>
  <si>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</si>
  <si>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</si>
  <si>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</si>
  <si>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</si>
  <si>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</si>
  <si>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</si>
  <si>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</si>
  <si>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</si>
  <si>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</si>
  <si>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</si>
  <si>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</si>
  <si>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</si>
  <si>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</si>
  <si>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</si>
  <si>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</si>
  <si>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</si>
  <si>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</si>
  <si>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</si>
  <si>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</si>
  <si>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</si>
  <si>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</si>
  <si>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</si>
  <si>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</si>
  <si>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</si>
  <si>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</si>
  <si>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</si>
  <si>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</si>
  <si>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</si>
  <si>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</si>
  <si>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</si>
  <si>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</si>
  <si>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</si>
  <si>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</si>
  <si>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</si>
  <si>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</si>
  <si>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</si>
  <si>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</si>
  <si>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</si>
  <si>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</si>
  <si>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</si>
  <si>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</si>
  <si>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</si>
  <si>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</si>
  <si>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</si>
  <si>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</si>
  <si>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</si>
  <si>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</si>
  <si>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</si>
  <si>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</si>
  <si>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</si>
  <si>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</si>
  <si>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</si>
  <si>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</si>
  <si>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</si>
  <si>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</si>
  <si>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</si>
  <si>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</si>
  <si>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</si>
  <si>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</si>
  <si>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</si>
  <si>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</si>
  <si>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</si>
  <si>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</si>
  <si>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</si>
  <si>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</si>
  <si>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</si>
  <si>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</si>
  <si>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</si>
  <si>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</si>
  <si>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</si>
  <si>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</si>
  <si>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</si>
  <si>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</si>
  <si>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</si>
  <si>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</si>
  <si>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</si>
  <si>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</si>
  <si>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</si>
  <si>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</si>
  <si>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</si>
  <si>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</si>
  <si>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</si>
  <si>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</si>
  <si>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</si>
  <si>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</si>
  <si>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</si>
  <si>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</si>
  <si>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</si>
  <si>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</si>
  <si>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</si>
  <si>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</si>
  <si>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</si>
  <si>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</si>
  <si>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</si>
  <si>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</si>
  <si>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</si>
  <si>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</si>
  <si>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</si>
  <si>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</si>
  <si>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</si>
  <si>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</si>
  <si>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</si>
  <si>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</si>
  <si>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</si>
  <si>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</si>
  <si>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</si>
  <si>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</si>
  <si>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</si>
  <si>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</si>
  <si>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</si>
  <si>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</si>
  <si>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</si>
  <si>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</si>
  <si>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</si>
  <si>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</si>
  <si>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</si>
  <si>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</si>
  <si>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</si>
  <si>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</si>
  <si>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</si>
  <si>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</si>
  <si>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</si>
  <si>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</si>
  <si>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</si>
  <si>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</si>
  <si>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</si>
  <si>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</si>
  <si>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</si>
  <si>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</si>
  <si>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</si>
  <si>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</si>
  <si>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</si>
  <si>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</si>
  <si>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</si>
  <si>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</si>
  <si>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</si>
  <si>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</si>
  <si>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</si>
  <si>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</si>
  <si>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</si>
  <si>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</si>
  <si>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</si>
  <si>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</si>
  <si>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</si>
  <si>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</si>
  <si>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</si>
  <si>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</si>
  <si>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</si>
  <si>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</si>
  <si>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</si>
  <si>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</si>
  <si>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</si>
  <si>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</si>
  <si>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</si>
  <si>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</si>
  <si>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</si>
  <si>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</si>
  <si>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</si>
  <si>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</si>
  <si>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</si>
  <si>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</si>
  <si>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</si>
  <si>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</si>
  <si>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</si>
  <si>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</si>
  <si>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</si>
  <si>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</si>
  <si>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</si>
  <si>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</si>
  <si>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</si>
  <si>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</si>
  <si>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</si>
  <si>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</si>
  <si>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</si>
  <si>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</si>
  <si>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</si>
  <si>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</si>
  <si>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</si>
  <si>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</si>
  <si>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</si>
  <si>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</si>
  <si>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</si>
  <si>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</si>
  <si>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</si>
  <si>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</si>
  <si>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</si>
  <si>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</si>
  <si>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</si>
  <si>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</si>
  <si>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</si>
  <si>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</si>
  <si>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</si>
  <si>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</si>
  <si>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</si>
  <si>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</si>
  <si>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</si>
  <si>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</si>
  <si>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</si>
  <si>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</si>
  <si>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</si>
  <si>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</si>
  <si>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</si>
  <si>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</si>
  <si>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</si>
  <si>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</si>
  <si>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</si>
  <si>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</si>
  <si>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</si>
  <si>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</si>
  <si>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</si>
  <si>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</si>
  <si>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</si>
  <si>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</si>
  <si>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</si>
  <si>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</si>
  <si>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</si>
  <si>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</si>
  <si>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</si>
  <si>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</si>
  <si>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</si>
  <si>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</si>
  <si>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</si>
  <si>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</si>
  <si>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</si>
  <si>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</si>
  <si>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</si>
  <si>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</si>
  <si>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</si>
  <si>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</si>
  <si>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</si>
  <si>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</si>
  <si>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</si>
  <si>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</si>
  <si>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</si>
  <si>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</si>
  <si>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</si>
  <si>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</si>
  <si>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</si>
  <si>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</si>
  <si>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</si>
  <si>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</si>
  <si>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</si>
  <si>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</si>
  <si>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</si>
  <si>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</si>
  <si>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</si>
  <si>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</si>
  <si>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</si>
  <si>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</si>
  <si>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</si>
  <si>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</si>
  <si>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</si>
  <si>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</si>
  <si>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</si>
  <si>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</si>
  <si>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</si>
  <si>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</si>
  <si>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</si>
  <si>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</si>
  <si>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</si>
  <si>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</si>
  <si>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</si>
  <si>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</si>
  <si>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</si>
  <si>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</si>
  <si>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</si>
  <si>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</si>
  <si>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</si>
  <si>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</si>
  <si>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</si>
  <si>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</si>
  <si>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</si>
  <si>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</si>
  <si>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</si>
  <si>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</si>
  <si>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</si>
  <si>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</si>
  <si>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</si>
  <si>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</si>
  <si>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</si>
  <si>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</si>
  <si>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</si>
  <si>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</si>
  <si>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</si>
  <si>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</si>
  <si>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</si>
  <si>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</si>
  <si>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</si>
  <si>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</si>
  <si>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</si>
  <si>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</si>
  <si>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</si>
  <si>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</si>
  <si>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</si>
  <si>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</si>
  <si>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</si>
  <si>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</si>
  <si>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</si>
  <si>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</si>
  <si>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</si>
  <si>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</si>
  <si>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</si>
  <si>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</si>
  <si>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</si>
  <si>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</si>
  <si>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</si>
  <si>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</si>
  <si>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</si>
  <si>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</si>
  <si>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</si>
  <si>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</si>
  <si>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</si>
  <si>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</si>
  <si>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</si>
  <si>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</si>
  <si>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</si>
  <si>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</si>
  <si>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</si>
  <si>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</si>
  <si>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</si>
  <si>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</si>
  <si>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</si>
  <si>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</si>
  <si>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</si>
  <si>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</si>
  <si>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</si>
  <si>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</si>
  <si>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</si>
  <si>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</si>
  <si>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</si>
  <si>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</si>
  <si>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</si>
  <si>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</si>
  <si>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</si>
  <si>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</si>
  <si>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</si>
  <si>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</si>
  <si>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</si>
  <si>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</si>
  <si>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</si>
  <si>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</si>
  <si>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</si>
  <si>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</si>
  <si>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</si>
  <si>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</si>
  <si>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</si>
  <si>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</si>
  <si>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</si>
  <si>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</si>
  <si>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</si>
  <si>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</si>
  <si>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</si>
  <si>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</si>
  <si>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</si>
  <si>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</si>
  <si>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</si>
  <si>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</si>
  <si>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</si>
  <si>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</si>
  <si>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</si>
  <si>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</si>
  <si>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</si>
  <si>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</si>
  <si>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</si>
  <si>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</si>
  <si>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</si>
  <si>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</si>
  <si>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</si>
  <si>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</si>
  <si>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</si>
  <si>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</si>
  <si>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</si>
  <si>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</si>
  <si>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</si>
  <si>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</si>
  <si>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</si>
  <si>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</si>
  <si>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</si>
  <si>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</si>
  <si>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</si>
  <si>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</si>
  <si>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</si>
  <si>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</si>
  <si>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</si>
  <si>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</si>
  <si>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</si>
  <si>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</si>
  <si>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</si>
  <si>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</si>
  <si>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</si>
  <si>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</si>
  <si>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</si>
  <si>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</si>
  <si>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</si>
  <si>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</si>
  <si>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</si>
  <si>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</si>
  <si>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</si>
  <si>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</si>
  <si>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</si>
  <si>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</si>
  <si>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</si>
  <si>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</si>
  <si>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</si>
  <si>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</si>
  <si>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</si>
  <si>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</si>
  <si>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</si>
  <si>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</si>
  <si>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</si>
  <si>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</si>
  <si>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</si>
  <si>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</si>
  <si>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</si>
  <si>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</si>
  <si>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</si>
  <si>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</si>
  <si>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</si>
  <si>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</si>
  <si>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</si>
  <si>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</si>
  <si>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</si>
  <si>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</si>
  <si>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</si>
  <si>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</si>
  <si>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</si>
  <si>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</si>
  <si>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</si>
  <si>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</si>
  <si>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</si>
  <si>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</si>
  <si>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</si>
  <si>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</si>
  <si>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</si>
  <si>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</si>
  <si>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</si>
  <si>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</si>
  <si>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</si>
  <si>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</si>
  <si>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</si>
  <si>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</si>
  <si>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</si>
  <si>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</si>
  <si>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</si>
  <si>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</si>
  <si>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</si>
  <si>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</si>
  <si>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</si>
  <si>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</si>
  <si>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</si>
  <si>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</si>
  <si>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</si>
  <si>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</si>
  <si>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</si>
  <si>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</si>
  <si>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</si>
  <si>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</si>
  <si>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</si>
  <si>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</si>
  <si>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</si>
  <si>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</si>
  <si>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</si>
  <si>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</si>
  <si>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</si>
  <si>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</si>
  <si>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</si>
  <si>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</si>
  <si>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</si>
  <si>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</si>
  <si>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</si>
  <si>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</si>
  <si>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</si>
  <si>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</si>
  <si>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</si>
  <si>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</si>
  <si>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</si>
  <si>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</si>
  <si>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</si>
  <si>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</si>
  <si>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</si>
  <si>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</si>
  <si>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</si>
  <si>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</si>
  <si>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</si>
  <si>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</si>
  <si>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</si>
  <si>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</si>
  <si>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</si>
  <si>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</si>
  <si>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</si>
  <si>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</si>
  <si>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</si>
  <si>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</si>
  <si>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</si>
  <si>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</si>
  <si>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</si>
  <si>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</si>
  <si>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</si>
  <si>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</si>
  <si>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</si>
  <si>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</si>
  <si>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</si>
  <si>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</si>
  <si>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</si>
  <si>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</si>
  <si>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</si>
  <si>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</si>
  <si>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</si>
  <si>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</si>
  <si>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</si>
  <si>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</si>
  <si>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</si>
  <si>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</si>
  <si>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</si>
  <si>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</si>
  <si>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</si>
  <si>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</si>
  <si>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</si>
  <si>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</si>
  <si>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</si>
  <si>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</si>
  <si>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</si>
  <si>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</si>
  <si>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</si>
  <si>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</si>
  <si>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</si>
  <si>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</si>
  <si>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</si>
  <si>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</si>
  <si>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</si>
  <si>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</si>
  <si>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</si>
  <si>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</si>
  <si>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</si>
  <si>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</si>
  <si>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</si>
  <si>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</si>
  <si>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</si>
  <si>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</si>
  <si>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</si>
  <si>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</si>
  <si>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</si>
  <si>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</si>
  <si>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</si>
  <si>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</si>
  <si>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</si>
  <si>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</si>
  <si>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</si>
  <si>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</si>
  <si>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</si>
  <si>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</si>
  <si>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</si>
  <si>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</si>
  <si>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</si>
  <si>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</si>
  <si>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</si>
  <si>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</si>
  <si>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</si>
  <si>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</si>
  <si>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</si>
  <si>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</si>
  <si>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</si>
  <si>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</si>
  <si>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</si>
  <si>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</si>
  <si>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</si>
  <si>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</si>
  <si>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</si>
  <si>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</si>
  <si>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</si>
  <si>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</si>
  <si>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</si>
  <si>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</si>
  <si>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</si>
  <si>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</si>
  <si>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</si>
  <si>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</si>
  <si>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</si>
  <si>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</si>
  <si>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</si>
  <si>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</si>
  <si>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</si>
  <si>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</si>
  <si>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</si>
  <si>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</si>
  <si>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</si>
  <si>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</si>
  <si>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</si>
  <si>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</si>
  <si>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</si>
  <si>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</si>
  <si>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</si>
  <si>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</si>
  <si>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</si>
  <si>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</si>
  <si>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</si>
  <si>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</si>
  <si>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</si>
  <si>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</si>
  <si>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</si>
  <si>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</si>
  <si>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</si>
  <si>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</si>
  <si>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</si>
  <si>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</si>
  <si>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</si>
  <si>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</si>
  <si>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</si>
  <si>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</si>
  <si>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</si>
  <si>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</si>
  <si>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</si>
  <si>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</si>
  <si>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</si>
  <si>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</si>
  <si>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</si>
  <si>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</si>
  <si>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</si>
  <si>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</si>
  <si>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</si>
  <si>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</si>
  <si>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</si>
  <si>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</si>
  <si>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</si>
  <si>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</si>
  <si>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</si>
  <si>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</si>
  <si>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</si>
  <si>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</si>
  <si>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</si>
  <si>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</si>
  <si>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</si>
  <si>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</si>
  <si>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</si>
  <si>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</si>
  <si>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</si>
  <si>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</si>
  <si>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</si>
  <si>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</si>
  <si>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</si>
  <si>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</si>
  <si>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</si>
  <si>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</si>
  <si>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</si>
  <si>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</si>
  <si>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</si>
  <si>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</si>
  <si>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</si>
  <si>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</si>
  <si>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</si>
  <si>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</si>
  <si>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</si>
  <si>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</si>
  <si>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</si>
  <si>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</si>
  <si>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</si>
  <si>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</si>
  <si>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</si>
  <si>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</si>
  <si>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</si>
  <si>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</si>
  <si>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</si>
  <si>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</si>
  <si>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</si>
  <si>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</si>
  <si>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</si>
  <si>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</si>
  <si>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</si>
  <si>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</si>
  <si>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</si>
  <si>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</si>
  <si>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</si>
  <si>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</si>
  <si>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</si>
  <si>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</si>
  <si>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</si>
  <si>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</si>
  <si>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</si>
  <si>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</si>
  <si>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</si>
  <si>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</si>
  <si>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</si>
  <si>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</si>
  <si>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</si>
  <si>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</si>
  <si>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</si>
  <si>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</si>
  <si>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</si>
  <si>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</si>
  <si>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</si>
  <si>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</si>
  <si>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</si>
  <si>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</si>
  <si>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</si>
  <si>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</si>
  <si>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</si>
  <si>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</si>
  <si>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</si>
  <si>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</si>
  <si>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</si>
  <si>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</si>
  <si>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</si>
  <si>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</si>
  <si>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</si>
  <si>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</si>
  <si>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</si>
  <si>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</si>
  <si>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</si>
  <si>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</si>
  <si>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</si>
  <si>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</si>
  <si>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</si>
  <si>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</si>
  <si>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</si>
  <si>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</si>
  <si>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</si>
  <si>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</si>
  <si>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</si>
  <si>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</si>
  <si>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</si>
  <si>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</si>
  <si>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</si>
  <si>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</si>
  <si>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</si>
  <si>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</si>
  <si>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</si>
  <si>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</si>
  <si>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</si>
  <si>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</si>
  <si>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</si>
  <si>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</si>
  <si>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</si>
  <si>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</si>
  <si>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</si>
  <si>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</si>
  <si>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</si>
  <si>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</si>
  <si>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</si>
  <si>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</si>
  <si>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</si>
  <si>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</si>
  <si>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</si>
  <si>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</si>
  <si>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</si>
  <si>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</si>
  <si>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</si>
  <si>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</si>
  <si>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</si>
  <si>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</si>
  <si>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</si>
  <si>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</si>
  <si>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</si>
  <si>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</si>
  <si>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</si>
  <si>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</si>
  <si>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</si>
  <si>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</si>
  <si>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</si>
  <si>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</si>
  <si>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</si>
  <si>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</si>
  <si>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</si>
  <si>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</si>
  <si>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</si>
  <si>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</si>
  <si>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</si>
  <si>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</si>
  <si>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</si>
  <si>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</si>
  <si>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</si>
  <si>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</si>
  <si>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</si>
  <si>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</si>
  <si>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</si>
  <si>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</si>
  <si>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</si>
  <si>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</si>
  <si>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</si>
  <si>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</si>
  <si>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</si>
  <si>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</si>
  <si>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</si>
  <si>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</si>
  <si>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</si>
  <si>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</si>
  <si>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</si>
  <si>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</si>
  <si>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</si>
  <si>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</si>
  <si>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</si>
  <si>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</si>
  <si>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</si>
  <si>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</si>
  <si>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</si>
  <si>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</si>
  <si>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</si>
  <si>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</si>
  <si>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</si>
  <si>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</si>
  <si>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</si>
  <si>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</si>
  <si>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</si>
  <si>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</si>
  <si>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</si>
  <si>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</si>
  <si>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</si>
  <si>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</si>
  <si>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</si>
  <si>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</si>
  <si>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</si>
  <si>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</si>
  <si>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</si>
  <si>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</si>
  <si>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</si>
  <si>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</si>
  <si>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</si>
  <si>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</si>
  <si>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</si>
  <si>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</si>
  <si>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</si>
  <si>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</si>
  <si>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</si>
  <si>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</si>
  <si>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</si>
  <si>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</si>
  <si>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</si>
  <si>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</si>
  <si>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</si>
  <si>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</si>
  <si>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</si>
  <si>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</si>
  <si>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</si>
  <si>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</si>
  <si>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</si>
  <si>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</si>
  <si>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</si>
  <si>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</si>
  <si>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</si>
  <si>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</si>
  <si>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</si>
  <si>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</si>
  <si>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</si>
  <si>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</si>
  <si>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</si>
  <si>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</si>
  <si>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</si>
  <si>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</si>
  <si>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</si>
  <si>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</si>
  <si>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</si>
  <si>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</si>
  <si>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</si>
  <si>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</si>
  <si>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</si>
  <si>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</si>
  <si>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</si>
  <si>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</si>
  <si>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</si>
  <si>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</si>
  <si>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</si>
  <si>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</si>
  <si>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</si>
  <si>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</si>
  <si>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</si>
  <si>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</si>
  <si>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</si>
  <si>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</si>
  <si>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</si>
  <si>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</si>
  <si>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</si>
  <si>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</si>
  <si>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</si>
  <si>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</si>
  <si>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</si>
  <si>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</si>
  <si>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</si>
  <si>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</si>
  <si>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</si>
  <si>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</si>
  <si>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</si>
  <si>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</si>
  <si>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</si>
  <si>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</si>
  <si>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</si>
  <si>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</si>
  <si>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</si>
  <si>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</si>
  <si>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</si>
  <si>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</si>
  <si>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</si>
  <si>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</si>
  <si>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</si>
  <si>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</si>
  <si>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</si>
  <si>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</si>
  <si>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</si>
  <si>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</si>
  <si>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</si>
  <si>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</si>
  <si>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</si>
  <si>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</si>
  <si>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</si>
  <si>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</si>
  <si>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</si>
  <si>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</si>
  <si>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</si>
  <si>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</si>
  <si>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</si>
  <si>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</si>
  <si>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</si>
  <si>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</si>
  <si>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</si>
  <si>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</si>
  <si>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</si>
  <si>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</si>
  <si>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</si>
  <si>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</si>
  <si>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</si>
  <si>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</si>
  <si>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</si>
  <si>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</si>
  <si>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</si>
  <si>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</si>
  <si>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</si>
  <si>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</si>
  <si>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</si>
  <si>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</si>
  <si>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</si>
  <si>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</si>
  <si>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</si>
  <si>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</si>
  <si>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</si>
  <si>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</si>
  <si>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</si>
  <si>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</si>
  <si>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</si>
  <si>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</si>
  <si>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</si>
  <si>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</si>
  <si>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</si>
  <si>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</si>
  <si>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</si>
  <si>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</si>
  <si>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</si>
  <si>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</si>
  <si>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</si>
  <si>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</si>
  <si>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</si>
  <si>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</si>
  <si>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</si>
  <si>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</si>
  <si>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</si>
  <si>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</si>
  <si>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</si>
  <si>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</si>
  <si>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</si>
  <si>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</si>
  <si>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</si>
  <si>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</si>
  <si>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</si>
  <si>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</si>
  <si>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</si>
  <si>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</si>
  <si>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</si>
  <si>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</si>
  <si>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</si>
  <si>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</si>
  <si>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</si>
  <si>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</si>
  <si>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</si>
  <si>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</si>
  <si>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</si>
  <si>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</si>
  <si>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</si>
  <si>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</si>
  <si>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</si>
  <si>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</si>
  <si>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</si>
  <si>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</si>
  <si>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</si>
  <si>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</si>
  <si>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</si>
  <si>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</si>
  <si>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</si>
  <si>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</si>
  <si>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</si>
  <si>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</si>
  <si>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</si>
  <si>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</si>
  <si>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</si>
  <si>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</si>
  <si>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</si>
  <si>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</si>
  <si>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</si>
  <si>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</si>
  <si>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</si>
  <si>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</si>
  <si>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</si>
  <si>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</si>
  <si>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</si>
  <si>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</si>
  <si>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</si>
  <si>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</si>
  <si>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</si>
  <si>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</si>
  <si>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</si>
  <si>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</si>
  <si>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</si>
  <si>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</si>
  <si>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</si>
  <si>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</si>
  <si>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</si>
  <si>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</si>
  <si>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</si>
  <si>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</si>
  <si>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</si>
  <si>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</si>
  <si>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</si>
  <si>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</si>
  <si>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</si>
  <si>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</si>
  <si>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</si>
  <si>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</si>
  <si>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</si>
  <si>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</si>
  <si>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</si>
  <si>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</si>
  <si>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</si>
  <si>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</si>
  <si>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</si>
  <si>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</si>
  <si>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</si>
  <si>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</si>
  <si>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</si>
  <si>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</si>
  <si>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</si>
  <si>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</si>
  <si>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</si>
  <si>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</si>
  <si>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</si>
  <si>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</si>
  <si>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</si>
  <si>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</si>
  <si>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</si>
  <si>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</si>
  <si>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</si>
  <si>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</si>
  <si>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</si>
  <si>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</si>
  <si>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</si>
  <si>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</si>
  <si>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</si>
  <si>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</si>
  <si>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</si>
  <si>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</si>
  <si>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</si>
  <si>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</si>
  <si>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</si>
  <si>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</si>
  <si>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</si>
  <si>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</si>
  <si>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</si>
  <si>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</si>
  <si>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</si>
  <si>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</si>
  <si>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</si>
  <si>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</si>
  <si>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</si>
  <si>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</si>
  <si>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</si>
  <si>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</si>
  <si>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</si>
  <si>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</si>
  <si>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</si>
  <si>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</si>
  <si>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</si>
  <si>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</si>
  <si>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</si>
  <si>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</si>
  <si>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</si>
  <si>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</si>
  <si>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</si>
  <si>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</si>
  <si>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</si>
  <si>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</si>
  <si>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</si>
  <si>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</si>
  <si>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</si>
  <si>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</si>
  <si>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</si>
  <si>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</si>
  <si>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</si>
  <si>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</si>
  <si>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</si>
  <si>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</si>
  <si>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</si>
  <si>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</si>
  <si>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</si>
  <si>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</si>
  <si>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</si>
  <si>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</si>
  <si>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</si>
  <si>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</si>
  <si>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</si>
  <si>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</si>
  <si>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</si>
  <si>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</si>
  <si>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</si>
  <si>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</si>
  <si>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</si>
  <si>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</si>
  <si>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</si>
  <si>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</si>
  <si>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</si>
  <si>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</si>
  <si>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</si>
  <si>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</si>
  <si>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</si>
  <si>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</si>
  <si>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</si>
  <si>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</si>
  <si>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</si>
  <si>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</si>
  <si>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</si>
  <si>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</si>
  <si>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</si>
  <si>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</si>
  <si>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</si>
  <si>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</si>
  <si>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</si>
  <si>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</si>
  <si>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</si>
  <si>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</si>
  <si>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</si>
  <si>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</si>
  <si>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</si>
  <si>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</si>
  <si>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</si>
  <si>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</si>
  <si>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</si>
  <si>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</si>
  <si>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</si>
  <si>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</si>
  <si>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</si>
  <si>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</si>
  <si>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</si>
  <si>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</si>
  <si>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</si>
  <si>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</si>
  <si>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</si>
  <si>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</si>
  <si>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</si>
  <si>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</si>
  <si>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</si>
  <si>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</si>
  <si>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</si>
  <si>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</si>
  <si>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</si>
  <si>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</si>
  <si>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</si>
  <si>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</si>
  <si>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</si>
  <si>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</si>
  <si>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</si>
  <si>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</si>
  <si>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</si>
  <si>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</si>
  <si>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</si>
  <si>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</si>
  <si>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</si>
  <si>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</si>
  <si>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</si>
  <si>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</si>
  <si>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</si>
  <si>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</si>
  <si>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</si>
  <si>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</si>
  <si>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</si>
  <si>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</si>
  <si>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</si>
  <si>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</si>
  <si>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</si>
  <si>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</si>
  <si>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</si>
  <si>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</si>
  <si>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</si>
  <si>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</si>
  <si>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</si>
  <si>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</si>
  <si>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</si>
  <si>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</si>
  <si>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</si>
  <si>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</si>
  <si>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</si>
  <si>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</si>
  <si>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</si>
  <si>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</si>
  <si>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</si>
  <si>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</si>
  <si>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</si>
  <si>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</si>
  <si>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</si>
  <si>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</si>
  <si>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</si>
  <si>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</si>
  <si>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</si>
  <si>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</si>
  <si>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</si>
  <si>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</si>
  <si>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</si>
  <si>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</si>
  <si>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</si>
  <si>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</si>
  <si>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</si>
  <si>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</si>
  <si>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</si>
  <si>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</si>
  <si>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</si>
  <si>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</si>
  <si>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</si>
  <si>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</si>
  <si>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</si>
  <si>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</si>
  <si>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</si>
  <si>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</si>
  <si>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</si>
  <si>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</si>
  <si>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</si>
  <si>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</si>
  <si>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</si>
  <si>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</si>
  <si>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</si>
  <si>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</si>
  <si>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</si>
  <si>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</si>
  <si>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</si>
  <si>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</si>
  <si>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</si>
  <si>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</si>
  <si>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</si>
  <si>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</si>
  <si>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</si>
  <si>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</si>
  <si>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</si>
  <si>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</si>
  <si>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</si>
  <si>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</si>
  <si>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</si>
  <si>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</si>
  <si>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</si>
  <si>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</si>
  <si>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</si>
  <si>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</si>
  <si>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</si>
  <si>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</si>
  <si>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</si>
  <si>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</si>
  <si>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</si>
  <si>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</si>
  <si>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</si>
  <si>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</si>
  <si>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</si>
  <si>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</si>
  <si>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</si>
  <si>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</si>
  <si>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</si>
  <si>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</si>
  <si>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</si>
  <si>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</si>
  <si>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</si>
  <si>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</si>
  <si>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</si>
  <si>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</si>
  <si>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</si>
  <si>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</si>
  <si>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</si>
  <si>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</si>
  <si>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</si>
  <si>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</si>
  <si>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</si>
  <si>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</si>
  <si>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</si>
  <si>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</si>
  <si>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</si>
  <si>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</si>
  <si>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</si>
  <si>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</si>
  <si>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</si>
  <si>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</si>
  <si>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</si>
  <si>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</si>
  <si>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</si>
  <si>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</si>
  <si>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</si>
  <si>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</si>
  <si>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</si>
  <si>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</si>
  <si>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</si>
  <si>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</si>
  <si>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</si>
  <si>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</si>
  <si>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</si>
  <si>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</si>
  <si>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</si>
  <si>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</si>
  <si>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</si>
  <si>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</si>
  <si>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</si>
  <si>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</si>
  <si>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</si>
  <si>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</si>
  <si>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</si>
  <si>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</si>
  <si>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</si>
  <si>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</si>
  <si>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</si>
  <si>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</si>
  <si>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</si>
  <si>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</si>
  <si>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</si>
  <si>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</si>
  <si>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</si>
  <si>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</si>
  <si>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</si>
  <si>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</si>
  <si>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</si>
  <si>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</si>
  <si>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</si>
  <si>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</si>
  <si>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</si>
  <si>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</si>
  <si>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</si>
  <si>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</si>
  <si>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</si>
  <si>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</si>
  <si>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</si>
  <si>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</si>
  <si>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</si>
  <si>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</si>
  <si>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</si>
  <si>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</si>
  <si>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</si>
  <si>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</si>
  <si>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</si>
  <si>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</si>
  <si>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</si>
  <si>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</si>
  <si>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</si>
  <si>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</si>
  <si>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</si>
  <si>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</si>
  <si>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</si>
  <si>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</si>
  <si>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</si>
  <si>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</si>
  <si>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</si>
  <si>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</si>
  <si>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</si>
  <si>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</si>
  <si>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</si>
  <si>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</si>
  <si>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</si>
  <si>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</si>
  <si>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</si>
  <si>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</si>
  <si>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</si>
  <si>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</si>
  <si>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</si>
  <si>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</si>
  <si>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</si>
  <si>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</si>
  <si>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</si>
  <si>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</si>
  <si>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</si>
  <si>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</si>
  <si>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</si>
  <si>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</si>
  <si>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</si>
  <si>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</si>
  <si>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</si>
  <si>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</si>
  <si>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</si>
  <si>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</si>
  <si>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</si>
  <si>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</si>
  <si>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</si>
  <si>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</si>
  <si>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</si>
  <si>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</si>
  <si>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</si>
  <si>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</si>
  <si>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</si>
  <si>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</si>
  <si>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</si>
  <si>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</si>
  <si>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</si>
  <si>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</si>
  <si>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</si>
  <si>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</si>
  <si>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</si>
  <si>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</si>
  <si>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</si>
  <si>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</si>
  <si>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</si>
  <si>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</si>
  <si>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</si>
  <si>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</si>
  <si>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</si>
  <si>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</si>
  <si>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</si>
  <si>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</si>
  <si>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</si>
  <si>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</si>
  <si>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</si>
  <si>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</si>
  <si>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</si>
  <si>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</si>
  <si>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</si>
  <si>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</si>
  <si>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</si>
  <si>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</si>
  <si>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</si>
  <si>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</si>
  <si>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</si>
  <si>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</si>
  <si>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</si>
  <si>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</si>
  <si>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</si>
  <si>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</si>
  <si>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</si>
  <si>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</si>
  <si>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</si>
  <si>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</si>
  <si>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</si>
  <si>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</si>
  <si>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</si>
  <si>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</si>
  <si>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</si>
  <si>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</si>
  <si>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</si>
  <si>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</si>
  <si>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</si>
  <si>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</si>
  <si>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</si>
  <si>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</si>
  <si>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</si>
  <si>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</si>
  <si>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</si>
  <si>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</si>
  <si>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</si>
  <si>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</si>
  <si>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</si>
  <si>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</si>
  <si>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</si>
  <si>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</si>
  <si>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</si>
  <si>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</si>
  <si>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</si>
  <si>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</si>
  <si>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</si>
  <si>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</si>
  <si>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</si>
  <si>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</si>
  <si>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</si>
  <si>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</si>
  <si>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</si>
  <si>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</si>
  <si>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</si>
  <si>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</si>
  <si>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</si>
  <si>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</si>
  <si>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</si>
  <si>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</si>
  <si>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</si>
  <si>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</si>
  <si>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</si>
  <si>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</si>
  <si>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</si>
  <si>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</si>
  <si>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</si>
  <si>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</si>
  <si>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</si>
  <si>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</si>
  <si>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</si>
  <si>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</si>
  <si>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</si>
  <si>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</si>
  <si>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</si>
  <si>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</si>
  <si>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</si>
  <si>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</si>
  <si>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</si>
  <si>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</si>
  <si>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</si>
  <si>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</si>
  <si>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</si>
  <si>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</si>
  <si>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</si>
  <si>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</si>
  <si>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</si>
  <si>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</si>
  <si>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</si>
  <si>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</si>
  <si>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</si>
  <si>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</si>
  <si>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</si>
  <si>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</si>
  <si>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</si>
  <si>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</si>
  <si>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</si>
  <si>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</si>
  <si>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</si>
  <si>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</si>
  <si>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</si>
  <si>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</si>
  <si>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</si>
  <si>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</si>
  <si>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</si>
  <si>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</si>
  <si>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</si>
  <si>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</si>
  <si>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</si>
  <si>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</si>
  <si>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</si>
  <si>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</si>
  <si>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</si>
  <si>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</si>
  <si>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</si>
  <si>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</si>
  <si>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</si>
  <si>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</si>
  <si>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</si>
  <si>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</si>
  <si>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</si>
  <si>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</si>
  <si>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</si>
  <si>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</si>
  <si>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</si>
  <si>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</si>
  <si>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</si>
  <si>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</si>
  <si>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</si>
  <si>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</si>
  <si>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</si>
  <si>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</si>
  <si>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</si>
  <si>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</si>
  <si>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</si>
  <si>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</si>
  <si>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</si>
  <si>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</si>
  <si>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</si>
  <si>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</si>
  <si>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</si>
  <si>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</si>
  <si>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</si>
  <si>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</si>
  <si>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</si>
  <si>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</si>
  <si>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</si>
  <si>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</si>
  <si>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</si>
  <si>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</si>
  <si>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</si>
  <si>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</si>
  <si>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</si>
  <si>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</si>
  <si>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</si>
  <si>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</si>
  <si>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</si>
  <si>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</si>
  <si>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</si>
  <si>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</si>
  <si>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</si>
  <si>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</si>
  <si>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</si>
  <si>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</si>
  <si>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</si>
  <si>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</si>
  <si>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</si>
  <si>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</si>
  <si>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</si>
  <si>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</si>
  <si>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</si>
  <si>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</si>
  <si>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</si>
  <si>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</si>
  <si>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</si>
  <si>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</si>
  <si>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</si>
  <si>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</si>
  <si>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</si>
  <si>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</si>
  <si>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</si>
  <si>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</si>
  <si>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</si>
  <si>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</si>
  <si>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</si>
  <si>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</si>
  <si>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</si>
  <si>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</si>
  <si>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</si>
  <si>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</si>
  <si>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</si>
  <si>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</si>
  <si>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</si>
  <si>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</si>
  <si>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</si>
  <si>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</si>
  <si>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</si>
  <si>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</si>
  <si>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</si>
  <si>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</si>
  <si>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</si>
  <si>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</si>
  <si>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</si>
  <si>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</si>
  <si>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</si>
  <si>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</si>
  <si>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</si>
  <si>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</si>
  <si>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</si>
  <si>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</si>
  <si>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</si>
  <si>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</si>
  <si>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</si>
  <si>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</si>
  <si>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</si>
  <si>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</si>
  <si>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</si>
  <si>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</si>
  <si>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</si>
  <si>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</si>
  <si>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</si>
  <si>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</si>
  <si>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</si>
  <si>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</si>
  <si>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</si>
  <si>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</si>
  <si>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</si>
  <si>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</si>
  <si>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</si>
  <si>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</si>
  <si>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</si>
  <si>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</si>
  <si>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</si>
  <si>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</si>
  <si>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</si>
  <si>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</si>
  <si>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</si>
  <si>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</si>
  <si>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</si>
  <si>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</si>
  <si>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</si>
  <si>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</si>
  <si>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</si>
  <si>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</si>
  <si>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</si>
  <si>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</si>
  <si>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</si>
  <si>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</si>
  <si>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</si>
  <si>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</si>
  <si>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</si>
  <si>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</si>
  <si>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</si>
  <si>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</si>
  <si>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</si>
  <si>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</si>
  <si>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</si>
  <si>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</si>
  <si>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</si>
  <si>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</si>
  <si>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</si>
  <si>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</si>
  <si>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</si>
  <si>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</si>
  <si>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</si>
  <si>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</si>
  <si>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</si>
  <si>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</si>
  <si>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</si>
  <si>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</si>
  <si>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</si>
  <si>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</si>
  <si>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</si>
  <si>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</si>
  <si>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</si>
  <si>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</si>
  <si>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</si>
  <si>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</si>
  <si>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</si>
  <si>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</si>
  <si>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</si>
  <si>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</si>
  <si>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</si>
  <si>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</si>
  <si>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</si>
  <si>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</si>
  <si>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</si>
  <si>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</si>
  <si>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</si>
  <si>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</si>
  <si>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</si>
  <si>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</si>
  <si>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</si>
  <si>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</si>
  <si>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</si>
  <si>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</si>
  <si>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</si>
  <si>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</si>
  <si>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</si>
  <si>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</si>
  <si>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</si>
  <si>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</si>
  <si>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</si>
  <si>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</si>
  <si>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</si>
  <si>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</si>
  <si>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</si>
  <si>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</si>
  <si>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</si>
  <si>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</si>
  <si>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</si>
  <si>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</si>
  <si>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</si>
  <si>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</si>
  <si>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</si>
  <si>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</si>
  <si>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</si>
  <si>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</si>
  <si>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</si>
  <si>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</si>
  <si>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</si>
  <si>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</si>
  <si>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</si>
  <si>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</si>
  <si>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</si>
  <si>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</si>
  <si>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</si>
  <si>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</si>
  <si>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</si>
  <si>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</si>
  <si>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</si>
  <si>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</si>
  <si>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</si>
  <si>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</si>
  <si>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</si>
  <si>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</si>
  <si>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</si>
  <si>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</si>
  <si>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</si>
  <si>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</si>
  <si>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</si>
  <si>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</si>
  <si>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</si>
  <si>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</si>
  <si>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</si>
  <si>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</si>
  <si>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</si>
  <si>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</si>
  <si>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</si>
  <si>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</si>
  <si>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</si>
  <si>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</si>
  <si>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</si>
  <si>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</si>
  <si>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</si>
  <si>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</si>
  <si>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</si>
  <si>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</si>
  <si>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</si>
  <si>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</si>
  <si>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</si>
  <si>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</si>
  <si>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</si>
  <si>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</si>
  <si>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</si>
  <si>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</si>
  <si>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</si>
  <si>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</si>
  <si>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</si>
  <si>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</si>
  <si>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</si>
  <si>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</si>
  <si>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</si>
  <si>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</si>
  <si>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</si>
  <si>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</si>
  <si>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</si>
  <si>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</si>
  <si>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</si>
  <si>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</si>
  <si>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</si>
  <si>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</si>
  <si>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</si>
  <si>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</si>
  <si>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</si>
  <si>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</si>
  <si>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</si>
  <si>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</si>
  <si>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</si>
  <si>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</si>
  <si>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</si>
  <si>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</si>
  <si>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</si>
  <si>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</si>
  <si>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</si>
  <si>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</si>
  <si>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</si>
  <si>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</si>
  <si>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</si>
  <si>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</si>
  <si>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</si>
  <si>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</si>
  <si>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</si>
  <si>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</si>
  <si>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</si>
  <si>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</si>
  <si>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</si>
  <si>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</si>
  <si>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</si>
  <si>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</si>
  <si>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</si>
  <si>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</si>
  <si>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</si>
  <si>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</si>
  <si>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</si>
  <si>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</si>
  <si>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</si>
  <si>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</si>
  <si>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</si>
  <si>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</si>
  <si>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</si>
  <si>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</si>
  <si>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</si>
  <si>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</si>
  <si>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</si>
  <si>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</si>
  <si>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</si>
  <si>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</si>
  <si>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</si>
  <si>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</si>
  <si>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</si>
  <si>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</si>
  <si>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</si>
  <si>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</si>
  <si>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</si>
  <si>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</si>
  <si>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</si>
  <si>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</si>
  <si>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</si>
  <si>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</si>
  <si>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</si>
  <si>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</si>
  <si>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</si>
  <si>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</si>
  <si>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</si>
  <si>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</si>
  <si>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</si>
  <si>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</si>
  <si>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</si>
  <si>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</si>
  <si>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</si>
  <si>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</si>
  <si>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</si>
  <si>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</si>
  <si>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</si>
  <si>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</si>
  <si>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</si>
  <si>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</si>
  <si>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</si>
  <si>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</si>
  <si>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</si>
  <si>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</si>
  <si>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</si>
  <si>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</si>
  <si>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</si>
  <si>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</si>
  <si>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</si>
  <si>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</si>
  <si>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</si>
  <si>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</si>
  <si>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</si>
  <si>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</si>
  <si>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</si>
  <si>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</si>
  <si>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</si>
  <si>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</si>
  <si>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</si>
  <si>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</si>
  <si>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</si>
  <si>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</si>
  <si>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</si>
  <si>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</si>
  <si>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</si>
  <si>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</si>
  <si>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</si>
  <si>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</si>
  <si>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</si>
  <si>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</si>
  <si>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</si>
  <si>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</si>
  <si>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</si>
  <si>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</si>
  <si>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</si>
  <si>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</si>
  <si>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</si>
  <si>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</si>
  <si>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</si>
  <si>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</si>
  <si>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</si>
  <si>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</si>
  <si>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</si>
  <si>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</si>
  <si>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</si>
  <si>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</si>
  <si>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</si>
  <si>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</si>
  <si>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</si>
  <si>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</si>
  <si>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</si>
  <si>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</si>
  <si>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</si>
  <si>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</si>
  <si>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</si>
  <si>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</si>
  <si>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</si>
  <si>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</si>
  <si>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</si>
  <si>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</si>
  <si>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</si>
  <si>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</si>
  <si>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</si>
  <si>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</si>
  <si>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</si>
  <si>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</si>
  <si>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</si>
  <si>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</si>
  <si>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</si>
  <si>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</si>
  <si>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</si>
  <si>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</si>
  <si>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</si>
  <si>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</si>
  <si>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</si>
  <si>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</si>
  <si>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</si>
  <si>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</si>
  <si>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</si>
  <si>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</si>
  <si>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</si>
  <si>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</si>
  <si>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</si>
  <si>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</si>
  <si>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</si>
  <si>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</si>
  <si>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</si>
  <si>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</si>
  <si>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</si>
  <si>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</si>
  <si>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</si>
  <si>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</si>
  <si>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</si>
  <si>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</si>
  <si>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</si>
  <si>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</si>
  <si>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</si>
  <si>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</si>
  <si>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</si>
  <si>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</si>
  <si>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</si>
  <si>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</si>
  <si>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</si>
  <si>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</si>
  <si>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</si>
  <si>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</si>
  <si>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</si>
  <si>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</si>
  <si>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</si>
  <si>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</si>
  <si>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</si>
  <si>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</si>
  <si>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</si>
  <si>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</si>
  <si>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</si>
  <si>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</si>
  <si>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</si>
  <si>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</si>
  <si>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</si>
  <si>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</si>
  <si>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</si>
  <si>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</si>
  <si>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</si>
  <si>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</si>
  <si>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</si>
  <si>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</si>
  <si>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</si>
  <si>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</si>
  <si>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</si>
  <si>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</si>
  <si>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</si>
  <si>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</si>
  <si>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</si>
  <si>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</si>
  <si>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</si>
  <si>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</si>
  <si>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</si>
  <si>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</si>
  <si>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</si>
  <si>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</si>
  <si>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</si>
  <si>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</si>
  <si>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</si>
  <si>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</si>
  <si>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</si>
  <si>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</si>
  <si>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</si>
  <si>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</si>
  <si>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</si>
  <si>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</si>
  <si>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</si>
  <si>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</si>
  <si>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</si>
  <si>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</si>
  <si>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</si>
  <si>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</si>
  <si>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</si>
  <si>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</si>
  <si>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</si>
  <si>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</si>
  <si>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</si>
  <si>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</si>
  <si>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</si>
  <si>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</si>
  <si>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</si>
  <si>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</si>
  <si>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</si>
  <si>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</si>
  <si>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</si>
  <si>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</si>
  <si>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</si>
  <si>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</si>
  <si>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</si>
  <si>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</si>
  <si>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</si>
  <si>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</si>
  <si>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</si>
  <si>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</si>
  <si>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</si>
  <si>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</si>
  <si>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</si>
  <si>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</si>
  <si>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</si>
  <si>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</si>
  <si>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</si>
  <si>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</si>
  <si>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</si>
  <si>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</si>
  <si>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</si>
  <si>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</si>
  <si>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</si>
  <si>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</si>
  <si>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</si>
  <si>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</si>
  <si>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</si>
  <si>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</si>
  <si>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</si>
  <si>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</si>
  <si>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</si>
  <si>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</si>
  <si>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</si>
  <si>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</si>
  <si>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</si>
  <si>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</si>
  <si>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</si>
  <si>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</si>
  <si>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</si>
  <si>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</si>
  <si>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</si>
  <si>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</si>
  <si>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</si>
  <si>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</si>
  <si>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</si>
  <si>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</si>
  <si>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</si>
  <si>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</si>
  <si>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</si>
  <si>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</si>
  <si>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</si>
  <si>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</si>
  <si>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</si>
  <si>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</si>
  <si>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</si>
  <si>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</si>
  <si>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</si>
  <si>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</si>
  <si>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</si>
  <si>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</si>
  <si>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</si>
  <si>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</si>
  <si>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</si>
  <si>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</si>
  <si>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</si>
  <si>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</si>
  <si>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</si>
  <si>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</si>
  <si>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</si>
  <si>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</si>
  <si>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</si>
  <si>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</si>
  <si>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</si>
  <si>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</si>
  <si>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</si>
  <si>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</si>
  <si>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</si>
  <si>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</si>
  <si>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</si>
  <si>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</si>
  <si>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</si>
  <si>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</si>
  <si>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</si>
  <si>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</si>
  <si>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</si>
  <si>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</si>
  <si>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</si>
  <si>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</si>
  <si>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</si>
  <si>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</si>
  <si>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</si>
  <si>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</si>
  <si>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</si>
  <si>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</si>
  <si>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</si>
  <si>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</si>
  <si>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</si>
  <si>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</si>
  <si>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</si>
  <si>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</si>
  <si>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</si>
  <si>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</si>
  <si>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</si>
  <si>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</si>
  <si>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</si>
  <si>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</si>
  <si>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</si>
  <si>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</si>
  <si>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</si>
  <si>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</si>
  <si>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</si>
  <si>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</si>
  <si>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</si>
  <si>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</si>
  <si>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</si>
  <si>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</si>
  <si>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</si>
  <si>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</si>
  <si>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</si>
  <si>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</si>
  <si>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</si>
  <si>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</si>
  <si>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</si>
  <si>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</si>
  <si>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</si>
  <si>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</si>
  <si>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</si>
  <si>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</si>
  <si>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</si>
  <si>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</si>
  <si>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</si>
  <si>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</si>
  <si>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</si>
  <si>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</si>
  <si>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</si>
  <si>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</si>
  <si>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</si>
  <si>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</si>
  <si>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</si>
  <si>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</si>
  <si>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</si>
  <si>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</si>
  <si>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</si>
  <si>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</si>
  <si>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</si>
  <si>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</si>
  <si>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</si>
  <si>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</si>
  <si>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</si>
  <si>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</si>
  <si>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</si>
  <si>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</si>
  <si>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</si>
  <si>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</si>
  <si>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</si>
  <si>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</si>
  <si>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</si>
  <si>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</si>
  <si>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</si>
  <si>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</si>
  <si>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</si>
  <si>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</si>
  <si>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</si>
  <si>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</si>
  <si>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</si>
  <si>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</si>
  <si>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</si>
  <si>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</si>
  <si>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</si>
  <si>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</si>
  <si>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</si>
  <si>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</si>
  <si>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</si>
  <si>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</si>
  <si>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</si>
  <si>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</si>
  <si>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</si>
  <si>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</si>
  <si>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</si>
  <si>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</si>
  <si>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</si>
  <si>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</si>
  <si>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</si>
  <si>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</si>
  <si>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</si>
  <si>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</si>
  <si>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</si>
  <si>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</si>
  <si>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</si>
  <si>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</si>
  <si>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</si>
  <si>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</si>
  <si>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</si>
  <si>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</si>
  <si>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</si>
  <si>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</si>
  <si>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</si>
  <si>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</si>
  <si>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</si>
  <si>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</si>
  <si>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</si>
  <si>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</si>
  <si>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</si>
  <si>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</si>
  <si>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</si>
  <si>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</si>
  <si>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</si>
  <si>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</si>
  <si>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</si>
  <si>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</si>
  <si>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</si>
  <si>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</si>
  <si>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</si>
  <si>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</si>
  <si>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</si>
  <si>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</si>
  <si>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</si>
  <si>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</si>
  <si>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</si>
  <si>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</si>
  <si>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</si>
  <si>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</si>
  <si>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</si>
  <si>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</si>
  <si>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</si>
  <si>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</si>
  <si>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</si>
  <si>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</si>
  <si>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</si>
  <si>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</si>
  <si>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</si>
  <si>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</si>
  <si>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</si>
  <si>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</si>
  <si>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</si>
  <si>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</si>
  <si>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</si>
  <si>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</si>
  <si>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</si>
  <si>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</si>
  <si>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</si>
  <si>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</si>
  <si>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</si>
  <si>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</si>
  <si>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</si>
  <si>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</si>
  <si>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</si>
  <si>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</si>
  <si>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</si>
  <si>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</si>
  <si>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</si>
  <si>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</si>
  <si>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</si>
  <si>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</si>
  <si>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</si>
  <si>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</si>
  <si>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</si>
  <si>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</si>
  <si>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</si>
  <si>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</si>
  <si>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</si>
  <si>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</si>
  <si>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</si>
  <si>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</si>
  <si>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</si>
  <si>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</si>
  <si>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</si>
  <si>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</si>
  <si>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</si>
  <si>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</si>
  <si>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</si>
  <si>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</si>
  <si>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</si>
  <si>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</si>
  <si>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</si>
  <si>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</si>
  <si>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</si>
  <si>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</si>
  <si>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</si>
  <si>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</si>
  <si>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</si>
  <si>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</si>
  <si>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</si>
  <si>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</si>
  <si>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</si>
  <si>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</si>
  <si>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</si>
  <si>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</si>
  <si>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</si>
  <si>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</si>
  <si>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</si>
  <si>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</si>
  <si>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</si>
  <si>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</si>
  <si>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</si>
  <si>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</si>
  <si>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</si>
  <si>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</si>
  <si>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</si>
  <si>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</si>
  <si>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</si>
  <si>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</si>
  <si>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</si>
  <si>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</si>
  <si>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</si>
  <si>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</si>
  <si>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</si>
  <si>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</si>
  <si>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</si>
  <si>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</si>
  <si>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</si>
  <si>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</si>
  <si>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</si>
  <si>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</si>
  <si>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</si>
  <si>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</si>
  <si>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</si>
  <si>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</si>
  <si>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</si>
  <si>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</si>
  <si>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</si>
  <si>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</si>
  <si>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</si>
  <si>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</si>
  <si>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</si>
  <si>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</si>
  <si>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</si>
  <si>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</si>
  <si>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</si>
  <si>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</si>
  <si>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</si>
  <si>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</si>
  <si>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</si>
  <si>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</si>
  <si>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</si>
  <si>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</si>
  <si>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</si>
  <si>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</si>
  <si>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</si>
  <si>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</si>
  <si>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</si>
  <si>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</si>
  <si>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</si>
  <si>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</si>
  <si>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</si>
  <si>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</si>
  <si>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</si>
  <si>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</si>
  <si>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</si>
  <si>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</si>
  <si>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</si>
  <si>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</si>
  <si>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</si>
  <si>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</si>
  <si>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</si>
  <si>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</si>
  <si>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</si>
  <si>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</si>
  <si>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</si>
  <si>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</si>
  <si>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</si>
  <si>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</si>
  <si>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</si>
  <si>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</si>
  <si>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</si>
  <si>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</si>
  <si>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</si>
  <si>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</si>
  <si>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</si>
  <si>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</si>
  <si>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</si>
  <si>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</si>
  <si>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</si>
  <si>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</si>
  <si>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</si>
  <si>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</si>
  <si>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</si>
  <si>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</si>
  <si>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</si>
  <si>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</si>
  <si>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</si>
  <si>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</si>
  <si>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</si>
  <si>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</si>
  <si>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</si>
  <si>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</si>
  <si>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</si>
  <si>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</si>
  <si>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</si>
  <si>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</si>
  <si>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</si>
  <si>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</si>
  <si>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</si>
  <si>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</si>
  <si>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</si>
  <si>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</si>
  <si>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</si>
  <si>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</si>
  <si>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</si>
  <si>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</si>
  <si>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</si>
  <si>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</si>
  <si>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</si>
  <si>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</si>
  <si>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</si>
  <si>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</si>
  <si>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</si>
  <si>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</si>
  <si>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</si>
  <si>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</si>
  <si>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</si>
  <si>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</si>
  <si>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</si>
  <si>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</si>
  <si>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</si>
  <si>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</si>
  <si>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</si>
  <si>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</si>
  <si>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</si>
  <si>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</si>
  <si>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</si>
  <si>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</si>
  <si>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</si>
  <si>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</si>
  <si>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</si>
  <si>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</si>
  <si>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</si>
  <si>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</si>
  <si>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</si>
  <si>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</si>
  <si>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</si>
  <si>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</si>
  <si>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</si>
  <si>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</si>
  <si>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</si>
  <si>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</si>
  <si>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</si>
  <si>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</si>
  <si>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</si>
  <si>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</si>
  <si>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</si>
  <si>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</si>
  <si>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</si>
  <si>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</si>
  <si>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</si>
  <si>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</si>
  <si>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</si>
  <si>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</si>
  <si>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</si>
  <si>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</si>
  <si>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</si>
  <si>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</si>
  <si>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</si>
  <si>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</si>
  <si>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</si>
  <si>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</si>
  <si>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</si>
  <si>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</si>
  <si>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</si>
  <si>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</si>
  <si>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</si>
  <si>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</si>
  <si>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</si>
  <si>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</si>
  <si>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</si>
  <si>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</si>
  <si>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</si>
  <si>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</si>
  <si>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</si>
  <si>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</si>
  <si>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</si>
  <si>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</si>
  <si>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</si>
  <si>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</si>
  <si>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</si>
  <si>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</si>
  <si>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</si>
  <si>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</si>
  <si>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</si>
  <si>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</si>
  <si>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</si>
  <si>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</si>
  <si>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</si>
  <si>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</si>
  <si>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</si>
  <si>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</si>
  <si>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</si>
  <si>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</si>
  <si>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</si>
  <si>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</si>
  <si>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</si>
  <si>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</si>
  <si>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</si>
  <si>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</si>
  <si>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</si>
  <si>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</si>
  <si>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</si>
  <si>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</si>
  <si>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</si>
  <si>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</si>
  <si>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</si>
  <si>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</si>
  <si>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</si>
  <si>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</si>
  <si>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</si>
  <si>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</si>
  <si>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</si>
  <si>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</si>
  <si>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</si>
  <si>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</si>
  <si>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</si>
  <si>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</si>
  <si>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</si>
  <si>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</si>
  <si>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</si>
  <si>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</si>
  <si>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</si>
  <si>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</si>
  <si>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</si>
  <si>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</si>
  <si>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</si>
  <si>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</si>
  <si>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</si>
  <si>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</si>
  <si>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</si>
  <si>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</si>
  <si>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</si>
  <si>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</si>
  <si>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</si>
  <si>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</si>
  <si>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</si>
  <si>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</si>
  <si>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</si>
  <si>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</si>
  <si>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</si>
  <si>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</si>
  <si>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</si>
  <si>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</si>
  <si>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</si>
  <si>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</si>
  <si>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</si>
  <si>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</si>
  <si>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</si>
  <si>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</si>
  <si>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</si>
  <si>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</si>
  <si>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</si>
  <si>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</si>
  <si>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</si>
  <si>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</si>
  <si>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</si>
  <si>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</si>
  <si>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</si>
  <si>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</si>
  <si>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</si>
  <si>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</si>
  <si>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</si>
  <si>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</si>
  <si>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</si>
  <si>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</si>
  <si>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</si>
  <si>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</si>
  <si>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</si>
  <si>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</si>
  <si>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</si>
  <si>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</si>
  <si>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</si>
  <si>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</si>
  <si>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</si>
  <si>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</si>
  <si>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</si>
  <si>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</si>
  <si>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</si>
  <si>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</si>
  <si>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</si>
  <si>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</si>
  <si>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</si>
  <si>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</si>
  <si>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</si>
  <si>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</si>
  <si>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</si>
  <si>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</si>
  <si>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</si>
  <si>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</si>
  <si>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</si>
  <si>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</si>
  <si>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</si>
  <si>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</si>
  <si>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</si>
  <si>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</si>
  <si>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</si>
  <si>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</si>
  <si>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</si>
  <si>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</si>
  <si>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</si>
  <si>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</si>
  <si>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</si>
  <si>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</si>
  <si>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</si>
  <si>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</si>
  <si>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</si>
  <si>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</si>
  <si>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</si>
  <si>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</si>
  <si>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</si>
  <si>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</si>
  <si>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</si>
  <si>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</si>
  <si>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</si>
  <si>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</si>
  <si>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</si>
  <si>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</si>
  <si>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</si>
  <si>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</si>
  <si>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</si>
  <si>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</si>
  <si>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</si>
  <si>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</si>
  <si>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</si>
  <si>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</si>
  <si>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</si>
  <si>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</si>
  <si>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</si>
  <si>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</si>
  <si>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</si>
  <si>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</si>
  <si>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</si>
  <si>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</si>
  <si>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</si>
  <si>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</si>
  <si>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</si>
  <si>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</si>
  <si>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</si>
  <si>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</si>
  <si>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</si>
  <si>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</si>
  <si>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</si>
  <si>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</si>
  <si>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</si>
  <si>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</si>
  <si>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</si>
  <si>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</si>
  <si>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</si>
  <si>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</si>
  <si>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</si>
  <si>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</si>
  <si>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</si>
  <si>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</si>
  <si>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</si>
  <si>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</si>
  <si>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</si>
  <si>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</si>
  <si>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</si>
  <si>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</si>
  <si>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</si>
  <si>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</si>
  <si>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</si>
  <si>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</si>
  <si>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</si>
  <si>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</si>
  <si>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</si>
  <si>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</si>
  <si>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</si>
  <si>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</si>
  <si>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</si>
  <si>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</si>
  <si>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</si>
  <si>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</si>
  <si>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</si>
  <si>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</si>
  <si>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</si>
  <si>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</si>
  <si>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</si>
  <si>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</si>
  <si>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</si>
  <si>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</si>
  <si>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</si>
  <si>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</si>
  <si>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</si>
  <si>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</si>
  <si>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</si>
  <si>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</si>
  <si>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</si>
  <si>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</si>
  <si>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</si>
  <si>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</si>
  <si>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</si>
  <si>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</si>
  <si>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</si>
  <si>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</si>
  <si>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</si>
  <si>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</si>
  <si>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</si>
  <si>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</si>
  <si>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</si>
  <si>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</si>
  <si>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</si>
  <si>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</si>
  <si>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</si>
  <si>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</si>
  <si>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</si>
  <si>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</si>
  <si>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</si>
  <si>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</si>
  <si>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</si>
  <si>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</si>
  <si>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</si>
  <si>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</si>
  <si>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</si>
  <si>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</si>
  <si>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</si>
  <si>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</si>
  <si>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</si>
  <si>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</si>
  <si>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</si>
  <si>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</si>
  <si>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</si>
  <si>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</si>
  <si>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</si>
  <si>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</si>
  <si>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</si>
  <si>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</si>
  <si>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</si>
  <si>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</si>
  <si>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</si>
  <si>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</si>
  <si>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</si>
  <si>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</si>
  <si>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</si>
  <si>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</si>
  <si>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</si>
  <si>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</si>
  <si>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</si>
  <si>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</si>
  <si>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</si>
  <si>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</si>
  <si>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</si>
  <si>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</si>
  <si>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</si>
  <si>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</si>
  <si>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</si>
  <si>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</si>
  <si>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</si>
  <si>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</si>
  <si>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</si>
  <si>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</si>
  <si>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</si>
  <si>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</si>
  <si>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</si>
  <si>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</si>
  <si>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</si>
  <si>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</si>
  <si>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</si>
  <si>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</si>
  <si>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</si>
  <si>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</si>
  <si>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</si>
  <si>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</si>
  <si>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</si>
  <si>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</si>
  <si>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</si>
  <si>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</si>
  <si>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</si>
  <si>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</si>
  <si>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</si>
  <si>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</si>
  <si>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</si>
  <si>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</si>
  <si>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</si>
  <si>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</si>
  <si>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</si>
  <si>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</si>
  <si>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</si>
  <si>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</si>
  <si>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</si>
  <si>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</si>
  <si>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</si>
  <si>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</si>
  <si>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</si>
  <si>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</si>
  <si>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</si>
  <si>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</si>
  <si>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</si>
  <si>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</si>
  <si>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</si>
  <si>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</si>
  <si>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</si>
  <si>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</si>
  <si>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</si>
  <si>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</si>
  <si>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</si>
  <si>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</si>
  <si>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</si>
  <si>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</si>
  <si>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</si>
  <si>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</si>
  <si>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</si>
  <si>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</si>
  <si>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</si>
  <si>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</si>
  <si>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</si>
  <si>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</si>
  <si>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</si>
  <si>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</si>
  <si>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</si>
  <si>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</si>
  <si>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</si>
  <si>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</si>
  <si>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</si>
  <si>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</si>
  <si>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</si>
  <si>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</si>
  <si>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</si>
  <si>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</si>
  <si>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</si>
  <si>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</si>
  <si>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</si>
  <si>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</si>
  <si>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</si>
  <si>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</si>
  <si>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</si>
  <si>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</si>
  <si>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</si>
  <si>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</si>
  <si>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</si>
  <si>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</si>
  <si>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</si>
  <si>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</si>
  <si>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</si>
  <si>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</si>
  <si>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</si>
  <si>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</si>
  <si>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</si>
  <si>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</si>
  <si>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</si>
  <si>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</si>
  <si>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</si>
  <si>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</si>
  <si>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</si>
  <si>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</si>
  <si>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</si>
  <si>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</si>
  <si>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</si>
  <si>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</si>
  <si>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</si>
  <si>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</si>
  <si>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</si>
  <si>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</si>
  <si>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</si>
  <si>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</si>
  <si>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</si>
  <si>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</si>
  <si>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</si>
  <si>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</si>
  <si>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</si>
  <si>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</si>
  <si>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</si>
  <si>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</si>
  <si>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</si>
  <si>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</si>
  <si>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</si>
  <si>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</si>
  <si>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</si>
  <si>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</si>
  <si>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</si>
  <si>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</si>
  <si>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</si>
  <si>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</si>
  <si>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</si>
  <si>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</si>
  <si>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</si>
  <si>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</si>
  <si>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</si>
  <si>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</si>
  <si>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</si>
  <si>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</si>
  <si>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</si>
  <si>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</si>
  <si>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</si>
  <si>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</si>
  <si>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</si>
  <si>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</si>
  <si>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</si>
  <si>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</si>
  <si>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</si>
  <si>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</si>
  <si>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</si>
  <si>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</si>
  <si>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</si>
  <si>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</si>
  <si>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</si>
  <si>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</si>
  <si>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</si>
  <si>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</si>
  <si>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</si>
  <si>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</si>
  <si>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</si>
  <si>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</si>
  <si>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</si>
  <si>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</si>
  <si>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</si>
  <si>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</si>
  <si>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</si>
  <si>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</si>
  <si>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</si>
  <si>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</si>
  <si>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</si>
  <si>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</si>
  <si>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</si>
  <si>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</si>
  <si>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</si>
  <si>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</si>
  <si>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</si>
  <si>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</si>
  <si>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</si>
  <si>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</si>
  <si>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</si>
  <si>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</si>
  <si>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</si>
  <si>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</si>
  <si>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</si>
  <si>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</si>
  <si>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</si>
  <si>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</si>
  <si>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</si>
  <si>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</si>
  <si>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</si>
  <si>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</si>
  <si>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</si>
  <si>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</si>
  <si>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</si>
  <si>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</si>
  <si>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</si>
  <si>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</si>
  <si>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</si>
  <si>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</si>
  <si>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</si>
  <si>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</si>
  <si>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</si>
  <si>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</si>
  <si>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</si>
  <si>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</si>
  <si>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</si>
  <si>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</si>
  <si>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</si>
  <si>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</si>
  <si>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</si>
  <si>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</si>
  <si>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</si>
  <si>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</si>
  <si>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</si>
  <si>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</si>
  <si>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</si>
  <si>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</si>
  <si>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</si>
  <si>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</si>
  <si>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</si>
  <si>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</si>
  <si>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</si>
  <si>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</si>
  <si>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</si>
  <si>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</si>
  <si>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</si>
  <si>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</si>
  <si>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</si>
  <si>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</si>
  <si>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</si>
  <si>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</si>
  <si>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</si>
  <si>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</si>
  <si>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</si>
  <si>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</si>
  <si>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</si>
  <si>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</si>
  <si>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</si>
  <si>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</si>
  <si>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</si>
  <si>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</si>
  <si>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</si>
  <si>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</si>
  <si>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</si>
  <si>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</si>
  <si>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</si>
  <si>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</si>
  <si>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</si>
  <si>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</si>
  <si>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</si>
  <si>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</si>
  <si>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</si>
  <si>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</si>
  <si>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</si>
  <si>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</si>
  <si>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</si>
  <si>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</si>
  <si>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</si>
  <si>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</si>
  <si>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</si>
  <si>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</si>
  <si>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</si>
  <si>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</si>
  <si>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</si>
  <si>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</si>
  <si>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</si>
  <si>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</si>
  <si>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</si>
  <si>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</si>
  <si>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</si>
  <si>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</si>
  <si>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</si>
  <si>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</si>
  <si>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</si>
  <si>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</si>
  <si>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</si>
  <si>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</si>
  <si>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</si>
  <si>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</si>
  <si>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</si>
  <si>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</si>
  <si>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</si>
  <si>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</si>
  <si>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</si>
  <si>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</si>
  <si>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</si>
  <si>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</si>
  <si>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</si>
  <si>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</si>
  <si>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</si>
  <si>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</si>
  <si>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</si>
  <si>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</si>
  <si>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</si>
  <si>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</si>
  <si>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</si>
  <si>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</si>
  <si>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</si>
  <si>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</si>
  <si>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</si>
  <si>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</si>
  <si>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</si>
  <si>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</si>
  <si>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</si>
  <si>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</si>
  <si>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</si>
  <si>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</si>
  <si>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</si>
  <si>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</si>
  <si>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</si>
  <si>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</si>
  <si>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</si>
  <si>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</si>
  <si>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</si>
  <si>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</si>
  <si>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</si>
  <si>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</si>
  <si>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</si>
  <si>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</si>
  <si>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</si>
  <si>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</si>
  <si>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</si>
  <si>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</si>
  <si>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</si>
  <si>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</si>
  <si>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</si>
  <si>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</si>
  <si>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</si>
  <si>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</si>
  <si>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</si>
  <si>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</si>
  <si>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</si>
  <si>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</si>
  <si>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</si>
  <si>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</si>
  <si>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</si>
  <si>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</si>
  <si>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</si>
  <si>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</si>
  <si>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</si>
  <si>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</si>
  <si>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</si>
  <si>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</si>
  <si>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</si>
  <si>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</si>
  <si>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</si>
  <si>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</si>
  <si>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</si>
  <si>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</si>
  <si>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</si>
  <si>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</si>
  <si>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</si>
  <si>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</si>
  <si>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</si>
  <si>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</si>
  <si>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</si>
  <si>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</si>
  <si>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</si>
  <si>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</si>
  <si>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</si>
  <si>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</si>
  <si>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</si>
  <si>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</si>
  <si>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</si>
  <si>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</si>
  <si>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</si>
  <si>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</si>
  <si>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</si>
  <si>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</si>
  <si>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</si>
  <si>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</si>
  <si>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</si>
  <si>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</si>
  <si>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</si>
  <si>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</si>
  <si>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</si>
  <si>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</si>
  <si>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</si>
  <si>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</si>
  <si>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</si>
  <si>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</si>
  <si>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</si>
  <si>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</si>
  <si>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</si>
  <si>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</si>
  <si>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</si>
  <si>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</si>
  <si>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</si>
  <si>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</si>
  <si>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</si>
  <si>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</si>
  <si>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</si>
  <si>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</si>
  <si>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</si>
  <si>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</si>
  <si>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</si>
  <si>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</si>
  <si>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</si>
  <si>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</si>
  <si>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</si>
  <si>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</si>
  <si>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</si>
  <si>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</si>
  <si>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</si>
  <si>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</si>
  <si>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</si>
  <si>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</si>
  <si>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</si>
  <si>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</si>
  <si>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</si>
  <si>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</si>
  <si>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</si>
  <si>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</si>
  <si>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</si>
  <si>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</si>
  <si>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</si>
  <si>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</si>
  <si>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</si>
  <si>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</si>
  <si>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</si>
  <si>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</si>
  <si>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</si>
  <si>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</si>
  <si>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</si>
  <si>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</si>
  <si>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</si>
  <si>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</si>
  <si>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</si>
  <si>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</si>
  <si>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</si>
  <si>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</si>
  <si>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</si>
  <si>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</si>
  <si>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</si>
  <si>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</si>
  <si>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</si>
  <si>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</si>
  <si>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</si>
  <si>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</si>
  <si>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</si>
  <si>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</si>
  <si>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</si>
  <si>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</si>
  <si>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</si>
  <si>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</si>
  <si>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</si>
  <si>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</si>
  <si>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</si>
  <si>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</si>
  <si>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</si>
  <si>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</si>
  <si>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</si>
  <si>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</si>
  <si>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</si>
  <si>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</si>
  <si>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</si>
  <si>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</si>
  <si>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</si>
  <si>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</si>
  <si>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</si>
  <si>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</si>
  <si>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</si>
  <si>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</si>
  <si>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</si>
  <si>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</si>
  <si>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</si>
  <si>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</si>
  <si>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</si>
  <si>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</si>
  <si>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</si>
  <si>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</si>
  <si>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</si>
  <si>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</si>
  <si>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</si>
  <si>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</si>
  <si>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</si>
  <si>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</si>
  <si>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</si>
  <si>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</si>
  <si>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</si>
  <si>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</si>
  <si>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</si>
  <si>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</si>
  <si>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</si>
  <si>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</si>
  <si>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</si>
  <si>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</si>
  <si>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</si>
  <si>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</si>
  <si>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</si>
  <si>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</si>
  <si>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</si>
  <si>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</si>
  <si>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</si>
  <si>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</si>
  <si>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</si>
  <si>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</si>
  <si>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</si>
  <si>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</si>
  <si>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</si>
  <si>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</si>
  <si>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</si>
  <si>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</si>
  <si>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</si>
  <si>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</si>
  <si>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</si>
  <si>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</si>
  <si>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</si>
  <si>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</si>
  <si>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</si>
  <si>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</si>
  <si>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</si>
  <si>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</si>
  <si>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</si>
  <si>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</si>
  <si>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</si>
  <si>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</si>
  <si>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</si>
  <si>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</si>
  <si>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</si>
  <si>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</si>
  <si>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</si>
  <si>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</si>
  <si>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</si>
  <si>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</si>
  <si>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</si>
  <si>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</si>
  <si>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</si>
  <si>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</si>
  <si>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</si>
  <si>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</si>
  <si>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</si>
  <si>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</si>
  <si>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</si>
  <si>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</si>
  <si>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</si>
  <si>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</si>
  <si>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</si>
  <si>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</si>
  <si>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</si>
  <si>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</si>
  <si>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</si>
  <si>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</si>
  <si>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</si>
  <si>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</si>
  <si>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</si>
  <si>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</si>
  <si>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</si>
  <si>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</si>
  <si>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</si>
  <si>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</si>
  <si>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</si>
  <si>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</si>
  <si>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</si>
  <si>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</si>
  <si>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</si>
  <si>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</si>
  <si>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</si>
  <si>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</si>
  <si>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</si>
  <si>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</si>
  <si>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</si>
  <si>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</si>
  <si>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</si>
  <si>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</si>
  <si>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</si>
  <si>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</si>
  <si>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</si>
  <si>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</si>
  <si>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</si>
  <si>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</si>
  <si>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</si>
  <si>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</si>
  <si>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</si>
  <si>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</si>
  <si>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</si>
  <si>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</si>
  <si>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</si>
  <si>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</si>
  <si>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</si>
  <si>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</si>
  <si>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</si>
  <si>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</si>
  <si>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</si>
  <si>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</si>
  <si>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</si>
  <si>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</si>
  <si>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</si>
  <si>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</si>
  <si>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</si>
  <si>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</si>
  <si>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</si>
  <si>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</si>
  <si>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</si>
  <si>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</si>
  <si>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</si>
  <si>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</si>
  <si>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</si>
  <si>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</si>
  <si>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</si>
  <si>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</si>
  <si>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</si>
  <si>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</si>
  <si>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</si>
  <si>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</si>
  <si>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</si>
  <si>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</si>
  <si>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</si>
  <si>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</si>
  <si>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</si>
  <si>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</si>
  <si>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</si>
  <si>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</si>
  <si>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</si>
  <si>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</si>
  <si>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</si>
  <si>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</si>
  <si>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</si>
  <si>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</si>
  <si>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</si>
  <si>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</si>
  <si>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</si>
  <si>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</si>
  <si>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</si>
  <si>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</si>
  <si>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</si>
  <si>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</si>
  <si>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</si>
  <si>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</si>
  <si>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</si>
  <si>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</si>
  <si>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</si>
  <si>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</si>
  <si>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</si>
  <si>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</si>
  <si>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</si>
  <si>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</si>
  <si>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</si>
  <si>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</si>
  <si>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</si>
  <si>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</si>
  <si>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</si>
  <si>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</si>
  <si>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</si>
  <si>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</si>
  <si>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</si>
  <si>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</si>
  <si>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</si>
  <si>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</si>
  <si>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</si>
  <si>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</si>
  <si>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</si>
  <si>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</si>
  <si>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</si>
  <si>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</si>
  <si>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</si>
  <si>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</si>
  <si>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</si>
  <si>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</si>
  <si>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</si>
  <si>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</si>
  <si>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</si>
  <si>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</si>
  <si>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</si>
  <si>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</si>
  <si>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</si>
  <si>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</si>
  <si>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</si>
  <si>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</si>
  <si>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</si>
  <si>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</si>
  <si>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</si>
  <si>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</si>
  <si>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</si>
  <si>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</si>
  <si>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</si>
  <si>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</si>
  <si>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</si>
  <si>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</si>
  <si>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</si>
  <si>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</si>
  <si>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</si>
  <si>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</si>
  <si>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</si>
  <si>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</si>
  <si>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</si>
  <si>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</si>
  <si>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</si>
  <si>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</si>
  <si>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</si>
  <si>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</si>
  <si>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</si>
  <si>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</si>
  <si>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</si>
  <si>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</si>
  <si>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</si>
  <si>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</si>
  <si>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</si>
  <si>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</si>
  <si>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</si>
  <si>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</si>
  <si>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</si>
  <si>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</si>
  <si>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</si>
  <si>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</si>
  <si>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</si>
  <si>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</si>
  <si>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</si>
  <si>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</si>
  <si>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</si>
  <si>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</si>
  <si>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</si>
  <si>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</si>
  <si>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</si>
  <si>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</si>
  <si>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</si>
  <si>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</si>
  <si>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</si>
  <si>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</si>
  <si>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</si>
  <si>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</si>
  <si>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</si>
  <si>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</si>
  <si>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</si>
  <si>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</si>
  <si>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</si>
  <si>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</si>
  <si>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</si>
  <si>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</si>
  <si>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</si>
  <si>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</si>
  <si>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</si>
  <si>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</si>
  <si>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</si>
  <si>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</si>
  <si>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</si>
  <si>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</si>
  <si>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</si>
  <si>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</si>
  <si>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</si>
  <si>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</si>
  <si>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</si>
  <si>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</si>
  <si>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</si>
  <si>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</si>
  <si>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</si>
  <si>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</si>
  <si>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</si>
  <si>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</si>
  <si>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</si>
  <si>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</si>
  <si>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</si>
  <si>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</si>
  <si>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</si>
  <si>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</si>
  <si>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</si>
  <si>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</si>
  <si>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</si>
  <si>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</si>
  <si>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</si>
  <si>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</si>
  <si>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</si>
  <si>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</si>
  <si>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</si>
  <si>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</si>
  <si>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</si>
  <si>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</si>
  <si>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</si>
  <si>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</si>
  <si>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</si>
  <si>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</si>
  <si>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</si>
  <si>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</si>
  <si>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</si>
  <si>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</si>
  <si>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</si>
  <si>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</si>
  <si>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</si>
  <si>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</si>
  <si>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</si>
  <si>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</si>
  <si>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</si>
  <si>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</si>
  <si>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</si>
  <si>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</si>
  <si>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</si>
  <si>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</si>
  <si>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</si>
  <si>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</si>
  <si>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</si>
  <si>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</si>
  <si>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</si>
  <si>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</si>
  <si>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</si>
  <si>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</si>
  <si>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</si>
  <si>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</si>
  <si>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</si>
  <si>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</si>
  <si>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</si>
  <si>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</si>
  <si>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</si>
  <si>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</si>
  <si>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</si>
  <si>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</si>
  <si>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</si>
  <si>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</si>
  <si>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</si>
  <si>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</si>
  <si>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</si>
  <si>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</si>
  <si>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</si>
  <si>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</si>
  <si>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</si>
  <si>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</si>
  <si>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</si>
  <si>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</si>
  <si>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</si>
  <si>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</si>
  <si>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</si>
  <si>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</si>
  <si>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</si>
  <si>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</si>
  <si>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</si>
  <si>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</si>
  <si>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</si>
  <si>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</si>
  <si>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</si>
  <si>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</si>
  <si>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</si>
  <si>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</si>
  <si>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</si>
  <si>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</si>
  <si>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</si>
  <si>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</si>
  <si>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</si>
  <si>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</si>
  <si>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</si>
  <si>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</si>
  <si>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</si>
  <si>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</si>
  <si>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</si>
  <si>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</si>
  <si>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</si>
  <si>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</si>
  <si>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</si>
  <si>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</si>
  <si>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</si>
  <si>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</si>
  <si>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</si>
  <si>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</si>
  <si>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</si>
  <si>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</si>
  <si>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</si>
  <si>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</si>
  <si>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</si>
  <si>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</si>
  <si>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</si>
  <si>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</si>
  <si>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</si>
  <si>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</si>
  <si>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</si>
  <si>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</si>
  <si>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</si>
  <si>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</si>
  <si>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</si>
  <si>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</si>
  <si>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</si>
  <si>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</si>
  <si>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</si>
  <si>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</si>
  <si>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</si>
  <si>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</si>
  <si>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</si>
  <si>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</si>
  <si>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</si>
  <si>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</si>
  <si>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</si>
  <si>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</si>
  <si>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</si>
  <si>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</si>
  <si>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</si>
  <si>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</si>
  <si>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</si>
  <si>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</si>
  <si>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</si>
  <si>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</si>
  <si>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</si>
  <si>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</si>
  <si>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</si>
  <si>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</si>
  <si>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</si>
  <si>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</si>
  <si>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</si>
  <si>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</si>
  <si>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</si>
  <si>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</si>
  <si>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</si>
  <si>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</si>
  <si>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</si>
  <si>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</si>
  <si>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</si>
  <si>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</si>
  <si>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</si>
  <si>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</si>
  <si>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</si>
  <si>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</si>
  <si>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</si>
  <si>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</si>
  <si>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</si>
  <si>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</si>
  <si>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</si>
  <si>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</si>
  <si>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</si>
  <si>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</si>
  <si>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</si>
  <si>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</si>
  <si>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</si>
  <si>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</si>
  <si>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</si>
  <si>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</si>
  <si>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</si>
  <si>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</si>
  <si>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</si>
  <si>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</si>
  <si>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</si>
  <si>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</si>
  <si>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</si>
  <si>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</si>
  <si>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</si>
  <si>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</si>
  <si>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</si>
  <si>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</si>
  <si>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</si>
  <si>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</si>
  <si>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</si>
  <si>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</si>
  <si>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</si>
  <si>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</si>
  <si>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</si>
  <si>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</si>
  <si>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</si>
  <si>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</si>
  <si>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</si>
  <si>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</si>
  <si>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</si>
  <si>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</si>
  <si>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</si>
  <si>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</si>
  <si>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</si>
  <si>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</si>
  <si>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</si>
  <si>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</si>
  <si>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</si>
  <si>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</si>
  <si>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</si>
  <si>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</si>
  <si>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</si>
  <si>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</si>
  <si>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</si>
  <si>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</si>
  <si>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</si>
  <si>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</si>
  <si>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</si>
  <si>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</si>
  <si>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</si>
  <si>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</si>
  <si>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</si>
  <si>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</si>
  <si>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</si>
  <si>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</si>
  <si>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</si>
  <si>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</si>
  <si>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</si>
  <si>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</si>
  <si>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</si>
  <si>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</si>
  <si>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</si>
  <si>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</si>
  <si>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</si>
  <si>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</si>
  <si>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</si>
  <si>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</si>
  <si>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</si>
  <si>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</si>
  <si>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</si>
  <si>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</si>
  <si>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</si>
  <si>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</si>
  <si>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</si>
  <si>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</si>
  <si>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</si>
  <si>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</si>
  <si>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</si>
  <si>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</si>
  <si>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</si>
  <si>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</si>
  <si>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</si>
  <si>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</si>
  <si>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</si>
  <si>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</si>
  <si>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</si>
  <si>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</si>
  <si>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</si>
  <si>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</si>
  <si>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</si>
  <si>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</si>
  <si>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</si>
  <si>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</si>
  <si>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</si>
  <si>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</si>
  <si>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</si>
  <si>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</si>
  <si>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</si>
  <si>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</si>
  <si>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</si>
  <si>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</si>
  <si>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</si>
  <si>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</si>
  <si>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</si>
  <si>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</si>
  <si>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</si>
  <si>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</si>
  <si>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</si>
  <si>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</si>
  <si>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</si>
  <si>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</si>
  <si>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</si>
  <si>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</si>
  <si>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</si>
  <si>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</si>
  <si>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</si>
  <si>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</si>
  <si>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</si>
  <si>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</si>
  <si>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</si>
  <si>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</si>
  <si>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</si>
  <si>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</si>
  <si>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</si>
  <si>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</si>
  <si>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</si>
  <si>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</si>
  <si>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</si>
  <si>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</si>
  <si>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</si>
  <si>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</si>
  <si>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</si>
  <si>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</si>
  <si>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</si>
  <si>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</si>
  <si>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</si>
  <si>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</si>
  <si>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</si>
  <si>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</si>
  <si>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</si>
  <si>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</si>
  <si>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</si>
  <si>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</si>
  <si>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</si>
  <si>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</si>
  <si>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</si>
  <si>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</si>
  <si>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</si>
  <si>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</si>
  <si>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</si>
  <si>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</si>
  <si>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</si>
  <si>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</si>
  <si>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</si>
  <si>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</si>
  <si>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</si>
  <si>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</si>
  <si>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</si>
  <si>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</si>
  <si>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</si>
  <si>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</si>
  <si>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</si>
  <si>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</si>
  <si>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</si>
  <si>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</si>
  <si>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</si>
  <si>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</si>
  <si>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</si>
  <si>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</si>
  <si>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</si>
  <si>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</si>
  <si>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</si>
  <si>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</si>
  <si>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</si>
  <si>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</si>
  <si>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</si>
  <si>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</si>
  <si>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</si>
  <si>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</si>
  <si>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</si>
  <si>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</si>
  <si>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</si>
  <si>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</si>
  <si>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</si>
  <si>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</si>
  <si>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</si>
  <si>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</si>
  <si>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</si>
  <si>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</si>
  <si>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</si>
  <si>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</si>
  <si>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</si>
  <si>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</si>
  <si>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</si>
  <si>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</si>
  <si>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</si>
  <si>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</si>
  <si>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</si>
  <si>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</si>
  <si>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</si>
  <si>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</si>
  <si>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</si>
  <si>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</si>
  <si>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</si>
  <si>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</si>
  <si>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</si>
  <si>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</si>
  <si>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</si>
  <si>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</si>
  <si>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</si>
  <si>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</si>
  <si>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</si>
  <si>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</si>
  <si>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</si>
  <si>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</si>
  <si>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</si>
  <si>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</si>
  <si>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</si>
  <si>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</si>
  <si>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</si>
  <si>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</si>
  <si>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</si>
  <si>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</si>
  <si>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</si>
  <si>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</si>
  <si>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</si>
  <si>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</si>
  <si>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</si>
  <si>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</si>
  <si>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</si>
  <si>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</si>
  <si>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</si>
  <si>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</si>
  <si>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</si>
  <si>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</si>
  <si>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</si>
  <si>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</si>
  <si>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</si>
  <si>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</si>
  <si>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</si>
  <si>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</si>
  <si>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</si>
  <si>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</si>
  <si>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</si>
  <si>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</si>
  <si>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</si>
  <si>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</si>
  <si>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</si>
  <si>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</si>
  <si>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</si>
  <si>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</si>
  <si>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</si>
  <si>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</si>
  <si>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</si>
  <si>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</si>
  <si>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</si>
  <si>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</si>
  <si>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</si>
  <si>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</si>
  <si>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</si>
  <si>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</si>
  <si>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</si>
  <si>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</si>
  <si>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</si>
  <si>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</si>
  <si>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</si>
  <si>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</si>
  <si>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</si>
  <si>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</si>
  <si>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</si>
  <si>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</si>
  <si>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</si>
  <si>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</si>
  <si>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</si>
  <si>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</si>
  <si>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</si>
  <si>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</si>
  <si>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</si>
  <si>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</si>
  <si>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</si>
  <si>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</si>
  <si>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</si>
  <si>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</si>
  <si>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</si>
  <si>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</si>
  <si>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</si>
  <si>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</si>
  <si>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</si>
  <si>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</si>
  <si>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</si>
  <si>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</si>
  <si>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</si>
  <si>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</si>
  <si>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</si>
  <si>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</si>
  <si>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</si>
  <si>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</si>
  <si>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</si>
  <si>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</si>
  <si>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</si>
  <si>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</si>
  <si>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</si>
  <si>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</si>
  <si>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</si>
  <si>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</si>
  <si>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</si>
  <si>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</si>
  <si>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</si>
  <si>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</si>
  <si>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</si>
  <si>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</si>
  <si>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</si>
  <si>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</si>
  <si>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</si>
  <si>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</si>
  <si>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</si>
  <si>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</si>
  <si>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</si>
  <si>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</si>
  <si>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</si>
  <si>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</si>
  <si>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</si>
  <si>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</si>
  <si>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</si>
  <si>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</si>
  <si>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</si>
  <si>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</si>
  <si>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</si>
  <si>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</si>
  <si>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</si>
  <si>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</si>
  <si>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</si>
  <si>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</si>
  <si>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</si>
  <si>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</si>
  <si>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</si>
  <si>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</si>
  <si>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</si>
  <si>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</si>
  <si>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</si>
  <si>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</si>
  <si>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</si>
  <si>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</si>
  <si>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</si>
  <si>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</si>
  <si>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</si>
  <si>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</si>
  <si>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</si>
  <si>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</si>
  <si>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</si>
  <si>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</si>
  <si>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</si>
  <si>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</si>
  <si>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</si>
  <si>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</si>
  <si>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</si>
  <si>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</si>
  <si>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</si>
  <si>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</si>
  <si>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</si>
  <si>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</si>
  <si>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</si>
  <si>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</si>
  <si>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</si>
  <si>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</si>
  <si>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</si>
  <si>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</si>
  <si>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</si>
  <si>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</si>
  <si>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</si>
  <si>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</si>
  <si>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</si>
  <si>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</si>
  <si>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</si>
  <si>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</si>
  <si>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</si>
  <si>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</si>
  <si>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</si>
  <si>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</si>
  <si>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</si>
  <si>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</si>
  <si>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</si>
  <si>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</si>
  <si>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</si>
  <si>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</si>
  <si>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</si>
  <si>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</si>
  <si>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</si>
  <si>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</si>
  <si>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</si>
  <si>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</si>
  <si>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</si>
  <si>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</si>
  <si>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</si>
  <si>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</si>
  <si>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</si>
  <si>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</si>
  <si>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</si>
  <si>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</si>
  <si>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</si>
  <si>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</si>
  <si>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</si>
  <si>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</si>
  <si>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</si>
  <si>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</si>
  <si>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</si>
  <si>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</si>
  <si>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</si>
  <si>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</si>
  <si>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</si>
  <si>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</si>
  <si>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</si>
  <si>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</si>
  <si>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</si>
  <si>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</si>
  <si>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</si>
  <si>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</si>
  <si>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</si>
  <si>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</si>
  <si>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</si>
  <si>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</si>
  <si>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</si>
  <si>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</si>
  <si>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</si>
  <si>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</si>
  <si>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</si>
  <si>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</si>
  <si>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</si>
  <si>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</si>
  <si>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</si>
  <si>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</si>
  <si>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</si>
  <si>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</si>
  <si>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</si>
  <si>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</si>
  <si>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</si>
  <si>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</si>
  <si>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</si>
  <si>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</si>
  <si>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</si>
  <si>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</si>
  <si>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</si>
  <si>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</si>
  <si>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</si>
  <si>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</si>
  <si>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</si>
  <si>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</si>
  <si>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</si>
  <si>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</si>
  <si>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</si>
  <si>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</si>
  <si>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</si>
  <si>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</si>
  <si>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</si>
  <si>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</si>
  <si>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</si>
  <si>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</si>
  <si>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</si>
  <si>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</si>
  <si>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</si>
  <si>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</si>
  <si>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</si>
  <si>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</si>
  <si>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</si>
  <si>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</si>
  <si>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</si>
  <si>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</si>
  <si>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</si>
  <si>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</si>
  <si>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</si>
  <si>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</si>
  <si>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</si>
  <si>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</si>
  <si>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</si>
  <si>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</si>
  <si>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</si>
  <si>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</si>
  <si>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</si>
  <si>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</si>
  <si>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</si>
  <si>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</si>
  <si>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</si>
  <si>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</si>
  <si>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</si>
  <si>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</si>
  <si>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</si>
  <si>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</si>
  <si>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</si>
  <si>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</si>
  <si>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</si>
  <si>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</si>
  <si>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</si>
  <si>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</si>
  <si>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</si>
  <si>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</si>
  <si>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</si>
  <si>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</si>
  <si>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</si>
  <si>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</si>
  <si>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</si>
  <si>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</si>
  <si>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</si>
  <si>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</si>
  <si>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</si>
  <si>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</si>
  <si>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</si>
  <si>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</si>
  <si>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</si>
  <si>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</si>
  <si>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</si>
  <si>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</si>
  <si>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</si>
  <si>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</si>
  <si>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</si>
  <si>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</si>
  <si>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</si>
  <si>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</si>
  <si>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</si>
  <si>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</si>
  <si>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</si>
  <si>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</si>
  <si>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</si>
  <si>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</si>
  <si>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</si>
  <si>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</si>
  <si>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</si>
  <si>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</si>
  <si>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</si>
  <si>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</si>
  <si>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</si>
  <si>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</si>
  <si>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</si>
  <si>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</si>
  <si>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</si>
  <si>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</si>
  <si>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</si>
  <si>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</si>
  <si>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</si>
  <si>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</si>
  <si>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</si>
  <si>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</si>
  <si>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</si>
  <si>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</si>
  <si>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</si>
  <si>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</si>
  <si>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</si>
  <si>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</si>
  <si>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</si>
  <si>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</si>
  <si>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</si>
  <si>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</si>
  <si>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</si>
  <si>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</si>
  <si>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</si>
  <si>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</si>
  <si>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</si>
  <si>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</si>
  <si>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</si>
  <si>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</si>
  <si>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</si>
  <si>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</si>
  <si>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</si>
  <si>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</si>
  <si>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</si>
  <si>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</si>
  <si>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</si>
  <si>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</si>
  <si>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</si>
  <si>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</si>
  <si>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</si>
  <si>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</si>
  <si>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</si>
  <si>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</si>
  <si>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</si>
  <si>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</si>
  <si>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</si>
  <si>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</si>
  <si>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</si>
  <si>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</si>
  <si>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</si>
  <si>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</si>
  <si>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</si>
  <si>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</si>
  <si>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</si>
  <si>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</si>
  <si>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</si>
  <si>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</si>
  <si>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</si>
  <si>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</si>
  <si>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</si>
  <si>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</si>
  <si>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</si>
  <si>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</si>
  <si>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</si>
  <si>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</si>
  <si>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</si>
  <si>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</si>
  <si>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</si>
  <si>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</si>
  <si>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</si>
  <si>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</si>
  <si>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</si>
  <si>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</si>
  <si>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</si>
  <si>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</si>
  <si>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</si>
  <si>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</si>
  <si>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</si>
  <si>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</si>
  <si>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</si>
  <si>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</si>
  <si>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</si>
  <si>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</si>
  <si>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</si>
  <si>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</si>
  <si>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</si>
  <si>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</si>
  <si>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</si>
  <si>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</si>
  <si>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</si>
  <si>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</si>
  <si>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</si>
  <si>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</si>
  <si>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</si>
  <si>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</si>
  <si>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</si>
  <si>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</si>
  <si>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</si>
  <si>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</si>
  <si>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</si>
  <si>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</si>
  <si>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</si>
  <si>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</si>
  <si>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</si>
  <si>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</si>
  <si>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</si>
  <si>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</si>
  <si>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</si>
  <si>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</si>
  <si>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</si>
  <si>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</si>
  <si>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</si>
  <si>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</si>
  <si>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</si>
  <si>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</si>
  <si>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</si>
  <si>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</si>
  <si>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</si>
  <si>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</si>
  <si>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</si>
  <si>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</si>
  <si>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</si>
  <si>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</si>
  <si>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</si>
  <si>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</si>
  <si>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</si>
  <si>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</si>
  <si>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</si>
  <si>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</si>
  <si>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</si>
  <si>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</si>
  <si>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</si>
  <si>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</si>
  <si>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</si>
  <si>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</si>
  <si>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</si>
  <si>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</si>
  <si>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</si>
  <si>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</si>
  <si>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</si>
  <si>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</si>
  <si>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</si>
  <si>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</si>
  <si>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</si>
  <si>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</si>
  <si>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</si>
  <si>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</si>
  <si>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</si>
  <si>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</si>
  <si>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</si>
  <si>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</si>
  <si>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</si>
  <si>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</si>
  <si>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</si>
  <si>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</si>
  <si>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</si>
  <si>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</si>
  <si>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</si>
  <si>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</si>
  <si>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</si>
  <si>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</si>
  <si>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</si>
  <si>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</si>
  <si>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</si>
  <si>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</si>
  <si>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</si>
  <si>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</si>
  <si>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</si>
  <si>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</si>
  <si>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</si>
  <si>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</si>
  <si>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</si>
  <si>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</si>
  <si>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</si>
  <si>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</si>
  <si>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</si>
  <si>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</si>
  <si>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</si>
  <si>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</si>
  <si>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</si>
  <si>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</si>
  <si>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</si>
  <si>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</si>
  <si>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</si>
  <si>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</si>
  <si>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</si>
  <si>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</si>
  <si>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</si>
  <si>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</si>
  <si>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</si>
  <si>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</si>
  <si>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</si>
  <si>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</si>
  <si>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</si>
  <si>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</si>
  <si>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</si>
  <si>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</si>
  <si>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</si>
  <si>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</si>
  <si>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</si>
  <si>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</si>
  <si>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</si>
  <si>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</si>
  <si>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</si>
  <si>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</si>
  <si>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</si>
  <si>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</si>
  <si>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</si>
  <si>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</si>
  <si>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</si>
  <si>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</si>
  <si>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</si>
  <si>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</si>
  <si>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</si>
  <si>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</si>
  <si>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</si>
  <si>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</si>
  <si>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</si>
  <si>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</si>
  <si>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</si>
  <si>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</si>
  <si>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</si>
  <si>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</si>
  <si>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</si>
  <si>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</si>
  <si>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</si>
  <si>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</si>
  <si>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</si>
  <si>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</si>
  <si>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</si>
  <si>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</si>
  <si>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</si>
  <si>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</si>
  <si>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</si>
  <si>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</si>
  <si>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</si>
  <si>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</si>
  <si>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</si>
  <si>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</si>
  <si>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</si>
  <si>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</si>
  <si>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</si>
  <si>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</si>
  <si>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</si>
  <si>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</si>
  <si>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</si>
  <si>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</si>
  <si>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</si>
  <si>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</si>
  <si>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</si>
  <si>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</si>
  <si>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</si>
  <si>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</si>
  <si>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</si>
  <si>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</si>
  <si>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</si>
  <si>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</si>
  <si>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</si>
  <si>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</si>
  <si>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</si>
  <si>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</si>
  <si>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</si>
  <si>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</si>
  <si>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</si>
  <si>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</si>
  <si>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</si>
  <si>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</si>
  <si>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</si>
  <si>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</si>
  <si>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</si>
  <si>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</si>
  <si>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</si>
  <si>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</si>
  <si>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</si>
  <si>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</si>
  <si>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</si>
  <si>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</si>
  <si>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</si>
  <si>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</si>
  <si>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</si>
  <si>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</si>
  <si>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</si>
  <si>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</si>
  <si>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</si>
  <si>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</si>
  <si>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</si>
  <si>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</si>
  <si>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</si>
  <si>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</si>
  <si>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</si>
  <si>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</si>
  <si>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</si>
  <si>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</si>
  <si>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</si>
  <si>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</si>
  <si>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</si>
  <si>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</si>
  <si>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</si>
  <si>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</si>
  <si>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</si>
  <si>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</si>
  <si>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</si>
  <si>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</si>
  <si>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</si>
  <si>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</si>
  <si>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</si>
  <si>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</si>
  <si>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</si>
  <si>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</si>
  <si>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</si>
  <si>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</si>
  <si>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</si>
  <si>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</si>
  <si>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</si>
  <si>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</si>
  <si>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</si>
  <si>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</si>
  <si>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</si>
  <si>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</si>
  <si>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</si>
  <si>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</si>
  <si>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</si>
  <si>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</si>
  <si>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</si>
  <si>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</si>
  <si>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</si>
  <si>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</si>
  <si>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</si>
  <si>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</si>
  <si>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</si>
  <si>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</si>
  <si>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</si>
  <si>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</si>
  <si>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</si>
  <si>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</si>
  <si>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</si>
  <si>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</si>
  <si>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</si>
  <si>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</si>
  <si>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</si>
  <si>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</si>
  <si>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</si>
  <si>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</si>
  <si>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</si>
  <si>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</si>
  <si>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</si>
  <si>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</si>
  <si>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</si>
  <si>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</si>
  <si>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</si>
  <si>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</si>
  <si>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</si>
  <si>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</si>
  <si>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</si>
  <si>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</si>
  <si>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</si>
  <si>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</si>
  <si>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</si>
  <si>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</si>
  <si>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</si>
  <si>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</si>
  <si>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</si>
  <si>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</si>
  <si>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</si>
  <si>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</si>
  <si>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</si>
  <si>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</si>
  <si>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</si>
  <si>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</si>
  <si>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</si>
  <si>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</si>
  <si>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</si>
  <si>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</si>
  <si>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</si>
  <si>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</si>
  <si>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</si>
  <si>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</si>
  <si>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</si>
  <si>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</si>
  <si>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</si>
  <si>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</si>
  <si>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</si>
  <si>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</si>
  <si>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</si>
  <si>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</si>
  <si>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</si>
  <si>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</si>
  <si>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</si>
  <si>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</si>
  <si>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</si>
  <si>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</si>
  <si>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</si>
  <si>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</si>
  <si>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</si>
  <si>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</si>
  <si>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</si>
  <si>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</si>
  <si>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</si>
  <si>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</si>
  <si>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</si>
  <si>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</si>
  <si>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</si>
  <si>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</si>
  <si>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</si>
  <si>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</si>
  <si>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</si>
  <si>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</si>
  <si>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</si>
  <si>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</si>
  <si>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</si>
  <si>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</si>
  <si>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</si>
  <si>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</si>
  <si>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</si>
  <si>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</si>
  <si>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</si>
  <si>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</si>
  <si>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</si>
  <si>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</si>
  <si>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</si>
  <si>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</si>
  <si>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</si>
  <si>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</si>
  <si>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</si>
  <si>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</si>
  <si>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</si>
  <si>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</si>
  <si>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</si>
  <si>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</si>
  <si>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</si>
  <si>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</si>
  <si>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</si>
  <si>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</si>
  <si>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</si>
  <si>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</si>
  <si>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</si>
  <si>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</si>
  <si>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</si>
  <si>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</si>
  <si>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</si>
  <si>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</si>
  <si>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</si>
  <si>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</si>
  <si>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</si>
  <si>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</si>
  <si>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</si>
  <si>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</si>
  <si>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</si>
  <si>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</si>
  <si>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</si>
  <si>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</si>
  <si>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</si>
  <si>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</si>
  <si>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</si>
  <si>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</si>
  <si>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</si>
  <si>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</si>
  <si>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</si>
  <si>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</si>
  <si>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</si>
  <si>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</si>
  <si>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</si>
  <si>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</si>
  <si>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</si>
  <si>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</si>
  <si>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</si>
  <si>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</si>
  <si>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</si>
  <si>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</si>
  <si>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</si>
  <si>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</si>
  <si>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</si>
  <si>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</si>
  <si>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</si>
  <si>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</si>
  <si>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</si>
  <si>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</si>
  <si>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</si>
  <si>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</si>
  <si>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</si>
  <si>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</si>
  <si>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</si>
  <si>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</si>
  <si>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</si>
  <si>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</si>
  <si>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</si>
  <si>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</si>
  <si>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</si>
  <si>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</si>
  <si>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</si>
  <si>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</si>
  <si>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</si>
  <si>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</si>
  <si>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</si>
  <si>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</si>
  <si>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</si>
  <si>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</si>
  <si>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</si>
  <si>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</si>
  <si>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</si>
  <si>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</si>
  <si>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</si>
  <si>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</si>
  <si>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</si>
  <si>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</si>
  <si>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</si>
  <si>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</si>
  <si>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</si>
  <si>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</si>
  <si>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</si>
  <si>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</si>
  <si>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</si>
  <si>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</si>
  <si>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</si>
  <si>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</si>
  <si>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</si>
  <si>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</si>
  <si>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</si>
  <si>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</si>
  <si>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</si>
  <si>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</si>
  <si>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</si>
  <si>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</si>
  <si>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</si>
  <si>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</si>
  <si>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</si>
  <si>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</si>
  <si>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</si>
  <si>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</si>
  <si>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</si>
  <si>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</si>
  <si>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</si>
  <si>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</si>
  <si>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</si>
  <si>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</si>
  <si>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</si>
  <si>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</si>
  <si>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</si>
  <si>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</si>
  <si>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</si>
  <si>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</si>
  <si>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</si>
  <si>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</si>
  <si>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</si>
  <si>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</si>
  <si>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</si>
  <si>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</si>
  <si>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</si>
  <si>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</si>
  <si>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</si>
  <si>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</si>
  <si>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</si>
  <si>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</si>
  <si>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</si>
  <si>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</si>
  <si>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</si>
  <si>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</si>
  <si>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</si>
  <si>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</si>
  <si>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</si>
  <si>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</si>
  <si>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</si>
  <si>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</si>
  <si>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</si>
  <si>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</si>
  <si>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</si>
  <si>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</si>
  <si>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</si>
  <si>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</si>
  <si>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</si>
  <si>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</si>
  <si>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</si>
  <si>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</si>
  <si>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</si>
  <si>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</si>
  <si>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</si>
  <si>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</si>
  <si>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</si>
  <si>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</si>
  <si>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</si>
  <si>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</si>
  <si>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</si>
  <si>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</si>
  <si>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</si>
  <si>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</si>
  <si>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</si>
  <si>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</si>
  <si>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</si>
  <si>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</si>
  <si>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</si>
  <si>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</si>
  <si>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</si>
  <si>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</si>
  <si>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</si>
  <si>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</si>
  <si>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</si>
  <si>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</si>
  <si>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</si>
  <si>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</si>
  <si>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</si>
  <si>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</si>
  <si>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</si>
  <si>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</si>
  <si>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</si>
  <si>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</si>
  <si>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</si>
  <si>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</si>
  <si>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</si>
  <si>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</si>
  <si>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</si>
  <si>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</si>
  <si>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</si>
  <si>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</si>
  <si>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</si>
  <si>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</si>
  <si>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</si>
  <si>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</si>
  <si>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</si>
  <si>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</si>
  <si>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</si>
  <si>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</si>
  <si>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</si>
  <si>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</si>
  <si>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</si>
  <si>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</si>
  <si>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</si>
  <si>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</si>
  <si>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</si>
  <si>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</si>
  <si>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</si>
  <si>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</si>
  <si>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</si>
  <si>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</si>
  <si>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</si>
  <si>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</si>
  <si>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</si>
  <si>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</si>
  <si>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</si>
  <si>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</si>
  <si>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</si>
  <si>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</si>
  <si>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</si>
  <si>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</si>
  <si>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</si>
  <si>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</si>
  <si>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</si>
  <si>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</si>
  <si>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</si>
  <si>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</si>
  <si>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</si>
  <si>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</si>
  <si>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</si>
  <si>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</si>
  <si>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</si>
  <si>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</si>
  <si>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</si>
  <si>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</si>
  <si>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</si>
  <si>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</si>
  <si>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</si>
  <si>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</si>
  <si>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</si>
  <si>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</si>
  <si>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</si>
  <si>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</si>
  <si>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</si>
  <si>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</si>
  <si>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</si>
  <si>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</si>
  <si>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</si>
  <si>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</si>
  <si>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</si>
  <si>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</si>
  <si>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</si>
  <si>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</si>
  <si>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</si>
  <si>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</si>
  <si>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</si>
  <si>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</si>
  <si>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</si>
  <si>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</si>
  <si>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</si>
  <si>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</si>
  <si>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</si>
  <si>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</si>
  <si>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</si>
  <si>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</si>
  <si>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</si>
  <si>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</si>
  <si>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</si>
  <si>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</si>
  <si>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</si>
  <si>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</si>
  <si>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</si>
  <si>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</si>
  <si>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</si>
  <si>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</si>
  <si>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</si>
  <si>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</si>
  <si>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</si>
  <si>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</si>
  <si>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</si>
  <si>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</si>
  <si>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</si>
  <si>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</si>
  <si>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</si>
  <si>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</si>
  <si>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</si>
  <si>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</si>
  <si>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</si>
  <si>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</si>
  <si>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</si>
  <si>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</si>
  <si>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</si>
  <si>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</si>
  <si>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</si>
  <si>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</si>
  <si>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</si>
  <si>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</si>
  <si>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</si>
  <si>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</si>
  <si>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</si>
  <si>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</si>
  <si>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</si>
  <si>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</si>
  <si>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</si>
  <si>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</si>
  <si>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</si>
  <si>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</si>
  <si>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</si>
  <si>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</si>
  <si>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</si>
  <si>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</si>
  <si>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</si>
  <si>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</si>
  <si>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</si>
  <si>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</si>
  <si>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</si>
  <si>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</si>
  <si>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</si>
  <si>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</si>
  <si>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</si>
  <si>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</si>
  <si>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</si>
  <si>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</si>
  <si>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</si>
  <si>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</si>
  <si>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</si>
  <si>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</si>
  <si>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</si>
  <si>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</si>
  <si>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</si>
  <si>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</si>
  <si>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</si>
  <si>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</si>
  <si>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</si>
  <si>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</si>
  <si>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</si>
  <si>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</si>
  <si>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</si>
  <si>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</si>
  <si>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</si>
  <si>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</si>
  <si>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</si>
  <si>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</si>
  <si>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</si>
  <si>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</si>
  <si>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</si>
  <si>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</si>
  <si>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</si>
  <si>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</si>
  <si>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</si>
  <si>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</si>
  <si>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</si>
  <si>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</si>
  <si>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</si>
  <si>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</si>
  <si>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</si>
  <si>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</si>
  <si>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</si>
  <si>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</si>
  <si>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</si>
  <si>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</si>
  <si>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</si>
  <si>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</si>
  <si>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</si>
  <si>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</si>
  <si>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</si>
  <si>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</si>
  <si>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</si>
  <si>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</si>
  <si>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</si>
  <si>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</si>
  <si>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</si>
  <si>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</si>
  <si>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</si>
  <si>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</si>
  <si>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</si>
  <si>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</si>
  <si>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</si>
  <si>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</si>
  <si>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</si>
  <si>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</si>
  <si>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</si>
  <si>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</si>
  <si>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</si>
  <si>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</si>
  <si>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</si>
  <si>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</si>
  <si>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</si>
  <si>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</si>
  <si>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</si>
  <si>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</si>
  <si>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</si>
  <si>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</si>
  <si>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</si>
  <si>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</si>
  <si>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</si>
  <si>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</si>
  <si>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</si>
  <si>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</si>
  <si>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</si>
  <si>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</si>
  <si>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</si>
  <si>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</si>
  <si>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</si>
  <si>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</si>
  <si>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</si>
  <si>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</si>
  <si>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</si>
  <si>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</si>
  <si>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</si>
  <si>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</si>
  <si>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</si>
  <si>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</si>
  <si>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</si>
  <si>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</si>
  <si>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</si>
  <si>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</si>
  <si>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</si>
  <si>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</si>
  <si>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</si>
  <si>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</si>
  <si>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</si>
  <si>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</si>
  <si>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</si>
  <si>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</si>
  <si>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</si>
  <si>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</si>
  <si>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</si>
  <si>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</si>
  <si>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</si>
  <si>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</si>
  <si>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</si>
  <si>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</si>
  <si>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</si>
  <si>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</si>
  <si>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</si>
  <si>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</si>
  <si>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</si>
  <si>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</si>
  <si>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</si>
  <si>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</si>
  <si>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</si>
  <si>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</si>
  <si>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</si>
  <si>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</si>
  <si>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</si>
  <si>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</si>
  <si>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</si>
  <si>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</si>
  <si>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</si>
  <si>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</si>
  <si>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</si>
  <si>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</si>
  <si>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</si>
  <si>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</si>
  <si>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</si>
  <si>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</si>
  <si>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</si>
  <si>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</si>
  <si>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</si>
  <si>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</si>
  <si>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</si>
  <si>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</si>
  <si>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</si>
  <si>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</si>
  <si>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</si>
  <si>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</si>
  <si>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</si>
  <si>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</si>
  <si>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</si>
  <si>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</si>
  <si>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</si>
  <si>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</si>
  <si>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</si>
  <si>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</si>
  <si>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</si>
  <si>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</si>
  <si>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</si>
  <si>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</si>
  <si>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</si>
  <si>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</si>
  <si>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</si>
  <si>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</si>
  <si>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</si>
  <si>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</si>
  <si>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</si>
  <si>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</si>
  <si>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</si>
  <si>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</si>
  <si>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</si>
  <si>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</si>
  <si>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</si>
  <si>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</si>
  <si>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</si>
  <si>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</si>
  <si>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</si>
  <si>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</si>
  <si>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</si>
  <si>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</si>
  <si>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</si>
  <si>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</si>
  <si>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</si>
  <si>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</si>
  <si>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</si>
  <si>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</si>
  <si>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</si>
  <si>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</si>
  <si>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</si>
  <si>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</si>
  <si>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</si>
  <si>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</si>
  <si>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</si>
  <si>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</si>
  <si>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</si>
  <si>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</si>
  <si>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</si>
  <si>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</si>
  <si>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</si>
  <si>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</si>
  <si>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</si>
  <si>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</si>
  <si>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</si>
  <si>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</si>
  <si>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</si>
  <si>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</si>
  <si>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</si>
  <si>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</si>
  <si>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</si>
  <si>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</si>
  <si>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</si>
  <si>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</si>
  <si>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</si>
  <si>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</si>
  <si>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</si>
  <si>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</si>
  <si>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</si>
  <si>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</si>
  <si>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</si>
  <si>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</si>
  <si>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</si>
  <si>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</si>
  <si>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</si>
  <si>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</si>
  <si>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</si>
  <si>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</si>
  <si>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</si>
  <si>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</si>
  <si>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</si>
  <si>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</si>
  <si>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</si>
  <si>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</si>
  <si>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</si>
  <si>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</si>
  <si>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</si>
  <si>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</si>
  <si>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</si>
  <si>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</si>
  <si>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</si>
  <si>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</si>
  <si>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</si>
  <si>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</si>
  <si>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</si>
  <si>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</si>
  <si>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</si>
  <si>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</si>
  <si>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</si>
  <si>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</si>
  <si>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</si>
  <si>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</si>
  <si>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</si>
  <si>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</si>
  <si>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</si>
  <si>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</si>
  <si>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</si>
  <si>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</si>
  <si>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</si>
  <si>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</si>
  <si>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</si>
  <si>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</si>
  <si>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</si>
  <si>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</si>
  <si>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</si>
  <si>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</si>
  <si>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</si>
  <si>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</si>
  <si>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</si>
  <si>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</si>
  <si>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</si>
  <si>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</si>
  <si>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</si>
  <si>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</si>
  <si>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</si>
  <si>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</si>
  <si>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</si>
  <si>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</si>
  <si>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</si>
  <si>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</si>
  <si>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</si>
  <si>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</si>
  <si>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</si>
  <si>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</si>
  <si>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</si>
  <si>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</si>
  <si>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</si>
  <si>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</si>
  <si>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</si>
  <si>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</si>
  <si>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</si>
  <si>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</si>
  <si>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</si>
  <si>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</si>
  <si>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</si>
  <si>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</si>
  <si>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</si>
  <si>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</si>
  <si>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</si>
  <si>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</si>
  <si>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</si>
  <si>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</si>
  <si>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</si>
  <si>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</si>
  <si>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</si>
  <si>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</si>
  <si>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</si>
  <si>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</si>
  <si>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</si>
  <si>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</si>
  <si>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</si>
  <si>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</si>
  <si>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</si>
  <si>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</si>
  <si>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</si>
  <si>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</si>
  <si>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</si>
  <si>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</si>
  <si>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</si>
  <si>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</si>
  <si>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</si>
  <si>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</si>
  <si>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</si>
  <si>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</si>
  <si>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</si>
  <si>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</si>
  <si>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</si>
  <si>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</si>
  <si>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</si>
  <si>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</si>
  <si>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</si>
  <si>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</si>
  <si>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</si>
  <si>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</si>
  <si>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</si>
  <si>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</si>
  <si>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</si>
  <si>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</si>
  <si>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</si>
  <si>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</si>
  <si>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</si>
  <si>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</si>
  <si>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</si>
  <si>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</si>
  <si>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</si>
  <si>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</si>
  <si>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</si>
  <si>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</si>
  <si>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</si>
  <si>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</si>
  <si>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</si>
  <si>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</si>
  <si>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</si>
  <si>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</si>
  <si>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</si>
  <si>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</si>
  <si>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</si>
  <si>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</si>
  <si>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</si>
  <si>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</si>
  <si>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</si>
  <si>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</si>
  <si>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</si>
  <si>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</si>
  <si>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</si>
  <si>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</si>
  <si>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</si>
  <si>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</si>
  <si>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</si>
  <si>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</si>
  <si>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</si>
  <si>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</si>
  <si>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</si>
  <si>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</si>
  <si>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</si>
  <si>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</si>
  <si>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</si>
  <si>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</si>
  <si>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</si>
  <si>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</si>
  <si>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</si>
  <si>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</si>
  <si>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</si>
  <si>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</si>
  <si>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</si>
  <si>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</si>
  <si>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</si>
  <si>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</si>
  <si>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</si>
  <si>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</si>
  <si>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</si>
  <si>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</si>
  <si>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</si>
  <si>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</si>
  <si>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</si>
  <si>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</si>
  <si>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</si>
  <si>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</si>
  <si>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</si>
  <si>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</si>
  <si>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</si>
  <si>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</si>
  <si>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</si>
  <si>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</si>
  <si>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</si>
  <si>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</si>
  <si>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</si>
  <si>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</si>
  <si>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</si>
  <si>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</si>
  <si>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</si>
  <si>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</si>
  <si>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</si>
  <si>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</si>
  <si>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</si>
  <si>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</si>
  <si>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</si>
  <si>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</si>
  <si>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</si>
  <si>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</si>
  <si>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</si>
  <si>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</si>
  <si>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</si>
  <si>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</si>
  <si>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</si>
  <si>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</si>
  <si>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</si>
  <si>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</si>
  <si>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</si>
  <si>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</si>
  <si>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</si>
  <si>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</si>
  <si>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</si>
  <si>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</si>
  <si>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</si>
  <si>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</si>
  <si>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</si>
  <si>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</si>
  <si>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</si>
  <si>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</si>
  <si>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</si>
  <si>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</si>
  <si>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</si>
  <si>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</si>
  <si>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</si>
  <si>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</si>
  <si>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</si>
  <si>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</si>
  <si>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</si>
  <si>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</si>
  <si>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</si>
  <si>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</si>
  <si>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</si>
  <si>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</si>
  <si>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</si>
  <si>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</si>
  <si>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</si>
  <si>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</si>
  <si>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</si>
  <si>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</si>
  <si>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</si>
  <si>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</si>
  <si>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</si>
  <si>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</si>
  <si>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</si>
  <si>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</si>
  <si>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</si>
  <si>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</si>
  <si>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</si>
  <si>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</si>
  <si>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</si>
  <si>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</si>
  <si>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</si>
  <si>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</si>
  <si>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</si>
  <si>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</si>
  <si>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</si>
  <si>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</si>
  <si>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</si>
  <si>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</si>
  <si>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</si>
  <si>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</si>
  <si>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Aries</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</si>
  <si>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</si>
  <si>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</si>
  <si>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</si>
  <si>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</si>
  <si>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</si>
  <si>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</si>
  <si>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</si>
  <si>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</si>
  <si>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</si>
  <si>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</si>
  <si>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</si>
  <si>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</si>
  <si>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</si>
  <si>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</si>
  <si>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</si>
  <si>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</si>
  <si>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</si>
  <si>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</si>
  <si>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</si>
  <si>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</si>
  <si>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</si>
  <si>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</si>
  <si>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</si>
  <si>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</si>
  <si>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</si>
  <si>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</si>
  <si>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</si>
  <si>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</si>
  <si>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</si>
  <si>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</si>
  <si>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</si>
  <si>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</si>
  <si>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</si>
  <si>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</si>
  <si>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</si>
  <si>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</si>
  <si>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</si>
  <si>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</si>
  <si>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</si>
  <si>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</si>
  <si>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</si>
  <si>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</si>
  <si>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</si>
  <si>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</si>
  <si>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</si>
  <si>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</si>
  <si>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</si>
  <si>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</si>
  <si>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</si>
  <si>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</si>
  <si>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</si>
  <si>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</si>
  <si>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</si>
  <si>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</si>
  <si>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</si>
  <si>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</si>
  <si>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</si>
  <si>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</si>
  <si>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</si>
  <si>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</si>
  <si>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</si>
  <si>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</si>
  <si>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</si>
  <si>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</si>
  <si>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</si>
  <si>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</si>
  <si>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</si>
  <si>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</si>
  <si>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</si>
  <si>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</si>
  <si>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</si>
  <si>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</si>
  <si>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</si>
  <si>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</si>
  <si>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</si>
  <si>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</si>
  <si>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</si>
  <si>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</si>
  <si>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</si>
  <si>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</si>
  <si>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</si>
  <si>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</si>
  <si>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</si>
  <si>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</si>
  <si>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</si>
  <si>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</si>
  <si>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</si>
  <si>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</si>
  <si>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</si>
  <si>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</si>
  <si>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</si>
  <si>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</si>
  <si>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</si>
  <si>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</si>
  <si>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</si>
  <si>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</si>
  <si>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</si>
  <si>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</si>
  <si>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</si>
  <si>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</si>
  <si>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</si>
  <si>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</si>
  <si>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</si>
  <si>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</si>
  <si>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</si>
  <si>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</si>
  <si>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</si>
  <si>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</si>
  <si>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</si>
  <si>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</si>
  <si>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</si>
  <si>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</si>
  <si>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</si>
  <si>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</si>
  <si>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</si>
  <si>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</si>
  <si>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</si>
  <si>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</si>
  <si>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</si>
  <si>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</si>
  <si>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</si>
  <si>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</si>
  <si>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</si>
  <si>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</si>
  <si>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</si>
  <si>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</si>
  <si>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</si>
  <si>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</si>
  <si>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</si>
  <si>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</si>
  <si>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</si>
  <si>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</si>
  <si>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</si>
  <si>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</si>
  <si>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</si>
  <si>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</si>
  <si>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</si>
  <si>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</si>
  <si>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</si>
  <si>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</si>
  <si>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</si>
  <si>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</si>
  <si>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</si>
  <si>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</si>
  <si>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</si>
  <si>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</si>
  <si>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</si>
  <si>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</si>
  <si>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</si>
  <si>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</si>
  <si>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</si>
  <si>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</si>
  <si>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</si>
  <si>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</si>
  <si>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</si>
  <si>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</si>
  <si>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</si>
  <si>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</si>
  <si>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</si>
  <si>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</si>
  <si>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</si>
  <si>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</si>
  <si>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</si>
  <si>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</si>
  <si>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</si>
  <si>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</si>
  <si>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</si>
  <si>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</si>
  <si>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</si>
  <si>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</si>
  <si>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</si>
  <si>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</si>
  <si>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</si>
  <si>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</si>
  <si>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</si>
  <si>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</si>
  <si>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</si>
  <si>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</si>
  <si>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</si>
  <si>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</si>
  <si>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</si>
  <si>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</si>
  <si>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</si>
  <si>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</si>
  <si>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</si>
  <si>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</si>
  <si>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</si>
  <si>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</si>
  <si>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</si>
  <si>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</si>
  <si>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</si>
  <si>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</si>
  <si>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</si>
  <si>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</si>
  <si>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</si>
  <si>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</si>
  <si>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</si>
  <si>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</si>
  <si>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</si>
  <si>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</si>
  <si>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</si>
  <si>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</si>
  <si>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</si>
  <si>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</si>
  <si>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</si>
  <si>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</si>
  <si>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</si>
  <si>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</si>
  <si>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</si>
  <si>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</si>
  <si>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</si>
  <si>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</si>
  <si>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</si>
  <si>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</si>
  <si>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</si>
  <si>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</si>
  <si>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</si>
  <si>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</si>
  <si>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</si>
  <si>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</si>
  <si>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</si>
  <si>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</si>
  <si>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</si>
  <si>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</si>
  <si>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</si>
  <si>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</si>
  <si>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</si>
  <si>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</si>
  <si>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</si>
  <si>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</si>
  <si>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</si>
  <si>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</si>
  <si>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</si>
  <si>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</si>
  <si>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</si>
  <si>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</si>
  <si>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</si>
  <si>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</si>
  <si>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</si>
  <si>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</si>
  <si>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</si>
  <si>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</si>
  <si>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</si>
  <si>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</si>
  <si>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</si>
  <si>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</si>
  <si>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</si>
  <si>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</si>
  <si>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</si>
  <si>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</si>
  <si>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</si>
  <si>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</si>
  <si>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</si>
  <si>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</si>
  <si>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</si>
  <si>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</si>
  <si>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</si>
  <si>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</si>
  <si>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</si>
  <si>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</si>
  <si>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</si>
  <si>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</si>
  <si>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</si>
  <si>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</si>
  <si>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</si>
  <si>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</si>
  <si>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</si>
  <si>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</si>
  <si>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</si>
  <si>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</si>
  <si>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</si>
  <si>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</si>
  <si>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</si>
  <si>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</si>
  <si>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</si>
  <si>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</si>
  <si>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</si>
  <si>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</si>
  <si>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</si>
  <si>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</si>
  <si>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</si>
  <si>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</si>
  <si>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</si>
  <si>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</si>
  <si>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</si>
  <si>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</si>
  <si>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</si>
  <si>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</si>
  <si>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</si>
  <si>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</si>
  <si>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</si>
  <si>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</si>
  <si>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</si>
  <si>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</si>
  <si>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</si>
  <si>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</si>
  <si>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</si>
  <si>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</si>
  <si>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</si>
  <si>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</si>
  <si>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</si>
  <si>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</si>
  <si>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</si>
  <si>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</si>
  <si>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</si>
  <si>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</si>
  <si>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</si>
  <si>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</si>
  <si>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</si>
  <si>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</si>
  <si>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</si>
  <si>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</si>
  <si>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</si>
  <si>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</si>
  <si>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</si>
  <si>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</si>
  <si>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</si>
  <si>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</si>
  <si>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</si>
  <si>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</si>
  <si>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</si>
  <si>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</si>
  <si>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</si>
  <si>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</si>
  <si>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</si>
  <si>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</si>
  <si>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</si>
  <si>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</si>
  <si>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</si>
  <si>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</si>
  <si>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</si>
  <si>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</si>
  <si>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57.190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</si>
  <si>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</si>
  <si>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</si>
  <si>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</si>
  <si>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</si>
  <si>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</si>
  <si>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</si>
  <si>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</si>
  <si>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</si>
  <si>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</si>
  <si>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</si>
  <si>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</si>
  <si>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</si>
  <si>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</si>
  <si>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</si>
  <si>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</si>
  <si>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</si>
  <si>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</si>
  <si>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</si>
  <si>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</si>
  <si>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</si>
  <si>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</si>
  <si>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</si>
  <si>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</si>
  <si>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</si>
  <si>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</si>
  <si>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</si>
  <si>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</si>
  <si>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</si>
  <si>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</si>
  <si>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</si>
  <si>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</si>
  <si>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</si>
  <si>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</si>
  <si>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</si>
  <si>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</si>
  <si>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</si>
  <si>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</si>
  <si>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</si>
  <si>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</si>
  <si>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</si>
  <si>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</si>
  <si>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</si>
  <si>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</si>
  <si>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</si>
  <si>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</si>
  <si>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</si>
  <si>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</si>
  <si>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</si>
  <si>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</si>
  <si>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</si>
  <si>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</si>
  <si>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</si>
  <si>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</si>
  <si>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</si>
  <si>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</si>
  <si>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</si>
  <si>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</si>
  <si>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</si>
  <si>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</si>
  <si>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</si>
  <si>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</si>
  <si>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</si>
  <si>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</si>
  <si>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</si>
  <si>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</si>
  <si>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</si>
  <si>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</si>
  <si>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</si>
  <si>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</si>
  <si>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</si>
  <si>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</si>
  <si>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</si>
  <si>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</si>
  <si>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</si>
  <si>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</si>
  <si>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</si>
  <si>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</si>
  <si>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</si>
  <si>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</si>
  <si>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</si>
  <si>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</si>
  <si>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</si>
  <si>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</si>
  <si>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</si>
  <si>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</si>
  <si>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</si>
  <si>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</si>
  <si>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</si>
  <si>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</si>
  <si>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</si>
  <si>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</si>
  <si>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</si>
  <si>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</si>
  <si>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</si>
  <si>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</si>
  <si>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</si>
  <si>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</si>
  <si>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</si>
  <si>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</si>
  <si>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</si>
  <si>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</si>
  <si>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</si>
  <si>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</si>
  <si>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</si>
  <si>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</si>
  <si>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</si>
  <si>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</si>
  <si>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53.119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</si>
  <si>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</si>
  <si>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</si>
  <si>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</si>
  <si>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</si>
  <si>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</si>
  <si>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</si>
  <si>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</si>
  <si>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</si>
  <si>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</si>
  <si>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</si>
  <si>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</si>
  <si>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</si>
  <si>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</si>
  <si>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</si>
  <si>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</si>
  <si>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</si>
  <si>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</si>
  <si>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</si>
  <si>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</si>
  <si>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</si>
  <si>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</si>
  <si>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</si>
  <si>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</si>
  <si>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25.33</t>
  </si>
  <si>
    <t>24.991</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</si>
  <si>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</si>
  <si>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</si>
  <si>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</si>
  <si>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</si>
  <si>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</si>
  <si>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</si>
  <si>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</si>
  <si>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</si>
  <si>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</si>
  <si>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</si>
  <si>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</si>
  <si>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</si>
  <si>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</si>
  <si>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</si>
  <si>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</si>
  <si>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</si>
  <si>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</si>
  <si>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</si>
  <si>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</si>
  <si>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</si>
  <si>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</si>
  <si>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</si>
  <si>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</si>
  <si>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</si>
  <si>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</si>
  <si>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</si>
  <si>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23.08</t>
  </si>
  <si>
    <t>23.44</t>
  </si>
  <si>
    <t>25.725</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</si>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</sst>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tatoriHF17g" TargetMode="External"/><Relationship Id="rId1217" Type="http://schemas.openxmlformats.org/officeDocument/2006/relationships/hyperlink" Target="https://youtu.be/8Hf-tUfqge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bexrgluZ0ic"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UGyuhE5wz4s"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08" t="s">
        <v>7519</v>
      </c>
      <c r="R1" s="1012" t="s">
        <v>7520</v>
      </c>
      <c r="S1" s="1008" t="s">
        <v>1808</v>
      </c>
      <c r="T1" s="1008" t="s">
        <v>7521</v>
      </c>
      <c r="U1" s="1008" t="s">
        <v>7275</v>
      </c>
      <c r="V1" s="1009" t="s">
        <v>7522</v>
      </c>
      <c r="W1" s="1008" t="s">
        <v>2715</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56</v>
      </c>
      <c r="R2" s="1017">
        <f t="shared" si="1"/>
        <v>53</v>
      </c>
      <c r="S2" s="1017">
        <f t="shared" si="1"/>
        <v>47</v>
      </c>
      <c r="T2" s="1017">
        <f t="shared" si="1"/>
        <v>43</v>
      </c>
      <c r="U2" s="1017">
        <f t="shared" si="1"/>
        <v>42</v>
      </c>
      <c r="V2" s="1017">
        <f t="shared" si="1"/>
        <v>39</v>
      </c>
      <c r="W2" s="1017">
        <f t="shared" si="1"/>
        <v>42</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19"/>
      <c r="R3" s="1022"/>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2"/>
      <c r="R4" s="1033"/>
      <c r="S4" s="1029" t="str">
        <f>HYPERLINK("https://clips.twitch.tv/ZealousSeductiveOkapiCharlieBitMe","51.96")</f>
        <v>51.96</v>
      </c>
      <c r="T4" s="1031"/>
      <c r="U4" s="1029" t="s">
        <v>1801</v>
      </c>
      <c r="V4" s="1031"/>
      <c r="W4" s="1031"/>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2"/>
      <c r="R5" s="1038" t="s">
        <v>7550</v>
      </c>
      <c r="S5" s="1036"/>
      <c r="T5" s="1036" t="s">
        <v>7083</v>
      </c>
      <c r="U5" s="1036" t="s">
        <v>2584</v>
      </c>
      <c r="V5" s="1036"/>
      <c r="W5" s="1036"/>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32"/>
      <c r="R6" s="1043" t="s">
        <v>7554</v>
      </c>
      <c r="S6" s="1031" t="s">
        <v>102</v>
      </c>
      <c r="T6" s="1031"/>
      <c r="U6" s="1031"/>
      <c r="V6" s="1031"/>
      <c r="W6" s="1029" t="s">
        <v>7254</v>
      </c>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7"/>
      <c r="R7" s="1043" t="s">
        <v>7557</v>
      </c>
      <c r="S7" s="1047"/>
      <c r="T7" s="1047"/>
      <c r="U7" s="1047"/>
      <c r="V7" s="1047"/>
      <c r="W7" s="1029" t="s">
        <v>2125</v>
      </c>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32"/>
      <c r="R8" s="1050" t="s">
        <v>7562</v>
      </c>
      <c r="S8" s="1036" t="s">
        <v>5865</v>
      </c>
      <c r="T8" s="1036" t="s">
        <v>3855</v>
      </c>
      <c r="U8" s="1036" t="s">
        <v>7563</v>
      </c>
      <c r="V8" s="1036" t="s">
        <v>7564</v>
      </c>
      <c r="W8" s="1036"/>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7"/>
      <c r="R9" s="1043" t="s">
        <v>7567</v>
      </c>
      <c r="S9" s="1047"/>
      <c r="T9" s="1047" t="s">
        <v>2325</v>
      </c>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32"/>
      <c r="R10" s="1050" t="s">
        <v>7570</v>
      </c>
      <c r="S10" s="1031"/>
      <c r="T10" s="1031"/>
      <c r="U10" s="1031"/>
      <c r="V10" s="1031"/>
      <c r="W10" s="1031"/>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32"/>
      <c r="R11" s="1050" t="s">
        <v>7572</v>
      </c>
      <c r="S11" s="1031"/>
      <c r="T11" s="1031"/>
      <c r="U11" s="1031"/>
      <c r="V11" s="1031"/>
      <c r="W11" s="1031"/>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32"/>
      <c r="R12" s="1043" t="s">
        <v>7577</v>
      </c>
      <c r="S12" s="1036" t="s">
        <v>4500</v>
      </c>
      <c r="T12" s="1036"/>
      <c r="U12" s="1036" t="s">
        <v>4378</v>
      </c>
      <c r="V12" s="1036"/>
      <c r="W12" s="1036" t="s">
        <v>655</v>
      </c>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32"/>
      <c r="R13" s="1059"/>
      <c r="S13" s="1031" t="s">
        <v>3875</v>
      </c>
      <c r="T13" s="1031"/>
      <c r="U13" s="1029" t="s">
        <v>7583</v>
      </c>
      <c r="V13" s="1031" t="s">
        <v>1500</v>
      </c>
      <c r="W13" s="1031"/>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c r="R14" s="1062" t="s">
        <v>5441</v>
      </c>
      <c r="S14" s="1036" t="s">
        <v>2278</v>
      </c>
      <c r="T14" s="1036" t="s">
        <v>3908</v>
      </c>
      <c r="U14" s="1036"/>
      <c r="V14" s="1036"/>
      <c r="W14" s="1036"/>
      <c r="X14" s="1036" t="s">
        <v>5654</v>
      </c>
      <c r="Y14" s="1036"/>
      <c r="Z14" s="1036" t="s">
        <v>4521</v>
      </c>
      <c r="AA14" s="1036"/>
      <c r="AB14" s="1036"/>
      <c r="AC14" s="1036" t="s">
        <v>6136</v>
      </c>
      <c r="AD14" s="1036"/>
      <c r="AE14" s="1036"/>
      <c r="AF14" s="1036" t="s">
        <v>664</v>
      </c>
      <c r="AG14" s="1036" t="s">
        <v>6913</v>
      </c>
      <c r="AH14" s="1036"/>
      <c r="AI14" s="1036" t="s">
        <v>5441</v>
      </c>
      <c r="AJ14" s="1036"/>
      <c r="AK14" s="1036"/>
      <c r="AL14" s="1061"/>
      <c r="AM14" s="1036"/>
      <c r="AN14" s="1036"/>
      <c r="AO14" s="1036" t="s">
        <v>352</v>
      </c>
      <c r="AP14" s="1036"/>
      <c r="AQ14" s="1036"/>
      <c r="AR14" s="1061"/>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32"/>
      <c r="R15" s="1059"/>
      <c r="S15" s="1036" t="s">
        <v>1953</v>
      </c>
      <c r="T15" s="1036"/>
      <c r="U15" s="1029" t="s">
        <v>2586</v>
      </c>
      <c r="V15" s="1036"/>
      <c r="W15" s="1036"/>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32"/>
      <c r="R16" s="1050" t="s">
        <v>7585</v>
      </c>
      <c r="S16" s="1036"/>
      <c r="T16" s="1036"/>
      <c r="U16" s="1036" t="s">
        <v>7586</v>
      </c>
      <c r="V16" s="1036"/>
      <c r="W16" s="1036"/>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32"/>
      <c r="R17" s="1062"/>
      <c r="S17" s="1031" t="s">
        <v>7593</v>
      </c>
      <c r="T17" s="1031"/>
      <c r="U17" s="1031"/>
      <c r="V17" s="1031" t="s">
        <v>2671</v>
      </c>
      <c r="W17" s="1031"/>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32"/>
      <c r="R18" s="1050" t="s">
        <v>7598</v>
      </c>
      <c r="S18" s="1036" t="str">
        <f>HYPERLINK("https://clips.twitch.tv/ManlyHedonisticDotterelOMGScoots","45.85")</f>
        <v>45.85</v>
      </c>
      <c r="T18" s="1036"/>
      <c r="U18" s="1036"/>
      <c r="V18" s="1036"/>
      <c r="W18" s="1036"/>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32"/>
      <c r="R19" s="1062"/>
      <c r="S19" s="1036" t="s">
        <v>7600</v>
      </c>
      <c r="T19" s="1036" t="s">
        <v>7601</v>
      </c>
      <c r="U19" s="1036"/>
      <c r="V19" s="1036"/>
      <c r="W19" s="1036"/>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32" t="s">
        <v>235</v>
      </c>
      <c r="R20" s="1059"/>
      <c r="S20" s="1036" t="s">
        <v>1557</v>
      </c>
      <c r="T20" s="1036"/>
      <c r="U20" s="1036" t="s">
        <v>7603</v>
      </c>
      <c r="V20" s="1036"/>
      <c r="W20" s="1029" t="s">
        <v>5724</v>
      </c>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8"/>
      <c r="R21" s="1062" t="s">
        <v>7608</v>
      </c>
      <c r="S21" s="1067"/>
      <c r="T21" s="1067"/>
      <c r="U21" s="1067"/>
      <c r="V21" s="1067"/>
      <c r="W21" s="1069" t="s">
        <v>7607</v>
      </c>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68"/>
      <c r="R22" s="1033"/>
      <c r="S22" s="1067"/>
      <c r="T22" s="1071" t="s">
        <v>1847</v>
      </c>
      <c r="U22" s="1067"/>
      <c r="V22" s="1067"/>
      <c r="W22" s="1067"/>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68"/>
      <c r="R23" s="1033"/>
      <c r="S23" s="1067" t="s">
        <v>7611</v>
      </c>
      <c r="T23" s="1067"/>
      <c r="U23" s="1067"/>
      <c r="V23" s="1067"/>
      <c r="W23" s="1067"/>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2"/>
      <c r="R24" s="1039"/>
      <c r="S24" s="1036" t="s">
        <v>7615</v>
      </c>
      <c r="T24" s="1036"/>
      <c r="U24" s="1036"/>
      <c r="V24" s="1036"/>
      <c r="W24" s="1036"/>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2"/>
      <c r="R25" s="1033"/>
      <c r="S25" s="1036" t="s">
        <v>7620</v>
      </c>
      <c r="T25" s="1036"/>
      <c r="U25" s="1036"/>
      <c r="V25" s="1036"/>
      <c r="W25" s="1036"/>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32" t="s">
        <v>7623</v>
      </c>
      <c r="R26" s="1059" t="s">
        <v>7624</v>
      </c>
      <c r="S26" s="1036" t="s">
        <v>1021</v>
      </c>
      <c r="T26" s="1036"/>
      <c r="U26" s="1036"/>
      <c r="V26" s="1036"/>
      <c r="W26" s="1036"/>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7625</v>
      </c>
      <c r="C27" s="1025" t="s">
        <v>2832</v>
      </c>
      <c r="D27" s="1029" t="s">
        <v>1559</v>
      </c>
      <c r="E27" s="1036" t="s">
        <v>7626</v>
      </c>
      <c r="F27" s="1057" t="s">
        <v>6699</v>
      </c>
      <c r="G27" s="1036"/>
      <c r="H27" s="1048"/>
      <c r="I27" s="1036"/>
      <c r="J27" s="1036"/>
      <c r="K27" s="1036"/>
      <c r="L27" s="1036"/>
      <c r="M27" s="1036"/>
      <c r="N27" s="1036"/>
      <c r="O27" s="1036"/>
      <c r="P27" s="1032"/>
      <c r="Q27" s="1032"/>
      <c r="R27" s="1033"/>
      <c r="S27" s="1036"/>
      <c r="T27" s="1036"/>
      <c r="U27" s="1036"/>
      <c r="V27" s="1036"/>
      <c r="W27" s="1036" t="s">
        <v>4568</v>
      </c>
      <c r="X27" s="1036"/>
      <c r="Y27" s="1036"/>
      <c r="Z27" s="1036"/>
      <c r="AA27" s="1036"/>
      <c r="AB27" s="1036"/>
      <c r="AC27" s="1036"/>
      <c r="AD27" s="1036"/>
      <c r="AE27" s="1036"/>
      <c r="AF27" s="1036"/>
      <c r="AG27" s="1036"/>
      <c r="AH27" s="1036"/>
      <c r="AI27" s="1036"/>
      <c r="AJ27" s="1036"/>
      <c r="AK27" s="1036"/>
      <c r="AL27" s="1029" t="s">
        <v>7627</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7628</v>
      </c>
      <c r="C28" s="1025" t="s">
        <v>7629</v>
      </c>
      <c r="D28" s="1036"/>
      <c r="E28" s="1036" t="s">
        <v>7629</v>
      </c>
      <c r="F28" s="1042" t="s">
        <v>2550</v>
      </c>
      <c r="G28" s="1036"/>
      <c r="H28" s="1030" t="s">
        <v>1265</v>
      </c>
      <c r="I28" s="1036"/>
      <c r="J28" s="1036" t="s">
        <v>7630</v>
      </c>
      <c r="K28" s="1036" t="s">
        <v>7631</v>
      </c>
      <c r="L28" s="1036"/>
      <c r="M28" s="1036"/>
      <c r="N28" s="1036"/>
      <c r="O28" s="1036" t="s">
        <v>7632</v>
      </c>
      <c r="P28" s="1032" t="s">
        <v>7633</v>
      </c>
      <c r="Q28" s="1032"/>
      <c r="R28" s="1039"/>
      <c r="S28" s="1036" t="s">
        <v>7634</v>
      </c>
      <c r="T28" s="1036"/>
      <c r="U28" s="1036" t="s">
        <v>107</v>
      </c>
      <c r="V28" s="1036" t="s">
        <v>3315</v>
      </c>
      <c r="W28" s="1036"/>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7635</v>
      </c>
      <c r="C29" s="1025" t="s">
        <v>5471</v>
      </c>
      <c r="D29" s="1036" t="s">
        <v>479</v>
      </c>
      <c r="E29" s="1036" t="s">
        <v>5471</v>
      </c>
      <c r="F29" s="1028"/>
      <c r="G29" s="1036"/>
      <c r="H29" s="1030" t="s">
        <v>5607</v>
      </c>
      <c r="I29" s="1036"/>
      <c r="J29" s="1036"/>
      <c r="K29" s="1036" t="s">
        <v>479</v>
      </c>
      <c r="L29" s="1036"/>
      <c r="M29" s="1036"/>
      <c r="N29" s="1036"/>
      <c r="O29" s="1036"/>
      <c r="P29" s="1032"/>
      <c r="Q29" s="1032"/>
      <c r="R29" s="1062" t="s">
        <v>4881</v>
      </c>
      <c r="S29" s="1036"/>
      <c r="T29" s="1036"/>
      <c r="U29" s="1036"/>
      <c r="V29" s="1036"/>
      <c r="W29" s="1036"/>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7636</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7637</v>
      </c>
      <c r="C30" s="1025" t="s">
        <v>2960</v>
      </c>
      <c r="D30" s="1036"/>
      <c r="E30" s="1036" t="s">
        <v>2960</v>
      </c>
      <c r="F30" s="1037"/>
      <c r="G30" s="1036"/>
      <c r="H30" s="1048"/>
      <c r="I30" s="1036"/>
      <c r="J30" s="1036"/>
      <c r="K30" s="1036" t="s">
        <v>5740</v>
      </c>
      <c r="L30" s="1036"/>
      <c r="M30" s="1036"/>
      <c r="N30" s="1036"/>
      <c r="O30" s="1036"/>
      <c r="P30" s="1032"/>
      <c r="Q30" s="1032"/>
      <c r="R30" s="1039"/>
      <c r="S30" s="1036"/>
      <c r="T30" s="1036"/>
      <c r="U30" s="1036"/>
      <c r="V30" s="1036"/>
      <c r="W30" s="1036"/>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7638</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32"/>
      <c r="R31" s="1062" t="s">
        <v>2558</v>
      </c>
      <c r="S31" s="1036"/>
      <c r="T31" s="1036"/>
      <c r="U31" s="1036"/>
      <c r="V31" s="1036"/>
      <c r="W31" s="1036"/>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7639</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2"/>
      <c r="R32" s="1039"/>
      <c r="S32" s="1036"/>
      <c r="T32" s="1036"/>
      <c r="U32" s="1036"/>
      <c r="V32" s="1036"/>
      <c r="W32" s="1036"/>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7640</v>
      </c>
      <c r="C33" s="1025" t="s">
        <v>3878</v>
      </c>
      <c r="D33" s="1036"/>
      <c r="E33" s="1036" t="s">
        <v>3878</v>
      </c>
      <c r="F33" s="1028"/>
      <c r="G33" s="1036"/>
      <c r="H33" s="1048"/>
      <c r="I33" s="1036"/>
      <c r="J33" s="1036"/>
      <c r="K33" s="1036" t="s">
        <v>559</v>
      </c>
      <c r="L33" s="1036"/>
      <c r="M33" s="1036"/>
      <c r="N33" s="1036"/>
      <c r="O33" s="1036"/>
      <c r="P33" s="1032"/>
      <c r="Q33" s="1032"/>
      <c r="R33" s="1033"/>
      <c r="S33" s="1036"/>
      <c r="T33" s="1036"/>
      <c r="U33" s="1036"/>
      <c r="V33" s="1036"/>
      <c r="W33" s="1036"/>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7641</v>
      </c>
      <c r="C34" s="1025" t="s">
        <v>2883</v>
      </c>
      <c r="D34" s="1036"/>
      <c r="E34" s="1036" t="s">
        <v>3175</v>
      </c>
      <c r="F34" s="1037"/>
      <c r="G34" s="1036"/>
      <c r="H34" s="1048"/>
      <c r="I34" s="1036"/>
      <c r="J34" s="1036"/>
      <c r="K34" s="1036" t="s">
        <v>4266</v>
      </c>
      <c r="L34" s="1036"/>
      <c r="M34" s="1036" t="s">
        <v>2883</v>
      </c>
      <c r="N34" s="1036"/>
      <c r="O34" s="1036"/>
      <c r="P34" s="1032"/>
      <c r="Q34" s="1032"/>
      <c r="R34" s="1039"/>
      <c r="S34" s="1036"/>
      <c r="T34" s="1036"/>
      <c r="U34" s="1036"/>
      <c r="V34" s="1036"/>
      <c r="W34" s="1036"/>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7642</v>
      </c>
      <c r="C35" s="1025" t="s">
        <v>3747</v>
      </c>
      <c r="D35" s="1036"/>
      <c r="E35" s="1036" t="s">
        <v>3449</v>
      </c>
      <c r="F35" s="1028"/>
      <c r="G35" s="1036"/>
      <c r="H35" s="1048"/>
      <c r="I35" s="1036"/>
      <c r="J35" s="1036" t="s">
        <v>3747</v>
      </c>
      <c r="K35" s="1036" t="s">
        <v>3878</v>
      </c>
      <c r="L35" s="1036"/>
      <c r="M35" s="1036" t="s">
        <v>5439</v>
      </c>
      <c r="N35" s="1036"/>
      <c r="O35" s="1036"/>
      <c r="P35" s="1032"/>
      <c r="Q35" s="1078" t="s">
        <v>7643</v>
      </c>
      <c r="R35" s="1033"/>
      <c r="S35" s="1036" t="s">
        <v>7644</v>
      </c>
      <c r="T35" s="1029" t="s">
        <v>3747</v>
      </c>
      <c r="U35" s="1036"/>
      <c r="V35" s="1036"/>
      <c r="W35" s="1036"/>
      <c r="X35" s="1036"/>
      <c r="Y35" s="1036"/>
      <c r="Z35" s="1036"/>
      <c r="AA35" s="1036"/>
      <c r="AB35" s="1036"/>
      <c r="AC35" s="1036"/>
      <c r="AD35" s="1036"/>
      <c r="AE35" s="1036"/>
      <c r="AF35" s="1036"/>
      <c r="AG35" s="1036"/>
      <c r="AH35" s="1036"/>
      <c r="AI35" s="1036"/>
      <c r="AJ35" s="1036"/>
      <c r="AK35" s="1036"/>
      <c r="AL35" s="1061"/>
      <c r="AM35" s="1036"/>
      <c r="AN35" s="1036"/>
      <c r="AO35" s="1036"/>
      <c r="AP35" s="1036"/>
      <c r="AQ35" s="1036"/>
      <c r="AR35" s="1061"/>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7645</v>
      </c>
      <c r="C36" s="1025" t="s">
        <v>4147</v>
      </c>
      <c r="D36" s="1036"/>
      <c r="E36" s="1036" t="s">
        <v>3849</v>
      </c>
      <c r="F36" s="1037"/>
      <c r="G36" s="1036"/>
      <c r="H36" s="1048"/>
      <c r="I36" s="1036"/>
      <c r="J36" s="1036" t="s">
        <v>4147</v>
      </c>
      <c r="K36" s="1036" t="s">
        <v>7646</v>
      </c>
      <c r="L36" s="1036" t="s">
        <v>2271</v>
      </c>
      <c r="M36" s="1036" t="s">
        <v>2883</v>
      </c>
      <c r="N36" s="1036"/>
      <c r="O36" s="1036"/>
      <c r="P36" s="1032"/>
      <c r="Q36" s="1032"/>
      <c r="R36" s="1039"/>
      <c r="S36" s="1036"/>
      <c r="T36" s="1036"/>
      <c r="U36" s="1036"/>
      <c r="V36" s="1036"/>
      <c r="W36" s="1036"/>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7647</v>
      </c>
      <c r="C37" s="1025" t="s">
        <v>2316</v>
      </c>
      <c r="D37" s="1036" t="s">
        <v>1560</v>
      </c>
      <c r="E37" s="1036" t="s">
        <v>3747</v>
      </c>
      <c r="F37" s="1057" t="s">
        <v>3161</v>
      </c>
      <c r="G37" s="1036"/>
      <c r="H37" s="1048"/>
      <c r="I37" s="1036" t="s">
        <v>7648</v>
      </c>
      <c r="J37" s="1036" t="s">
        <v>2316</v>
      </c>
      <c r="K37" s="1036" t="s">
        <v>2271</v>
      </c>
      <c r="L37" s="1036"/>
      <c r="M37" s="1036" t="s">
        <v>7646</v>
      </c>
      <c r="N37" s="1036"/>
      <c r="O37" s="1036"/>
      <c r="P37" s="1032"/>
      <c r="Q37" s="1032"/>
      <c r="R37" s="1033"/>
      <c r="S37" s="1036" t="s">
        <v>3142</v>
      </c>
      <c r="T37" s="1036"/>
      <c r="U37" s="1036"/>
      <c r="V37" s="1036"/>
      <c r="W37" s="1029" t="s">
        <v>3747</v>
      </c>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7649</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2"/>
      <c r="R38" s="1039"/>
      <c r="S38" s="1036" t="str">
        <f>HYPERLINK("https://clips.twitch.tv/AggressiveBigTeaNononoCat","40.26")</f>
        <v>40.26</v>
      </c>
      <c r="T38" s="1036"/>
      <c r="U38" s="1036"/>
      <c r="V38" s="1036" t="s">
        <v>4010</v>
      </c>
      <c r="W38" s="1036" t="s">
        <v>476</v>
      </c>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7650</v>
      </c>
      <c r="C39" s="1025" t="s">
        <v>4371</v>
      </c>
      <c r="D39" s="1036" t="s">
        <v>7651</v>
      </c>
      <c r="E39" s="1036" t="s">
        <v>4371</v>
      </c>
      <c r="F39" s="1057" t="s">
        <v>7652</v>
      </c>
      <c r="G39" s="1036"/>
      <c r="H39" s="1030" t="s">
        <v>3129</v>
      </c>
      <c r="I39" s="1036"/>
      <c r="J39" s="1036"/>
      <c r="K39" s="1036" t="s">
        <v>354</v>
      </c>
      <c r="L39" s="1036"/>
      <c r="M39" s="1036"/>
      <c r="N39" s="1036"/>
      <c r="O39" s="1036"/>
      <c r="P39" s="1032"/>
      <c r="Q39" s="1032" t="s">
        <v>4090</v>
      </c>
      <c r="R39" s="1033"/>
      <c r="S39" s="1036" t="s">
        <v>3183</v>
      </c>
      <c r="T39" s="1036"/>
      <c r="U39" s="1036"/>
      <c r="V39" s="1036"/>
      <c r="W39" s="1036"/>
      <c r="X39" s="1036"/>
      <c r="Y39" s="1036"/>
      <c r="Z39" s="1036" t="s">
        <v>7653</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9"/>
      <c r="B40" s="1035" t="s">
        <v>7654</v>
      </c>
      <c r="C40" s="1025" t="s">
        <v>2540</v>
      </c>
      <c r="D40" s="1036" t="s">
        <v>2755</v>
      </c>
      <c r="E40" s="1036" t="s">
        <v>3666</v>
      </c>
      <c r="F40" s="1055" t="s">
        <v>5050</v>
      </c>
      <c r="G40" s="1036" t="s">
        <v>7655</v>
      </c>
      <c r="H40" s="1030" t="s">
        <v>713</v>
      </c>
      <c r="I40" s="1036"/>
      <c r="J40" s="1036" t="s">
        <v>849</v>
      </c>
      <c r="K40" s="1036" t="s">
        <v>1178</v>
      </c>
      <c r="L40" s="1036"/>
      <c r="M40" s="1036"/>
      <c r="N40" s="1036"/>
      <c r="O40" s="1036"/>
      <c r="P40" s="1032"/>
      <c r="Q40" s="1032"/>
      <c r="S40" s="1036" t="s">
        <v>296</v>
      </c>
      <c r="T40" s="1036"/>
      <c r="U40" s="1036" t="s">
        <v>1001</v>
      </c>
      <c r="V40" s="1036"/>
      <c r="W40" s="1036"/>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7656</v>
      </c>
      <c r="B41" s="1024" t="s">
        <v>7657</v>
      </c>
      <c r="C41" s="1025" t="s">
        <v>1065</v>
      </c>
      <c r="D41" s="1036" t="s">
        <v>5297</v>
      </c>
      <c r="E41" s="1036" t="s">
        <v>7658</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32"/>
      <c r="R41" s="1050" t="s">
        <v>4418</v>
      </c>
      <c r="S41" s="1036" t="str">
        <f>HYPERLINK("https://clips.twitch.tv/VainSmokyPotSeemsGood","16.88")</f>
        <v>16.88</v>
      </c>
      <c r="T41" s="1036"/>
      <c r="U41" s="1036" t="s">
        <v>1065</v>
      </c>
      <c r="V41" s="1036"/>
      <c r="W41" s="1036"/>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7659</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32" t="s">
        <v>905</v>
      </c>
      <c r="R42" s="1059" t="s">
        <v>305</v>
      </c>
      <c r="S42" s="1031"/>
      <c r="T42" s="1031"/>
      <c r="U42" s="1031"/>
      <c r="V42" s="1031"/>
      <c r="W42" s="1029" t="s">
        <v>2552</v>
      </c>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7660</v>
      </c>
      <c r="B43" s="1024" t="s">
        <v>7661</v>
      </c>
      <c r="C43" s="1025" t="s">
        <v>4964</v>
      </c>
      <c r="D43" s="990" t="s">
        <v>1562</v>
      </c>
      <c r="E43" s="1080"/>
      <c r="F43" s="1028"/>
      <c r="G43" s="1080"/>
      <c r="H43" s="1048"/>
      <c r="I43" s="1080"/>
      <c r="J43" s="1080"/>
      <c r="K43" s="1080"/>
      <c r="L43" s="1080" t="s">
        <v>906</v>
      </c>
      <c r="M43" s="1080"/>
      <c r="N43" s="1080"/>
      <c r="O43" s="1080"/>
      <c r="P43" s="1078"/>
      <c r="Q43" s="1078" t="s">
        <v>7662</v>
      </c>
      <c r="R43" s="1033"/>
      <c r="S43" s="1080"/>
      <c r="T43" s="1080"/>
      <c r="U43" s="1080"/>
      <c r="V43" s="1080"/>
      <c r="W43" s="1029" t="s">
        <v>341</v>
      </c>
      <c r="X43" s="1080"/>
      <c r="Y43" s="1080"/>
      <c r="Z43" s="1080"/>
      <c r="AA43" s="1080"/>
      <c r="AB43" s="1080"/>
      <c r="AC43" s="1080"/>
      <c r="AD43" s="1080"/>
      <c r="AE43" s="1080"/>
      <c r="AF43" s="1080"/>
      <c r="AG43" s="1080"/>
      <c r="AH43" s="1080"/>
      <c r="AI43" s="1080"/>
      <c r="AJ43" s="1080"/>
      <c r="AK43" s="1080"/>
      <c r="AL43" s="1078"/>
      <c r="AM43" s="1080"/>
      <c r="AN43" s="1080"/>
      <c r="AO43" s="1080"/>
      <c r="AP43" s="1080"/>
      <c r="AQ43" s="1080"/>
      <c r="AR43" s="1078"/>
      <c r="AS43" s="1080"/>
      <c r="AT43" s="1080"/>
      <c r="AU43" s="1033"/>
      <c r="AV43" s="1080"/>
      <c r="AW43" s="1080"/>
      <c r="AX43" s="1080"/>
      <c r="AY43" s="1080"/>
      <c r="AZ43" s="1080"/>
      <c r="BA43" s="1033"/>
      <c r="BB43" s="1080"/>
      <c r="BC43" s="1080"/>
      <c r="BD43" s="1080"/>
      <c r="BE43" s="1080"/>
      <c r="BF43" s="1080"/>
      <c r="BG43" s="1080"/>
      <c r="BH43" s="1080"/>
      <c r="BI43" s="1033"/>
      <c r="BJ43" s="1033"/>
      <c r="BK43" s="1033"/>
      <c r="BL43" s="1033"/>
      <c r="BM43" s="1033"/>
      <c r="BN43" s="1033"/>
      <c r="BO43" s="1033"/>
    </row>
    <row r="44" ht="15.75" customHeight="1">
      <c r="A44" s="1023" t="s">
        <v>7663</v>
      </c>
      <c r="B44" s="1024" t="s">
        <v>7664</v>
      </c>
      <c r="C44" s="1025" t="s">
        <v>2404</v>
      </c>
      <c r="D44" s="987" t="s">
        <v>1355</v>
      </c>
      <c r="E44" s="1036" t="s">
        <v>2404</v>
      </c>
      <c r="F44" s="1028"/>
      <c r="G44" s="1036"/>
      <c r="H44" s="1048"/>
      <c r="I44" s="1036" t="str">
        <f>HYPERLINK("https://youtu.be/t-1yqXLdZMA","38.05")</f>
        <v>38.05</v>
      </c>
      <c r="J44" s="1036" t="s">
        <v>7665</v>
      </c>
      <c r="K44" s="1036" t="s">
        <v>2273</v>
      </c>
      <c r="L44" s="1036" t="s">
        <v>834</v>
      </c>
      <c r="M44" s="1036" t="s">
        <v>3143</v>
      </c>
      <c r="N44" s="1036" t="str">
        <f>HYPERLINK("https://youtu.be/Vn6tjVSJ144","36.45")</f>
        <v>36.45</v>
      </c>
      <c r="O44" s="1036"/>
      <c r="P44" s="1032"/>
      <c r="Q44" s="1032" t="s">
        <v>806</v>
      </c>
      <c r="R44" s="1033"/>
      <c r="S44" s="1036"/>
      <c r="T44" s="1036"/>
      <c r="U44" s="1036"/>
      <c r="V44" s="1036"/>
      <c r="W44" s="1036"/>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7666</v>
      </c>
      <c r="B45" s="1045" t="s">
        <v>7664</v>
      </c>
      <c r="C45" s="1081"/>
      <c r="D45" s="1082" t="s">
        <v>7667</v>
      </c>
      <c r="E45" s="1036"/>
      <c r="F45" s="1028"/>
      <c r="G45" s="1031" t="s">
        <v>7668</v>
      </c>
      <c r="H45" s="1048"/>
      <c r="I45" s="1036"/>
      <c r="J45" s="1036"/>
      <c r="K45" s="1036"/>
      <c r="L45" s="1036"/>
      <c r="M45" s="1036"/>
      <c r="N45" s="1036"/>
      <c r="O45" s="1036"/>
      <c r="P45" s="1032"/>
      <c r="Q45" s="1032" t="s">
        <v>7669</v>
      </c>
      <c r="R45" s="1033"/>
      <c r="S45" s="1036"/>
      <c r="T45" s="1036"/>
      <c r="U45" s="1036"/>
      <c r="V45" s="1036"/>
      <c r="W45" s="1036"/>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7670</v>
      </c>
      <c r="B46" s="1024" t="s">
        <v>7664</v>
      </c>
      <c r="C46" s="1025" t="s">
        <v>7671</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2"/>
      <c r="R46" s="1033"/>
      <c r="S46" s="1036"/>
      <c r="T46" s="1036"/>
      <c r="U46" s="1036" t="s">
        <v>7671</v>
      </c>
      <c r="V46" s="1036"/>
      <c r="W46" s="1036"/>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9"/>
      <c r="B47" s="1035" t="s">
        <v>7672</v>
      </c>
      <c r="C47" s="1046" t="s">
        <v>2636</v>
      </c>
      <c r="D47" s="1032"/>
      <c r="E47" s="1032"/>
      <c r="F47" s="1037"/>
      <c r="G47" s="1032"/>
      <c r="H47" s="1048"/>
      <c r="I47" s="1029" t="s">
        <v>2636</v>
      </c>
      <c r="J47" s="1032"/>
      <c r="K47" s="1032"/>
      <c r="L47" s="1032"/>
      <c r="M47" s="1032"/>
      <c r="N47" s="1032"/>
      <c r="O47" s="1032"/>
      <c r="P47" s="1032"/>
      <c r="Q47" s="1032"/>
      <c r="R47" s="1039"/>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7673</v>
      </c>
      <c r="C48" s="1025" t="s">
        <v>3231</v>
      </c>
      <c r="D48" s="1032"/>
      <c r="E48" s="1032"/>
      <c r="F48" s="1028"/>
      <c r="G48" s="1032"/>
      <c r="H48" s="1048"/>
      <c r="I48" s="1029" t="s">
        <v>3231</v>
      </c>
      <c r="J48" s="1032"/>
      <c r="K48" s="1032"/>
      <c r="L48" s="1032"/>
      <c r="M48" s="1032"/>
      <c r="N48" s="1032"/>
      <c r="O48" s="1032"/>
      <c r="P48" s="1032"/>
      <c r="Q48" s="1032"/>
      <c r="R48" s="1033"/>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9"/>
      <c r="B49" s="1035" t="s">
        <v>7674</v>
      </c>
      <c r="C49" s="1025" t="s">
        <v>5469</v>
      </c>
      <c r="D49" s="1084" t="s">
        <v>6152</v>
      </c>
      <c r="E49" s="1032"/>
      <c r="F49" s="1037"/>
      <c r="G49" s="1032" t="s">
        <v>2013</v>
      </c>
      <c r="H49" s="1048"/>
      <c r="I49" s="1029" t="s">
        <v>5469</v>
      </c>
      <c r="J49" s="1085" t="s">
        <v>2274</v>
      </c>
      <c r="K49" s="1032"/>
      <c r="L49" s="1032"/>
      <c r="M49" s="1032"/>
      <c r="N49" s="1032"/>
      <c r="O49" s="1032"/>
      <c r="P49" s="1032"/>
      <c r="Q49" s="1032" t="s">
        <v>7675</v>
      </c>
      <c r="R49" s="1039"/>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7676</v>
      </c>
      <c r="C50" s="1025" t="s">
        <v>7677</v>
      </c>
      <c r="D50" s="1087"/>
      <c r="E50" s="1036"/>
      <c r="F50" s="1028"/>
      <c r="G50" s="1036"/>
      <c r="H50" s="1048"/>
      <c r="I50" s="1036"/>
      <c r="J50" s="1036"/>
      <c r="K50" s="1036"/>
      <c r="L50" s="1036"/>
      <c r="M50" s="1036"/>
      <c r="N50" s="1036"/>
      <c r="O50" s="1036"/>
      <c r="P50" s="1032"/>
      <c r="Q50" s="1032"/>
      <c r="R50" s="1033"/>
      <c r="S50" s="1036"/>
      <c r="T50" s="1036"/>
      <c r="U50" s="1036"/>
      <c r="V50" s="1036"/>
      <c r="W50" s="1036"/>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7677</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7666</v>
      </c>
      <c r="B51" s="1045" t="s">
        <v>7664</v>
      </c>
      <c r="C51" s="1025" t="s">
        <v>7678</v>
      </c>
      <c r="D51" s="1087"/>
      <c r="E51" s="1036"/>
      <c r="F51" s="1028"/>
      <c r="G51" s="1036"/>
      <c r="H51" s="1048"/>
      <c r="I51" s="1036"/>
      <c r="J51" s="1036"/>
      <c r="K51" s="1036"/>
      <c r="L51" s="1036"/>
      <c r="M51" s="1036"/>
      <c r="N51" s="1036"/>
      <c r="O51" s="1036"/>
      <c r="P51" s="1032"/>
      <c r="Q51" s="1032" t="s">
        <v>7679</v>
      </c>
      <c r="R51" s="1033"/>
      <c r="S51" s="1036"/>
      <c r="T51" s="1036"/>
      <c r="U51" s="1071" t="s">
        <v>7678</v>
      </c>
      <c r="V51" s="1036"/>
      <c r="W51" s="1036"/>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9"/>
      <c r="B52" s="1088" t="s">
        <v>7680</v>
      </c>
      <c r="C52" s="1046" t="s">
        <v>7681</v>
      </c>
      <c r="D52" s="1084" t="s">
        <v>7682</v>
      </c>
      <c r="E52" s="1036"/>
      <c r="F52" s="1028"/>
      <c r="G52" s="1036"/>
      <c r="H52" s="1048"/>
      <c r="I52" s="1036"/>
      <c r="J52" s="1036"/>
      <c r="K52" s="1036"/>
      <c r="L52" s="1036"/>
      <c r="M52" s="1036"/>
      <c r="N52" s="1036"/>
      <c r="O52" s="1036"/>
      <c r="P52" s="1032"/>
      <c r="Q52" s="1032" t="s">
        <v>7683</v>
      </c>
      <c r="R52" s="1033"/>
      <c r="S52" s="1036"/>
      <c r="T52" s="1036"/>
      <c r="U52" s="1036"/>
      <c r="V52" s="1036"/>
      <c r="W52" s="1036"/>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7681</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7684</v>
      </c>
      <c r="E53" s="1029" t="s">
        <v>349</v>
      </c>
      <c r="F53" s="1037"/>
      <c r="G53" s="1031"/>
      <c r="H53" s="1030" t="s">
        <v>1270</v>
      </c>
      <c r="I53" s="1031"/>
      <c r="J53" s="1031"/>
      <c r="K53" s="1031"/>
      <c r="L53" s="1029" t="s">
        <v>907</v>
      </c>
      <c r="M53" s="1031"/>
      <c r="N53" s="1031"/>
      <c r="O53" s="1031"/>
      <c r="P53" s="1032"/>
      <c r="Q53" s="1032" t="s">
        <v>7685</v>
      </c>
      <c r="R53" s="1039"/>
      <c r="S53" s="1031"/>
      <c r="T53" s="1031"/>
      <c r="U53" s="1031"/>
      <c r="V53" s="1031"/>
      <c r="W53" s="1031"/>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0"/>
      <c r="R54" s="1094"/>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7686</v>
      </c>
      <c r="B55" s="1096" t="s">
        <v>7687</v>
      </c>
      <c r="C55" s="1097" t="s">
        <v>1845</v>
      </c>
      <c r="D55" s="1036"/>
      <c r="E55" s="1036" t="s">
        <v>1477</v>
      </c>
      <c r="F55" s="1028"/>
      <c r="G55" s="1036"/>
      <c r="H55" s="1030" t="s">
        <v>2020</v>
      </c>
      <c r="I55" s="1036" t="s">
        <v>5750</v>
      </c>
      <c r="J55" s="1036" t="s">
        <v>1845</v>
      </c>
      <c r="K55" s="1036" t="s">
        <v>7688</v>
      </c>
      <c r="L55" s="1036" t="s">
        <v>908</v>
      </c>
      <c r="M55" s="1036" t="s">
        <v>753</v>
      </c>
      <c r="N55" s="1036" t="s">
        <v>2998</v>
      </c>
      <c r="O55" s="1036"/>
      <c r="P55" s="1032" t="s">
        <v>3429</v>
      </c>
      <c r="Q55" s="1098"/>
      <c r="R55" s="1099" t="s">
        <v>7689</v>
      </c>
      <c r="S55" s="1036" t="s">
        <v>122</v>
      </c>
      <c r="T55" s="1036" t="s">
        <v>7690</v>
      </c>
      <c r="U55" s="1036"/>
      <c r="V55" s="1036"/>
      <c r="W55" s="1036" t="s">
        <v>3516</v>
      </c>
      <c r="X55" s="1036" t="s">
        <v>2785</v>
      </c>
      <c r="Y55" s="1036"/>
      <c r="Z55" s="1036"/>
      <c r="AA55" s="1036"/>
      <c r="AB55" s="1036"/>
      <c r="AC55" s="1036"/>
      <c r="AD55" s="1036"/>
      <c r="AE55" s="1036"/>
      <c r="AF55" s="1036"/>
      <c r="AG55" s="1036"/>
      <c r="AH55" s="1036"/>
      <c r="AI55" s="1036"/>
      <c r="AJ55" s="1036"/>
      <c r="AK55" s="1036"/>
      <c r="AL55" s="1098"/>
      <c r="AM55" s="1036" t="s">
        <v>1605</v>
      </c>
      <c r="AN55" s="1036"/>
      <c r="AO55" s="1036"/>
      <c r="AP55" s="1036"/>
      <c r="AQ55" s="1036"/>
      <c r="AR55" s="1098"/>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7691</v>
      </c>
      <c r="C56" s="1097" t="s">
        <v>3198</v>
      </c>
      <c r="D56" s="1036"/>
      <c r="E56" s="1036" t="s">
        <v>3198</v>
      </c>
      <c r="F56" s="1103"/>
      <c r="G56" s="1036"/>
      <c r="H56" s="1048"/>
      <c r="I56" s="1036"/>
      <c r="J56" s="1036"/>
      <c r="K56" s="1036"/>
      <c r="L56" s="1036"/>
      <c r="M56" s="1036"/>
      <c r="N56" s="1036"/>
      <c r="O56" s="1036" t="s">
        <v>402</v>
      </c>
      <c r="P56" s="1032" t="s">
        <v>1303</v>
      </c>
      <c r="Q56" s="1098"/>
      <c r="R56" s="1039"/>
      <c r="S56" s="1036" t="s">
        <v>801</v>
      </c>
      <c r="T56" s="1036"/>
      <c r="U56" s="1036"/>
      <c r="V56" s="1036" t="s">
        <v>5958</v>
      </c>
      <c r="W56" s="1036"/>
      <c r="X56" s="1036"/>
      <c r="Y56" s="1036"/>
      <c r="Z56" s="1036"/>
      <c r="AA56" s="1036"/>
      <c r="AB56" s="1036"/>
      <c r="AC56" s="1036"/>
      <c r="AD56" s="1036"/>
      <c r="AE56" s="1036"/>
      <c r="AF56" s="1036"/>
      <c r="AG56" s="1036"/>
      <c r="AH56" s="1036"/>
      <c r="AI56" s="1036"/>
      <c r="AJ56" s="1036"/>
      <c r="AK56" s="1036"/>
      <c r="AL56" s="1098"/>
      <c r="AM56" s="1036"/>
      <c r="AN56" s="1036"/>
      <c r="AO56" s="1036"/>
      <c r="AP56" s="1036"/>
      <c r="AQ56" s="1036"/>
      <c r="AR56" s="1098"/>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7692</v>
      </c>
      <c r="C57" s="1097">
        <v>52.89</v>
      </c>
      <c r="D57" s="1074" t="s">
        <v>3588</v>
      </c>
      <c r="E57" s="1106"/>
      <c r="F57" s="1028"/>
      <c r="G57" s="1106"/>
      <c r="H57" s="1048"/>
      <c r="I57" s="1106"/>
      <c r="J57" s="1106"/>
      <c r="K57" s="1106"/>
      <c r="L57" s="1106"/>
      <c r="M57" s="1106"/>
      <c r="N57" s="1107" t="s">
        <v>4949</v>
      </c>
      <c r="O57" s="1106"/>
      <c r="P57" s="1032"/>
      <c r="Q57" s="1098"/>
      <c r="R57" s="1100"/>
      <c r="S57" s="1106"/>
      <c r="T57" s="1106"/>
      <c r="U57" s="1106"/>
      <c r="V57" s="1106"/>
      <c r="W57" s="1074" t="s">
        <v>2001</v>
      </c>
      <c r="X57" s="1106"/>
      <c r="Y57" s="1106"/>
      <c r="Z57" s="1106"/>
      <c r="AA57" s="1106"/>
      <c r="AB57" s="1106"/>
      <c r="AC57" s="1106"/>
      <c r="AD57" s="1106"/>
      <c r="AE57" s="1106"/>
      <c r="AF57" s="1106"/>
      <c r="AG57" s="1106"/>
      <c r="AH57" s="1106"/>
      <c r="AI57" s="1106"/>
      <c r="AJ57" s="1106"/>
      <c r="AK57" s="1106"/>
      <c r="AL57" s="1098"/>
      <c r="AM57" s="1106"/>
      <c r="AN57" s="1106"/>
      <c r="AO57" s="1106"/>
      <c r="AP57" s="1106"/>
      <c r="AQ57" s="1106"/>
      <c r="AR57" s="1098"/>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7693</v>
      </c>
      <c r="C58" s="1097" t="s">
        <v>239</v>
      </c>
      <c r="D58" s="1036" t="s">
        <v>492</v>
      </c>
      <c r="E58" s="1074" t="s">
        <v>350</v>
      </c>
      <c r="F58" s="1057" t="s">
        <v>7694</v>
      </c>
      <c r="G58" s="1030" t="s">
        <v>365</v>
      </c>
      <c r="H58" s="1030" t="s">
        <v>1027</v>
      </c>
      <c r="I58" s="1074"/>
      <c r="J58" s="1074"/>
      <c r="K58" s="1074"/>
      <c r="L58" s="1074"/>
      <c r="M58" s="1074"/>
      <c r="N58" s="1074"/>
      <c r="O58" s="1074" t="s">
        <v>7694</v>
      </c>
      <c r="P58" s="1032"/>
      <c r="Q58" s="1098"/>
      <c r="R58" s="1039"/>
      <c r="S58" s="1074"/>
      <c r="T58" s="1074"/>
      <c r="U58" s="1074"/>
      <c r="V58" s="1074"/>
      <c r="W58" s="1074"/>
      <c r="X58" s="1074"/>
      <c r="Y58" s="1074"/>
      <c r="Z58" s="1074"/>
      <c r="AA58" s="1074"/>
      <c r="AB58" s="1074"/>
      <c r="AC58" s="1074"/>
      <c r="AD58" s="1074"/>
      <c r="AE58" s="1074"/>
      <c r="AF58" s="1074"/>
      <c r="AG58" s="1074"/>
      <c r="AH58" s="1074"/>
      <c r="AI58" s="1074"/>
      <c r="AJ58" s="1074"/>
      <c r="AK58" s="1074"/>
      <c r="AL58" s="1098"/>
      <c r="AM58" s="1074"/>
      <c r="AN58" s="1074"/>
      <c r="AO58" s="1074"/>
      <c r="AP58" s="1074"/>
      <c r="AQ58" s="1074"/>
      <c r="AR58" s="1098"/>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7695</v>
      </c>
      <c r="C59" s="1056" t="s">
        <v>411</v>
      </c>
      <c r="D59" s="1074"/>
      <c r="E59" s="1074"/>
      <c r="F59" s="1057" t="s">
        <v>4299</v>
      </c>
      <c r="G59" s="1074"/>
      <c r="H59" s="1048"/>
      <c r="I59" s="1074"/>
      <c r="J59" s="1074"/>
      <c r="K59" s="1074"/>
      <c r="L59" s="1074"/>
      <c r="M59" s="1074"/>
      <c r="N59" s="1074"/>
      <c r="O59" s="1074"/>
      <c r="P59" s="1032"/>
      <c r="Q59" s="1109" t="s">
        <v>7696</v>
      </c>
      <c r="R59" s="1100"/>
      <c r="S59" s="1074"/>
      <c r="T59" s="1074"/>
      <c r="U59" s="1074"/>
      <c r="V59" s="1074"/>
      <c r="W59" s="1074"/>
      <c r="X59" s="1074"/>
      <c r="Y59" s="1074"/>
      <c r="Z59" s="1074"/>
      <c r="AA59" s="1074"/>
      <c r="AB59" s="1074"/>
      <c r="AC59" s="1074"/>
      <c r="AD59" s="1074"/>
      <c r="AE59" s="1074"/>
      <c r="AF59" s="1074"/>
      <c r="AG59" s="1074"/>
      <c r="AH59" s="1074"/>
      <c r="AI59" s="1074"/>
      <c r="AJ59" s="1074"/>
      <c r="AK59" s="1074"/>
      <c r="AL59" s="1098"/>
      <c r="AM59" s="1074"/>
      <c r="AN59" s="1074"/>
      <c r="AO59" s="1074"/>
      <c r="AP59" s="1074"/>
      <c r="AQ59" s="1074"/>
      <c r="AR59" s="1098"/>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7687</v>
      </c>
      <c r="C60" s="1097" t="s">
        <v>3837</v>
      </c>
      <c r="D60" s="1074"/>
      <c r="E60" s="1074" t="s">
        <v>5165</v>
      </c>
      <c r="F60" s="1028"/>
      <c r="G60" s="1074"/>
      <c r="H60" s="1048"/>
      <c r="I60" s="1074"/>
      <c r="J60" s="1074"/>
      <c r="K60" s="1074"/>
      <c r="L60" s="1074"/>
      <c r="M60" s="1074"/>
      <c r="N60" s="1074"/>
      <c r="O60" s="1074"/>
      <c r="P60" s="1032"/>
      <c r="Q60" s="1098"/>
      <c r="R60" s="1100"/>
      <c r="S60" s="1074"/>
      <c r="T60" s="1074"/>
      <c r="U60" s="1074"/>
      <c r="V60" s="1074"/>
      <c r="W60" s="1074"/>
      <c r="X60" s="1074"/>
      <c r="Y60" s="1074"/>
      <c r="Z60" s="1074"/>
      <c r="AA60" s="1074"/>
      <c r="AB60" s="1074"/>
      <c r="AC60" s="1074"/>
      <c r="AD60" s="1074"/>
      <c r="AE60" s="1074"/>
      <c r="AF60" s="1074"/>
      <c r="AG60" s="1074"/>
      <c r="AH60" s="1074"/>
      <c r="AI60" s="1074"/>
      <c r="AJ60" s="1074"/>
      <c r="AK60" s="1074"/>
      <c r="AL60" s="1098"/>
      <c r="AM60" s="1074"/>
      <c r="AN60" s="1074"/>
      <c r="AO60" s="1074"/>
      <c r="AP60" s="1074"/>
      <c r="AQ60" s="1074"/>
      <c r="AR60" s="1098"/>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7691</v>
      </c>
      <c r="C61" s="1097" t="s">
        <v>467</v>
      </c>
      <c r="D61" s="1074"/>
      <c r="E61" s="1074" t="s">
        <v>7697</v>
      </c>
      <c r="F61" s="1112"/>
      <c r="G61" s="1074" t="s">
        <v>467</v>
      </c>
      <c r="H61" s="1048"/>
      <c r="I61" s="1074"/>
      <c r="J61" s="1074"/>
      <c r="K61" s="1074"/>
      <c r="L61" s="1074"/>
      <c r="M61" s="1074"/>
      <c r="N61" s="1074"/>
      <c r="O61" s="1074"/>
      <c r="P61" s="1032" t="s">
        <v>7698</v>
      </c>
      <c r="Q61" s="1027" t="s">
        <v>131</v>
      </c>
      <c r="R61" s="1059" t="s">
        <v>7600</v>
      </c>
      <c r="S61" s="1074" t="s">
        <v>2149</v>
      </c>
      <c r="T61" s="1074"/>
      <c r="U61" s="1074"/>
      <c r="V61" s="1074"/>
      <c r="W61" s="1074"/>
      <c r="X61" s="1074"/>
      <c r="Y61" s="1074"/>
      <c r="Z61" s="1074"/>
      <c r="AA61" s="1074" t="s">
        <v>4160</v>
      </c>
      <c r="AB61" s="1074"/>
      <c r="AC61" s="1074"/>
      <c r="AD61" s="1074"/>
      <c r="AE61" s="1074"/>
      <c r="AF61" s="1074"/>
      <c r="AG61" s="1074"/>
      <c r="AH61" s="1074"/>
      <c r="AI61" s="1074"/>
      <c r="AJ61" s="1074"/>
      <c r="AK61" s="1074"/>
      <c r="AL61" s="1098"/>
      <c r="AM61" s="1074"/>
      <c r="AN61" s="1074"/>
      <c r="AO61" s="1074"/>
      <c r="AP61" s="1074"/>
      <c r="AQ61" s="1074"/>
      <c r="AR61" s="1098"/>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7692</v>
      </c>
      <c r="C62" s="1097" t="s">
        <v>1365</v>
      </c>
      <c r="D62" s="1074" t="s">
        <v>5041</v>
      </c>
      <c r="E62" s="1106"/>
      <c r="F62" s="1028"/>
      <c r="G62" s="1030" t="s">
        <v>673</v>
      </c>
      <c r="H62" s="1048"/>
      <c r="I62" s="1106"/>
      <c r="J62" s="1106"/>
      <c r="K62" s="1106"/>
      <c r="L62" s="1106"/>
      <c r="M62" s="1106"/>
      <c r="N62" s="1106"/>
      <c r="O62" s="1106"/>
      <c r="P62" s="1032"/>
      <c r="Q62" s="1098"/>
      <c r="R62" s="1100"/>
      <c r="S62" s="1106"/>
      <c r="T62" s="1106"/>
      <c r="U62" s="1106"/>
      <c r="V62" s="1106"/>
      <c r="W62" s="1106"/>
      <c r="X62" s="1106"/>
      <c r="Y62" s="1106"/>
      <c r="Z62" s="1106"/>
      <c r="AA62" s="1106"/>
      <c r="AB62" s="1106"/>
      <c r="AC62" s="1106"/>
      <c r="AD62" s="1106"/>
      <c r="AE62" s="1106"/>
      <c r="AF62" s="1106"/>
      <c r="AG62" s="1106"/>
      <c r="AH62" s="1106"/>
      <c r="AI62" s="1106"/>
      <c r="AJ62" s="1106"/>
      <c r="AK62" s="1106"/>
      <c r="AL62" s="1098"/>
      <c r="AM62" s="1106"/>
      <c r="AN62" s="1106"/>
      <c r="AO62" s="1106"/>
      <c r="AP62" s="1106"/>
      <c r="AQ62" s="1106"/>
      <c r="AR62" s="1098"/>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7693</v>
      </c>
      <c r="C63" s="1097" t="s">
        <v>414</v>
      </c>
      <c r="D63" s="1074"/>
      <c r="E63" s="1074" t="s">
        <v>2661</v>
      </c>
      <c r="F63" s="1113" t="s">
        <v>1075</v>
      </c>
      <c r="G63" s="1030" t="s">
        <v>622</v>
      </c>
      <c r="H63" s="1030" t="s">
        <v>7699</v>
      </c>
      <c r="I63" s="1074"/>
      <c r="J63" s="1074"/>
      <c r="K63" s="1074"/>
      <c r="L63" s="1074"/>
      <c r="M63" s="1074"/>
      <c r="N63" s="1074"/>
      <c r="O63" s="1030" t="s">
        <v>3985</v>
      </c>
      <c r="P63" s="1032" t="s">
        <v>7700</v>
      </c>
      <c r="Q63" s="1098"/>
      <c r="R63" s="1039"/>
      <c r="S63" s="1074" t="s">
        <v>7600</v>
      </c>
      <c r="T63" s="1074" t="s">
        <v>193</v>
      </c>
      <c r="U63" s="1074"/>
      <c r="V63" s="1074"/>
      <c r="W63" s="1074"/>
      <c r="X63" s="1074"/>
      <c r="Y63" s="1074"/>
      <c r="Z63" s="1074"/>
      <c r="AA63" s="1074"/>
      <c r="AB63" s="1074" t="s">
        <v>3985</v>
      </c>
      <c r="AC63" s="1074"/>
      <c r="AD63" s="1074"/>
      <c r="AE63" s="1074"/>
      <c r="AF63" s="1074"/>
      <c r="AG63" s="1074" t="s">
        <v>193</v>
      </c>
      <c r="AH63" s="1074" t="s">
        <v>414</v>
      </c>
      <c r="AI63" s="1074"/>
      <c r="AJ63" s="1074"/>
      <c r="AK63" s="1074"/>
      <c r="AL63" s="1098"/>
      <c r="AM63" s="1074"/>
      <c r="AN63" s="1074"/>
      <c r="AO63" s="1074"/>
      <c r="AP63" s="1074"/>
      <c r="AQ63" s="1074"/>
      <c r="AR63" s="1098"/>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7701</v>
      </c>
      <c r="C64" s="1097" t="s">
        <v>4141</v>
      </c>
      <c r="D64" s="1039"/>
      <c r="E64" s="1039"/>
      <c r="F64" s="1057" t="s">
        <v>7702</v>
      </c>
      <c r="G64" s="1030">
        <v>31.09</v>
      </c>
      <c r="H64" s="1048"/>
      <c r="I64" s="1039"/>
      <c r="J64" s="1039"/>
      <c r="K64" s="1039"/>
      <c r="L64" s="1039"/>
      <c r="M64" s="1039"/>
      <c r="N64" s="1039"/>
      <c r="O64" s="1039"/>
      <c r="P64" s="1116"/>
      <c r="Q64" s="1039"/>
      <c r="R64" s="1050" t="s">
        <v>7703</v>
      </c>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7704</v>
      </c>
      <c r="C65" s="1051" t="s">
        <v>5013</v>
      </c>
      <c r="D65" s="1074"/>
      <c r="E65" s="1074"/>
      <c r="F65" s="1113" t="s">
        <v>5013</v>
      </c>
      <c r="G65" s="1050" t="s">
        <v>5013</v>
      </c>
      <c r="H65" s="1048"/>
      <c r="I65" s="1074"/>
      <c r="J65" s="1074"/>
      <c r="K65" s="1074"/>
      <c r="L65" s="1074"/>
      <c r="M65" s="1074"/>
      <c r="N65" s="1074"/>
      <c r="O65" s="1048"/>
      <c r="P65" s="1032"/>
      <c r="Q65" s="1098"/>
      <c r="R65" s="1039"/>
      <c r="S65" s="1074"/>
      <c r="T65" s="1074"/>
      <c r="U65" s="1074"/>
      <c r="V65" s="1074"/>
      <c r="W65" s="1074"/>
      <c r="X65" s="1074"/>
      <c r="Y65" s="1074"/>
      <c r="Z65" s="1074"/>
      <c r="AA65" s="1074"/>
      <c r="AB65" s="1074"/>
      <c r="AC65" s="1074"/>
      <c r="AD65" s="1074"/>
      <c r="AE65" s="1074"/>
      <c r="AF65" s="1074"/>
      <c r="AG65" s="1074"/>
      <c r="AH65" s="1074"/>
      <c r="AI65" s="1074"/>
      <c r="AJ65" s="1074"/>
      <c r="AK65" s="1074"/>
      <c r="AL65" s="1098"/>
      <c r="AM65" s="1074"/>
      <c r="AN65" s="1074"/>
      <c r="AO65" s="1074"/>
      <c r="AP65" s="1074"/>
      <c r="AQ65" s="1074"/>
      <c r="AR65" s="1098"/>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80" t="s">
        <v>7705</v>
      </c>
      <c r="E66" s="1080"/>
      <c r="F66" s="1113" t="s">
        <v>2554</v>
      </c>
      <c r="G66" s="1080" t="s">
        <v>2260</v>
      </c>
      <c r="H66" s="1048"/>
      <c r="I66" s="1080"/>
      <c r="J66" s="1080"/>
      <c r="K66" s="1080"/>
      <c r="L66" s="1080"/>
      <c r="M66" s="1080"/>
      <c r="N66" s="1080"/>
      <c r="O66" s="1080"/>
      <c r="P66" s="1078"/>
      <c r="Q66" s="1109" t="s">
        <v>7706</v>
      </c>
      <c r="R66" s="1100"/>
      <c r="S66" s="1080"/>
      <c r="T66" s="1080"/>
      <c r="U66" s="1080"/>
      <c r="V66" s="1080"/>
      <c r="W66" s="1080"/>
      <c r="X66" s="1080"/>
      <c r="Y66" s="1080"/>
      <c r="Z66" s="1080"/>
      <c r="AA66" s="1080" t="s">
        <v>2095</v>
      </c>
      <c r="AB66" s="1080"/>
      <c r="AC66" s="1080"/>
      <c r="AD66" s="1080"/>
      <c r="AE66" s="1080"/>
      <c r="AF66" s="1080"/>
      <c r="AG66" s="1080"/>
      <c r="AH66" s="1080"/>
      <c r="AI66" s="1080"/>
      <c r="AJ66" s="1080"/>
      <c r="AK66" s="1080"/>
      <c r="AL66" s="1098"/>
      <c r="AM66" s="1080"/>
      <c r="AN66" s="1080"/>
      <c r="AO66" s="1080"/>
      <c r="AP66" s="1080"/>
      <c r="AQ66" s="1080"/>
      <c r="AR66" s="1098"/>
      <c r="AS66" s="1080"/>
      <c r="AT66" s="1080"/>
      <c r="AU66" s="1100"/>
      <c r="AV66" s="1080"/>
      <c r="AW66" s="1080"/>
      <c r="AX66" s="1080"/>
      <c r="AY66" s="1080"/>
      <c r="AZ66" s="1080"/>
      <c r="BA66" s="1100"/>
      <c r="BB66" s="1080"/>
      <c r="BC66" s="1080"/>
      <c r="BD66" s="1080"/>
      <c r="BE66" s="1080"/>
      <c r="BF66" s="1080"/>
      <c r="BG66" s="1080"/>
      <c r="BH66" s="1080"/>
      <c r="BI66" s="1100"/>
      <c r="BJ66" s="1100"/>
      <c r="BK66" s="1100"/>
      <c r="BL66" s="1100"/>
      <c r="BM66" s="1100"/>
      <c r="BN66" s="1100"/>
      <c r="BO66" s="1100"/>
    </row>
    <row r="67" ht="15.75" customHeight="1">
      <c r="A67" s="1110" t="s">
        <v>7555</v>
      </c>
      <c r="B67" s="1111" t="s">
        <v>7707</v>
      </c>
      <c r="C67" s="1097" t="s">
        <v>3744</v>
      </c>
      <c r="D67" s="1080"/>
      <c r="E67" s="1080"/>
      <c r="F67" s="1028"/>
      <c r="G67" s="1030">
        <v>35.06</v>
      </c>
      <c r="H67" s="1048"/>
      <c r="I67" s="1080"/>
      <c r="J67" s="1080"/>
      <c r="K67" s="1080"/>
      <c r="L67" s="1080"/>
      <c r="M67" s="1080"/>
      <c r="N67" s="1080"/>
      <c r="O67" s="1080"/>
      <c r="P67" s="1078"/>
      <c r="Q67" s="1098"/>
      <c r="R67" s="1039"/>
      <c r="S67" s="1080"/>
      <c r="T67" s="1080"/>
      <c r="U67" s="1080"/>
      <c r="V67" s="1080"/>
      <c r="W67" s="1080" t="s">
        <v>7708</v>
      </c>
      <c r="X67" s="1080"/>
      <c r="Y67" s="1080"/>
      <c r="Z67" s="1080"/>
      <c r="AA67" s="1080"/>
      <c r="AB67" s="1080"/>
      <c r="AC67" s="1080"/>
      <c r="AD67" s="1080"/>
      <c r="AE67" s="1080"/>
      <c r="AF67" s="1080"/>
      <c r="AG67" s="1080"/>
      <c r="AH67" s="1080"/>
      <c r="AI67" s="1080"/>
      <c r="AJ67" s="1080"/>
      <c r="AK67" s="1080"/>
      <c r="AL67" s="1098"/>
      <c r="AM67" s="1080"/>
      <c r="AN67" s="1080"/>
      <c r="AO67" s="1080"/>
      <c r="AP67" s="1080"/>
      <c r="AQ67" s="1080"/>
      <c r="AR67" s="1027" t="s">
        <v>7709</v>
      </c>
      <c r="AS67" s="1080"/>
      <c r="AT67" s="1080"/>
      <c r="AU67" s="1039"/>
      <c r="AV67" s="1080"/>
      <c r="AW67" s="1080"/>
      <c r="AX67" s="1080"/>
      <c r="AY67" s="1080"/>
      <c r="AZ67" s="1080"/>
      <c r="BA67" s="1039"/>
      <c r="BB67" s="1080"/>
      <c r="BC67" s="1080"/>
      <c r="BD67" s="1080"/>
      <c r="BE67" s="1080"/>
      <c r="BF67" s="1080"/>
      <c r="BG67" s="1080"/>
      <c r="BH67" s="1080"/>
      <c r="BI67" s="1039"/>
      <c r="BJ67" s="1039"/>
      <c r="BK67" s="1039"/>
      <c r="BL67" s="1039"/>
      <c r="BM67" s="1039"/>
      <c r="BN67" s="1039"/>
      <c r="BO67" s="1039"/>
    </row>
    <row r="68" ht="15.75" customHeight="1">
      <c r="A68" s="1118"/>
      <c r="B68" s="1102" t="s">
        <v>7710</v>
      </c>
      <c r="C68" s="1081"/>
      <c r="D68" s="1032"/>
      <c r="E68" s="1032"/>
      <c r="F68" s="1119"/>
      <c r="G68" s="1032"/>
      <c r="H68" s="1048"/>
      <c r="I68" s="1032"/>
      <c r="J68" s="1032"/>
      <c r="K68" s="1032"/>
      <c r="L68" s="1032"/>
      <c r="M68" s="1032"/>
      <c r="N68" s="1032"/>
      <c r="O68" s="1032"/>
      <c r="P68" s="1032"/>
      <c r="Q68" s="1120"/>
      <c r="R68" s="1100"/>
      <c r="S68" s="1032"/>
      <c r="T68" s="1031"/>
      <c r="U68" s="1032"/>
      <c r="V68" s="1032"/>
      <c r="W68" s="1081"/>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7711</v>
      </c>
      <c r="C69" s="1056" t="s">
        <v>1142</v>
      </c>
      <c r="D69" s="1032" t="s">
        <v>7600</v>
      </c>
      <c r="E69" s="1032"/>
      <c r="F69" s="1057" t="s">
        <v>1142</v>
      </c>
      <c r="G69" s="1085" t="s">
        <v>1253</v>
      </c>
      <c r="H69" s="1048"/>
      <c r="I69" s="1032"/>
      <c r="J69" s="1032"/>
      <c r="K69" s="1032"/>
      <c r="L69" s="1032"/>
      <c r="M69" s="1032"/>
      <c r="N69" s="1032"/>
      <c r="O69" s="1032"/>
      <c r="P69" s="1032"/>
      <c r="Q69" s="1122" t="s">
        <v>7712</v>
      </c>
      <c r="R69" s="1100"/>
      <c r="S69" s="1032"/>
      <c r="T69" s="1029" t="s">
        <v>7702</v>
      </c>
      <c r="U69" s="1032"/>
      <c r="V69" s="1032"/>
      <c r="W69" s="1029" t="s">
        <v>7713</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7707</v>
      </c>
      <c r="C70" s="1046" t="s">
        <v>1096</v>
      </c>
      <c r="D70" s="1032" t="s">
        <v>4222</v>
      </c>
      <c r="E70" s="1032"/>
      <c r="F70" s="1028"/>
      <c r="G70" s="1032"/>
      <c r="H70" s="1048"/>
      <c r="I70" s="1032"/>
      <c r="J70" s="1085" t="s">
        <v>6382</v>
      </c>
      <c r="K70" s="1032"/>
      <c r="L70" s="1032"/>
      <c r="M70" s="1032"/>
      <c r="N70" s="1032"/>
      <c r="O70" s="1032"/>
      <c r="P70" s="1032"/>
      <c r="Q70" s="1120"/>
      <c r="R70" s="1039"/>
      <c r="S70" s="1032"/>
      <c r="T70" s="1032"/>
      <c r="U70" s="1032"/>
      <c r="V70" s="1032"/>
      <c r="W70" s="1032"/>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7714</v>
      </c>
      <c r="C71" s="1046" t="s">
        <v>467</v>
      </c>
      <c r="D71" s="1036" t="s">
        <v>2353</v>
      </c>
      <c r="E71" s="1036" t="s">
        <v>3483</v>
      </c>
      <c r="F71" s="1113" t="s">
        <v>7715</v>
      </c>
      <c r="G71" s="1036" t="s">
        <v>574</v>
      </c>
      <c r="H71" s="1048"/>
      <c r="I71" s="1036"/>
      <c r="J71" s="1036" t="s">
        <v>7715</v>
      </c>
      <c r="K71" s="1036"/>
      <c r="L71" s="1036"/>
      <c r="M71" s="1036" t="s">
        <v>3483</v>
      </c>
      <c r="N71" s="1036"/>
      <c r="O71" s="1036"/>
      <c r="P71" s="1032"/>
      <c r="Q71" s="1109" t="s">
        <v>6276</v>
      </c>
      <c r="R71" s="1100"/>
      <c r="S71" s="1036"/>
      <c r="T71" s="1036"/>
      <c r="U71" s="1036"/>
      <c r="V71" s="1036" t="s">
        <v>2841</v>
      </c>
      <c r="W71" s="1074" t="s">
        <v>5668</v>
      </c>
      <c r="X71" s="1036"/>
      <c r="Y71" s="1036" t="s">
        <v>3379</v>
      </c>
      <c r="Z71" s="1036" t="s">
        <v>5105</v>
      </c>
      <c r="AA71" s="1036"/>
      <c r="AB71" s="1036" t="s">
        <v>4833</v>
      </c>
      <c r="AC71" s="1036"/>
      <c r="AD71" s="1036"/>
      <c r="AE71" s="1036"/>
      <c r="AF71" s="1036"/>
      <c r="AG71" s="1036" t="s">
        <v>3837</v>
      </c>
      <c r="AH71" s="1036"/>
      <c r="AI71" s="1036"/>
      <c r="AJ71" s="1036"/>
      <c r="AK71" s="1036"/>
      <c r="AL71" s="1098"/>
      <c r="AM71" s="1036"/>
      <c r="AN71" s="1036"/>
      <c r="AO71" s="1036"/>
      <c r="AP71" s="1036"/>
      <c r="AQ71" s="1036"/>
      <c r="AR71" s="1098"/>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7716</v>
      </c>
      <c r="B72" s="1096" t="s">
        <v>7717</v>
      </c>
      <c r="C72" s="1097" t="str">
        <f>HYPERLINK("https://youtu.be/4OqNmNgyDyw","16.24")</f>
        <v>16.24</v>
      </c>
      <c r="D72" s="1123"/>
      <c r="E72" s="1123" t="s">
        <v>1209</v>
      </c>
      <c r="F72" s="1112"/>
      <c r="G72" s="1123"/>
      <c r="H72" s="1048"/>
      <c r="I72" s="1123"/>
      <c r="J72" s="1123"/>
      <c r="K72" s="1123"/>
      <c r="L72" s="1123"/>
      <c r="M72" s="1123"/>
      <c r="N72" s="1029" t="s">
        <v>4066</v>
      </c>
      <c r="O72" s="1123"/>
      <c r="P72" s="1047"/>
      <c r="Q72" s="1109"/>
      <c r="R72" s="1059" t="s">
        <v>7718</v>
      </c>
      <c r="S72" s="1123" t="str">
        <f>HYPERLINK("https://clips.twitch.tv/ThankfulSpoopyHerdWOOP","16.58")</f>
        <v>16.58</v>
      </c>
      <c r="T72" s="1123"/>
      <c r="U72" s="1123"/>
      <c r="V72" s="1123"/>
      <c r="W72" s="1123"/>
      <c r="X72" s="1123" t="s">
        <v>7719</v>
      </c>
      <c r="Y72" s="1123"/>
      <c r="Z72" s="1123" t="s">
        <v>3638</v>
      </c>
      <c r="AA72" s="1123"/>
      <c r="AB72" s="1123"/>
      <c r="AC72" s="1123"/>
      <c r="AD72" s="1123"/>
      <c r="AE72" s="1123"/>
      <c r="AF72" s="1123"/>
      <c r="AG72" s="1123"/>
      <c r="AH72" s="1123"/>
      <c r="AI72" s="1123"/>
      <c r="AJ72" s="1123"/>
      <c r="AK72" s="1123"/>
      <c r="AL72" s="1098"/>
      <c r="AM72" s="1123"/>
      <c r="AN72" s="1123"/>
      <c r="AO72" s="1123"/>
      <c r="AP72" s="1123"/>
      <c r="AQ72" s="1123"/>
      <c r="AR72" s="1098"/>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7720</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098"/>
      <c r="R73" s="1124">
        <v>17.35</v>
      </c>
      <c r="S73" s="1036" t="s">
        <v>2727</v>
      </c>
      <c r="T73" s="1036"/>
      <c r="U73" s="1036"/>
      <c r="V73" s="1036"/>
      <c r="W73" s="1036"/>
      <c r="X73" s="1036" t="s">
        <v>529</v>
      </c>
      <c r="Y73" s="1036"/>
      <c r="Z73" s="1036"/>
      <c r="AA73" s="1036"/>
      <c r="AB73" s="1036"/>
      <c r="AC73" s="1036"/>
      <c r="AD73" s="1036"/>
      <c r="AE73" s="1036"/>
      <c r="AF73" s="1036"/>
      <c r="AG73" s="1036"/>
      <c r="AH73" s="1036"/>
      <c r="AI73" s="1036"/>
      <c r="AJ73" s="1036"/>
      <c r="AK73" s="1036"/>
      <c r="AL73" s="1098"/>
      <c r="AM73" s="1036"/>
      <c r="AN73" s="1036"/>
      <c r="AO73" s="1036"/>
      <c r="AP73" s="1036"/>
      <c r="AQ73" s="1036"/>
      <c r="AR73" s="1098"/>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7721</v>
      </c>
      <c r="C74" s="1097" t="s">
        <v>664</v>
      </c>
      <c r="D74" s="1036" t="s">
        <v>1272</v>
      </c>
      <c r="E74" s="1080" t="s">
        <v>909</v>
      </c>
      <c r="F74" s="1113" t="s">
        <v>1891</v>
      </c>
      <c r="G74" s="1080" t="s">
        <v>1210</v>
      </c>
      <c r="H74" s="1030" t="s">
        <v>1272</v>
      </c>
      <c r="I74" s="1080" t="s">
        <v>1428</v>
      </c>
      <c r="J74" s="1080" t="s">
        <v>4383</v>
      </c>
      <c r="K74" s="1080" t="s">
        <v>3109</v>
      </c>
      <c r="L74" s="1080" t="s">
        <v>7722</v>
      </c>
      <c r="M74" s="1080" t="s">
        <v>5957</v>
      </c>
      <c r="N74" s="1080" t="s">
        <v>358</v>
      </c>
      <c r="O74" s="1080" t="s">
        <v>6170</v>
      </c>
      <c r="P74" s="1078"/>
      <c r="Q74" s="1109" t="s">
        <v>7723</v>
      </c>
      <c r="R74" s="1099" t="s">
        <v>5658</v>
      </c>
      <c r="S74" s="1080" t="s">
        <v>1959</v>
      </c>
      <c r="T74" s="1080"/>
      <c r="U74" s="1080" t="s">
        <v>1607</v>
      </c>
      <c r="V74" s="1080"/>
      <c r="W74" s="1080"/>
      <c r="X74" s="1080"/>
      <c r="Y74" s="1080"/>
      <c r="Z74" s="1080"/>
      <c r="AA74" s="1080"/>
      <c r="AB74" s="1080"/>
      <c r="AC74" s="1080" t="s">
        <v>3581</v>
      </c>
      <c r="AD74" s="1080"/>
      <c r="AE74" s="1080"/>
      <c r="AF74" s="1080"/>
      <c r="AG74" s="1080"/>
      <c r="AH74" s="1080"/>
      <c r="AI74" s="1080"/>
      <c r="AJ74" s="1080" t="s">
        <v>664</v>
      </c>
      <c r="AK74" s="1080"/>
      <c r="AL74" s="1098"/>
      <c r="AM74" s="1080" t="s">
        <v>7724</v>
      </c>
      <c r="AN74" s="1080"/>
      <c r="AO74" s="1080"/>
      <c r="AP74" s="1080"/>
      <c r="AQ74" s="1080"/>
      <c r="AR74" s="1098"/>
      <c r="AS74" s="1080"/>
      <c r="AT74" s="1080"/>
      <c r="AU74" s="1039"/>
      <c r="AV74" s="1080"/>
      <c r="AW74" s="1080"/>
      <c r="AX74" s="1080"/>
      <c r="AY74" s="1080"/>
      <c r="AZ74" s="1080"/>
      <c r="BA74" s="1039"/>
      <c r="BB74" s="1080"/>
      <c r="BC74" s="1080"/>
      <c r="BD74" s="1080"/>
      <c r="BE74" s="1080"/>
      <c r="BF74" s="1080"/>
      <c r="BG74" s="1080"/>
      <c r="BH74" s="1080"/>
      <c r="BI74" s="1039"/>
      <c r="BJ74" s="1039"/>
      <c r="BK74" s="1039"/>
      <c r="BL74" s="1039"/>
      <c r="BM74" s="1039"/>
      <c r="BN74" s="1039"/>
      <c r="BO74" s="1039"/>
    </row>
    <row r="75" ht="15.75" customHeight="1">
      <c r="A75" s="1095" t="s">
        <v>7725</v>
      </c>
      <c r="B75" s="1096" t="s">
        <v>7726</v>
      </c>
      <c r="C75" s="1097" t="s">
        <v>2200</v>
      </c>
      <c r="D75" s="1036"/>
      <c r="E75" s="1036" t="s">
        <v>2200</v>
      </c>
      <c r="F75" s="1103"/>
      <c r="G75" s="1036"/>
      <c r="H75" s="1030" t="s">
        <v>6620</v>
      </c>
      <c r="I75" s="1036" t="s">
        <v>7727</v>
      </c>
      <c r="J75" s="1036"/>
      <c r="K75" s="1036" t="s">
        <v>4233</v>
      </c>
      <c r="L75" s="1036"/>
      <c r="M75" s="1036"/>
      <c r="N75" s="1036" t="s">
        <v>7728</v>
      </c>
      <c r="O75" s="1036"/>
      <c r="P75" s="1032"/>
      <c r="Q75" s="1098"/>
      <c r="R75" s="1125" t="s">
        <v>7729</v>
      </c>
      <c r="S75" s="1036"/>
      <c r="T75" s="1036"/>
      <c r="U75" s="1036"/>
      <c r="V75" s="1036"/>
      <c r="W75" s="1036"/>
      <c r="X75" s="1036"/>
      <c r="Y75" s="1036"/>
      <c r="Z75" s="1036"/>
      <c r="AA75" s="1036"/>
      <c r="AB75" s="1036"/>
      <c r="AC75" s="1036"/>
      <c r="AD75" s="1036"/>
      <c r="AE75" s="1036"/>
      <c r="AF75" s="1036"/>
      <c r="AG75" s="1036"/>
      <c r="AH75" s="1036"/>
      <c r="AI75" s="1036"/>
      <c r="AJ75" s="1036"/>
      <c r="AK75" s="1036"/>
      <c r="AL75" s="1098"/>
      <c r="AM75" s="1036"/>
      <c r="AN75" s="1036"/>
      <c r="AO75" s="1036"/>
      <c r="AP75" s="1036"/>
      <c r="AQ75" s="1036"/>
      <c r="AR75" s="1098"/>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7730</v>
      </c>
      <c r="C76" s="1097" t="s">
        <v>353</v>
      </c>
      <c r="D76" s="1036" t="s">
        <v>1476</v>
      </c>
      <c r="E76" s="1036" t="s">
        <v>353</v>
      </c>
      <c r="F76" s="1042" t="s">
        <v>359</v>
      </c>
      <c r="G76" s="1036" t="s">
        <v>1536</v>
      </c>
      <c r="H76" s="1030" t="s">
        <v>1273</v>
      </c>
      <c r="I76" s="1036" t="s">
        <v>1429</v>
      </c>
      <c r="J76" s="1036" t="s">
        <v>4999</v>
      </c>
      <c r="K76" s="1036" t="s">
        <v>7731</v>
      </c>
      <c r="L76" s="1036" t="s">
        <v>910</v>
      </c>
      <c r="M76" s="1036" t="s">
        <v>755</v>
      </c>
      <c r="N76" s="1036" t="s">
        <v>1358</v>
      </c>
      <c r="O76" s="1036" t="s">
        <v>2324</v>
      </c>
      <c r="P76" s="1032" t="s">
        <v>3882</v>
      </c>
      <c r="Q76" s="1109" t="s">
        <v>7732</v>
      </c>
      <c r="R76" s="1039"/>
      <c r="S76" s="1036" t="s">
        <v>7733</v>
      </c>
      <c r="T76" s="1036"/>
      <c r="U76" s="1036" t="s">
        <v>4641</v>
      </c>
      <c r="V76" s="1036"/>
      <c r="W76" s="1036"/>
      <c r="X76" s="1036"/>
      <c r="Y76" s="1036"/>
      <c r="Z76" s="1036"/>
      <c r="AA76" s="1036"/>
      <c r="AB76" s="1036"/>
      <c r="AC76" s="1036"/>
      <c r="AD76" s="1036"/>
      <c r="AE76" s="1036"/>
      <c r="AF76" s="1036"/>
      <c r="AG76" s="1036"/>
      <c r="AH76" s="1036"/>
      <c r="AI76" s="1036"/>
      <c r="AJ76" s="1036"/>
      <c r="AK76" s="1036"/>
      <c r="AL76" s="1098"/>
      <c r="AM76" s="1036"/>
      <c r="AN76" s="1036"/>
      <c r="AO76" s="1036"/>
      <c r="AP76" s="1036"/>
      <c r="AQ76" s="1036"/>
      <c r="AR76" s="1098"/>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7734</v>
      </c>
      <c r="C77" s="1046" t="s">
        <v>7735</v>
      </c>
      <c r="D77" s="1036"/>
      <c r="E77" s="1036"/>
      <c r="F77" s="1103"/>
      <c r="G77" s="1036"/>
      <c r="H77" s="1048"/>
      <c r="I77" s="1036"/>
      <c r="J77" s="1036"/>
      <c r="K77" s="1036"/>
      <c r="L77" s="1036"/>
      <c r="M77" s="1036"/>
      <c r="N77" s="1036"/>
      <c r="O77" s="1036"/>
      <c r="P77" s="1032"/>
      <c r="Q77" s="1098"/>
      <c r="R77" s="1059" t="s">
        <v>1763</v>
      </c>
      <c r="S77" s="1036"/>
      <c r="T77" s="1036"/>
      <c r="U77" s="1036"/>
      <c r="V77" s="1036"/>
      <c r="W77" s="1031"/>
      <c r="X77" s="1036"/>
      <c r="Y77" s="1036"/>
      <c r="Z77" s="1036"/>
      <c r="AA77" s="1036"/>
      <c r="AB77" s="1036"/>
      <c r="AC77" s="1036"/>
      <c r="AD77" s="1036"/>
      <c r="AE77" s="1036"/>
      <c r="AF77" s="1036"/>
      <c r="AG77" s="1036"/>
      <c r="AH77" s="1036"/>
      <c r="AI77" s="1036"/>
      <c r="AJ77" s="1036"/>
      <c r="AK77" s="1036"/>
      <c r="AL77" s="1098"/>
      <c r="AM77" s="1036"/>
      <c r="AN77" s="1036"/>
      <c r="AO77" s="1036"/>
      <c r="AP77" s="1036"/>
      <c r="AQ77" s="1036"/>
      <c r="AR77" s="1027" t="s">
        <v>7735</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7736</v>
      </c>
      <c r="C78" s="1051" t="s">
        <v>4067</v>
      </c>
      <c r="D78" s="1036"/>
      <c r="E78" s="1036"/>
      <c r="F78" s="1103"/>
      <c r="G78" s="1036"/>
      <c r="H78" s="1048"/>
      <c r="I78" s="1036"/>
      <c r="J78" s="1036"/>
      <c r="K78" s="1036"/>
      <c r="L78" s="1036"/>
      <c r="M78" s="1036"/>
      <c r="N78" s="1036"/>
      <c r="O78" s="1036"/>
      <c r="P78" s="1032"/>
      <c r="Q78" s="1098"/>
      <c r="R78" s="1039"/>
      <c r="S78" s="1036"/>
      <c r="T78" s="1036"/>
      <c r="U78" s="1036"/>
      <c r="V78" s="1036"/>
      <c r="W78" s="1029" t="s">
        <v>734</v>
      </c>
      <c r="X78" s="1036"/>
      <c r="Y78" s="1036"/>
      <c r="Z78" s="1036"/>
      <c r="AA78" s="1036"/>
      <c r="AB78" s="1036"/>
      <c r="AC78" s="1036"/>
      <c r="AD78" s="1036"/>
      <c r="AE78" s="1036"/>
      <c r="AF78" s="1036"/>
      <c r="AG78" s="1036"/>
      <c r="AH78" s="1036"/>
      <c r="AI78" s="1036"/>
      <c r="AJ78" s="1036"/>
      <c r="AK78" s="1036"/>
      <c r="AL78" s="1098"/>
      <c r="AM78" s="1036"/>
      <c r="AN78" s="1036"/>
      <c r="AO78" s="1036"/>
      <c r="AP78" s="1036"/>
      <c r="AQ78" s="1036"/>
      <c r="AR78" s="1098"/>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7737</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09" t="s">
        <v>1142</v>
      </c>
      <c r="R79" s="1125"/>
      <c r="S79" s="1036" t="s">
        <v>5031</v>
      </c>
      <c r="T79" s="1036"/>
      <c r="U79" s="1036"/>
      <c r="V79" s="1036"/>
      <c r="W79" s="1029" t="s">
        <v>1606</v>
      </c>
      <c r="X79" s="1036" t="s">
        <v>968</v>
      </c>
      <c r="Y79" s="1036"/>
      <c r="Z79" s="1036"/>
      <c r="AA79" s="1036"/>
      <c r="AB79" s="1036"/>
      <c r="AC79" s="1036"/>
      <c r="AD79" s="1036"/>
      <c r="AE79" s="1036"/>
      <c r="AF79" s="1036"/>
      <c r="AG79" s="1036"/>
      <c r="AH79" s="1036"/>
      <c r="AI79" s="1036"/>
      <c r="AJ79" s="1036"/>
      <c r="AK79" s="1036"/>
      <c r="AL79" s="1098"/>
      <c r="AM79" s="1036" t="s">
        <v>1609</v>
      </c>
      <c r="AN79" s="1036"/>
      <c r="AO79" s="1036"/>
      <c r="AP79" s="1036"/>
      <c r="AQ79" s="1036"/>
      <c r="AR79" s="1098"/>
      <c r="AS79" s="1036"/>
      <c r="AT79" s="1036"/>
      <c r="AU79" s="1100"/>
      <c r="AV79" s="1036"/>
      <c r="AW79" s="1036"/>
      <c r="AX79" s="1036" t="s">
        <v>7738</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7726</v>
      </c>
      <c r="C80" s="1097" t="s">
        <v>4058</v>
      </c>
      <c r="D80" s="1036"/>
      <c r="E80" s="1036" t="s">
        <v>4058</v>
      </c>
      <c r="F80" s="1103"/>
      <c r="G80" s="1036"/>
      <c r="H80" s="1030" t="s">
        <v>2476</v>
      </c>
      <c r="I80" s="1036"/>
      <c r="J80" s="1036"/>
      <c r="K80" s="1036"/>
      <c r="L80" s="1036"/>
      <c r="M80" s="1036"/>
      <c r="N80" s="1036"/>
      <c r="O80" s="1036"/>
      <c r="P80" s="1032"/>
      <c r="Q80" s="1098"/>
      <c r="R80" s="1059" t="s">
        <v>5231</v>
      </c>
      <c r="S80" s="1036"/>
      <c r="T80" s="1036"/>
      <c r="U80" s="1036"/>
      <c r="V80" s="1036"/>
      <c r="W80" s="1036"/>
      <c r="X80" s="1036"/>
      <c r="Y80" s="1036"/>
      <c r="Z80" s="1036" t="s">
        <v>3745</v>
      </c>
      <c r="AA80" s="1036"/>
      <c r="AB80" s="1036"/>
      <c r="AC80" s="1036"/>
      <c r="AD80" s="1036"/>
      <c r="AE80" s="1036" t="s">
        <v>1959</v>
      </c>
      <c r="AF80" s="1036"/>
      <c r="AG80" s="1036"/>
      <c r="AH80" s="1036"/>
      <c r="AI80" s="1036"/>
      <c r="AJ80" s="1036"/>
      <c r="AK80" s="1036"/>
      <c r="AL80" s="1098"/>
      <c r="AM80" s="1036"/>
      <c r="AN80" s="1036"/>
      <c r="AO80" s="1036"/>
      <c r="AP80" s="1036"/>
      <c r="AQ80" s="1036"/>
      <c r="AR80" s="1098"/>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7739</v>
      </c>
      <c r="C81" s="1097" t="s">
        <v>2742</v>
      </c>
      <c r="D81" s="1036" t="s">
        <v>2536</v>
      </c>
      <c r="E81" s="1036" t="s">
        <v>2402</v>
      </c>
      <c r="F81" s="1057" t="s">
        <v>7740</v>
      </c>
      <c r="G81" s="1036"/>
      <c r="H81" s="1030" t="s">
        <v>7741</v>
      </c>
      <c r="I81" s="1036"/>
      <c r="J81" s="1036"/>
      <c r="K81" s="1036"/>
      <c r="L81" s="1036"/>
      <c r="M81" s="1036" t="s">
        <v>7742</v>
      </c>
      <c r="N81" s="1036"/>
      <c r="O81" s="1036"/>
      <c r="P81" s="1032" t="s">
        <v>7743</v>
      </c>
      <c r="Q81" s="1098"/>
      <c r="R81" s="1100"/>
      <c r="S81" s="1036"/>
      <c r="T81" s="1036"/>
      <c r="U81" s="1036" t="s">
        <v>4048</v>
      </c>
      <c r="V81" s="1036"/>
      <c r="W81" s="1036"/>
      <c r="X81" s="1036"/>
      <c r="Y81" s="1036" t="s">
        <v>7743</v>
      </c>
      <c r="Z81" s="1036" t="s">
        <v>1941</v>
      </c>
      <c r="AA81" s="1036" t="s">
        <v>2742</v>
      </c>
      <c r="AB81" s="1036"/>
      <c r="AC81" s="1036"/>
      <c r="AD81" s="1036"/>
      <c r="AE81" s="1036"/>
      <c r="AF81" s="1036"/>
      <c r="AG81" s="1036"/>
      <c r="AH81" s="1036"/>
      <c r="AI81" s="1036"/>
      <c r="AJ81" s="1036"/>
      <c r="AK81" s="1036"/>
      <c r="AL81" s="1098"/>
      <c r="AM81" s="1036"/>
      <c r="AN81" s="1036"/>
      <c r="AO81" s="1036"/>
      <c r="AP81" s="1036"/>
      <c r="AQ81" s="1036"/>
      <c r="AR81" s="1098"/>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7744</v>
      </c>
      <c r="C82" s="1097" t="s">
        <v>3020</v>
      </c>
      <c r="D82" s="1074"/>
      <c r="E82" s="1074"/>
      <c r="F82" s="1113" t="s">
        <v>1841</v>
      </c>
      <c r="G82" s="1123" t="s">
        <v>3020</v>
      </c>
      <c r="H82" s="1048"/>
      <c r="I82" s="1074"/>
      <c r="J82" s="1074"/>
      <c r="K82" s="1074"/>
      <c r="L82" s="1074"/>
      <c r="M82" s="1074"/>
      <c r="N82" s="1074"/>
      <c r="O82" s="1074" t="s">
        <v>3020</v>
      </c>
      <c r="P82" s="1032" t="s">
        <v>4977</v>
      </c>
      <c r="Q82" s="1098"/>
      <c r="R82" s="1039"/>
      <c r="S82" s="1074"/>
      <c r="T82" s="1074"/>
      <c r="U82" s="1074"/>
      <c r="V82" s="1074"/>
      <c r="W82" s="1074"/>
      <c r="X82" s="1074"/>
      <c r="Y82" s="1074"/>
      <c r="Z82" s="1074"/>
      <c r="AA82" s="1074"/>
      <c r="AB82" s="1074" t="s">
        <v>2056</v>
      </c>
      <c r="AC82" s="1074"/>
      <c r="AD82" s="1074"/>
      <c r="AE82" s="1074"/>
      <c r="AF82" s="1074"/>
      <c r="AG82" s="1074"/>
      <c r="AH82" s="1074"/>
      <c r="AI82" s="1074"/>
      <c r="AJ82" s="1074"/>
      <c r="AK82" s="1074"/>
      <c r="AL82" s="1098"/>
      <c r="AM82" s="1074"/>
      <c r="AN82" s="1074"/>
      <c r="AO82" s="1074"/>
      <c r="AP82" s="1074"/>
      <c r="AQ82" s="1074"/>
      <c r="AR82" s="1098"/>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7745</v>
      </c>
      <c r="C83" s="1097" t="s">
        <v>2256</v>
      </c>
      <c r="D83" s="1036"/>
      <c r="E83" s="1036" t="s">
        <v>2256</v>
      </c>
      <c r="F83" s="1103"/>
      <c r="G83" s="1036"/>
      <c r="H83" s="1030" t="s">
        <v>7746</v>
      </c>
      <c r="I83" s="1036"/>
      <c r="J83" s="1036"/>
      <c r="K83" s="1036"/>
      <c r="L83" s="1036"/>
      <c r="M83" s="1036"/>
      <c r="N83" s="1036"/>
      <c r="O83" s="1036"/>
      <c r="P83" s="1032"/>
      <c r="Q83" s="1098"/>
      <c r="R83" s="1039"/>
      <c r="S83" s="1036"/>
      <c r="T83" s="1036"/>
      <c r="U83" s="1036"/>
      <c r="V83" s="1036"/>
      <c r="W83" s="1036"/>
      <c r="X83" s="1036"/>
      <c r="Y83" s="1036"/>
      <c r="Z83" s="1036"/>
      <c r="AA83" s="1036"/>
      <c r="AB83" s="1036"/>
      <c r="AC83" s="1036"/>
      <c r="AD83" s="1036"/>
      <c r="AE83" s="1036"/>
      <c r="AF83" s="1036"/>
      <c r="AG83" s="1036"/>
      <c r="AH83" s="1036"/>
      <c r="AI83" s="1036"/>
      <c r="AJ83" s="1036"/>
      <c r="AK83" s="1036"/>
      <c r="AL83" s="1098"/>
      <c r="AM83" s="1036"/>
      <c r="AN83" s="1036"/>
      <c r="AO83" s="1036"/>
      <c r="AP83" s="1036"/>
      <c r="AQ83" s="1036"/>
      <c r="AR83" s="1098"/>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7747</v>
      </c>
      <c r="C84" s="1097" t="s">
        <v>2691</v>
      </c>
      <c r="D84" s="1036" t="s">
        <v>3651</v>
      </c>
      <c r="E84" s="1036" t="s">
        <v>2691</v>
      </c>
      <c r="F84" s="1028"/>
      <c r="G84" s="1036"/>
      <c r="H84" s="1048"/>
      <c r="I84" s="1036"/>
      <c r="J84" s="1036"/>
      <c r="K84" s="1036" t="s">
        <v>7748</v>
      </c>
      <c r="L84" s="1036" t="s">
        <v>5210</v>
      </c>
      <c r="M84" s="1036"/>
      <c r="N84" s="1036" t="str">
        <f>HYPERLINK("https://youtu.be/HUwmtKe7cOY","56.54")</f>
        <v>56.54</v>
      </c>
      <c r="O84" s="1036"/>
      <c r="P84" s="1032" t="s">
        <v>3824</v>
      </c>
      <c r="Q84" s="1098"/>
      <c r="R84" s="1125" t="s">
        <v>7749</v>
      </c>
      <c r="S84" s="1036"/>
      <c r="T84" s="1036"/>
      <c r="U84" s="1036"/>
      <c r="V84" s="1036"/>
      <c r="W84" s="1036" t="s">
        <v>7750</v>
      </c>
      <c r="X84" s="1036" t="s">
        <v>2279</v>
      </c>
      <c r="Y84" s="1036"/>
      <c r="Z84" s="1036"/>
      <c r="AA84" s="1036"/>
      <c r="AB84" s="1036"/>
      <c r="AC84" s="1036"/>
      <c r="AD84" s="1036"/>
      <c r="AE84" s="1036"/>
      <c r="AF84" s="1036"/>
      <c r="AG84" s="1036"/>
      <c r="AH84" s="1036"/>
      <c r="AI84" s="1036"/>
      <c r="AJ84" s="1036"/>
      <c r="AK84" s="1036"/>
      <c r="AL84" s="1098"/>
      <c r="AM84" s="1036"/>
      <c r="AN84" s="1036"/>
      <c r="AO84" s="1036"/>
      <c r="AP84" s="1036"/>
      <c r="AQ84" s="1036"/>
      <c r="AR84" s="1098"/>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7751</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109" t="s">
        <v>7752</v>
      </c>
      <c r="R85" s="1039"/>
      <c r="S85" s="1036"/>
      <c r="T85" s="1036"/>
      <c r="U85" s="1036"/>
      <c r="V85" s="1036" t="s">
        <v>459</v>
      </c>
      <c r="W85" s="1036"/>
      <c r="X85" s="1036"/>
      <c r="Y85" s="1036"/>
      <c r="Z85" s="1036"/>
      <c r="AA85" s="1036"/>
      <c r="AB85" s="1036"/>
      <c r="AC85" s="1036"/>
      <c r="AD85" s="1036"/>
      <c r="AE85" s="1036"/>
      <c r="AF85" s="1036"/>
      <c r="AG85" s="1036"/>
      <c r="AH85" s="1036"/>
      <c r="AI85" s="1036"/>
      <c r="AJ85" s="1036"/>
      <c r="AK85" s="1036"/>
      <c r="AL85" s="1098"/>
      <c r="AM85" s="1036"/>
      <c r="AN85" s="1036"/>
      <c r="AO85" s="1036"/>
      <c r="AP85" s="1036"/>
      <c r="AQ85" s="1036"/>
      <c r="AR85" s="1098"/>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7753</v>
      </c>
      <c r="B86" s="1096" t="s">
        <v>7754</v>
      </c>
      <c r="C86" s="1097" t="s">
        <v>3512</v>
      </c>
      <c r="D86" s="1036"/>
      <c r="E86" s="1036" t="s">
        <v>7755</v>
      </c>
      <c r="F86" s="1028"/>
      <c r="G86" s="1036"/>
      <c r="H86" s="1030" t="s">
        <v>5283</v>
      </c>
      <c r="I86" s="1036"/>
      <c r="J86" s="1036"/>
      <c r="K86" s="1036"/>
      <c r="L86" s="1036"/>
      <c r="M86" s="1036"/>
      <c r="N86" s="1036"/>
      <c r="O86" s="1036"/>
      <c r="P86" s="1032"/>
      <c r="Q86" s="1098"/>
      <c r="R86" s="1100"/>
      <c r="S86" s="1036"/>
      <c r="T86" s="1036"/>
      <c r="U86" s="1036"/>
      <c r="V86" s="1036"/>
      <c r="W86" s="1036"/>
      <c r="X86" s="1036"/>
      <c r="Y86" s="1036"/>
      <c r="Z86" s="1036"/>
      <c r="AA86" s="1036"/>
      <c r="AB86" s="1036"/>
      <c r="AC86" s="1036"/>
      <c r="AD86" s="1036" t="s">
        <v>3512</v>
      </c>
      <c r="AE86" s="1036"/>
      <c r="AF86" s="1036"/>
      <c r="AG86" s="1036"/>
      <c r="AH86" s="1036"/>
      <c r="AI86" s="1036"/>
      <c r="AJ86" s="1036"/>
      <c r="AK86" s="1036"/>
      <c r="AL86" s="1098"/>
      <c r="AM86" s="1036"/>
      <c r="AN86" s="1036"/>
      <c r="AO86" s="1036"/>
      <c r="AP86" s="1036"/>
      <c r="AQ86" s="1036"/>
      <c r="AR86" s="1098"/>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7756</v>
      </c>
      <c r="C87" s="1097" t="s">
        <v>1568</v>
      </c>
      <c r="D87" s="1036" t="s">
        <v>1568</v>
      </c>
      <c r="E87" s="1106"/>
      <c r="F87" s="1063" t="s">
        <v>2555</v>
      </c>
      <c r="G87" s="1106"/>
      <c r="H87" s="1048"/>
      <c r="I87" s="1106"/>
      <c r="J87" s="1106"/>
      <c r="K87" s="1106"/>
      <c r="L87" s="1106"/>
      <c r="M87" s="1106"/>
      <c r="N87" s="1106"/>
      <c r="O87" s="1106"/>
      <c r="P87" s="1032"/>
      <c r="Q87" s="1109" t="s">
        <v>7757</v>
      </c>
      <c r="R87" s="1039"/>
      <c r="S87" s="1106"/>
      <c r="T87" s="1106" t="s">
        <v>963</v>
      </c>
      <c r="U87" s="1106"/>
      <c r="V87" s="1106"/>
      <c r="W87" s="1106"/>
      <c r="X87" s="1106"/>
      <c r="Y87" s="1106" t="s">
        <v>2892</v>
      </c>
      <c r="Z87" s="1106"/>
      <c r="AA87" s="1106"/>
      <c r="AB87" s="1106"/>
      <c r="AC87" s="1106"/>
      <c r="AD87" s="1106"/>
      <c r="AE87" s="1106"/>
      <c r="AF87" s="1106" t="s">
        <v>963</v>
      </c>
      <c r="AG87" s="1106"/>
      <c r="AH87" s="1106"/>
      <c r="AI87" s="1106"/>
      <c r="AJ87" s="1106"/>
      <c r="AK87" s="1106"/>
      <c r="AL87" s="1098"/>
      <c r="AM87" s="1106"/>
      <c r="AN87" s="1106"/>
      <c r="AO87" s="1106"/>
      <c r="AP87" s="1106"/>
      <c r="AQ87" s="1106"/>
      <c r="AR87" s="1098"/>
      <c r="AS87" s="1106"/>
      <c r="AT87" s="1106"/>
      <c r="AU87" s="1039"/>
      <c r="AV87" s="1106" t="s">
        <v>7758</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7759</v>
      </c>
      <c r="C88" s="1129" t="s">
        <v>6595</v>
      </c>
      <c r="D88" s="1130" t="s">
        <v>7760</v>
      </c>
      <c r="E88" s="1131" t="s">
        <v>2390</v>
      </c>
      <c r="F88" s="1131"/>
      <c r="G88" s="1130" t="s">
        <v>124</v>
      </c>
      <c r="H88" s="1131" t="s">
        <v>668</v>
      </c>
      <c r="I88" s="1131" t="s">
        <v>2441</v>
      </c>
      <c r="J88" s="1131" t="s">
        <v>1277</v>
      </c>
      <c r="K88" s="1130" t="s">
        <v>3113</v>
      </c>
      <c r="L88" s="1130" t="s">
        <v>7761</v>
      </c>
      <c r="M88" s="1000"/>
      <c r="N88" s="1000"/>
      <c r="O88" s="1131" t="s">
        <v>6595</v>
      </c>
      <c r="P88" s="1131" t="s">
        <v>7762</v>
      </c>
      <c r="Q88" s="1000"/>
      <c r="R88" s="1039"/>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7763</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7764</v>
      </c>
      <c r="B89" s="1115" t="s">
        <v>7541</v>
      </c>
      <c r="C89" s="1117" t="s">
        <v>7765</v>
      </c>
      <c r="D89" s="1029" t="s">
        <v>7766</v>
      </c>
      <c r="E89" s="1074"/>
      <c r="F89" s="1113" t="s">
        <v>5082</v>
      </c>
      <c r="G89" s="1029" t="s">
        <v>7765</v>
      </c>
      <c r="H89" s="1048"/>
      <c r="I89" s="1074"/>
      <c r="J89" s="1074"/>
      <c r="K89" s="1074"/>
      <c r="L89" s="1074"/>
      <c r="M89" s="1074"/>
      <c r="N89" s="1074"/>
      <c r="O89" s="1074"/>
      <c r="P89" s="1032"/>
      <c r="Q89" s="1098"/>
      <c r="R89" s="1100"/>
      <c r="S89" s="1074"/>
      <c r="T89" s="1074"/>
      <c r="U89" s="1074"/>
      <c r="V89" s="1074"/>
      <c r="W89" s="1074"/>
      <c r="X89" s="1074"/>
      <c r="Y89" s="1074"/>
      <c r="Z89" s="1074"/>
      <c r="AA89" s="1074"/>
      <c r="AB89" s="1074"/>
      <c r="AC89" s="1074"/>
      <c r="AD89" s="1074"/>
      <c r="AE89" s="1074"/>
      <c r="AF89" s="1074"/>
      <c r="AG89" s="1074"/>
      <c r="AH89" s="1074"/>
      <c r="AI89" s="1074"/>
      <c r="AJ89" s="1074"/>
      <c r="AK89" s="1074"/>
      <c r="AL89" s="1098"/>
      <c r="AM89" s="1074"/>
      <c r="AN89" s="1074"/>
      <c r="AO89" s="1074"/>
      <c r="AP89" s="1074"/>
      <c r="AQ89" s="1074"/>
      <c r="AR89" s="1098"/>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7767</v>
      </c>
      <c r="B90" s="1115" t="s">
        <v>7541</v>
      </c>
      <c r="C90" s="1056" t="s">
        <v>7768</v>
      </c>
      <c r="D90" s="1029" t="s">
        <v>7769</v>
      </c>
      <c r="E90" s="1074"/>
      <c r="F90" s="1076" t="s">
        <v>7770</v>
      </c>
      <c r="G90" s="1029" t="s">
        <v>7768</v>
      </c>
      <c r="H90" s="1048"/>
      <c r="I90" s="1074"/>
      <c r="J90" s="1074"/>
      <c r="K90" s="1074"/>
      <c r="L90" s="1074"/>
      <c r="M90" s="1074"/>
      <c r="N90" s="1074"/>
      <c r="O90" s="1074"/>
      <c r="P90" s="1032"/>
      <c r="Q90" s="1098"/>
      <c r="R90" s="1100"/>
      <c r="S90" s="1074"/>
      <c r="T90" s="1074"/>
      <c r="U90" s="1074"/>
      <c r="V90" s="1074"/>
      <c r="W90" s="1029" t="s">
        <v>7771</v>
      </c>
      <c r="X90" s="1074"/>
      <c r="Y90" s="1074"/>
      <c r="Z90" s="1074"/>
      <c r="AA90" s="1074"/>
      <c r="AB90" s="1074"/>
      <c r="AC90" s="1074"/>
      <c r="AD90" s="1074"/>
      <c r="AE90" s="1074"/>
      <c r="AF90" s="1074"/>
      <c r="AG90" s="1074"/>
      <c r="AH90" s="1074"/>
      <c r="AI90" s="1074"/>
      <c r="AJ90" s="1074"/>
      <c r="AK90" s="1074"/>
      <c r="AL90" s="1098"/>
      <c r="AM90" s="1074"/>
      <c r="AN90" s="1074"/>
      <c r="AO90" s="1074"/>
      <c r="AP90" s="1074"/>
      <c r="AQ90" s="1074"/>
      <c r="AR90" s="1098"/>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7656</v>
      </c>
      <c r="B91" s="1096" t="s">
        <v>7657</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109" t="s">
        <v>7772</v>
      </c>
      <c r="R91" s="1059" t="s">
        <v>7773</v>
      </c>
      <c r="S91" s="1036"/>
      <c r="T91" s="1036" t="s">
        <v>5420</v>
      </c>
      <c r="U91" s="1036"/>
      <c r="V91" s="1036"/>
      <c r="W91" s="1036"/>
      <c r="X91" s="1036" t="s">
        <v>5193</v>
      </c>
      <c r="Y91" s="1036"/>
      <c r="Z91" s="1036"/>
      <c r="AA91" s="1036"/>
      <c r="AB91" s="1036"/>
      <c r="AC91" s="1036"/>
      <c r="AD91" s="1036"/>
      <c r="AE91" s="1036"/>
      <c r="AF91" s="1036" t="s">
        <v>5420</v>
      </c>
      <c r="AG91" s="1036"/>
      <c r="AH91" s="1036"/>
      <c r="AI91" s="1036"/>
      <c r="AJ91" s="1036"/>
      <c r="AK91" s="1036"/>
      <c r="AL91" s="1098"/>
      <c r="AM91" s="1036"/>
      <c r="AN91" s="1036"/>
      <c r="AO91" s="1036" t="s">
        <v>5631</v>
      </c>
      <c r="AP91" s="1036"/>
      <c r="AQ91" s="1036"/>
      <c r="AR91" s="1098"/>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7774</v>
      </c>
      <c r="C92" s="1097" t="s">
        <v>1778</v>
      </c>
      <c r="D92" s="1036"/>
      <c r="E92" s="1036" t="s">
        <v>1778</v>
      </c>
      <c r="F92" s="1028"/>
      <c r="G92" s="1036" t="s">
        <v>1778</v>
      </c>
      <c r="H92" s="1048"/>
      <c r="I92" s="1036"/>
      <c r="J92" s="1036"/>
      <c r="K92" s="1036"/>
      <c r="L92" s="1036"/>
      <c r="M92" s="1036" t="s">
        <v>1778</v>
      </c>
      <c r="N92" s="1036"/>
      <c r="O92" s="1036"/>
      <c r="P92" s="1032"/>
      <c r="Q92" s="1098"/>
      <c r="R92" s="1100"/>
      <c r="S92" s="1036" t="s">
        <v>2928</v>
      </c>
      <c r="T92" s="1036" t="s">
        <v>1778</v>
      </c>
      <c r="U92" s="1036"/>
      <c r="V92" s="1036"/>
      <c r="W92" s="1036"/>
      <c r="X92" s="1036"/>
      <c r="Y92" s="1036"/>
      <c r="Z92" s="1036"/>
      <c r="AA92" s="1036"/>
      <c r="AB92" s="1036"/>
      <c r="AC92" s="1036"/>
      <c r="AD92" s="1036"/>
      <c r="AE92" s="1036"/>
      <c r="AF92" s="1036" t="s">
        <v>6777</v>
      </c>
      <c r="AG92" s="1036"/>
      <c r="AH92" s="1036"/>
      <c r="AI92" s="1036"/>
      <c r="AJ92" s="1036"/>
      <c r="AK92" s="1036"/>
      <c r="AL92" s="1098"/>
      <c r="AM92" s="1036"/>
      <c r="AN92" s="1036"/>
      <c r="AO92" s="1036"/>
      <c r="AP92" s="1036"/>
      <c r="AQ92" s="1036"/>
      <c r="AR92" s="1098"/>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7775</v>
      </c>
      <c r="C93" s="1097" t="s">
        <v>294</v>
      </c>
      <c r="D93" s="1036"/>
      <c r="E93" s="1036" t="s">
        <v>1316</v>
      </c>
      <c r="F93" s="1103"/>
      <c r="G93" s="1036" t="s">
        <v>294</v>
      </c>
      <c r="H93" s="1048"/>
      <c r="I93" s="1036"/>
      <c r="J93" s="1036"/>
      <c r="K93" s="1036"/>
      <c r="L93" s="1036"/>
      <c r="M93" s="1036"/>
      <c r="N93" s="1036"/>
      <c r="O93" s="1036"/>
      <c r="P93" s="1032"/>
      <c r="Q93" s="1098"/>
      <c r="R93" s="1039"/>
      <c r="S93" s="1036"/>
      <c r="T93" s="1036"/>
      <c r="U93" s="1036"/>
      <c r="V93" s="1036"/>
      <c r="W93" s="1036"/>
      <c r="X93" s="1036"/>
      <c r="Y93" s="1036"/>
      <c r="Z93" s="1036"/>
      <c r="AA93" s="1036"/>
      <c r="AB93" s="1036"/>
      <c r="AC93" s="1036"/>
      <c r="AD93" s="1036"/>
      <c r="AE93" s="1036"/>
      <c r="AF93" s="1036" t="s">
        <v>529</v>
      </c>
      <c r="AG93" s="1036"/>
      <c r="AH93" s="1036"/>
      <c r="AI93" s="1036"/>
      <c r="AJ93" s="1036"/>
      <c r="AK93" s="1036" t="s">
        <v>4016</v>
      </c>
      <c r="AL93" s="1098"/>
      <c r="AM93" s="1036"/>
      <c r="AN93" s="1036"/>
      <c r="AO93" s="1036"/>
      <c r="AP93" s="1036"/>
      <c r="AQ93" s="1036"/>
      <c r="AR93" s="1098"/>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7776</v>
      </c>
      <c r="C94" s="1097" t="s">
        <v>995</v>
      </c>
      <c r="D94" s="1036" t="s">
        <v>1569</v>
      </c>
      <c r="E94" s="1029" t="s">
        <v>358</v>
      </c>
      <c r="F94" s="1028"/>
      <c r="G94" s="1029" t="s">
        <v>995</v>
      </c>
      <c r="H94" s="1030" t="s">
        <v>1278</v>
      </c>
      <c r="I94" s="1031"/>
      <c r="J94" s="1029" t="s">
        <v>7777</v>
      </c>
      <c r="K94" s="1031"/>
      <c r="L94" s="1031" t="s">
        <v>125</v>
      </c>
      <c r="M94" s="1029" t="s">
        <v>6092</v>
      </c>
      <c r="N94" s="1031"/>
      <c r="O94" s="1029" t="s">
        <v>125</v>
      </c>
      <c r="P94" s="1032" t="s">
        <v>125</v>
      </c>
      <c r="Q94" s="1098"/>
      <c r="R94" s="1100"/>
      <c r="S94" s="1031"/>
      <c r="T94" s="1031"/>
      <c r="U94" s="1031"/>
      <c r="V94" s="1031"/>
      <c r="W94" s="1031"/>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8"/>
      <c r="AM94" s="1031"/>
      <c r="AN94" s="1031"/>
      <c r="AO94" s="1031"/>
      <c r="AP94" s="1031"/>
      <c r="AQ94" s="1031"/>
      <c r="AR94" s="1098"/>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7778</v>
      </c>
      <c r="C95" s="1097" t="s">
        <v>2476</v>
      </c>
      <c r="D95" s="1036" t="s">
        <v>2476</v>
      </c>
      <c r="E95" s="1036"/>
      <c r="F95" s="1119" t="s">
        <v>2476</v>
      </c>
      <c r="G95" s="1031" t="s">
        <v>5022</v>
      </c>
      <c r="H95" s="1048"/>
      <c r="I95" s="1036"/>
      <c r="J95" s="1036"/>
      <c r="K95" s="1036"/>
      <c r="L95" s="1036"/>
      <c r="M95" s="1036"/>
      <c r="N95" s="1036"/>
      <c r="O95" s="1036"/>
      <c r="P95" s="1032"/>
      <c r="Q95" s="1098"/>
      <c r="R95" s="1039"/>
      <c r="S95" s="1036"/>
      <c r="T95" s="1036"/>
      <c r="U95" s="1036"/>
      <c r="V95" s="1036"/>
      <c r="W95" s="1036"/>
      <c r="X95" s="1036"/>
      <c r="Y95" s="1036"/>
      <c r="Z95" s="1036"/>
      <c r="AA95" s="1036"/>
      <c r="AB95" s="1036"/>
      <c r="AC95" s="1036"/>
      <c r="AD95" s="1036"/>
      <c r="AE95" s="1036"/>
      <c r="AF95" s="1036"/>
      <c r="AG95" s="1036"/>
      <c r="AH95" s="1036"/>
      <c r="AI95" s="1036"/>
      <c r="AJ95" s="1036"/>
      <c r="AK95" s="1036"/>
      <c r="AL95" s="1098"/>
      <c r="AM95" s="1036"/>
      <c r="AN95" s="1036"/>
      <c r="AO95" s="1036"/>
      <c r="AP95" s="1036"/>
      <c r="AQ95" s="1036"/>
      <c r="AR95" s="1098"/>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7660</v>
      </c>
      <c r="B96" s="1096" t="s">
        <v>7779</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109" t="s">
        <v>7780</v>
      </c>
      <c r="R96" s="1039"/>
      <c r="S96" s="1036"/>
      <c r="T96" s="1036"/>
      <c r="U96" s="1036"/>
      <c r="V96" s="1036"/>
      <c r="W96" s="1036"/>
      <c r="X96" s="1036"/>
      <c r="Y96" s="1036"/>
      <c r="Z96" s="1036"/>
      <c r="AA96" s="1036"/>
      <c r="AB96" s="1036"/>
      <c r="AC96" s="1036"/>
      <c r="AD96" s="1036"/>
      <c r="AE96" s="1036"/>
      <c r="AF96" s="1036"/>
      <c r="AG96" s="1036"/>
      <c r="AH96" s="1036"/>
      <c r="AI96" s="1036"/>
      <c r="AJ96" s="1036"/>
      <c r="AK96" s="1036"/>
      <c r="AL96" s="1098"/>
      <c r="AM96" s="1036"/>
      <c r="AN96" s="1036"/>
      <c r="AO96" s="1036"/>
      <c r="AP96" s="1036"/>
      <c r="AQ96" s="1036"/>
      <c r="AR96" s="1098"/>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7781</v>
      </c>
      <c r="B97" s="1096" t="s">
        <v>7664</v>
      </c>
      <c r="C97" s="1097" t="s">
        <v>7782</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9" t="s">
        <v>1827</v>
      </c>
      <c r="R97" s="1100"/>
      <c r="S97" s="1036"/>
      <c r="T97" s="1036"/>
      <c r="U97" s="1036"/>
      <c r="V97" s="1036"/>
      <c r="W97" s="1029" t="s">
        <v>1731</v>
      </c>
      <c r="X97" s="1036"/>
      <c r="Y97" s="1036"/>
      <c r="Z97" s="1036"/>
      <c r="AA97" s="1036"/>
      <c r="AB97" s="1036"/>
      <c r="AC97" s="1036"/>
      <c r="AD97" s="1036"/>
      <c r="AE97" s="1036"/>
      <c r="AF97" s="1036"/>
      <c r="AG97" s="1036"/>
      <c r="AH97" s="1036"/>
      <c r="AI97" s="1036"/>
      <c r="AJ97" s="1036"/>
      <c r="AK97" s="1036"/>
      <c r="AL97" s="1098"/>
      <c r="AM97" s="1036"/>
      <c r="AN97" s="1036"/>
      <c r="AO97" s="1036"/>
      <c r="AP97" s="1036"/>
      <c r="AQ97" s="1036"/>
      <c r="AR97" s="1098"/>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7783</v>
      </c>
      <c r="B98" s="1115" t="s">
        <v>7664</v>
      </c>
      <c r="C98" s="1046" t="s">
        <v>7784</v>
      </c>
      <c r="D98" s="1082" t="s">
        <v>7785</v>
      </c>
      <c r="E98" s="1036"/>
      <c r="F98" s="1028"/>
      <c r="G98" s="1036" t="s">
        <v>4525</v>
      </c>
      <c r="H98" s="1048"/>
      <c r="I98" s="1036"/>
      <c r="J98" s="1036"/>
      <c r="K98" s="1036"/>
      <c r="L98" s="1036"/>
      <c r="M98" s="1036"/>
      <c r="N98" s="1036"/>
      <c r="O98" s="1036"/>
      <c r="P98" s="1032"/>
      <c r="Q98" s="1109" t="s">
        <v>7786</v>
      </c>
      <c r="R98" s="1100"/>
      <c r="S98" s="1036"/>
      <c r="T98" s="1036"/>
      <c r="U98" s="1036"/>
      <c r="V98" s="1036"/>
      <c r="W98" s="1029" t="s">
        <v>7784</v>
      </c>
      <c r="X98" s="1036"/>
      <c r="Y98" s="1036"/>
      <c r="Z98" s="1036"/>
      <c r="AA98" s="1036"/>
      <c r="AB98" s="1036"/>
      <c r="AC98" s="1036"/>
      <c r="AD98" s="1036"/>
      <c r="AE98" s="1036"/>
      <c r="AF98" s="1036"/>
      <c r="AG98" s="1036"/>
      <c r="AH98" s="1036"/>
      <c r="AI98" s="1036"/>
      <c r="AJ98" s="1036"/>
      <c r="AK98" s="1036"/>
      <c r="AL98" s="1098"/>
      <c r="AM98" s="1036"/>
      <c r="AN98" s="1036"/>
      <c r="AO98" s="1036"/>
      <c r="AP98" s="1036"/>
      <c r="AQ98" s="1036"/>
      <c r="AR98" s="1098"/>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9" t="s">
        <v>7787</v>
      </c>
      <c r="R99" s="1100"/>
      <c r="S99" s="1031"/>
      <c r="T99" s="1031"/>
      <c r="U99" s="1031"/>
      <c r="V99" s="1031"/>
      <c r="W99" s="1031"/>
      <c r="X99" s="1031"/>
      <c r="Y99" s="1031"/>
      <c r="Z99" s="1031"/>
      <c r="AA99" s="1031"/>
      <c r="AB99" s="1031"/>
      <c r="AC99" s="1031"/>
      <c r="AD99" s="1031"/>
      <c r="AE99" s="1031"/>
      <c r="AF99" s="1031"/>
      <c r="AG99" s="1031"/>
      <c r="AH99" s="1031"/>
      <c r="AI99" s="1031"/>
      <c r="AJ99" s="1031"/>
      <c r="AK99" s="1031"/>
      <c r="AL99" s="1098"/>
      <c r="AM99" s="1031"/>
      <c r="AN99" s="1031"/>
      <c r="AO99" s="1031"/>
      <c r="AP99" s="1031"/>
      <c r="AQ99" s="1031"/>
      <c r="AR99" s="1098"/>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7788</v>
      </c>
      <c r="D100" s="1134"/>
      <c r="E100" s="1134"/>
      <c r="F100" s="1135"/>
      <c r="G100" s="1134"/>
      <c r="H100" s="1136"/>
      <c r="I100" s="1134"/>
      <c r="J100" s="1134"/>
      <c r="K100" s="1134"/>
      <c r="L100" s="1134"/>
      <c r="M100" s="1134"/>
      <c r="N100" s="1134"/>
      <c r="O100" s="1134"/>
      <c r="P100" s="1137"/>
      <c r="Q100" s="1134"/>
      <c r="R100" s="1138"/>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5"/>
      <c r="S101" s="1142"/>
      <c r="T101" s="1142"/>
      <c r="U101" s="1142"/>
      <c r="V101" s="1142"/>
      <c r="W101" s="1142"/>
      <c r="X101" s="1142"/>
      <c r="Y101" s="1142"/>
      <c r="Z101" s="1142"/>
      <c r="AA101" s="1142"/>
      <c r="AB101" s="1142"/>
      <c r="AC101" s="1142"/>
      <c r="AD101" s="1142"/>
      <c r="AE101" s="1142"/>
      <c r="AF101" s="1142"/>
      <c r="AG101" s="1142"/>
      <c r="AH101" s="1142"/>
      <c r="AI101" s="1142"/>
      <c r="AJ101" s="1142"/>
      <c r="AK101" s="1142"/>
      <c r="AL101" s="1144"/>
      <c r="AM101" s="1142"/>
      <c r="AN101" s="1142"/>
      <c r="AO101" s="1142"/>
      <c r="AP101" s="1142"/>
      <c r="AQ101" s="1142"/>
      <c r="AR101" s="1144"/>
      <c r="AS101" s="1142"/>
      <c r="AT101" s="1142"/>
      <c r="AU101" s="1145"/>
      <c r="AV101" s="1142"/>
      <c r="AW101" s="1142"/>
      <c r="AX101" s="1142"/>
      <c r="AY101" s="1142"/>
      <c r="AZ101" s="1142"/>
      <c r="BA101" s="1145"/>
      <c r="BB101" s="1142"/>
      <c r="BC101" s="1142"/>
      <c r="BD101" s="1142"/>
      <c r="BE101" s="1142"/>
      <c r="BF101" s="1142"/>
      <c r="BG101" s="1142"/>
      <c r="BH101" s="1142"/>
      <c r="BI101" s="1145"/>
      <c r="BJ101" s="1145"/>
      <c r="BK101" s="1145"/>
      <c r="BL101" s="1145"/>
      <c r="BM101" s="1145"/>
      <c r="BN101" s="1145"/>
      <c r="BO101" s="1145"/>
    </row>
    <row r="102" ht="15.75" customHeight="1">
      <c r="A102" s="1146" t="s">
        <v>7555</v>
      </c>
      <c r="B102" s="1147"/>
      <c r="C102" s="1141" t="s">
        <v>1616</v>
      </c>
      <c r="D102" s="990" t="s">
        <v>1574</v>
      </c>
      <c r="E102" s="1148"/>
      <c r="F102" s="1149"/>
      <c r="G102" s="1148"/>
      <c r="H102" s="1030" t="s">
        <v>7697</v>
      </c>
      <c r="I102" s="1142" t="s">
        <v>3345</v>
      </c>
      <c r="J102" s="1142" t="s">
        <v>4160</v>
      </c>
      <c r="K102" s="1148" t="s">
        <v>1235</v>
      </c>
      <c r="L102" s="1148" t="s">
        <v>917</v>
      </c>
      <c r="M102" s="1142" t="s">
        <v>762</v>
      </c>
      <c r="N102" s="1148" t="s">
        <v>3726</v>
      </c>
      <c r="O102" s="1142" t="s">
        <v>1616</v>
      </c>
      <c r="P102" s="1150" t="s">
        <v>2919</v>
      </c>
      <c r="Q102" s="1144"/>
      <c r="R102" s="1039"/>
      <c r="S102" s="1148"/>
      <c r="T102" s="1148" t="s">
        <v>5872</v>
      </c>
      <c r="U102" s="1148"/>
      <c r="V102" s="1148"/>
      <c r="W102" s="1148"/>
      <c r="X102" s="1148"/>
      <c r="Y102" s="1148"/>
      <c r="Z102" s="1148"/>
      <c r="AA102" s="1148"/>
      <c r="AB102" s="1148"/>
      <c r="AC102" s="1148"/>
      <c r="AD102" s="1148"/>
      <c r="AE102" s="1148"/>
      <c r="AF102" s="1148"/>
      <c r="AG102" s="1148"/>
      <c r="AH102" s="1148"/>
      <c r="AI102" s="1148"/>
      <c r="AJ102" s="1148"/>
      <c r="AK102" s="1148"/>
      <c r="AL102" s="1144"/>
      <c r="AM102" s="1148"/>
      <c r="AN102" s="1148"/>
      <c r="AO102" s="1148"/>
      <c r="AP102" s="1148"/>
      <c r="AQ102" s="1148"/>
      <c r="AR102" s="1144"/>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5"/>
      <c r="S103" s="1148"/>
      <c r="T103" s="1148"/>
      <c r="U103" s="1148"/>
      <c r="V103" s="1148" t="s">
        <v>1899</v>
      </c>
      <c r="W103" s="1148"/>
      <c r="X103" s="1148"/>
      <c r="Y103" s="1148"/>
      <c r="Z103" s="1148"/>
      <c r="AA103" s="1148"/>
      <c r="AB103" s="1148"/>
      <c r="AC103" s="1148"/>
      <c r="AD103" s="1148"/>
      <c r="AE103" s="1148"/>
      <c r="AF103" s="1148"/>
      <c r="AG103" s="1148"/>
      <c r="AH103" s="1148"/>
      <c r="AI103" s="1148"/>
      <c r="AJ103" s="1148"/>
      <c r="AK103" s="1148"/>
      <c r="AL103" s="1144"/>
      <c r="AM103" s="1148"/>
      <c r="AN103" s="1148" t="s">
        <v>2919</v>
      </c>
      <c r="AO103" s="1148"/>
      <c r="AP103" s="1148"/>
      <c r="AQ103" s="1148"/>
      <c r="AR103" s="1144"/>
      <c r="AS103" s="1148"/>
      <c r="AT103" s="1148"/>
      <c r="AU103" s="1145"/>
      <c r="AV103" s="1148"/>
      <c r="AW103" s="1148"/>
      <c r="AX103" s="1148"/>
      <c r="AY103" s="1148"/>
      <c r="AZ103" s="1148"/>
      <c r="BA103" s="1145"/>
      <c r="BB103" s="1148"/>
      <c r="BC103" s="1148"/>
      <c r="BD103" s="1148"/>
      <c r="BE103" s="1148"/>
      <c r="BF103" s="1148"/>
      <c r="BG103" s="1148"/>
      <c r="BH103" s="1148"/>
      <c r="BI103" s="1145"/>
      <c r="BJ103" s="1145"/>
      <c r="BK103" s="1145"/>
      <c r="BL103" s="1145"/>
      <c r="BM103" s="1145"/>
      <c r="BN103" s="1145"/>
      <c r="BO103" s="1145"/>
    </row>
    <row r="104" ht="15.75" customHeight="1">
      <c r="A104" s="1139" t="s">
        <v>7789</v>
      </c>
      <c r="B104" s="1153" t="s">
        <v>7790</v>
      </c>
      <c r="C104" s="1141" t="s">
        <v>1512</v>
      </c>
      <c r="D104" s="987" t="s">
        <v>7791</v>
      </c>
      <c r="E104" s="1148"/>
      <c r="F104" s="1028"/>
      <c r="G104" s="1148"/>
      <c r="H104" s="1030" t="s">
        <v>1283</v>
      </c>
      <c r="I104" s="1148" t="s">
        <v>6878</v>
      </c>
      <c r="J104" s="1142" t="s">
        <v>7792</v>
      </c>
      <c r="K104" s="1148"/>
      <c r="L104" s="1142" t="s">
        <v>132</v>
      </c>
      <c r="M104" s="1148"/>
      <c r="N104" s="1142" t="str">
        <f>HYPERLINK("https://youtu.be/amAFpVoAKyY","1:57.90")</f>
        <v>1:57.90</v>
      </c>
      <c r="O104" s="1148"/>
      <c r="P104" s="1150"/>
      <c r="Q104" s="1144"/>
      <c r="R104" s="1145"/>
      <c r="S104" s="1148"/>
      <c r="T104" s="1148"/>
      <c r="U104" s="1148"/>
      <c r="V104" s="1148"/>
      <c r="W104" s="1148"/>
      <c r="X104" s="1148"/>
      <c r="Y104" s="1148"/>
      <c r="Z104" s="1148"/>
      <c r="AA104" s="1148"/>
      <c r="AB104" s="1148" t="s">
        <v>1512</v>
      </c>
      <c r="AC104" s="1148"/>
      <c r="AD104" s="1148"/>
      <c r="AE104" s="1148"/>
      <c r="AF104" s="1148"/>
      <c r="AG104" s="1148"/>
      <c r="AH104" s="1148"/>
      <c r="AI104" s="1148"/>
      <c r="AJ104" s="1148"/>
      <c r="AK104" s="1148"/>
      <c r="AL104" s="1144"/>
      <c r="AM104" s="1148"/>
      <c r="AN104" s="1148"/>
      <c r="AO104" s="1148"/>
      <c r="AP104" s="1148"/>
      <c r="AQ104" s="1148"/>
      <c r="AR104" s="1144"/>
      <c r="AS104" s="1148"/>
      <c r="AT104" s="1148"/>
      <c r="AU104" s="1145"/>
      <c r="AV104" s="1148"/>
      <c r="AW104" s="1148"/>
      <c r="AX104" s="1148"/>
      <c r="AY104" s="1148"/>
      <c r="AZ104" s="1148"/>
      <c r="BA104" s="1145"/>
      <c r="BB104" s="1148"/>
      <c r="BC104" s="1148"/>
      <c r="BD104" s="1148"/>
      <c r="BE104" s="1148"/>
      <c r="BF104" s="1148"/>
      <c r="BG104" s="1148"/>
      <c r="BH104" s="1148"/>
      <c r="BI104" s="1145"/>
      <c r="BJ104" s="1145"/>
      <c r="BK104" s="1145"/>
      <c r="BL104" s="1145"/>
      <c r="BM104" s="1145"/>
      <c r="BN104" s="1145"/>
      <c r="BO104" s="1145"/>
    </row>
    <row r="105" ht="15.75" customHeight="1">
      <c r="A105" s="1154"/>
      <c r="B105" s="1155" t="s">
        <v>7793</v>
      </c>
      <c r="C105" s="1141" t="s">
        <v>7794</v>
      </c>
      <c r="D105" s="990" t="s">
        <v>1575</v>
      </c>
      <c r="E105" s="1148"/>
      <c r="F105" s="1149"/>
      <c r="G105" s="1148"/>
      <c r="H105" s="1048"/>
      <c r="I105" s="1148"/>
      <c r="J105" s="1142" t="s">
        <v>7794</v>
      </c>
      <c r="K105" s="1148"/>
      <c r="L105" s="1148"/>
      <c r="M105" s="1148"/>
      <c r="N105" s="1148"/>
      <c r="O105" s="1148"/>
      <c r="P105" s="1150"/>
      <c r="Q105" s="1144"/>
      <c r="R105" s="1039"/>
      <c r="S105" s="1148"/>
      <c r="T105" s="1148"/>
      <c r="U105" s="1148"/>
      <c r="V105" s="1148"/>
      <c r="W105" s="1148"/>
      <c r="X105" s="1148"/>
      <c r="Y105" s="1148"/>
      <c r="Z105" s="1148"/>
      <c r="AA105" s="1148"/>
      <c r="AB105" s="1148"/>
      <c r="AC105" s="1148"/>
      <c r="AD105" s="1148"/>
      <c r="AE105" s="1148"/>
      <c r="AF105" s="1148"/>
      <c r="AG105" s="1148"/>
      <c r="AH105" s="1148"/>
      <c r="AI105" s="1148"/>
      <c r="AJ105" s="1148"/>
      <c r="AK105" s="1148"/>
      <c r="AL105" s="1144"/>
      <c r="AM105" s="1148"/>
      <c r="AN105" s="1148"/>
      <c r="AO105" s="1148"/>
      <c r="AP105" s="1148"/>
      <c r="AQ105" s="1148"/>
      <c r="AR105" s="1144"/>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7716</v>
      </c>
      <c r="B106" s="1153" t="s">
        <v>7795</v>
      </c>
      <c r="C106" s="1141" t="s">
        <v>5721</v>
      </c>
      <c r="D106" s="987" t="s">
        <v>6738</v>
      </c>
      <c r="E106" s="1148"/>
      <c r="F106" s="1028"/>
      <c r="G106" s="1148"/>
      <c r="H106" s="1030" t="s">
        <v>612</v>
      </c>
      <c r="I106" s="1148"/>
      <c r="J106" s="1142" t="s">
        <v>7796</v>
      </c>
      <c r="K106" s="1148" t="s">
        <v>3643</v>
      </c>
      <c r="L106" s="1148"/>
      <c r="M106" s="1148"/>
      <c r="N106" s="1148"/>
      <c r="O106" s="1148"/>
      <c r="P106" s="1150"/>
      <c r="Q106" s="1144"/>
      <c r="R106" s="1145"/>
      <c r="S106" s="1148"/>
      <c r="T106" s="1148"/>
      <c r="U106" s="1148"/>
      <c r="V106" s="1148"/>
      <c r="W106" s="1148"/>
      <c r="X106" s="1148"/>
      <c r="Y106" s="1148"/>
      <c r="Z106" s="1148"/>
      <c r="AA106" s="1148"/>
      <c r="AB106" s="1148"/>
      <c r="AC106" s="1148"/>
      <c r="AD106" s="1148"/>
      <c r="AE106" s="1148"/>
      <c r="AF106" s="1148"/>
      <c r="AG106" s="1148"/>
      <c r="AH106" s="1148"/>
      <c r="AI106" s="1148"/>
      <c r="AJ106" s="1148"/>
      <c r="AK106" s="1148"/>
      <c r="AL106" s="1144"/>
      <c r="AM106" s="1148"/>
      <c r="AN106" s="1148"/>
      <c r="AO106" s="1148"/>
      <c r="AP106" s="1148"/>
      <c r="AQ106" s="1148"/>
      <c r="AR106" s="1144"/>
      <c r="AS106" s="1148"/>
      <c r="AT106" s="1148"/>
      <c r="AU106" s="1145"/>
      <c r="AV106" s="1148"/>
      <c r="AW106" s="1148"/>
      <c r="AX106" s="1148"/>
      <c r="AY106" s="1148"/>
      <c r="AZ106" s="1148"/>
      <c r="BA106" s="1145"/>
      <c r="BB106" s="1148"/>
      <c r="BC106" s="1148"/>
      <c r="BD106" s="1148"/>
      <c r="BE106" s="1148"/>
      <c r="BF106" s="1148" t="s">
        <v>7797</v>
      </c>
      <c r="BG106" s="1148"/>
      <c r="BH106" s="1148"/>
      <c r="BI106" s="1145"/>
      <c r="BJ106" s="1145"/>
      <c r="BK106" s="1145"/>
      <c r="BL106" s="1145"/>
      <c r="BM106" s="1145"/>
      <c r="BN106" s="1145"/>
      <c r="BO106" s="1145"/>
    </row>
    <row r="107" ht="15.75" customHeight="1">
      <c r="A107" s="1139" t="s">
        <v>7725</v>
      </c>
      <c r="B107" s="1153" t="s">
        <v>7798</v>
      </c>
      <c r="C107" s="1141" t="s">
        <v>7799</v>
      </c>
      <c r="D107" s="987" t="s">
        <v>3723</v>
      </c>
      <c r="E107" s="1148"/>
      <c r="F107" s="1149"/>
      <c r="G107" s="1148"/>
      <c r="H107" s="1030" t="s">
        <v>134</v>
      </c>
      <c r="I107" s="1148" t="s">
        <v>7800</v>
      </c>
      <c r="J107" s="1142" t="s">
        <v>7801</v>
      </c>
      <c r="K107" s="1148" t="s">
        <v>3644</v>
      </c>
      <c r="L107" s="1148" t="s">
        <v>919</v>
      </c>
      <c r="M107" s="1148"/>
      <c r="N107" s="1148" t="s">
        <v>2510</v>
      </c>
      <c r="O107" s="1148"/>
      <c r="P107" s="1150"/>
      <c r="Q107" s="1144"/>
      <c r="R107" s="1039"/>
      <c r="S107" s="1148"/>
      <c r="T107" s="1148"/>
      <c r="U107" s="1148"/>
      <c r="V107" s="1148"/>
      <c r="W107" s="1148"/>
      <c r="X107" s="1148"/>
      <c r="Y107" s="1148"/>
      <c r="Z107" s="1148"/>
      <c r="AA107" s="1148"/>
      <c r="AB107" s="1148"/>
      <c r="AC107" s="1148"/>
      <c r="AD107" s="1148"/>
      <c r="AE107" s="1148"/>
      <c r="AF107" s="1148"/>
      <c r="AG107" s="1148"/>
      <c r="AH107" s="1148"/>
      <c r="AI107" s="1148"/>
      <c r="AJ107" s="1148"/>
      <c r="AK107" s="1148"/>
      <c r="AL107" s="1144"/>
      <c r="AM107" s="1148"/>
      <c r="AN107" s="1148"/>
      <c r="AO107" s="1148"/>
      <c r="AP107" s="1148"/>
      <c r="AQ107" s="1148"/>
      <c r="AR107" s="1144"/>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7798</v>
      </c>
      <c r="C108" s="1025" t="s">
        <v>7802</v>
      </c>
      <c r="D108" s="1084" t="s">
        <v>7702</v>
      </c>
      <c r="E108" s="1142" t="s">
        <v>366</v>
      </c>
      <c r="F108" s="1028"/>
      <c r="G108" s="1142"/>
      <c r="H108" s="1030" t="s">
        <v>7803</v>
      </c>
      <c r="I108" s="1142"/>
      <c r="J108" s="1142"/>
      <c r="K108" s="1142"/>
      <c r="L108" s="1142"/>
      <c r="M108" s="1142"/>
      <c r="N108" s="1142" t="str">
        <f>HYPERLINK("https://youtu.be/fN_8rgua0Xs","36.26")</f>
        <v>36.26</v>
      </c>
      <c r="O108" s="1142"/>
      <c r="P108" s="1143"/>
      <c r="Q108" s="1144"/>
      <c r="R108" s="1145"/>
      <c r="S108" s="1142"/>
      <c r="T108" s="1142"/>
      <c r="U108" s="1142"/>
      <c r="V108" s="1142" t="s">
        <v>135</v>
      </c>
      <c r="W108" s="1142"/>
      <c r="X108" s="1142"/>
      <c r="Y108" s="1142"/>
      <c r="Z108" s="1142"/>
      <c r="AA108" s="1142"/>
      <c r="AB108" s="1142"/>
      <c r="AC108" s="1142"/>
      <c r="AD108" s="1142"/>
      <c r="AE108" s="1142"/>
      <c r="AF108" s="1142"/>
      <c r="AG108" s="1142"/>
      <c r="AH108" s="1142"/>
      <c r="AI108" s="1142"/>
      <c r="AJ108" s="1142"/>
      <c r="AK108" s="1142"/>
      <c r="AL108" s="1144"/>
      <c r="AM108" s="1142"/>
      <c r="AN108" s="1142"/>
      <c r="AO108" s="1142"/>
      <c r="AP108" s="1142"/>
      <c r="AQ108" s="1142"/>
      <c r="AR108" s="1071" t="s">
        <v>7802</v>
      </c>
      <c r="AS108" s="1142"/>
      <c r="AT108" s="1142"/>
      <c r="AU108" s="1145"/>
      <c r="AV108" s="1142"/>
      <c r="AW108" s="1142"/>
      <c r="AX108" s="1142"/>
      <c r="AY108" s="1142"/>
      <c r="AZ108" s="1142"/>
      <c r="BA108" s="1145"/>
      <c r="BB108" s="1142"/>
      <c r="BC108" s="1142"/>
      <c r="BD108" s="1142"/>
      <c r="BE108" s="1142"/>
      <c r="BF108" s="1142"/>
      <c r="BG108" s="1142"/>
      <c r="BH108" s="1142"/>
      <c r="BI108" s="1145"/>
      <c r="BJ108" s="1145"/>
      <c r="BK108" s="1145"/>
      <c r="BL108" s="1145"/>
      <c r="BM108" s="1145"/>
      <c r="BN108" s="1145"/>
      <c r="BO108" s="1145"/>
    </row>
    <row r="109" ht="15.75" customHeight="1">
      <c r="A109" s="1146" t="s">
        <v>7565</v>
      </c>
      <c r="B109" s="1156" t="s">
        <v>7790</v>
      </c>
      <c r="C109" s="1141" t="s">
        <v>1788</v>
      </c>
      <c r="D109" s="1148"/>
      <c r="E109" s="1148"/>
      <c r="F109" s="1149"/>
      <c r="G109" s="1148"/>
      <c r="H109" s="1030" t="s">
        <v>4272</v>
      </c>
      <c r="I109" s="1148"/>
      <c r="J109" s="1148"/>
      <c r="K109" s="1148"/>
      <c r="L109" s="1148"/>
      <c r="M109" s="1148"/>
      <c r="N109" s="1148"/>
      <c r="O109" s="1148"/>
      <c r="P109" s="1150"/>
      <c r="Q109" s="1144"/>
      <c r="R109" s="1039"/>
      <c r="S109" s="1148"/>
      <c r="T109" s="1148"/>
      <c r="U109" s="1148"/>
      <c r="V109" s="1148"/>
      <c r="W109" s="1148"/>
      <c r="X109" s="1148"/>
      <c r="Y109" s="1148"/>
      <c r="Z109" s="1148"/>
      <c r="AA109" s="1148"/>
      <c r="AB109" s="1148"/>
      <c r="AC109" s="1148"/>
      <c r="AD109" s="1148"/>
      <c r="AE109" s="1148"/>
      <c r="AF109" s="1148"/>
      <c r="AG109" s="1148"/>
      <c r="AH109" s="1152" t="s">
        <v>2577</v>
      </c>
      <c r="AI109" s="1148"/>
      <c r="AJ109" s="1148"/>
      <c r="AK109" s="1148"/>
      <c r="AL109" s="1144"/>
      <c r="AM109" s="1148"/>
      <c r="AN109" s="1148"/>
      <c r="AO109" s="1148"/>
      <c r="AP109" s="1148"/>
      <c r="AQ109" s="1148"/>
      <c r="AR109" s="1144"/>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7804</v>
      </c>
      <c r="B110" s="1157" t="s">
        <v>7541</v>
      </c>
      <c r="C110" s="1141"/>
      <c r="D110" s="1148"/>
      <c r="E110" s="1148"/>
      <c r="F110" s="1028"/>
      <c r="G110" s="1148"/>
      <c r="H110" s="1048"/>
      <c r="I110" s="1148"/>
      <c r="J110" s="1148"/>
      <c r="K110" s="1148"/>
      <c r="L110" s="1148"/>
      <c r="M110" s="1148"/>
      <c r="N110" s="1148"/>
      <c r="O110" s="1148"/>
      <c r="P110" s="1150"/>
      <c r="Q110" s="1144"/>
      <c r="R110" s="1145"/>
      <c r="S110" s="1148"/>
      <c r="T110" s="1148"/>
      <c r="U110" s="1148"/>
      <c r="V110" s="1148"/>
      <c r="W110" s="1148"/>
      <c r="X110" s="1148"/>
      <c r="Y110" s="1148"/>
      <c r="Z110" s="1148"/>
      <c r="AA110" s="1148"/>
      <c r="AB110" s="1148"/>
      <c r="AC110" s="1148"/>
      <c r="AD110" s="1148"/>
      <c r="AE110" s="1148"/>
      <c r="AF110" s="1148"/>
      <c r="AG110" s="1148"/>
      <c r="AH110" s="1148"/>
      <c r="AI110" s="1148"/>
      <c r="AJ110" s="1148"/>
      <c r="AK110" s="1148"/>
      <c r="AL110" s="1144"/>
      <c r="AM110" s="1148"/>
      <c r="AN110" s="1148"/>
      <c r="AO110" s="1148"/>
      <c r="AP110" s="1148"/>
      <c r="AQ110" s="1148"/>
      <c r="AR110" s="1144"/>
      <c r="AS110" s="1148"/>
      <c r="AT110" s="1148"/>
      <c r="AU110" s="1145"/>
      <c r="AV110" s="1148"/>
      <c r="AW110" s="1148"/>
      <c r="AX110" s="1148"/>
      <c r="AY110" s="1148"/>
      <c r="AZ110" s="1148"/>
      <c r="BA110" s="1145"/>
      <c r="BB110" s="1148"/>
      <c r="BC110" s="1148"/>
      <c r="BD110" s="1148"/>
      <c r="BE110" s="1148"/>
      <c r="BF110" s="1148"/>
      <c r="BG110" s="1148"/>
      <c r="BH110" s="1148"/>
      <c r="BI110" s="1145"/>
      <c r="BJ110" s="1145"/>
      <c r="BK110" s="1145"/>
      <c r="BL110" s="1145"/>
      <c r="BM110" s="1145"/>
      <c r="BN110" s="1145"/>
      <c r="BO110" s="1145"/>
    </row>
    <row r="111" ht="15.75" customHeight="1">
      <c r="A111" s="1139" t="s">
        <v>7753</v>
      </c>
      <c r="B111" s="1153" t="s">
        <v>7664</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5"/>
      <c r="S111" s="1148"/>
      <c r="T111" s="1148"/>
      <c r="U111" s="1148"/>
      <c r="V111" s="1148"/>
      <c r="W111" s="1148"/>
      <c r="X111" s="1148"/>
      <c r="Y111" s="1148"/>
      <c r="Z111" s="1148"/>
      <c r="AA111" s="1148"/>
      <c r="AB111" s="1148"/>
      <c r="AC111" s="1148"/>
      <c r="AD111" s="1148"/>
      <c r="AE111" s="1148"/>
      <c r="AF111" s="1148"/>
      <c r="AG111" s="1148"/>
      <c r="AH111" s="1148"/>
      <c r="AI111" s="1148"/>
      <c r="AJ111" s="1148"/>
      <c r="AK111" s="1148"/>
      <c r="AL111" s="1144"/>
      <c r="AM111" s="1148"/>
      <c r="AN111" s="1148"/>
      <c r="AO111" s="1148"/>
      <c r="AP111" s="1148"/>
      <c r="AQ111" s="1148"/>
      <c r="AR111" s="1144"/>
      <c r="AS111" s="1148"/>
      <c r="AT111" s="1148"/>
      <c r="AU111" s="1145"/>
      <c r="AV111" s="1148"/>
      <c r="AW111" s="1148"/>
      <c r="AX111" s="1148"/>
      <c r="AY111" s="1148"/>
      <c r="AZ111" s="1148"/>
      <c r="BA111" s="1145"/>
      <c r="BB111" s="1148"/>
      <c r="BC111" s="1148"/>
      <c r="BD111" s="1148"/>
      <c r="BE111" s="1148"/>
      <c r="BF111" s="1148"/>
      <c r="BG111" s="1148"/>
      <c r="BH111" s="1148"/>
      <c r="BI111" s="1145"/>
      <c r="BJ111" s="1145"/>
      <c r="BK111" s="1145"/>
      <c r="BL111" s="1145"/>
      <c r="BM111" s="1145"/>
      <c r="BN111" s="1145"/>
      <c r="BO111" s="1145"/>
    </row>
    <row r="112" ht="15.75" customHeight="1">
      <c r="A112" s="1158"/>
      <c r="B112" s="1155" t="s">
        <v>7805</v>
      </c>
      <c r="C112" s="1141" t="s">
        <v>1259</v>
      </c>
      <c r="D112" s="990" t="s">
        <v>1578</v>
      </c>
      <c r="E112" s="1148"/>
      <c r="F112" s="1028"/>
      <c r="G112" s="1148"/>
      <c r="H112" s="1030" t="s">
        <v>1286</v>
      </c>
      <c r="I112" s="1148" t="s">
        <v>7806</v>
      </c>
      <c r="J112" s="1142" t="s">
        <v>1259</v>
      </c>
      <c r="K112" s="1148" t="s">
        <v>3646</v>
      </c>
      <c r="L112" s="1142" t="s">
        <v>920</v>
      </c>
      <c r="M112" s="1148"/>
      <c r="N112" s="1148"/>
      <c r="O112" s="1148"/>
      <c r="P112" s="1150"/>
      <c r="Q112" s="1144"/>
      <c r="R112" s="1039"/>
      <c r="S112" s="1148"/>
      <c r="T112" s="1148"/>
      <c r="U112" s="1148"/>
      <c r="V112" s="1148"/>
      <c r="W112" s="1148"/>
      <c r="X112" s="1148"/>
      <c r="Y112" s="1148"/>
      <c r="Z112" s="1148"/>
      <c r="AA112" s="1148"/>
      <c r="AB112" s="1148"/>
      <c r="AC112" s="1148"/>
      <c r="AD112" s="1148"/>
      <c r="AE112" s="1148"/>
      <c r="AF112" s="1148"/>
      <c r="AG112" s="1148"/>
      <c r="AH112" s="1148"/>
      <c r="AI112" s="1148"/>
      <c r="AJ112" s="1148"/>
      <c r="AK112" s="1148"/>
      <c r="AL112" s="1144"/>
      <c r="AM112" s="1148"/>
      <c r="AN112" s="1148"/>
      <c r="AO112" s="1148"/>
      <c r="AP112" s="1148"/>
      <c r="AQ112" s="1148"/>
      <c r="AR112" s="1144"/>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7656</v>
      </c>
      <c r="B113" s="1153" t="s">
        <v>7807</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44"/>
      <c r="R113" s="1160" t="s">
        <v>7808</v>
      </c>
      <c r="S113" s="1142"/>
      <c r="T113" s="1142" t="s">
        <v>6111</v>
      </c>
      <c r="U113" s="1142"/>
      <c r="V113" s="1142"/>
      <c r="W113" s="1142"/>
      <c r="X113" s="1142"/>
      <c r="Y113" s="1142"/>
      <c r="Z113" s="1142"/>
      <c r="AA113" s="1142"/>
      <c r="AB113" s="1142"/>
      <c r="AC113" s="1142"/>
      <c r="AD113" s="1142"/>
      <c r="AE113" s="1142"/>
      <c r="AF113" s="1142"/>
      <c r="AG113" s="1142"/>
      <c r="AH113" s="1142"/>
      <c r="AI113" s="1142"/>
      <c r="AJ113" s="1142"/>
      <c r="AK113" s="1142"/>
      <c r="AL113" s="1144"/>
      <c r="AM113" s="1142"/>
      <c r="AN113" s="1142"/>
      <c r="AO113" s="1142"/>
      <c r="AP113" s="1142"/>
      <c r="AQ113" s="1142"/>
      <c r="AR113" s="1144"/>
      <c r="AS113" s="1142"/>
      <c r="AT113" s="1142"/>
      <c r="AU113" s="1145"/>
      <c r="AV113" s="1142"/>
      <c r="AW113" s="1142"/>
      <c r="AX113" s="1142"/>
      <c r="AY113" s="1142"/>
      <c r="AZ113" s="1142"/>
      <c r="BA113" s="1145"/>
      <c r="BB113" s="1142"/>
      <c r="BC113" s="1142"/>
      <c r="BD113" s="1142"/>
      <c r="BE113" s="1142"/>
      <c r="BF113" s="1142"/>
      <c r="BG113" s="1142"/>
      <c r="BH113" s="1142"/>
      <c r="BI113" s="1145"/>
      <c r="BJ113" s="1145"/>
      <c r="BK113" s="1145"/>
      <c r="BL113" s="1145"/>
      <c r="BM113" s="1145"/>
      <c r="BN113" s="1145"/>
      <c r="BO113" s="1145"/>
    </row>
    <row r="114" ht="15.75" customHeight="1">
      <c r="A114" s="1158"/>
      <c r="B114" s="1155" t="s">
        <v>7809</v>
      </c>
      <c r="C114" s="1141"/>
      <c r="D114" s="1142"/>
      <c r="E114" s="1142" t="s">
        <v>6111</v>
      </c>
      <c r="F114" s="1159" t="s">
        <v>3826</v>
      </c>
      <c r="G114" s="1142" t="s">
        <v>6111</v>
      </c>
      <c r="H114" s="1048"/>
      <c r="I114" s="1142"/>
      <c r="J114" s="1142"/>
      <c r="K114" s="1142"/>
      <c r="L114" s="1142"/>
      <c r="M114" s="1142"/>
      <c r="O114" s="1142"/>
      <c r="P114" s="1143"/>
      <c r="Q114" s="1144"/>
      <c r="R114" s="1145"/>
      <c r="S114" s="1142"/>
      <c r="T114" s="1142"/>
      <c r="U114" s="1142"/>
      <c r="V114" s="1142"/>
      <c r="W114" s="1142"/>
      <c r="X114" s="1142"/>
      <c r="Y114" s="1142"/>
      <c r="Z114" s="1142"/>
      <c r="AA114" s="1142"/>
      <c r="AB114" s="1142"/>
      <c r="AC114" s="1142"/>
      <c r="AD114" s="1142"/>
      <c r="AE114" s="1142"/>
      <c r="AF114" s="1142"/>
      <c r="AG114" s="1142"/>
      <c r="AH114" s="1142"/>
      <c r="AI114" s="1142"/>
      <c r="AJ114" s="1142"/>
      <c r="AK114" s="1142"/>
      <c r="AL114" s="1144"/>
      <c r="AM114" s="1142"/>
      <c r="AN114" s="1142"/>
      <c r="AO114" s="1142"/>
      <c r="AP114" s="1142"/>
      <c r="AQ114" s="1142"/>
      <c r="AR114" s="1144"/>
      <c r="AS114" s="1142"/>
      <c r="AT114" s="1142"/>
      <c r="AU114" s="1145"/>
      <c r="AV114" s="1142"/>
      <c r="AW114" s="1142"/>
      <c r="AX114" s="1142"/>
      <c r="AY114" s="1142"/>
      <c r="AZ114" s="1142"/>
      <c r="BA114" s="1145"/>
      <c r="BB114" s="1142"/>
      <c r="BC114" s="1142"/>
      <c r="BD114" s="1142"/>
      <c r="BE114" s="1142"/>
      <c r="BF114" s="1142"/>
      <c r="BG114" s="1142"/>
      <c r="BH114" s="1142"/>
      <c r="BI114" s="1145"/>
      <c r="BJ114" s="1145"/>
      <c r="BK114" s="1145"/>
      <c r="BL114" s="1145"/>
      <c r="BM114" s="1145"/>
      <c r="BN114" s="1145"/>
      <c r="BO114" s="1145"/>
    </row>
    <row r="115" ht="15.75" customHeight="1">
      <c r="A115" s="1161"/>
      <c r="B115" s="1162" t="s">
        <v>7659</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144"/>
      <c r="R115" s="1039"/>
      <c r="S115" s="1142"/>
      <c r="T115" s="1142"/>
      <c r="U115" s="1142"/>
      <c r="V115" s="1142"/>
      <c r="W115" s="1142"/>
      <c r="X115" s="1142"/>
      <c r="Y115" s="1142"/>
      <c r="Z115" s="1142"/>
      <c r="AA115" s="1142"/>
      <c r="AB115" s="1142"/>
      <c r="AC115" s="1142"/>
      <c r="AD115" s="1142"/>
      <c r="AE115" s="1142"/>
      <c r="AF115" s="1142"/>
      <c r="AG115" s="1142"/>
      <c r="AH115" s="1142"/>
      <c r="AI115" s="1142"/>
      <c r="AJ115" s="1142" t="s">
        <v>472</v>
      </c>
      <c r="AK115" s="1142"/>
      <c r="AL115" s="1144"/>
      <c r="AM115" s="1142"/>
      <c r="AN115" s="1142"/>
      <c r="AO115" s="1142"/>
      <c r="AP115" s="1142"/>
      <c r="AQ115" s="1142"/>
      <c r="AR115" s="1144"/>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7660</v>
      </c>
      <c r="B116" s="1153" t="s">
        <v>7810</v>
      </c>
      <c r="C116" s="1141" t="s">
        <v>2244</v>
      </c>
      <c r="D116" s="1148"/>
      <c r="E116" s="1148"/>
      <c r="F116" s="1149"/>
      <c r="G116" s="1148"/>
      <c r="H116" s="1030" t="s">
        <v>4260</v>
      </c>
      <c r="I116" s="1148"/>
      <c r="J116" s="1148"/>
      <c r="K116" s="1142" t="s">
        <v>4018</v>
      </c>
      <c r="L116" s="1148"/>
      <c r="M116" s="1148"/>
      <c r="N116" s="1148" t="s">
        <v>5474</v>
      </c>
      <c r="O116" s="1148"/>
      <c r="P116" s="1150"/>
      <c r="Q116" s="1144"/>
      <c r="R116" s="1163" t="s">
        <v>1679</v>
      </c>
      <c r="S116" s="1148"/>
      <c r="T116" s="1148"/>
      <c r="U116" s="1148"/>
      <c r="V116" s="1148"/>
      <c r="W116" s="1148"/>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4"/>
      <c r="AS116" s="1148"/>
      <c r="AT116" s="1148"/>
      <c r="AU116" s="1145"/>
      <c r="AV116" s="1148"/>
      <c r="AW116" s="1148"/>
      <c r="AX116" s="1148"/>
      <c r="AY116" s="1148"/>
      <c r="AZ116" s="1148"/>
      <c r="BA116" s="1145"/>
      <c r="BB116" s="1148"/>
      <c r="BC116" s="1148"/>
      <c r="BD116" s="1148"/>
      <c r="BE116" s="1148"/>
      <c r="BF116" s="1148"/>
      <c r="BG116" s="1148"/>
      <c r="BH116" s="1148"/>
      <c r="BI116" s="1163" t="s">
        <v>3798</v>
      </c>
      <c r="BJ116" s="1145"/>
      <c r="BK116" s="1145"/>
      <c r="BL116" s="1145"/>
      <c r="BM116" s="1145"/>
      <c r="BN116" s="1145"/>
      <c r="BO116" s="1145"/>
    </row>
    <row r="117" ht="15.75" customHeight="1">
      <c r="A117" s="1158"/>
      <c r="B117" s="1155" t="s">
        <v>7811</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144"/>
      <c r="R117" s="1039"/>
      <c r="S117" s="1148" t="s">
        <v>2559</v>
      </c>
      <c r="T117" s="1148" t="s">
        <v>845</v>
      </c>
      <c r="U117" s="1148"/>
      <c r="V117" s="1148"/>
      <c r="W117" s="1148" t="s">
        <v>4701</v>
      </c>
      <c r="X117" s="1148" t="s">
        <v>7812</v>
      </c>
      <c r="Y117" s="1148"/>
      <c r="Z117" s="1148"/>
      <c r="AA117" s="1148"/>
      <c r="AB117" s="1148"/>
      <c r="AC117" s="1152" t="s">
        <v>732</v>
      </c>
      <c r="AD117" s="1148"/>
      <c r="AE117" s="1148"/>
      <c r="AF117" s="1148"/>
      <c r="AG117" s="1148"/>
      <c r="AH117" s="1148"/>
      <c r="AI117" s="1148"/>
      <c r="AJ117" s="1148"/>
      <c r="AK117" s="1148"/>
      <c r="AL117" s="1144"/>
      <c r="AM117" s="1148"/>
      <c r="AN117" s="1148"/>
      <c r="AO117" s="1148"/>
      <c r="AP117" s="1148"/>
      <c r="AQ117" s="1148"/>
      <c r="AR117" s="1144"/>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7813</v>
      </c>
      <c r="C118" s="1141" t="s">
        <v>7814</v>
      </c>
      <c r="D118" s="1036" t="s">
        <v>1579</v>
      </c>
      <c r="E118" s="1142" t="s">
        <v>7814</v>
      </c>
      <c r="F118" s="1057" t="s">
        <v>2055</v>
      </c>
      <c r="G118" s="1148" t="s">
        <v>1931</v>
      </c>
      <c r="H118" s="1048"/>
      <c r="I118" s="1142" t="s">
        <v>259</v>
      </c>
      <c r="J118" s="1142" t="s">
        <v>4800</v>
      </c>
      <c r="K118" s="1142" t="s">
        <v>845</v>
      </c>
      <c r="L118" s="1142"/>
      <c r="M118" s="1142" t="s">
        <v>768</v>
      </c>
      <c r="N118" s="1142"/>
      <c r="O118" s="1142" t="s">
        <v>4240</v>
      </c>
      <c r="P118" s="1143" t="s">
        <v>6203</v>
      </c>
      <c r="Q118" s="1144"/>
      <c r="R118" s="1145"/>
      <c r="S118" s="1142" t="s">
        <v>2570</v>
      </c>
      <c r="T118" s="1142" t="s">
        <v>3375</v>
      </c>
      <c r="U118" s="1142"/>
      <c r="V118" s="1142" t="s">
        <v>6763</v>
      </c>
      <c r="W118" s="1142"/>
      <c r="X118" s="1142"/>
      <c r="Y118" s="1142"/>
      <c r="Z118" s="1142"/>
      <c r="AA118" s="1142"/>
      <c r="AB118" s="1142"/>
      <c r="AC118" s="1142"/>
      <c r="AD118" s="1142"/>
      <c r="AE118" s="1142"/>
      <c r="AF118" s="1142"/>
      <c r="AG118" s="1142"/>
      <c r="AH118" s="1142"/>
      <c r="AI118" s="1142"/>
      <c r="AJ118" s="1142"/>
      <c r="AK118" s="1142"/>
      <c r="AL118" s="1144"/>
      <c r="AM118" s="1142"/>
      <c r="AN118" s="1142"/>
      <c r="AO118" s="1142"/>
      <c r="AP118" s="1142"/>
      <c r="AQ118" s="1142"/>
      <c r="AR118" s="1144"/>
      <c r="AS118" s="1142"/>
      <c r="AT118" s="1142"/>
      <c r="AU118" s="1145"/>
      <c r="AV118" s="1142"/>
      <c r="AW118" s="1142"/>
      <c r="AX118" s="1142"/>
      <c r="AY118" s="1142"/>
      <c r="AZ118" s="1142"/>
      <c r="BA118" s="1145"/>
      <c r="BB118" s="1142"/>
      <c r="BC118" s="1142"/>
      <c r="BD118" s="1142"/>
      <c r="BE118" s="1142"/>
      <c r="BF118" s="1142"/>
      <c r="BG118" s="1142"/>
      <c r="BH118" s="1142"/>
      <c r="BI118" s="1145"/>
      <c r="BJ118" s="1145"/>
      <c r="BK118" s="1145"/>
      <c r="BL118" s="1145"/>
      <c r="BM118" s="1145"/>
      <c r="BN118" s="1145"/>
      <c r="BO118" s="1145"/>
    </row>
    <row r="119" ht="15.75" customHeight="1">
      <c r="A119" s="1158"/>
      <c r="B119" s="1155" t="s">
        <v>7815</v>
      </c>
      <c r="C119" s="1141" t="s">
        <v>7816</v>
      </c>
      <c r="D119" s="1148"/>
      <c r="E119" s="1148"/>
      <c r="F119" s="1042" t="s">
        <v>2556</v>
      </c>
      <c r="G119" s="1148"/>
      <c r="H119" s="1048"/>
      <c r="I119" s="1148"/>
      <c r="J119" s="1148"/>
      <c r="K119" s="1148"/>
      <c r="L119" s="1148"/>
      <c r="M119" s="1148"/>
      <c r="N119" s="1148"/>
      <c r="O119" s="1148"/>
      <c r="P119" s="1150"/>
      <c r="Q119" s="1144"/>
      <c r="R119" s="1039"/>
      <c r="S119" s="1148"/>
      <c r="T119" s="1148"/>
      <c r="U119" s="1148" t="s">
        <v>7817</v>
      </c>
      <c r="V119" s="1148"/>
      <c r="W119" s="1148"/>
      <c r="X119" s="1148"/>
      <c r="Y119" s="1148"/>
      <c r="Z119" s="1148"/>
      <c r="AA119" s="1148"/>
      <c r="AB119" s="1148"/>
      <c r="AC119" s="1148"/>
      <c r="AD119" s="1148"/>
      <c r="AE119" s="1148"/>
      <c r="AF119" s="1148"/>
      <c r="AG119" s="1148"/>
      <c r="AH119" s="1148"/>
      <c r="AI119" s="1148"/>
      <c r="AJ119" s="1148"/>
      <c r="AK119" s="1148"/>
      <c r="AL119" s="1144"/>
      <c r="AM119" s="1148"/>
      <c r="AN119" s="1148"/>
      <c r="AO119" s="1148"/>
      <c r="AP119" s="1148"/>
      <c r="AQ119" s="1148"/>
      <c r="AR119" s="1144"/>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7818</v>
      </c>
      <c r="B120" s="1157" t="s">
        <v>7664</v>
      </c>
      <c r="C120" s="1141" t="s">
        <v>923</v>
      </c>
      <c r="D120" s="990" t="s">
        <v>1581</v>
      </c>
      <c r="E120" s="1148"/>
      <c r="F120" s="1149"/>
      <c r="G120" s="1148" t="s">
        <v>5172</v>
      </c>
      <c r="H120" s="1048"/>
      <c r="I120" s="1148" t="s">
        <v>3664</v>
      </c>
      <c r="J120" s="1148"/>
      <c r="K120" s="1148" t="s">
        <v>3077</v>
      </c>
      <c r="L120" s="1142" t="s">
        <v>923</v>
      </c>
      <c r="M120" s="1148"/>
      <c r="N120" s="1148"/>
      <c r="O120" s="1148"/>
      <c r="P120" s="1150"/>
      <c r="Q120" s="1144"/>
      <c r="R120" s="1039"/>
      <c r="S120" s="1148"/>
      <c r="T120" s="1148"/>
      <c r="U120" s="1148"/>
      <c r="V120" s="1148"/>
      <c r="W120" s="1148"/>
      <c r="X120" s="1148"/>
      <c r="Y120" s="1148"/>
      <c r="Z120" s="1148"/>
      <c r="AA120" s="1148"/>
      <c r="AB120" s="1148"/>
      <c r="AC120" s="1148"/>
      <c r="AD120" s="1148"/>
      <c r="AE120" s="1148"/>
      <c r="AF120" s="1148"/>
      <c r="AG120" s="1148"/>
      <c r="AH120" s="1148"/>
      <c r="AI120" s="1148"/>
      <c r="AJ120" s="1148" t="s">
        <v>846</v>
      </c>
      <c r="AK120" s="1148"/>
      <c r="AL120" s="1144"/>
      <c r="AM120" s="1148"/>
      <c r="AN120" s="1148" t="s">
        <v>6037</v>
      </c>
      <c r="AO120" s="1148"/>
      <c r="AP120" s="1148"/>
      <c r="AQ120" s="1148"/>
      <c r="AR120" s="1144"/>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7783</v>
      </c>
      <c r="B121" s="1147" t="s">
        <v>7664</v>
      </c>
      <c r="C121" s="1081"/>
      <c r="D121" s="1082" t="s">
        <v>7819</v>
      </c>
      <c r="E121" s="1148"/>
      <c r="F121" s="1149"/>
      <c r="G121" s="1148"/>
      <c r="H121" s="1048"/>
      <c r="I121" s="1148"/>
      <c r="J121" s="1148"/>
      <c r="K121" s="1148"/>
      <c r="L121" s="1148"/>
      <c r="M121" s="1148"/>
      <c r="N121" s="1148"/>
      <c r="O121" s="1148"/>
      <c r="P121" s="1150"/>
      <c r="Q121" s="1144"/>
      <c r="R121" s="1039"/>
      <c r="S121" s="1148"/>
      <c r="T121" s="1148"/>
      <c r="U121" s="1148"/>
      <c r="V121" s="1148"/>
      <c r="W121" s="1148"/>
      <c r="X121" s="1148"/>
      <c r="Y121" s="1148"/>
      <c r="Z121" s="1148"/>
      <c r="AA121" s="1148"/>
      <c r="AB121" s="1148"/>
      <c r="AC121" s="1148"/>
      <c r="AD121" s="1148"/>
      <c r="AE121" s="1148"/>
      <c r="AF121" s="1148"/>
      <c r="AG121" s="1148"/>
      <c r="AH121" s="1148"/>
      <c r="AI121" s="1148"/>
      <c r="AJ121" s="1148"/>
      <c r="AK121" s="1148"/>
      <c r="AL121" s="1144"/>
      <c r="AM121" s="1148"/>
      <c r="AN121" s="1148"/>
      <c r="AO121" s="1148"/>
      <c r="AP121" s="1148"/>
      <c r="AQ121" s="1148"/>
      <c r="AR121" s="1144"/>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5"/>
      <c r="S122" s="1148"/>
      <c r="T122" s="1148"/>
      <c r="U122" s="1148"/>
      <c r="V122" s="1148"/>
      <c r="W122" s="1148"/>
      <c r="X122" s="1148"/>
      <c r="Y122" s="1148"/>
      <c r="Z122" s="1148"/>
      <c r="AA122" s="1148"/>
      <c r="AB122" s="1148"/>
      <c r="AC122" s="1148"/>
      <c r="AD122" s="1148"/>
      <c r="AE122" s="1148"/>
      <c r="AF122" s="1148"/>
      <c r="AG122" s="1148"/>
      <c r="AH122" s="1148"/>
      <c r="AI122" s="1148"/>
      <c r="AJ122" s="1148"/>
      <c r="AK122" s="1148"/>
      <c r="AL122" s="1144"/>
      <c r="AM122" s="1148"/>
      <c r="AN122" s="1148"/>
      <c r="AO122" s="1148"/>
      <c r="AP122" s="1148"/>
      <c r="AQ122" s="1148"/>
      <c r="AR122" s="1144"/>
      <c r="AS122" s="1148"/>
      <c r="AT122" s="1148"/>
      <c r="AU122" s="1145"/>
      <c r="AV122" s="1148"/>
      <c r="AW122" s="1148"/>
      <c r="AX122" s="1148"/>
      <c r="AY122" s="1148"/>
      <c r="AZ122" s="1148"/>
      <c r="BA122" s="1145"/>
      <c r="BB122" s="1148"/>
      <c r="BC122" s="1148"/>
      <c r="BD122" s="1148"/>
      <c r="BE122" s="1148"/>
      <c r="BF122" s="1148"/>
      <c r="BG122" s="1148"/>
      <c r="BH122" s="1148"/>
      <c r="BI122" s="1145"/>
      <c r="BJ122" s="1145"/>
      <c r="BK122" s="1145"/>
      <c r="BL122" s="1145"/>
      <c r="BM122" s="1145"/>
      <c r="BN122" s="1145"/>
      <c r="BO122" s="1145"/>
    </row>
    <row r="123" ht="15.75" customHeight="1">
      <c r="A123" s="1139" t="s">
        <v>57</v>
      </c>
      <c r="B123" s="1157" t="s">
        <v>7790</v>
      </c>
      <c r="C123" s="1141" t="s">
        <v>2961</v>
      </c>
      <c r="D123" s="990" t="s">
        <v>7820</v>
      </c>
      <c r="E123" s="1148"/>
      <c r="F123" s="1028"/>
      <c r="G123" s="1148"/>
      <c r="H123" s="1048"/>
      <c r="I123" s="1142" t="s">
        <v>7821</v>
      </c>
      <c r="J123" s="1148"/>
      <c r="K123" s="1148"/>
      <c r="L123" s="1148" t="s">
        <v>924</v>
      </c>
      <c r="M123" s="1148"/>
      <c r="N123" s="1148"/>
      <c r="O123" s="1148"/>
      <c r="P123" s="1150"/>
      <c r="Q123" s="1144"/>
      <c r="R123" s="1039"/>
      <c r="S123" s="1148"/>
      <c r="T123" s="1148"/>
      <c r="U123" s="1148"/>
      <c r="V123" s="1148"/>
      <c r="W123" s="1148"/>
      <c r="X123" s="1148"/>
      <c r="Y123" s="1148"/>
      <c r="Z123" s="1148"/>
      <c r="AA123" s="1148"/>
      <c r="AB123" s="1148"/>
      <c r="AC123" s="1148"/>
      <c r="AD123" s="1148"/>
      <c r="AE123" s="1148"/>
      <c r="AF123" s="1148"/>
      <c r="AG123" s="1148"/>
      <c r="AH123" s="1148"/>
      <c r="AI123" s="1148"/>
      <c r="AJ123" s="1148"/>
      <c r="AK123" s="1148"/>
      <c r="AL123" s="1144"/>
      <c r="AM123" s="1148"/>
      <c r="AN123" s="1148"/>
      <c r="AO123" s="1148"/>
      <c r="AP123" s="1148"/>
      <c r="AQ123" s="1148"/>
      <c r="AR123" s="1144"/>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5"/>
      <c r="R124" s="1169"/>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7822</v>
      </c>
      <c r="B125" s="1171"/>
      <c r="C125" s="1141" t="s">
        <v>4113</v>
      </c>
      <c r="D125" s="1142" t="s">
        <v>7823</v>
      </c>
      <c r="E125" s="1142" t="s">
        <v>7824</v>
      </c>
      <c r="F125" s="1057" t="s">
        <v>7825</v>
      </c>
      <c r="G125" s="1142" t="s">
        <v>4113</v>
      </c>
      <c r="H125" s="1048"/>
      <c r="I125" s="1142"/>
      <c r="J125" s="1142"/>
      <c r="K125" s="1142"/>
      <c r="L125" s="1142" t="s">
        <v>7824</v>
      </c>
      <c r="M125" s="1142"/>
      <c r="N125" s="1142"/>
      <c r="O125" s="1142"/>
      <c r="P125" s="1143" t="s">
        <v>7826</v>
      </c>
      <c r="Q125" s="1144"/>
      <c r="R125" s="1172"/>
      <c r="S125" s="1142"/>
      <c r="T125" s="1142"/>
      <c r="U125" s="1142" t="s">
        <v>7827</v>
      </c>
      <c r="V125" s="1142"/>
      <c r="W125" s="1142"/>
      <c r="X125" s="1142"/>
      <c r="Y125" s="1142" t="s">
        <v>7826</v>
      </c>
      <c r="Z125" s="1142"/>
      <c r="AA125" s="1142"/>
      <c r="AB125" s="1142" t="s">
        <v>7825</v>
      </c>
      <c r="AC125" s="1142"/>
      <c r="AD125" s="1142"/>
      <c r="AE125" s="1142"/>
      <c r="AF125" s="1142"/>
      <c r="AG125" s="1142"/>
      <c r="AH125" s="1142"/>
      <c r="AI125" s="1142"/>
      <c r="AJ125" s="1142"/>
      <c r="AK125" s="1142"/>
      <c r="AL125" s="1144"/>
      <c r="AM125" s="1142"/>
      <c r="AN125" s="1142"/>
      <c r="AO125" s="1142"/>
      <c r="AP125" s="1142"/>
      <c r="AQ125" s="1142"/>
      <c r="AR125" s="1144"/>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7828</v>
      </c>
      <c r="C126" s="1141"/>
      <c r="D126" s="1148"/>
      <c r="E126" s="1148"/>
      <c r="F126" s="1174"/>
      <c r="G126" s="1148"/>
      <c r="H126" s="1048"/>
      <c r="I126" s="1148"/>
      <c r="J126" s="1148"/>
      <c r="K126" s="1148"/>
      <c r="L126" s="1148"/>
      <c r="M126" s="1148"/>
      <c r="N126" s="1148"/>
      <c r="O126" s="1148"/>
      <c r="P126" s="1150"/>
      <c r="Q126" s="1144"/>
      <c r="R126" s="1039"/>
      <c r="S126" s="1148"/>
      <c r="T126" s="1148"/>
      <c r="U126" s="1148"/>
      <c r="V126" s="1148"/>
      <c r="W126" s="1148"/>
      <c r="X126" s="1148"/>
      <c r="Y126" s="1148"/>
      <c r="Z126" s="1148"/>
      <c r="AA126" s="1148"/>
      <c r="AB126" s="1148"/>
      <c r="AC126" s="1148"/>
      <c r="AD126" s="1148"/>
      <c r="AE126" s="1148"/>
      <c r="AF126" s="1148"/>
      <c r="AG126" s="1148"/>
      <c r="AH126" s="1148"/>
      <c r="AI126" s="1148"/>
      <c r="AJ126" s="1148"/>
      <c r="AK126" s="1148"/>
      <c r="AL126" s="1144"/>
      <c r="AM126" s="1148"/>
      <c r="AN126" s="1148"/>
      <c r="AO126" s="1148"/>
      <c r="AP126" s="1148"/>
      <c r="AQ126" s="1148"/>
      <c r="AR126" s="1144"/>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7829</v>
      </c>
      <c r="C127" s="1141" t="s">
        <v>2922</v>
      </c>
      <c r="D127" s="1148"/>
      <c r="E127" s="1148"/>
      <c r="F127" s="1028"/>
      <c r="G127" s="1148"/>
      <c r="H127" s="1030" t="s">
        <v>2922</v>
      </c>
      <c r="I127" s="1148"/>
      <c r="J127" s="1148"/>
      <c r="K127" s="1148"/>
      <c r="L127" s="1148"/>
      <c r="M127" s="1148"/>
      <c r="N127" s="1148"/>
      <c r="O127" s="1148"/>
      <c r="P127" s="1150"/>
      <c r="Q127" s="1144"/>
      <c r="R127" s="1177"/>
      <c r="S127" s="1148"/>
      <c r="T127" s="1148"/>
      <c r="U127" s="1148"/>
      <c r="V127" s="1148"/>
      <c r="W127" s="1148"/>
      <c r="X127" s="1148"/>
      <c r="Y127" s="1148"/>
      <c r="Z127" s="1148"/>
      <c r="AA127" s="1148"/>
      <c r="AB127" s="1148"/>
      <c r="AC127" s="1030" t="s">
        <v>2917</v>
      </c>
      <c r="AD127" s="1148"/>
      <c r="AE127" s="1148"/>
      <c r="AF127" s="1148"/>
      <c r="AG127" s="1148"/>
      <c r="AH127" s="1148"/>
      <c r="AI127" s="1148"/>
      <c r="AJ127" s="1148"/>
      <c r="AK127" s="1148"/>
      <c r="AL127" s="1144"/>
      <c r="AM127" s="1148"/>
      <c r="AN127" s="1148"/>
      <c r="AO127" s="1148"/>
      <c r="AP127" s="1148"/>
      <c r="AQ127" s="1148"/>
      <c r="AR127" s="1144"/>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7830</v>
      </c>
      <c r="C128" s="1056" t="s">
        <v>1181</v>
      </c>
      <c r="D128" s="1036" t="s">
        <v>662</v>
      </c>
      <c r="E128" s="1148"/>
      <c r="F128" s="1057" t="s">
        <v>1181</v>
      </c>
      <c r="G128" s="1148"/>
      <c r="H128" s="1030" t="s">
        <v>1350</v>
      </c>
      <c r="I128" s="1148"/>
      <c r="J128" s="1148" t="s">
        <v>2787</v>
      </c>
      <c r="K128" s="1148" t="s">
        <v>7831</v>
      </c>
      <c r="L128" s="1148"/>
      <c r="M128" s="1148"/>
      <c r="N128" s="1148"/>
      <c r="O128" s="1148"/>
      <c r="P128" s="1150" t="s">
        <v>7832</v>
      </c>
      <c r="Q128" s="1144"/>
      <c r="R128" s="1039"/>
      <c r="S128" s="1148"/>
      <c r="T128" s="1148"/>
      <c r="U128" s="1148"/>
      <c r="V128" s="1148"/>
      <c r="W128" s="1148"/>
      <c r="X128" s="1148"/>
      <c r="Y128" s="1148"/>
      <c r="Z128" s="1148"/>
      <c r="AA128" s="1148"/>
      <c r="AB128" s="1148"/>
      <c r="AC128" s="1148"/>
      <c r="AD128" s="1148"/>
      <c r="AE128" s="1148"/>
      <c r="AF128" s="1148"/>
      <c r="AG128" s="1148"/>
      <c r="AH128" s="1148"/>
      <c r="AI128" s="1148"/>
      <c r="AJ128" s="1148"/>
      <c r="AK128" s="1148"/>
      <c r="AL128" s="1144"/>
      <c r="AM128" s="1148"/>
      <c r="AN128" s="1148"/>
      <c r="AO128" s="1148"/>
      <c r="AP128" s="1148"/>
      <c r="AQ128" s="1148"/>
      <c r="AR128" s="1144"/>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7833</v>
      </c>
      <c r="C129" s="1025" t="s">
        <v>1003</v>
      </c>
      <c r="D129" s="1148"/>
      <c r="E129" s="1148"/>
      <c r="F129" s="1063" t="s">
        <v>2557</v>
      </c>
      <c r="G129" s="1071" t="s">
        <v>1003</v>
      </c>
      <c r="H129" s="1030" t="s">
        <v>1291</v>
      </c>
      <c r="I129" s="1148"/>
      <c r="J129" s="1148"/>
      <c r="K129" s="1148"/>
      <c r="L129" s="1148"/>
      <c r="M129" s="1148"/>
      <c r="N129" s="1148"/>
      <c r="O129" s="1071" t="s">
        <v>1083</v>
      </c>
      <c r="P129" s="1150"/>
      <c r="Q129" s="1144"/>
      <c r="R129" s="1172"/>
      <c r="S129" s="1148"/>
      <c r="T129" s="1148"/>
      <c r="U129" s="1148" t="s">
        <v>2605</v>
      </c>
      <c r="V129" s="1148"/>
      <c r="W129" s="1148"/>
      <c r="X129" s="1148"/>
      <c r="Y129" s="1148"/>
      <c r="Z129" s="1148"/>
      <c r="AA129" s="1148"/>
      <c r="AB129" s="1148"/>
      <c r="AC129" s="1148"/>
      <c r="AD129" s="1148"/>
      <c r="AE129" s="1148"/>
      <c r="AF129" s="1148"/>
      <c r="AG129" s="1148" t="s">
        <v>638</v>
      </c>
      <c r="AH129" s="1148"/>
      <c r="AI129" s="1148"/>
      <c r="AJ129" s="1148"/>
      <c r="AK129" s="1148"/>
      <c r="AL129" s="1144"/>
      <c r="AM129" s="1148"/>
      <c r="AN129" s="1148"/>
      <c r="AO129" s="1148"/>
      <c r="AP129" s="1148"/>
      <c r="AQ129" s="1148"/>
      <c r="AR129" s="1144"/>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4"/>
      <c r="E130" s="1144"/>
      <c r="F130" s="1182" t="s">
        <v>2736</v>
      </c>
      <c r="G130" s="1071" t="s">
        <v>2580</v>
      </c>
      <c r="H130" s="1048"/>
      <c r="I130" s="1144"/>
      <c r="J130" s="1144"/>
      <c r="K130" s="1144"/>
      <c r="L130" s="1144"/>
      <c r="M130" s="1144"/>
      <c r="N130" s="1144"/>
      <c r="O130" s="1144"/>
      <c r="P130" s="1183"/>
      <c r="Q130" s="1144"/>
      <c r="R130" s="1039"/>
      <c r="S130" s="1144"/>
      <c r="T130" s="1144"/>
      <c r="U130" s="1144"/>
      <c r="V130" s="1144"/>
      <c r="W130" s="1144"/>
      <c r="X130" s="1144"/>
      <c r="Y130" s="1144"/>
      <c r="Z130" s="1144"/>
      <c r="AA130" s="1144"/>
      <c r="AB130" s="1144"/>
      <c r="AC130" s="1144"/>
      <c r="AD130" s="1144"/>
      <c r="AE130" s="1144"/>
      <c r="AF130" s="1144"/>
      <c r="AG130" s="1144"/>
      <c r="AH130" s="1144"/>
      <c r="AI130" s="1144"/>
      <c r="AJ130" s="1144"/>
      <c r="AK130" s="1144"/>
      <c r="AL130" s="1144"/>
      <c r="AM130" s="1144"/>
      <c r="AN130" s="1144"/>
      <c r="AO130" s="1144"/>
      <c r="AP130" s="1144"/>
      <c r="AQ130" s="1144"/>
      <c r="AR130" s="1144"/>
      <c r="AS130" s="1144"/>
      <c r="AT130" s="1144"/>
      <c r="AU130" s="1039"/>
      <c r="AV130" s="1144"/>
      <c r="AW130" s="1144"/>
      <c r="AX130" s="1144"/>
      <c r="AY130" s="1144"/>
      <c r="AZ130" s="1144"/>
      <c r="BA130" s="1039"/>
      <c r="BB130" s="1144"/>
      <c r="BC130" s="1144"/>
      <c r="BD130" s="1144"/>
      <c r="BE130" s="1144"/>
      <c r="BF130" s="1144"/>
      <c r="BG130" s="1144"/>
      <c r="BH130" s="1144"/>
      <c r="BI130" s="1039"/>
      <c r="BJ130" s="1039"/>
      <c r="BK130" s="1039"/>
      <c r="BL130" s="1039"/>
      <c r="BM130" s="1039"/>
      <c r="BN130" s="1039"/>
      <c r="BO130" s="1039"/>
    </row>
    <row r="131" ht="15.75" customHeight="1">
      <c r="A131" s="1184" t="s">
        <v>7565</v>
      </c>
      <c r="B131" s="1185" t="s">
        <v>7541</v>
      </c>
      <c r="C131" s="1141" t="s">
        <v>7834</v>
      </c>
      <c r="D131" s="1148"/>
      <c r="E131" s="1148"/>
      <c r="F131" s="1057" t="s">
        <v>1946</v>
      </c>
      <c r="G131" s="1030" t="s">
        <v>7834</v>
      </c>
      <c r="H131" s="1030" t="s">
        <v>7835</v>
      </c>
      <c r="I131" s="1148"/>
      <c r="J131" s="1148"/>
      <c r="K131" s="1148"/>
      <c r="L131" s="1148"/>
      <c r="M131" s="1148"/>
      <c r="N131" s="1148"/>
      <c r="O131" s="1148"/>
      <c r="P131" s="1150"/>
      <c r="Q131" s="1144"/>
      <c r="R131" s="1172"/>
      <c r="S131" s="1148"/>
      <c r="T131" s="1148"/>
      <c r="U131" s="1148" t="s">
        <v>7834</v>
      </c>
      <c r="V131" s="1148"/>
      <c r="W131" s="1148"/>
      <c r="X131" s="1148"/>
      <c r="Y131" s="1148"/>
      <c r="Z131" s="1148"/>
      <c r="AA131" s="1148"/>
      <c r="AB131" s="1148"/>
      <c r="AC131" s="1148"/>
      <c r="AD131" s="1148"/>
      <c r="AE131" s="1148"/>
      <c r="AF131" s="1148"/>
      <c r="AG131" s="1148"/>
      <c r="AH131" s="1148"/>
      <c r="AI131" s="1148"/>
      <c r="AJ131" s="1148"/>
      <c r="AK131" s="1148"/>
      <c r="AL131" s="1144"/>
      <c r="AM131" s="1148"/>
      <c r="AN131" s="1148"/>
      <c r="AO131" s="1148"/>
      <c r="AP131" s="1148"/>
      <c r="AQ131" s="1148"/>
      <c r="AR131" s="1144"/>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186" t="s">
        <v>6766</v>
      </c>
      <c r="R132" s="1050" t="s">
        <v>6295</v>
      </c>
      <c r="S132" s="1148"/>
      <c r="T132" s="1148"/>
      <c r="U132" s="1148"/>
      <c r="V132" s="1148"/>
      <c r="W132" s="1148"/>
      <c r="X132" s="1148"/>
      <c r="Y132" s="1148"/>
      <c r="Z132" s="1148"/>
      <c r="AA132" s="1148"/>
      <c r="AB132" s="1148"/>
      <c r="AC132" s="1148"/>
      <c r="AD132" s="1148"/>
      <c r="AE132" s="1148"/>
      <c r="AF132" s="1148"/>
      <c r="AG132" s="1148"/>
      <c r="AH132" s="1148"/>
      <c r="AI132" s="1148"/>
      <c r="AJ132" s="1148"/>
      <c r="AK132" s="1148"/>
      <c r="AL132" s="1144"/>
      <c r="AM132" s="1148"/>
      <c r="AN132" s="1148"/>
      <c r="AO132" s="1148"/>
      <c r="AP132" s="1148"/>
      <c r="AQ132" s="1148"/>
      <c r="AR132" s="1144"/>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86" t="s">
        <v>7836</v>
      </c>
      <c r="R133" s="1172"/>
      <c r="S133" s="1148"/>
      <c r="T133" s="1148"/>
      <c r="U133" s="1148" t="s">
        <v>1001</v>
      </c>
      <c r="V133" s="1148"/>
      <c r="W133" s="1148"/>
      <c r="X133" s="1148" t="s">
        <v>512</v>
      </c>
      <c r="Y133" s="1148"/>
      <c r="Z133" s="1148"/>
      <c r="AA133" s="1148"/>
      <c r="AB133" s="1148"/>
      <c r="AC133" s="1148"/>
      <c r="AD133" s="1148"/>
      <c r="AE133" s="1148"/>
      <c r="AF133" s="1148"/>
      <c r="AG133" s="1148"/>
      <c r="AH133" s="1148"/>
      <c r="AI133" s="1148"/>
      <c r="AJ133" s="1148"/>
      <c r="AK133" s="1148"/>
      <c r="AL133" s="1144"/>
      <c r="AM133" s="1148"/>
      <c r="AN133" s="1148"/>
      <c r="AO133" s="1148"/>
      <c r="AP133" s="1148"/>
      <c r="AQ133" s="1148"/>
      <c r="AR133" s="1144"/>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7837</v>
      </c>
      <c r="D134" s="1142"/>
      <c r="E134" s="1142" t="s">
        <v>7837</v>
      </c>
      <c r="F134" s="1182" t="s">
        <v>1544</v>
      </c>
      <c r="G134" s="1142"/>
      <c r="H134" s="1030" t="s">
        <v>7838</v>
      </c>
      <c r="I134" s="1142"/>
      <c r="J134" s="1142"/>
      <c r="K134" s="1142"/>
      <c r="L134" s="1142" t="s">
        <v>3020</v>
      </c>
      <c r="M134" s="1142" t="s">
        <v>7838</v>
      </c>
      <c r="N134" s="1142"/>
      <c r="O134" s="1142"/>
      <c r="P134" s="1143" t="s">
        <v>7837</v>
      </c>
      <c r="Q134" s="1186" t="s">
        <v>7839</v>
      </c>
      <c r="R134" s="1039"/>
      <c r="S134" s="1142" t="s">
        <v>486</v>
      </c>
      <c r="T134" s="1142"/>
      <c r="U134" s="1142"/>
      <c r="V134" s="1142"/>
      <c r="W134" s="1142"/>
      <c r="X134" s="1142"/>
      <c r="Y134" s="1142"/>
      <c r="Z134" s="1142"/>
      <c r="AA134" s="1142" t="s">
        <v>7840</v>
      </c>
      <c r="AB134" s="1142"/>
      <c r="AC134" s="1142"/>
      <c r="AD134" s="1142"/>
      <c r="AE134" s="1142"/>
      <c r="AF134" s="1142"/>
      <c r="AG134" s="1142"/>
      <c r="AH134" s="1142"/>
      <c r="AI134" s="1142"/>
      <c r="AJ134" s="1142"/>
      <c r="AK134" s="1142"/>
      <c r="AL134" s="1144"/>
      <c r="AM134" s="1142"/>
      <c r="AN134" s="1142"/>
      <c r="AO134" s="1142"/>
      <c r="AP134" s="1142"/>
      <c r="AQ134" s="1142"/>
      <c r="AR134" s="1144"/>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7716</v>
      </c>
      <c r="B135" s="1173" t="s">
        <v>7841</v>
      </c>
      <c r="C135" s="1141" t="s">
        <v>7842</v>
      </c>
      <c r="D135" s="1148"/>
      <c r="E135" s="1148"/>
      <c r="F135" s="1028"/>
      <c r="G135" s="1148"/>
      <c r="H135" s="1030" t="s">
        <v>4818</v>
      </c>
      <c r="I135" s="1148"/>
      <c r="J135" s="1148"/>
      <c r="K135" s="1148" t="s">
        <v>4445</v>
      </c>
      <c r="L135" s="1148"/>
      <c r="M135" s="1148"/>
      <c r="N135" s="1148"/>
      <c r="O135" s="1148"/>
      <c r="P135" s="1150"/>
      <c r="Q135" s="1144"/>
      <c r="R135" s="1187" t="s">
        <v>7843</v>
      </c>
      <c r="S135" s="1148"/>
      <c r="T135" s="1148"/>
      <c r="U135" s="1148"/>
      <c r="V135" s="1148"/>
      <c r="W135" s="1148"/>
      <c r="X135" s="1148"/>
      <c r="Y135" s="1148"/>
      <c r="Z135" s="1148" t="s">
        <v>2984</v>
      </c>
      <c r="AA135" s="1148"/>
      <c r="AB135" s="1148"/>
      <c r="AC135" s="1148"/>
      <c r="AD135" s="1148"/>
      <c r="AE135" s="1148"/>
      <c r="AF135" s="1148"/>
      <c r="AG135" s="1148"/>
      <c r="AH135" s="1148"/>
      <c r="AI135" s="1148"/>
      <c r="AJ135" s="1148"/>
      <c r="AK135" s="1148"/>
      <c r="AL135" s="1144"/>
      <c r="AM135" s="1148"/>
      <c r="AN135" s="1148"/>
      <c r="AO135" s="1148"/>
      <c r="AP135" s="1148"/>
      <c r="AQ135" s="1148"/>
      <c r="AR135" s="1144"/>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7844</v>
      </c>
      <c r="C136" s="1141" t="s">
        <v>1814</v>
      </c>
      <c r="D136" s="1148" t="s">
        <v>2604</v>
      </c>
      <c r="E136" s="1148"/>
      <c r="F136" s="1174"/>
      <c r="G136" s="1148"/>
      <c r="H136" s="1048"/>
      <c r="I136" s="1148"/>
      <c r="J136" s="1148"/>
      <c r="K136" s="1148" t="s">
        <v>3650</v>
      </c>
      <c r="L136" s="1148"/>
      <c r="M136" s="1148"/>
      <c r="N136" s="1148"/>
      <c r="O136" s="1148"/>
      <c r="P136" s="1150"/>
      <c r="Q136" s="1144"/>
      <c r="R136" s="1039"/>
      <c r="S136" s="1148"/>
      <c r="T136" s="1148" t="s">
        <v>3067</v>
      </c>
      <c r="U136" s="1148"/>
      <c r="V136" s="1148"/>
      <c r="W136" s="1148"/>
      <c r="X136" s="1148"/>
      <c r="Y136" s="1148"/>
      <c r="Z136" s="1148" t="s">
        <v>1730</v>
      </c>
      <c r="AA136" s="1148"/>
      <c r="AB136" s="1148" t="s">
        <v>6405</v>
      </c>
      <c r="AC136" s="1148"/>
      <c r="AD136" s="1148"/>
      <c r="AE136" s="1148"/>
      <c r="AF136" s="1148"/>
      <c r="AG136" s="1148"/>
      <c r="AH136" s="1148"/>
      <c r="AI136" s="1148"/>
      <c r="AJ136" s="1148"/>
      <c r="AK136" s="1148"/>
      <c r="AL136" s="1144"/>
      <c r="AM136" s="1148"/>
      <c r="AN136" s="1148"/>
      <c r="AO136" s="1148"/>
      <c r="AP136" s="1148"/>
      <c r="AQ136" s="1148"/>
      <c r="AR136" s="1144"/>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7845</v>
      </c>
      <c r="C137" s="1141" t="s">
        <v>3550</v>
      </c>
      <c r="D137" s="1148"/>
      <c r="E137" s="1148"/>
      <c r="F137" s="1028"/>
      <c r="G137" s="1148"/>
      <c r="H137" s="1048"/>
      <c r="I137" s="1148"/>
      <c r="J137" s="1148"/>
      <c r="K137" s="1148"/>
      <c r="L137" s="1148"/>
      <c r="M137" s="1148"/>
      <c r="N137" s="1148"/>
      <c r="O137" s="1148"/>
      <c r="P137" s="1150"/>
      <c r="Q137" s="1144"/>
      <c r="R137" s="1172"/>
      <c r="S137" s="1148"/>
      <c r="T137" s="1148"/>
      <c r="U137" s="1148"/>
      <c r="V137" s="1148"/>
      <c r="W137" s="1148"/>
      <c r="X137" s="1148"/>
      <c r="Y137" s="1148"/>
      <c r="Z137" s="1148"/>
      <c r="AA137" s="1148"/>
      <c r="AB137" s="1148"/>
      <c r="AC137" s="1148"/>
      <c r="AD137" s="1148"/>
      <c r="AE137" s="1148"/>
      <c r="AF137" s="1148"/>
      <c r="AG137" s="1148"/>
      <c r="AH137" s="1148" t="s">
        <v>3550</v>
      </c>
      <c r="AI137" s="1148"/>
      <c r="AJ137" s="1148"/>
      <c r="AK137" s="1148"/>
      <c r="AL137" s="1144"/>
      <c r="AM137" s="1148"/>
      <c r="AN137" s="1148"/>
      <c r="AO137" s="1148"/>
      <c r="AP137" s="1148"/>
      <c r="AQ137" s="1148"/>
      <c r="AR137" s="1144"/>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7846</v>
      </c>
      <c r="C138" s="1141" t="s">
        <v>376</v>
      </c>
      <c r="D138" s="1036" t="s">
        <v>774</v>
      </c>
      <c r="E138" s="1030" t="s">
        <v>376</v>
      </c>
      <c r="F138" s="1063" t="s">
        <v>3981</v>
      </c>
      <c r="G138" s="1188" t="s">
        <v>7847</v>
      </c>
      <c r="H138" s="1030" t="s">
        <v>1293</v>
      </c>
      <c r="I138" s="1030" t="s">
        <v>5511</v>
      </c>
      <c r="J138" s="1048"/>
      <c r="K138" s="1048"/>
      <c r="L138" s="1030" t="s">
        <v>927</v>
      </c>
      <c r="M138" s="1030" t="s">
        <v>6491</v>
      </c>
      <c r="N138" s="1048"/>
      <c r="O138" s="1030" t="s">
        <v>7848</v>
      </c>
      <c r="P138" s="1143" t="s">
        <v>5131</v>
      </c>
      <c r="Q138" s="1144"/>
      <c r="R138" s="1039"/>
      <c r="S138" s="1048"/>
      <c r="T138" s="1030" t="s">
        <v>1670</v>
      </c>
      <c r="U138" s="1048"/>
      <c r="V138" s="1048"/>
      <c r="W138" s="1030" t="s">
        <v>1874</v>
      </c>
      <c r="X138" s="1048"/>
      <c r="Y138" s="1048"/>
      <c r="Z138" s="1048"/>
      <c r="AA138" s="1048"/>
      <c r="AB138" s="1030" t="s">
        <v>1516</v>
      </c>
      <c r="AC138" s="1048"/>
      <c r="AD138" s="1048"/>
      <c r="AE138" s="1048"/>
      <c r="AF138" s="1048"/>
      <c r="AG138" s="1048"/>
      <c r="AH138" s="1048"/>
      <c r="AI138" s="1048"/>
      <c r="AJ138" s="1048"/>
      <c r="AK138" s="1048"/>
      <c r="AL138" s="1144"/>
      <c r="AM138" s="1048"/>
      <c r="AN138" s="1048"/>
      <c r="AO138" s="1048"/>
      <c r="AP138" s="1048"/>
      <c r="AQ138" s="1048"/>
      <c r="AR138" s="1144"/>
      <c r="AS138" s="1048"/>
      <c r="AT138" s="1048"/>
      <c r="AU138" s="1039"/>
      <c r="AV138" s="1048"/>
      <c r="AW138" s="1048" t="s">
        <v>7849</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7850</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7851</v>
      </c>
      <c r="P139" s="1150"/>
      <c r="Q139" s="1186" t="s">
        <v>7852</v>
      </c>
      <c r="R139" s="1177" t="s">
        <v>7853</v>
      </c>
      <c r="S139" s="1148"/>
      <c r="T139" s="1148"/>
      <c r="U139" s="1148" t="s">
        <v>566</v>
      </c>
      <c r="V139" s="1148"/>
      <c r="W139" s="1148"/>
      <c r="X139" s="1148"/>
      <c r="Y139" s="1148"/>
      <c r="Z139" s="1148"/>
      <c r="AA139" s="1148"/>
      <c r="AB139" s="1148"/>
      <c r="AC139" s="1148"/>
      <c r="AD139" s="1148"/>
      <c r="AE139" s="1148"/>
      <c r="AF139" s="1148" t="s">
        <v>7854</v>
      </c>
      <c r="AG139" s="1148"/>
      <c r="AH139" s="1148"/>
      <c r="AI139" s="1148"/>
      <c r="AJ139" s="1148"/>
      <c r="AK139" s="1148"/>
      <c r="AL139" s="1144"/>
      <c r="AM139" s="1148"/>
      <c r="AN139" s="1148"/>
      <c r="AO139" s="1148"/>
      <c r="AP139" s="1148"/>
      <c r="AQ139" s="1148"/>
      <c r="AR139" s="1144"/>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7855</v>
      </c>
      <c r="C140" s="1141" t="s">
        <v>4563</v>
      </c>
      <c r="D140" s="1189"/>
      <c r="E140" s="1189"/>
      <c r="F140" s="1174"/>
      <c r="G140" s="1189"/>
      <c r="H140" s="1048"/>
      <c r="I140" s="1189"/>
      <c r="J140" s="1030" t="s">
        <v>7856</v>
      </c>
      <c r="K140" s="1189"/>
      <c r="L140" s="1189"/>
      <c r="M140" s="1189"/>
      <c r="N140" s="1189"/>
      <c r="O140" s="1189"/>
      <c r="P140" s="1143"/>
      <c r="Q140" s="1144"/>
      <c r="R140" s="1039"/>
      <c r="S140" s="1189"/>
      <c r="T140" s="1189" t="s">
        <v>4563</v>
      </c>
      <c r="U140" s="1189"/>
      <c r="V140" s="1189"/>
      <c r="W140" s="1189"/>
      <c r="X140" s="1189"/>
      <c r="Y140" s="1189"/>
      <c r="Z140" s="1189"/>
      <c r="AA140" s="1189"/>
      <c r="AB140" s="1189"/>
      <c r="AC140" s="1189"/>
      <c r="AD140" s="1189"/>
      <c r="AE140" s="1189"/>
      <c r="AF140" s="1189"/>
      <c r="AG140" s="1189"/>
      <c r="AH140" s="1189"/>
      <c r="AI140" s="1189"/>
      <c r="AJ140" s="1189"/>
      <c r="AK140" s="1189"/>
      <c r="AL140" s="1144"/>
      <c r="AM140" s="1189"/>
      <c r="AN140" s="1189"/>
      <c r="AO140" s="1189"/>
      <c r="AP140" s="1189"/>
      <c r="AQ140" s="1189"/>
      <c r="AR140" s="1144"/>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7857</v>
      </c>
      <c r="C141" s="1141" t="s">
        <v>7858</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44"/>
      <c r="R141" s="1172"/>
      <c r="S141" s="1142"/>
      <c r="T141" s="1142"/>
      <c r="U141" s="1142"/>
      <c r="V141" s="1142"/>
      <c r="W141" s="1142"/>
      <c r="X141" s="1142"/>
      <c r="Y141" s="1142"/>
      <c r="Z141" s="1142"/>
      <c r="AA141" s="1142"/>
      <c r="AB141" s="1142"/>
      <c r="AC141" s="1142"/>
      <c r="AD141" s="1142"/>
      <c r="AE141" s="1142"/>
      <c r="AF141" s="1142"/>
      <c r="AG141" s="1142"/>
      <c r="AH141" s="1142"/>
      <c r="AI141" s="1142"/>
      <c r="AJ141" s="1142"/>
      <c r="AK141" s="1142"/>
      <c r="AL141" s="1144"/>
      <c r="AM141" s="1142"/>
      <c r="AN141" s="1142"/>
      <c r="AO141" s="1142"/>
      <c r="AP141" s="1142"/>
      <c r="AQ141" s="1142"/>
      <c r="AR141" s="1144"/>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7859</v>
      </c>
      <c r="C142" s="1141" t="s">
        <v>4136</v>
      </c>
      <c r="D142" s="1148"/>
      <c r="E142" s="1148"/>
      <c r="F142" s="1174"/>
      <c r="G142" s="1148"/>
      <c r="H142" s="1048"/>
      <c r="I142" s="1148"/>
      <c r="J142" s="1148"/>
      <c r="K142" s="1148" t="s">
        <v>3958</v>
      </c>
      <c r="L142" s="1148"/>
      <c r="M142" s="1148"/>
      <c r="N142" s="1148"/>
      <c r="O142" s="1148"/>
      <c r="P142" s="1150"/>
      <c r="Q142" s="1144"/>
      <c r="R142" s="1039"/>
      <c r="S142" s="1148"/>
      <c r="T142" s="1148"/>
      <c r="U142" s="1148"/>
      <c r="V142" s="1148"/>
      <c r="W142" s="1148"/>
      <c r="X142" s="1148"/>
      <c r="Y142" s="1148"/>
      <c r="Z142" s="1148"/>
      <c r="AA142" s="1148"/>
      <c r="AB142" s="1148"/>
      <c r="AC142" s="1148"/>
      <c r="AD142" s="1148"/>
      <c r="AE142" s="1148"/>
      <c r="AF142" s="1148"/>
      <c r="AG142" s="1148"/>
      <c r="AH142" s="1148"/>
      <c r="AI142" s="1148"/>
      <c r="AJ142" s="1148"/>
      <c r="AK142" s="1148"/>
      <c r="AL142" s="1144"/>
      <c r="AM142" s="1148"/>
      <c r="AN142" s="1148"/>
      <c r="AO142" s="1148"/>
      <c r="AP142" s="1148"/>
      <c r="AQ142" s="1148"/>
      <c r="AR142" s="1144"/>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7860</v>
      </c>
      <c r="C143" s="1141" t="s">
        <v>7861</v>
      </c>
      <c r="E143" s="1148"/>
      <c r="F143" s="1028"/>
      <c r="G143" s="1148"/>
      <c r="H143" s="1030" t="s">
        <v>1295</v>
      </c>
      <c r="I143" s="1148"/>
      <c r="J143" s="1030" t="s">
        <v>1432</v>
      </c>
      <c r="K143" s="1148"/>
      <c r="L143" s="1148" t="s">
        <v>929</v>
      </c>
      <c r="M143" s="1148"/>
      <c r="N143" s="1148"/>
      <c r="O143" s="1030" t="s">
        <v>5724</v>
      </c>
      <c r="P143" s="1150" t="s">
        <v>837</v>
      </c>
      <c r="Q143" s="1144"/>
      <c r="R143" s="1172"/>
      <c r="S143" s="1148"/>
      <c r="T143" s="1148"/>
      <c r="U143" s="1148"/>
      <c r="V143" s="1148"/>
      <c r="W143" s="1148"/>
      <c r="X143" s="1148"/>
      <c r="Y143" s="1148"/>
      <c r="Z143" s="1148"/>
      <c r="AA143" s="1148"/>
      <c r="AB143" s="1148"/>
      <c r="AC143" s="1148"/>
      <c r="AD143" s="1148"/>
      <c r="AE143" s="1148"/>
      <c r="AF143" s="1148"/>
      <c r="AG143" s="1148"/>
      <c r="AH143" s="1148"/>
      <c r="AI143" s="1148"/>
      <c r="AJ143" s="1148"/>
      <c r="AK143" s="1148"/>
      <c r="AL143" s="1144"/>
      <c r="AM143" s="1148"/>
      <c r="AN143" s="1148"/>
      <c r="AO143" s="1148"/>
      <c r="AP143" s="1148"/>
      <c r="AQ143" s="1148"/>
      <c r="AR143" s="1144"/>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7862</v>
      </c>
      <c r="C144" s="1141"/>
      <c r="E144" s="1148"/>
      <c r="F144" s="1028"/>
      <c r="G144" s="1148"/>
      <c r="H144" s="1048"/>
      <c r="I144" s="1148"/>
      <c r="J144" s="1048"/>
      <c r="K144" s="1148"/>
      <c r="L144" s="1148"/>
      <c r="M144" s="1148"/>
      <c r="N144" s="1148"/>
      <c r="O144" s="1048"/>
      <c r="P144" s="1150"/>
      <c r="Q144" s="1071" t="s">
        <v>7863</v>
      </c>
      <c r="R144" s="1172"/>
      <c r="S144" s="1148"/>
      <c r="T144" s="1148"/>
      <c r="U144" s="1148"/>
      <c r="V144" s="1148"/>
      <c r="W144" s="1148"/>
      <c r="X144" s="1148"/>
      <c r="Y144" s="1148"/>
      <c r="Z144" s="1148"/>
      <c r="AA144" s="1148"/>
      <c r="AB144" s="1148"/>
      <c r="AC144" s="1148"/>
      <c r="AD144" s="1148"/>
      <c r="AE144" s="1148"/>
      <c r="AF144" s="1148"/>
      <c r="AG144" s="1148"/>
      <c r="AH144" s="1148"/>
      <c r="AI144" s="1148"/>
      <c r="AJ144" s="1148"/>
      <c r="AK144" s="1148"/>
      <c r="AL144" s="1144"/>
      <c r="AM144" s="1148"/>
      <c r="AN144" s="1148"/>
      <c r="AO144" s="1148"/>
      <c r="AP144" s="1148"/>
      <c r="AQ144" s="1148"/>
      <c r="AR144" s="1144"/>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7864</v>
      </c>
      <c r="C145" s="1025" t="s">
        <v>7865</v>
      </c>
      <c r="D145" s="1036" t="s">
        <v>581</v>
      </c>
      <c r="E145" s="1148"/>
      <c r="F145" s="1028"/>
      <c r="G145" s="1148"/>
      <c r="H145" s="1048"/>
      <c r="I145" s="1148"/>
      <c r="J145" s="1048"/>
      <c r="K145" s="1148"/>
      <c r="L145" s="1148"/>
      <c r="M145" s="1148"/>
      <c r="N145" s="1148"/>
      <c r="O145" s="1048"/>
      <c r="P145" s="1150"/>
      <c r="Q145" s="1071" t="s">
        <v>7865</v>
      </c>
      <c r="R145" s="1172"/>
      <c r="S145" s="1148"/>
      <c r="T145" s="1148"/>
      <c r="U145" s="1148"/>
      <c r="V145" s="1148"/>
      <c r="W145" s="1148"/>
      <c r="X145" s="1148"/>
      <c r="Y145" s="1148"/>
      <c r="Z145" s="1148"/>
      <c r="AA145" s="1148"/>
      <c r="AB145" s="1148"/>
      <c r="AC145" s="1148"/>
      <c r="AD145" s="1148"/>
      <c r="AE145" s="1148"/>
      <c r="AF145" s="1148"/>
      <c r="AG145" s="1148"/>
      <c r="AH145" s="1148"/>
      <c r="AI145" s="1148"/>
      <c r="AJ145" s="1148"/>
      <c r="AK145" s="1148"/>
      <c r="AL145" s="1144"/>
      <c r="AM145" s="1148"/>
      <c r="AN145" s="1148"/>
      <c r="AO145" s="1148"/>
      <c r="AP145" s="1148"/>
      <c r="AQ145" s="1148"/>
      <c r="AR145" s="1144"/>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7866</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144"/>
      <c r="R146" s="1039"/>
      <c r="S146" s="1148"/>
      <c r="T146" s="1148"/>
      <c r="U146" s="1148"/>
      <c r="V146" s="1148"/>
      <c r="W146" s="1148"/>
      <c r="X146" s="1148"/>
      <c r="Y146" s="1148"/>
      <c r="Z146" s="1148"/>
      <c r="AA146" s="1148"/>
      <c r="AB146" s="1148"/>
      <c r="AC146" s="1148"/>
      <c r="AD146" s="1148"/>
      <c r="AE146" s="1148"/>
      <c r="AF146" s="1148"/>
      <c r="AG146" s="1148"/>
      <c r="AH146" s="1148"/>
      <c r="AI146" s="1148"/>
      <c r="AJ146" s="1148"/>
      <c r="AK146" s="1148"/>
      <c r="AL146" s="1144"/>
      <c r="AM146" s="1148"/>
      <c r="AN146" s="1148"/>
      <c r="AO146" s="1148"/>
      <c r="AP146" s="1148"/>
      <c r="AQ146" s="1148"/>
      <c r="AR146" s="1144"/>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7867</v>
      </c>
      <c r="C147" s="1141" t="s">
        <v>1584</v>
      </c>
      <c r="D147" s="1036" t="s">
        <v>1584</v>
      </c>
      <c r="E147" s="1148"/>
      <c r="F147" s="1028"/>
      <c r="G147" s="1148"/>
      <c r="H147" s="1030" t="s">
        <v>1296</v>
      </c>
      <c r="I147" s="1148"/>
      <c r="J147" s="1148"/>
      <c r="K147" s="1148"/>
      <c r="L147" s="1148"/>
      <c r="M147" s="1148"/>
      <c r="N147" s="1148"/>
      <c r="O147" s="1148"/>
      <c r="P147" s="1150"/>
      <c r="Q147" s="1144"/>
      <c r="R147" s="1172"/>
      <c r="S147" s="1148"/>
      <c r="T147" s="1148"/>
      <c r="U147" s="1148"/>
      <c r="V147" s="1148"/>
      <c r="W147" s="1148"/>
      <c r="X147" s="1148"/>
      <c r="Y147" s="1148"/>
      <c r="Z147" s="1148"/>
      <c r="AA147" s="1148"/>
      <c r="AB147" s="1148"/>
      <c r="AC147" s="1148"/>
      <c r="AD147" s="1148"/>
      <c r="AE147" s="1148"/>
      <c r="AF147" s="1148"/>
      <c r="AG147" s="1148"/>
      <c r="AH147" s="1148"/>
      <c r="AI147" s="1148"/>
      <c r="AJ147" s="1148"/>
      <c r="AK147" s="1148"/>
      <c r="AL147" s="1144"/>
      <c r="AM147" s="1148"/>
      <c r="AN147" s="1148"/>
      <c r="AO147" s="1148"/>
      <c r="AP147" s="1148"/>
      <c r="AQ147" s="1148"/>
      <c r="AR147" s="1144"/>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7866</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144"/>
      <c r="R148" s="1059" t="s">
        <v>3732</v>
      </c>
      <c r="S148" s="1142"/>
      <c r="T148" s="1142"/>
      <c r="U148" s="1142"/>
      <c r="V148" s="1142"/>
      <c r="W148" s="1142"/>
      <c r="X148" s="1142"/>
      <c r="Y148" s="1142"/>
      <c r="Z148" s="1142" t="s">
        <v>7868</v>
      </c>
      <c r="AA148" s="1142"/>
      <c r="AB148" s="1142"/>
      <c r="AC148" s="1142"/>
      <c r="AD148" s="1142"/>
      <c r="AE148" s="1142"/>
      <c r="AF148" s="1142"/>
      <c r="AG148" s="1142" t="s">
        <v>296</v>
      </c>
      <c r="AH148" s="1142"/>
      <c r="AI148" s="1142"/>
      <c r="AJ148" s="1142"/>
      <c r="AK148" s="1142"/>
      <c r="AL148" s="1144"/>
      <c r="AM148" s="1142"/>
      <c r="AN148" s="1142"/>
      <c r="AO148" s="1142"/>
      <c r="AP148" s="1142"/>
      <c r="AQ148" s="1142"/>
      <c r="AR148" s="1144"/>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7867</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44"/>
      <c r="R149" s="1177"/>
      <c r="S149" s="1142" t="s">
        <v>409</v>
      </c>
      <c r="T149" s="1142"/>
      <c r="U149" s="1030" t="s">
        <v>399</v>
      </c>
      <c r="V149" s="1142"/>
      <c r="W149" s="1142"/>
      <c r="X149" s="1142" t="s">
        <v>7869</v>
      </c>
      <c r="Y149" s="1142"/>
      <c r="Z149" s="1142" t="s">
        <v>1001</v>
      </c>
      <c r="AA149" s="1142"/>
      <c r="AB149" s="1142"/>
      <c r="AC149" s="1142"/>
      <c r="AD149" s="1142"/>
      <c r="AE149" s="1142"/>
      <c r="AF149" s="1142"/>
      <c r="AG149" s="1142"/>
      <c r="AH149" s="1142"/>
      <c r="AI149" s="1142"/>
      <c r="AJ149" s="1142" t="s">
        <v>2368</v>
      </c>
      <c r="AK149" s="1142"/>
      <c r="AL149" s="1144"/>
      <c r="AM149" s="1142"/>
      <c r="AN149" s="1142"/>
      <c r="AO149" s="1142"/>
      <c r="AP149" s="1142"/>
      <c r="AQ149" s="1142"/>
      <c r="AR149" s="1144"/>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7870</v>
      </c>
      <c r="D150" s="1189"/>
      <c r="E150" s="1189"/>
      <c r="F150" s="1174"/>
      <c r="G150" s="1189"/>
      <c r="H150" s="1030" t="s">
        <v>2821</v>
      </c>
      <c r="I150" s="1189"/>
      <c r="J150" s="1189"/>
      <c r="K150" s="1189"/>
      <c r="L150" s="1189"/>
      <c r="M150" s="1189"/>
      <c r="N150" s="1189"/>
      <c r="O150" s="1071" t="s">
        <v>7870</v>
      </c>
      <c r="P150" s="1143"/>
      <c r="Q150" s="1186" t="s">
        <v>7871</v>
      </c>
      <c r="R150" s="1039"/>
      <c r="S150" s="1189"/>
      <c r="T150" s="1189"/>
      <c r="U150" s="1189"/>
      <c r="V150" s="1189"/>
      <c r="W150" s="1189"/>
      <c r="X150" s="1189"/>
      <c r="Y150" s="1189"/>
      <c r="Z150" s="1189"/>
      <c r="AA150" s="1189"/>
      <c r="AB150" s="1189"/>
      <c r="AC150" s="1189"/>
      <c r="AD150" s="1189"/>
      <c r="AE150" s="1189"/>
      <c r="AF150" s="1189"/>
      <c r="AG150" s="1189"/>
      <c r="AH150" s="1189"/>
      <c r="AI150" s="1189" t="s">
        <v>7869</v>
      </c>
      <c r="AJ150" s="1189"/>
      <c r="AK150" s="1189"/>
      <c r="AL150" s="1144"/>
      <c r="AM150" s="1189"/>
      <c r="AN150" s="1189"/>
      <c r="AO150" s="1189"/>
      <c r="AP150" s="1189"/>
      <c r="AQ150" s="1189"/>
      <c r="AR150" s="1144"/>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7872</v>
      </c>
      <c r="B151" s="1185" t="s">
        <v>7873</v>
      </c>
      <c r="C151" s="1141" t="s">
        <v>7874</v>
      </c>
      <c r="D151" s="1142" t="s">
        <v>7875</v>
      </c>
      <c r="E151" s="1142" t="s">
        <v>7874</v>
      </c>
      <c r="F151" s="1028"/>
      <c r="G151" s="1142"/>
      <c r="H151" s="1048"/>
      <c r="I151" s="1142" t="s">
        <v>7876</v>
      </c>
      <c r="J151" s="1142" t="s">
        <v>7877</v>
      </c>
      <c r="K151" s="1142"/>
      <c r="L151" s="1142" t="s">
        <v>932</v>
      </c>
      <c r="M151" s="1142"/>
      <c r="N151" s="1142" t="s">
        <v>7445</v>
      </c>
      <c r="O151" s="1142"/>
      <c r="P151" s="1143"/>
      <c r="Q151" s="1144"/>
      <c r="R151" s="1172"/>
      <c r="S151" s="1142"/>
      <c r="T151" s="1142"/>
      <c r="U151" s="1142"/>
      <c r="V151" s="1142" t="s">
        <v>7426</v>
      </c>
      <c r="W151" s="1142"/>
      <c r="X151" s="1142" t="s">
        <v>5141</v>
      </c>
      <c r="Y151" s="1142"/>
      <c r="Z151" s="1142"/>
      <c r="AA151" s="1142"/>
      <c r="AB151" s="1142"/>
      <c r="AC151" s="1142"/>
      <c r="AD151" s="1142"/>
      <c r="AE151" s="1142"/>
      <c r="AF151" s="1142"/>
      <c r="AG151" s="1142"/>
      <c r="AH151" s="1142"/>
      <c r="AI151" s="1142"/>
      <c r="AJ151" s="1142"/>
      <c r="AK151" s="1142" t="s">
        <v>6876</v>
      </c>
      <c r="AL151" s="1144"/>
      <c r="AM151" s="1142"/>
      <c r="AN151" s="1142"/>
      <c r="AO151" s="1142"/>
      <c r="AP151" s="1142"/>
      <c r="AQ151" s="1142"/>
      <c r="AR151" s="1144"/>
      <c r="AS151" s="1142"/>
      <c r="AT151" s="1142"/>
      <c r="AU151" s="1172"/>
      <c r="AV151" s="1142"/>
      <c r="AW151" s="1142"/>
      <c r="AX151" s="1142"/>
      <c r="AY151" s="1142"/>
      <c r="AZ151" s="1142"/>
      <c r="BA151" s="1172"/>
      <c r="BB151" s="1142"/>
      <c r="BC151" s="1142"/>
      <c r="BD151" s="1142"/>
      <c r="BE151" s="1142" t="s">
        <v>7878</v>
      </c>
      <c r="BF151" s="1142"/>
      <c r="BG151" s="1142"/>
      <c r="BH151" s="1142"/>
      <c r="BI151" s="1172"/>
      <c r="BJ151" s="1172"/>
      <c r="BK151" s="1172"/>
      <c r="BL151" s="1172"/>
      <c r="BM151" s="1172"/>
      <c r="BN151" s="1172"/>
      <c r="BO151" s="1172"/>
    </row>
    <row r="152" ht="15.75" customHeight="1">
      <c r="A152" s="1175"/>
      <c r="B152" s="1176" t="s">
        <v>7879</v>
      </c>
      <c r="C152" s="1141" t="s">
        <v>7880</v>
      </c>
      <c r="D152" s="1148"/>
      <c r="E152" s="1148"/>
      <c r="F152" s="1174"/>
      <c r="G152" s="1148"/>
      <c r="H152" s="1048"/>
      <c r="I152" s="1148"/>
      <c r="J152" s="1148"/>
      <c r="K152" s="1148" t="s">
        <v>7881</v>
      </c>
      <c r="L152" s="1148"/>
      <c r="M152" s="1148"/>
      <c r="N152" s="1148"/>
      <c r="O152" s="1148" t="s">
        <v>7880</v>
      </c>
      <c r="P152" s="1150"/>
      <c r="Q152" s="1144"/>
      <c r="R152" s="1039"/>
      <c r="S152" s="1148"/>
      <c r="T152" s="1148"/>
      <c r="U152" s="1148"/>
      <c r="V152" s="1148"/>
      <c r="W152" s="1148"/>
      <c r="X152" s="1148"/>
      <c r="Y152" s="1148"/>
      <c r="Z152" s="1148"/>
      <c r="AA152" s="1148"/>
      <c r="AB152" s="1148"/>
      <c r="AC152" s="1148"/>
      <c r="AD152" s="1148"/>
      <c r="AE152" s="1148"/>
      <c r="AF152" s="1148"/>
      <c r="AG152" s="1148"/>
      <c r="AH152" s="1148"/>
      <c r="AI152" s="1148"/>
      <c r="AJ152" s="1148"/>
      <c r="AK152" s="1148"/>
      <c r="AL152" s="1144"/>
      <c r="AM152" s="1148"/>
      <c r="AN152" s="1148"/>
      <c r="AO152" s="1148"/>
      <c r="AP152" s="1148"/>
      <c r="AQ152" s="1148"/>
      <c r="AR152" s="1144"/>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7882</v>
      </c>
      <c r="C153" s="1191" t="s">
        <v>2562</v>
      </c>
      <c r="D153" s="1074" t="s">
        <v>1587</v>
      </c>
      <c r="E153" s="1030" t="s">
        <v>381</v>
      </c>
      <c r="F153" s="1063" t="s">
        <v>2562</v>
      </c>
      <c r="G153" s="1030" t="s">
        <v>7883</v>
      </c>
      <c r="H153" s="1048"/>
      <c r="I153" s="1030" t="s">
        <v>588</v>
      </c>
      <c r="J153" s="1030" t="s">
        <v>3262</v>
      </c>
      <c r="K153" s="1048" t="s">
        <v>3654</v>
      </c>
      <c r="L153" s="1048"/>
      <c r="M153" s="1048"/>
      <c r="N153" s="1048"/>
      <c r="O153" s="1048"/>
      <c r="P153" s="1143"/>
      <c r="Q153" s="1144"/>
      <c r="R153" s="1172"/>
      <c r="S153" s="1048"/>
      <c r="T153" s="1048"/>
      <c r="U153" s="1048"/>
      <c r="V153" s="1048"/>
      <c r="W153" s="1030" t="s">
        <v>7200</v>
      </c>
      <c r="X153" s="1048"/>
      <c r="Y153" s="1048"/>
      <c r="Z153" s="1048"/>
      <c r="AA153" s="1048"/>
      <c r="AB153" s="1048"/>
      <c r="AC153" s="1048"/>
      <c r="AD153" s="1048"/>
      <c r="AE153" s="1048"/>
      <c r="AF153" s="1048"/>
      <c r="AG153" s="1048"/>
      <c r="AH153" s="1048"/>
      <c r="AI153" s="1048"/>
      <c r="AJ153" s="1048"/>
      <c r="AK153" s="1048"/>
      <c r="AL153" s="1144"/>
      <c r="AM153" s="1048"/>
      <c r="AN153" s="1048"/>
      <c r="AO153" s="1048"/>
      <c r="AP153" s="1030" t="str">
        <f>HYPERLINK("https://youtu.be/_0JbK5D6GCQ","1:25.92")</f>
        <v>1:25.92</v>
      </c>
      <c r="AQ153" s="1048"/>
      <c r="AR153" s="1144"/>
      <c r="AS153" s="1048"/>
      <c r="AT153" s="1048"/>
      <c r="AU153" s="1172"/>
      <c r="AV153" s="1048"/>
      <c r="AW153" s="1048"/>
      <c r="AX153" s="1048"/>
      <c r="AY153" s="1048"/>
      <c r="AZ153" s="1048"/>
      <c r="BA153" s="1172"/>
      <c r="BB153" s="1192" t="s">
        <v>7884</v>
      </c>
      <c r="BC153" s="1048"/>
      <c r="BD153" s="1048"/>
      <c r="BE153" s="1048"/>
      <c r="BF153" s="1048"/>
      <c r="BG153" s="1048"/>
      <c r="BH153" s="1048"/>
      <c r="BI153" s="1172"/>
      <c r="BJ153" s="1172"/>
      <c r="BK153" s="1172"/>
      <c r="BL153" s="1172"/>
      <c r="BM153" s="1172"/>
      <c r="BN153" s="1172"/>
      <c r="BO153" s="1172"/>
    </row>
    <row r="154" ht="15.75" customHeight="1">
      <c r="A154" s="1175"/>
      <c r="B154" s="1176" t="s">
        <v>7885</v>
      </c>
      <c r="C154" s="1025" t="s">
        <v>3542</v>
      </c>
      <c r="D154" s="990" t="s">
        <v>1586</v>
      </c>
      <c r="E154" s="1148"/>
      <c r="F154" s="1174"/>
      <c r="G154" s="1148"/>
      <c r="H154" s="1030" t="s">
        <v>1297</v>
      </c>
      <c r="I154" s="1148"/>
      <c r="J154" s="1148"/>
      <c r="K154" s="1152" t="s">
        <v>3653</v>
      </c>
      <c r="L154" s="1148"/>
      <c r="M154" s="1148" t="s">
        <v>7886</v>
      </c>
      <c r="N154" s="1148"/>
      <c r="O154" s="1148" t="s">
        <v>1087</v>
      </c>
      <c r="P154" s="1150"/>
      <c r="Q154" s="1144"/>
      <c r="R154" s="1039"/>
      <c r="S154" s="1148"/>
      <c r="T154" s="1148"/>
      <c r="U154" s="1030" t="s">
        <v>3542</v>
      </c>
      <c r="V154" s="1148"/>
      <c r="W154" s="1148"/>
      <c r="X154" s="1148"/>
      <c r="Y154" s="1148"/>
      <c r="Z154" s="1148"/>
      <c r="AA154" s="1148"/>
      <c r="AB154" s="1148"/>
      <c r="AC154" s="1148"/>
      <c r="AD154" s="1148"/>
      <c r="AE154" s="1148"/>
      <c r="AF154" s="1148"/>
      <c r="AG154" s="1148"/>
      <c r="AH154" s="1148"/>
      <c r="AI154" s="1148"/>
      <c r="AJ154" s="1148"/>
      <c r="AK154" s="1148"/>
      <c r="AL154" s="1144"/>
      <c r="AM154" s="1148"/>
      <c r="AN154" s="1148"/>
      <c r="AO154" s="1148"/>
      <c r="AP154" s="1148"/>
      <c r="AQ154" s="1148"/>
      <c r="AR154" s="1144"/>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7887</v>
      </c>
      <c r="B155" s="1185" t="s">
        <v>7873</v>
      </c>
      <c r="C155" s="1141" t="s">
        <v>775</v>
      </c>
      <c r="D155" s="1193" t="s">
        <v>5080</v>
      </c>
      <c r="E155" s="1193" t="s">
        <v>3659</v>
      </c>
      <c r="F155" s="1028"/>
      <c r="G155" s="1193"/>
      <c r="H155" s="1048"/>
      <c r="I155" s="1193" t="s">
        <v>775</v>
      </c>
      <c r="J155" s="1193"/>
      <c r="K155" s="1193"/>
      <c r="L155" s="1193"/>
      <c r="M155" s="1193"/>
      <c r="N155" s="1193"/>
      <c r="O155" s="1193"/>
      <c r="P155" s="1143"/>
      <c r="Q155" s="1144"/>
      <c r="R155" s="1172"/>
      <c r="S155" s="1193"/>
      <c r="T155" s="1193"/>
      <c r="U155" s="1193"/>
      <c r="V155" s="1193"/>
      <c r="W155" s="1193"/>
      <c r="X155" s="1193"/>
      <c r="Y155" s="1193"/>
      <c r="Z155" s="1193"/>
      <c r="AA155" s="1193"/>
      <c r="AB155" s="1193"/>
      <c r="AC155" s="1193"/>
      <c r="AD155" s="1193"/>
      <c r="AE155" s="1193"/>
      <c r="AF155" s="1193"/>
      <c r="AG155" s="1193"/>
      <c r="AH155" s="1193"/>
      <c r="AI155" s="1193"/>
      <c r="AJ155" s="1193"/>
      <c r="AK155" s="1193"/>
      <c r="AL155" s="1144"/>
      <c r="AM155" s="1193"/>
      <c r="AN155" s="1193"/>
      <c r="AO155" s="1193"/>
      <c r="AP155" s="1193"/>
      <c r="AQ155" s="1193"/>
      <c r="AR155" s="1144"/>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7888</v>
      </c>
      <c r="C156" s="1194" t="s">
        <v>1340</v>
      </c>
      <c r="D156" s="1193"/>
      <c r="E156" s="1193"/>
      <c r="F156" s="1076"/>
      <c r="G156" s="1048"/>
      <c r="H156" s="1048"/>
      <c r="I156" s="1193"/>
      <c r="J156" s="1193"/>
      <c r="K156" s="1193"/>
      <c r="L156" s="1193"/>
      <c r="M156" s="1193"/>
      <c r="N156" s="1193"/>
      <c r="O156" s="1193"/>
      <c r="P156" s="1143"/>
      <c r="Q156" s="1144"/>
      <c r="R156" s="1172"/>
      <c r="S156" s="1193"/>
      <c r="T156" s="1193"/>
      <c r="U156" s="1193"/>
      <c r="V156" s="1193"/>
      <c r="W156" s="1030" t="s">
        <v>355</v>
      </c>
      <c r="X156" s="1193"/>
      <c r="Y156" s="1193"/>
      <c r="Z156" s="1193"/>
      <c r="AA156" s="1193"/>
      <c r="AB156" s="1193"/>
      <c r="AC156" s="1193"/>
      <c r="AD156" s="1193"/>
      <c r="AE156" s="1193"/>
      <c r="AF156" s="1193"/>
      <c r="AG156" s="1193"/>
      <c r="AH156" s="1193"/>
      <c r="AI156" s="1193"/>
      <c r="AJ156" s="1193"/>
      <c r="AK156" s="1193"/>
      <c r="AL156" s="1144"/>
      <c r="AM156" s="1193"/>
      <c r="AN156" s="1193"/>
      <c r="AO156" s="1193"/>
      <c r="AP156" s="1193"/>
      <c r="AQ156" s="1193"/>
      <c r="AR156" s="1144"/>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7889</v>
      </c>
      <c r="C157" s="1025" t="s">
        <v>2632</v>
      </c>
      <c r="D157" s="1193" t="s">
        <v>7890</v>
      </c>
      <c r="E157" s="1193"/>
      <c r="F157" s="1076" t="s">
        <v>3855</v>
      </c>
      <c r="G157" s="1030" t="s">
        <v>2632</v>
      </c>
      <c r="H157" s="1048"/>
      <c r="I157" s="1193"/>
      <c r="J157" s="1193"/>
      <c r="K157" s="1193"/>
      <c r="L157" s="1193"/>
      <c r="M157" s="1193"/>
      <c r="N157" s="1193"/>
      <c r="O157" s="1193"/>
      <c r="P157" s="1143"/>
      <c r="Q157" s="1144"/>
      <c r="R157" s="1172"/>
      <c r="S157" s="1193"/>
      <c r="T157" s="1193"/>
      <c r="U157" s="1193"/>
      <c r="V157" s="1193"/>
      <c r="X157" s="1193"/>
      <c r="Y157" s="1193" t="s">
        <v>956</v>
      </c>
      <c r="Z157" s="1193"/>
      <c r="AA157" s="1193"/>
      <c r="AB157" s="1193"/>
      <c r="AC157" s="1193"/>
      <c r="AD157" s="1193"/>
      <c r="AE157" s="1193"/>
      <c r="AF157" s="1193"/>
      <c r="AG157" s="1193"/>
      <c r="AH157" s="1193"/>
      <c r="AI157" s="1193"/>
      <c r="AJ157" s="1193"/>
      <c r="AK157" s="1193"/>
      <c r="AL157" s="1144"/>
      <c r="AM157" s="1193"/>
      <c r="AN157" s="1193"/>
      <c r="AO157" s="1193"/>
      <c r="AP157" s="1193"/>
      <c r="AQ157" s="1193"/>
      <c r="AR157" s="1144"/>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7891</v>
      </c>
      <c r="C158" s="1056" t="s">
        <v>5162</v>
      </c>
      <c r="D158" s="1193"/>
      <c r="E158" s="1193"/>
      <c r="F158" s="1057" t="s">
        <v>5162</v>
      </c>
      <c r="G158" s="1048"/>
      <c r="H158" s="1048"/>
      <c r="I158" s="1193"/>
      <c r="J158" s="1193"/>
      <c r="K158" s="1193"/>
      <c r="L158" s="1193"/>
      <c r="M158" s="1193"/>
      <c r="N158" s="1193"/>
      <c r="O158" s="1193"/>
      <c r="P158" s="1143"/>
      <c r="Q158" s="1144"/>
      <c r="R158" s="1172"/>
      <c r="S158" s="1193"/>
      <c r="T158" s="1193"/>
      <c r="U158" s="1193"/>
      <c r="V158" s="1193"/>
      <c r="X158" s="1193"/>
      <c r="Y158" s="1193"/>
      <c r="Z158" s="1193"/>
      <c r="AA158" s="1193"/>
      <c r="AB158" s="1193"/>
      <c r="AC158" s="1193"/>
      <c r="AD158" s="1193"/>
      <c r="AE158" s="1193"/>
      <c r="AF158" s="1193"/>
      <c r="AG158" s="1193"/>
      <c r="AH158" s="1193"/>
      <c r="AI158" s="1193"/>
      <c r="AJ158" s="1193"/>
      <c r="AK158" s="1193"/>
      <c r="AL158" s="1144"/>
      <c r="AM158" s="1193"/>
      <c r="AN158" s="1193"/>
      <c r="AO158" s="1193"/>
      <c r="AP158" s="1193"/>
      <c r="AQ158" s="1193"/>
      <c r="AR158" s="1144"/>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7892</v>
      </c>
      <c r="C159" s="1141"/>
      <c r="D159" s="1193"/>
      <c r="E159" s="1193"/>
      <c r="F159" s="1174"/>
      <c r="G159" s="1193"/>
      <c r="H159" s="1048"/>
      <c r="I159" s="1193"/>
      <c r="J159" s="1193"/>
      <c r="K159" s="1193"/>
      <c r="L159" s="1193"/>
      <c r="M159" s="1193"/>
      <c r="N159" s="1193"/>
      <c r="O159" s="1193"/>
      <c r="P159" s="1143"/>
      <c r="Q159" s="1144"/>
      <c r="R159" s="1039"/>
      <c r="S159" s="1193"/>
      <c r="T159" s="1193"/>
      <c r="U159" s="1193"/>
      <c r="V159" s="1193"/>
      <c r="W159" s="1193"/>
      <c r="X159" s="1193"/>
      <c r="Y159" s="1193"/>
      <c r="Z159" s="1193"/>
      <c r="AA159" s="1193"/>
      <c r="AB159" s="1193"/>
      <c r="AC159" s="1193"/>
      <c r="AD159" s="1193"/>
      <c r="AE159" s="1193"/>
      <c r="AF159" s="1193"/>
      <c r="AG159" s="1193"/>
      <c r="AH159" s="1193"/>
      <c r="AI159" s="1193"/>
      <c r="AJ159" s="1193"/>
      <c r="AK159" s="1193"/>
      <c r="AL159" s="1144"/>
      <c r="AM159" s="1193"/>
      <c r="AN159" s="1193"/>
      <c r="AO159" s="1193"/>
      <c r="AP159" s="1193"/>
      <c r="AQ159" s="1193"/>
      <c r="AR159" s="1144"/>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7885</v>
      </c>
      <c r="C160" s="1025" t="s">
        <v>1429</v>
      </c>
      <c r="D160" s="1193"/>
      <c r="E160" s="1193"/>
      <c r="F160" s="1174"/>
      <c r="G160" s="1193" t="s">
        <v>7893</v>
      </c>
      <c r="H160" s="1030" t="s">
        <v>7064</v>
      </c>
      <c r="I160" s="1193" t="s">
        <v>286</v>
      </c>
      <c r="J160" s="1193"/>
      <c r="K160" s="1193"/>
      <c r="L160" s="1193"/>
      <c r="M160" s="1142" t="s">
        <v>4798</v>
      </c>
      <c r="N160" s="1193"/>
      <c r="O160" s="1193"/>
      <c r="P160" s="1143"/>
      <c r="Q160" s="1144"/>
      <c r="R160" s="1039"/>
      <c r="S160" s="1193"/>
      <c r="T160" s="1193"/>
      <c r="U160" s="1030" t="s">
        <v>6557</v>
      </c>
      <c r="V160" s="1193"/>
      <c r="W160" s="1193"/>
      <c r="X160" s="1193"/>
      <c r="Y160" s="1193"/>
      <c r="Z160" s="1193"/>
      <c r="AA160" s="1193"/>
      <c r="AB160" s="1193"/>
      <c r="AC160" s="1193"/>
      <c r="AD160" s="1193"/>
      <c r="AE160" s="1193"/>
      <c r="AF160" s="1193"/>
      <c r="AG160" s="1193"/>
      <c r="AH160" s="1193"/>
      <c r="AI160" s="1193"/>
      <c r="AJ160" s="1193"/>
      <c r="AK160" s="1193"/>
      <c r="AL160" s="1144"/>
      <c r="AM160" s="1193"/>
      <c r="AN160" s="1193"/>
      <c r="AO160" s="1193"/>
      <c r="AP160" s="1193"/>
      <c r="AQ160" s="1193"/>
      <c r="AR160" s="1144"/>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7894</v>
      </c>
      <c r="B161" s="1185" t="s">
        <v>7895</v>
      </c>
      <c r="C161" s="1141" t="s">
        <v>7896</v>
      </c>
      <c r="D161" s="1193" t="s">
        <v>2289</v>
      </c>
      <c r="E161" s="1193"/>
      <c r="F161" s="1028"/>
      <c r="G161" s="1193"/>
      <c r="H161" s="1048"/>
      <c r="I161" s="1193"/>
      <c r="J161" s="1193"/>
      <c r="K161" s="1193"/>
      <c r="L161" s="1193"/>
      <c r="M161" s="1193"/>
      <c r="N161" s="1193"/>
      <c r="O161" s="1193"/>
      <c r="P161" s="1143"/>
      <c r="Q161" s="1144"/>
      <c r="R161" s="1172"/>
      <c r="S161" s="1193"/>
      <c r="T161" s="1193"/>
      <c r="U161" s="1193"/>
      <c r="V161" s="1193"/>
      <c r="W161" s="1193"/>
      <c r="X161" s="1193"/>
      <c r="Y161" s="1193"/>
      <c r="Z161" s="1193"/>
      <c r="AA161" s="1193"/>
      <c r="AB161" s="1193"/>
      <c r="AC161" s="1193"/>
      <c r="AD161" s="1193"/>
      <c r="AE161" s="1193"/>
      <c r="AF161" s="1193"/>
      <c r="AG161" s="1193"/>
      <c r="AH161" s="1193"/>
      <c r="AI161" s="1193"/>
      <c r="AJ161" s="1193"/>
      <c r="AK161" s="1193"/>
      <c r="AL161" s="1144"/>
      <c r="AM161" s="1193"/>
      <c r="AN161" s="1193"/>
      <c r="AO161" s="1193"/>
      <c r="AP161" s="1193"/>
      <c r="AQ161" s="1193"/>
      <c r="AR161" s="1144"/>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7897</v>
      </c>
      <c r="C162" s="1141"/>
      <c r="D162" s="1193"/>
      <c r="E162" s="1193"/>
      <c r="F162" s="1174"/>
      <c r="G162" s="1193"/>
      <c r="H162" s="1048"/>
      <c r="I162" s="1193"/>
      <c r="J162" s="1193"/>
      <c r="K162" s="1193"/>
      <c r="L162" s="1193"/>
      <c r="M162" s="1193"/>
      <c r="N162" s="1193"/>
      <c r="O162" s="1193"/>
      <c r="P162" s="1143"/>
      <c r="Q162" s="1144"/>
      <c r="R162" s="1039"/>
      <c r="S162" s="1193"/>
      <c r="T162" s="1193"/>
      <c r="U162" s="1193"/>
      <c r="V162" s="1193"/>
      <c r="W162" s="1193"/>
      <c r="X162" s="1193"/>
      <c r="Y162" s="1193"/>
      <c r="Z162" s="1193"/>
      <c r="AA162" s="1193"/>
      <c r="AB162" s="1193"/>
      <c r="AC162" s="1193"/>
      <c r="AD162" s="1193"/>
      <c r="AE162" s="1193"/>
      <c r="AF162" s="1193"/>
      <c r="AG162" s="1193"/>
      <c r="AH162" s="1193"/>
      <c r="AI162" s="1193"/>
      <c r="AJ162" s="1193"/>
      <c r="AK162" s="1193"/>
      <c r="AL162" s="1144"/>
      <c r="AM162" s="1193"/>
      <c r="AN162" s="1193"/>
      <c r="AO162" s="1193"/>
      <c r="AP162" s="1193"/>
      <c r="AQ162" s="1193"/>
      <c r="AR162" s="1144"/>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7898</v>
      </c>
      <c r="B163" s="1185" t="s">
        <v>7899</v>
      </c>
      <c r="C163" s="1025" t="s">
        <v>7900</v>
      </c>
      <c r="D163" s="1193"/>
      <c r="E163" s="1193"/>
      <c r="F163" s="1057" t="s">
        <v>7901</v>
      </c>
      <c r="G163" s="1142" t="s">
        <v>7902</v>
      </c>
      <c r="H163" s="1030" t="s">
        <v>7903</v>
      </c>
      <c r="I163" s="1193" t="s">
        <v>7904</v>
      </c>
      <c r="J163" s="1193"/>
      <c r="K163" s="1193"/>
      <c r="L163" s="1193"/>
      <c r="M163" s="1142" t="s">
        <v>1322</v>
      </c>
      <c r="N163" s="1193"/>
      <c r="O163" s="1193"/>
      <c r="P163" s="1143"/>
      <c r="Q163" s="1144"/>
      <c r="R163" s="1172"/>
      <c r="S163" s="1193"/>
      <c r="T163" s="1193"/>
      <c r="U163" s="1030" t="s">
        <v>7900</v>
      </c>
      <c r="V163" s="1193"/>
      <c r="W163" s="1030" t="s">
        <v>7905</v>
      </c>
      <c r="X163" s="1193"/>
      <c r="Y163" s="1193"/>
      <c r="Z163" s="1193"/>
      <c r="AA163" s="1193"/>
      <c r="AB163" s="1193"/>
      <c r="AC163" s="1193"/>
      <c r="AD163" s="1193"/>
      <c r="AE163" s="1193"/>
      <c r="AF163" s="1193"/>
      <c r="AG163" s="1193"/>
      <c r="AH163" s="1193"/>
      <c r="AI163" s="1193"/>
      <c r="AJ163" s="1193"/>
      <c r="AK163" s="1193"/>
      <c r="AL163" s="1144"/>
      <c r="AM163" s="1193"/>
      <c r="AN163" s="1193"/>
      <c r="AO163" s="1193"/>
      <c r="AP163" s="1193"/>
      <c r="AQ163" s="1193"/>
      <c r="AR163" s="1144"/>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7906</v>
      </c>
      <c r="C164" s="1141" t="s">
        <v>7907</v>
      </c>
      <c r="D164" s="1193"/>
      <c r="E164" s="1193"/>
      <c r="F164" s="1182" t="s">
        <v>7908</v>
      </c>
      <c r="G164" s="1142" t="s">
        <v>7909</v>
      </c>
      <c r="H164" s="1048"/>
      <c r="I164" s="1193"/>
      <c r="J164" s="1193"/>
      <c r="K164" s="1193"/>
      <c r="L164" s="1193"/>
      <c r="M164" s="1193"/>
      <c r="N164" s="1193"/>
      <c r="O164" s="1193"/>
      <c r="P164" s="1143"/>
      <c r="Q164" s="1144"/>
      <c r="R164" s="1039"/>
      <c r="S164" s="1193"/>
      <c r="T164" s="1193"/>
      <c r="U164" s="1193"/>
      <c r="V164" s="1193"/>
      <c r="W164" s="1193"/>
      <c r="X164" s="1193"/>
      <c r="Y164" s="1193"/>
      <c r="Z164" s="1193"/>
      <c r="AA164" s="1193"/>
      <c r="AB164" s="1193"/>
      <c r="AC164" s="1193"/>
      <c r="AD164" s="1193"/>
      <c r="AE164" s="1193"/>
      <c r="AF164" s="1193"/>
      <c r="AG164" s="1193"/>
      <c r="AH164" s="1193"/>
      <c r="AI164" s="1193"/>
      <c r="AJ164" s="1193"/>
      <c r="AK164" s="1193"/>
      <c r="AL164" s="1144"/>
      <c r="AM164" s="1193"/>
      <c r="AN164" s="1193"/>
      <c r="AO164" s="1193"/>
      <c r="AP164" s="1193"/>
      <c r="AQ164" s="1193"/>
      <c r="AR164" s="1144"/>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7910</v>
      </c>
      <c r="C165" s="1141" t="s">
        <v>7911</v>
      </c>
      <c r="D165" s="1193"/>
      <c r="E165" s="1193"/>
      <c r="F165" s="1057" t="s">
        <v>7912</v>
      </c>
      <c r="G165" s="1142" t="s">
        <v>7911</v>
      </c>
      <c r="H165" s="1048"/>
      <c r="I165" s="1193" t="s">
        <v>7913</v>
      </c>
      <c r="J165" s="1193"/>
      <c r="K165" s="1193"/>
      <c r="L165" s="1193"/>
      <c r="M165" s="1193"/>
      <c r="N165" s="1193"/>
      <c r="O165" s="1193"/>
      <c r="P165" s="1143"/>
      <c r="Q165" s="1144"/>
      <c r="R165" s="1172"/>
      <c r="S165" s="1193"/>
      <c r="T165" s="1193"/>
      <c r="U165" s="1193"/>
      <c r="V165" s="1193"/>
      <c r="W165" s="1193"/>
      <c r="X165" s="1193"/>
      <c r="Y165" s="1193"/>
      <c r="Z165" s="1193"/>
      <c r="AA165" s="1193" t="s">
        <v>969</v>
      </c>
      <c r="AB165" s="1193"/>
      <c r="AC165" s="1193"/>
      <c r="AD165" s="1193"/>
      <c r="AE165" s="1193"/>
      <c r="AF165" s="1193"/>
      <c r="AG165" s="1193"/>
      <c r="AH165" s="1193"/>
      <c r="AI165" s="1193"/>
      <c r="AJ165" s="1193"/>
      <c r="AK165" s="1193"/>
      <c r="AL165" s="1144"/>
      <c r="AM165" s="1193"/>
      <c r="AN165" s="1193"/>
      <c r="AO165" s="1193"/>
      <c r="AP165" s="1193"/>
      <c r="AQ165" s="1193"/>
      <c r="AR165" s="1144"/>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7914</v>
      </c>
      <c r="C166" s="1141" t="s">
        <v>746</v>
      </c>
      <c r="D166" s="1193"/>
      <c r="E166" s="1193"/>
      <c r="F166" s="1182" t="s">
        <v>3110</v>
      </c>
      <c r="G166" s="1142" t="s">
        <v>746</v>
      </c>
      <c r="H166" s="1048"/>
      <c r="I166" s="1193"/>
      <c r="J166" s="1193"/>
      <c r="K166" s="1193"/>
      <c r="L166" s="1193"/>
      <c r="M166" s="1142" t="s">
        <v>2760</v>
      </c>
      <c r="N166" s="1193"/>
      <c r="O166" s="1193"/>
      <c r="P166" s="1143"/>
      <c r="Q166" s="1142"/>
      <c r="R166" s="1039"/>
      <c r="S166" s="1193"/>
      <c r="T166" s="1193"/>
      <c r="U166" s="1193"/>
      <c r="V166" s="1193"/>
      <c r="W166" s="1193"/>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7656</v>
      </c>
      <c r="B167" s="1195" t="s">
        <v>7915</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186" t="s">
        <v>7916</v>
      </c>
      <c r="R167" s="1050" t="s">
        <v>7917</v>
      </c>
      <c r="S167" s="1148"/>
      <c r="T167" s="1148" t="s">
        <v>2611</v>
      </c>
      <c r="U167" s="1148" t="s">
        <v>2611</v>
      </c>
      <c r="V167" s="1148"/>
      <c r="W167" s="1148"/>
      <c r="X167" s="1148"/>
      <c r="Y167" s="1148"/>
      <c r="Z167" s="1148"/>
      <c r="AA167" s="1148"/>
      <c r="AB167" s="1148"/>
      <c r="AC167" s="1030" t="s">
        <v>3592</v>
      </c>
      <c r="AD167" s="1148"/>
      <c r="AE167" s="1148"/>
      <c r="AF167" s="1148"/>
      <c r="AG167" s="1148" t="s">
        <v>2611</v>
      </c>
      <c r="AH167" s="1148"/>
      <c r="AI167" s="1148"/>
      <c r="AJ167" s="1148"/>
      <c r="AK167" s="1148"/>
      <c r="AL167" s="1144"/>
      <c r="AM167" s="1148"/>
      <c r="AN167" s="1148"/>
      <c r="AO167" s="1148" t="s">
        <v>5638</v>
      </c>
      <c r="AP167" s="1148"/>
      <c r="AQ167" s="1148"/>
      <c r="AR167" s="1144"/>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7918</v>
      </c>
      <c r="C168" s="1141" t="s">
        <v>2445</v>
      </c>
      <c r="D168" s="1036" t="s">
        <v>1588</v>
      </c>
      <c r="E168" s="1142" t="s">
        <v>7919</v>
      </c>
      <c r="F168" s="1057" t="s">
        <v>7920</v>
      </c>
      <c r="G168" s="1142" t="s">
        <v>7921</v>
      </c>
      <c r="H168" s="1048"/>
      <c r="I168" s="1142"/>
      <c r="J168" s="1142" t="s">
        <v>516</v>
      </c>
      <c r="K168" s="1142" t="s">
        <v>3655</v>
      </c>
      <c r="L168" s="1142"/>
      <c r="M168" s="1142"/>
      <c r="N168" s="1142"/>
      <c r="O168" s="1142" t="s">
        <v>878</v>
      </c>
      <c r="P168" s="1143" t="s">
        <v>799</v>
      </c>
      <c r="Q168" s="1144"/>
      <c r="R168" s="1172"/>
      <c r="S168" s="1142"/>
      <c r="T168" s="1142"/>
      <c r="U168" s="1142"/>
      <c r="V168" s="1142"/>
      <c r="W168" s="1030" t="s">
        <v>2742</v>
      </c>
      <c r="X168" s="1142"/>
      <c r="Y168" s="1142"/>
      <c r="Z168" s="1142"/>
      <c r="AA168" s="1142"/>
      <c r="AB168" s="1142"/>
      <c r="AC168" s="1142"/>
      <c r="AD168" s="1142"/>
      <c r="AE168" s="1142"/>
      <c r="AF168" s="1142"/>
      <c r="AG168" s="1142"/>
      <c r="AH168" s="1142"/>
      <c r="AI168" s="1142"/>
      <c r="AJ168" s="1142"/>
      <c r="AK168" s="1142"/>
      <c r="AL168" s="1144"/>
      <c r="AM168" s="1142"/>
      <c r="AN168" s="1142"/>
      <c r="AO168" s="1142"/>
      <c r="AP168" s="1142"/>
      <c r="AQ168" s="1142"/>
      <c r="AR168" s="1144"/>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7660</v>
      </c>
      <c r="B169" s="1195" t="s">
        <v>7922</v>
      </c>
      <c r="C169" s="1141" t="s">
        <v>660</v>
      </c>
      <c r="D169" s="990" t="s">
        <v>1136</v>
      </c>
      <c r="E169" s="1148"/>
      <c r="F169" s="1174"/>
      <c r="G169" s="1148"/>
      <c r="H169" s="1030" t="s">
        <v>1298</v>
      </c>
      <c r="I169" s="1148"/>
      <c r="J169" s="1148" t="s">
        <v>660</v>
      </c>
      <c r="K169" s="1148"/>
      <c r="L169" s="1148" t="s">
        <v>175</v>
      </c>
      <c r="M169" s="1148"/>
      <c r="N169" s="1148"/>
      <c r="O169" s="1148"/>
      <c r="P169" s="1150"/>
      <c r="Q169" s="1186" t="s">
        <v>7923</v>
      </c>
      <c r="R169" s="1039"/>
      <c r="S169" s="1148"/>
      <c r="T169" s="1148"/>
      <c r="U169" s="1148"/>
      <c r="V169" s="1148"/>
      <c r="W169" s="1148"/>
      <c r="X169" s="1148"/>
      <c r="Y169" s="1148"/>
      <c r="Z169" s="1148"/>
      <c r="AA169" s="1148"/>
      <c r="AB169" s="1148"/>
      <c r="AC169" s="1148"/>
      <c r="AD169" s="1148"/>
      <c r="AE169" s="1148"/>
      <c r="AF169" s="1148"/>
      <c r="AG169" s="1148"/>
      <c r="AH169" s="1148"/>
      <c r="AI169" s="1148"/>
      <c r="AJ169" s="1148"/>
      <c r="AK169" s="1148"/>
      <c r="AL169" s="1144"/>
      <c r="AM169" s="1148"/>
      <c r="AN169" s="1148"/>
      <c r="AO169" s="1148"/>
      <c r="AP169" s="1148"/>
      <c r="AQ169" s="1148"/>
      <c r="AR169" s="1144"/>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7924</v>
      </c>
      <c r="D170" s="1148"/>
      <c r="E170" s="1148"/>
      <c r="F170" s="1028"/>
      <c r="G170" s="1148"/>
      <c r="H170" s="1030" t="s">
        <v>689</v>
      </c>
      <c r="I170" s="1148"/>
      <c r="J170" s="1148"/>
      <c r="K170" s="1148"/>
      <c r="L170" s="1148"/>
      <c r="M170" s="1148"/>
      <c r="N170" s="1148"/>
      <c r="O170" s="1148"/>
      <c r="P170" s="1150"/>
      <c r="Q170" s="1186" t="s">
        <v>7925</v>
      </c>
      <c r="R170" s="1172"/>
      <c r="S170" s="1148"/>
      <c r="T170" s="1148"/>
      <c r="U170" s="1148"/>
      <c r="V170" s="1148"/>
      <c r="W170" s="1048"/>
      <c r="X170" s="1148"/>
      <c r="Y170" s="1148"/>
      <c r="Z170" s="1148"/>
      <c r="AA170" s="1148"/>
      <c r="AB170" s="1148"/>
      <c r="AC170" s="1148"/>
      <c r="AD170" s="1148"/>
      <c r="AE170" s="1148"/>
      <c r="AF170" s="1148"/>
      <c r="AG170" s="1148"/>
      <c r="AH170" s="1148"/>
      <c r="AI170" s="1148"/>
      <c r="AJ170" s="1148"/>
      <c r="AK170" s="1148"/>
      <c r="AL170" s="1144"/>
      <c r="AM170" s="1148"/>
      <c r="AN170" s="1148"/>
      <c r="AO170" s="1148"/>
      <c r="AP170" s="1148"/>
      <c r="AQ170" s="1148"/>
      <c r="AR170" s="1144"/>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7926</v>
      </c>
      <c r="B171" s="1195" t="s">
        <v>7927</v>
      </c>
      <c r="C171" s="1141" t="s">
        <v>7928</v>
      </c>
      <c r="D171" s="1148" t="s">
        <v>6103</v>
      </c>
      <c r="E171" s="1148"/>
      <c r="F171" s="1028"/>
      <c r="G171" s="1148"/>
      <c r="H171" s="1048"/>
      <c r="I171" s="1148"/>
      <c r="J171" s="1148"/>
      <c r="K171" s="1148" t="s">
        <v>6359</v>
      </c>
      <c r="L171" s="1148"/>
      <c r="M171" s="1148"/>
      <c r="N171" s="1148" t="str">
        <f>HYPERLINK("https://youtu.be/tXG5xCfHZ2E","35.72")</f>
        <v>35.72</v>
      </c>
      <c r="O171" s="1148"/>
      <c r="P171" s="1150"/>
      <c r="Q171" s="1144"/>
      <c r="R171" s="1172"/>
      <c r="S171" s="1148"/>
      <c r="T171" s="1148"/>
      <c r="U171" s="1148"/>
      <c r="V171" s="1148"/>
      <c r="W171" s="1148"/>
      <c r="X171" s="1148"/>
      <c r="Y171" s="1148"/>
      <c r="Z171" s="1148"/>
      <c r="AA171" s="1148"/>
      <c r="AB171" s="1148"/>
      <c r="AC171" s="1148"/>
      <c r="AD171" s="1148"/>
      <c r="AE171" s="1148"/>
      <c r="AF171" s="1148"/>
      <c r="AG171" s="1148"/>
      <c r="AH171" s="1148"/>
      <c r="AI171" s="1148"/>
      <c r="AJ171" s="1148"/>
      <c r="AK171" s="1148"/>
      <c r="AL171" s="1144"/>
      <c r="AM171" s="1148"/>
      <c r="AN171" s="1148"/>
      <c r="AO171" s="1148"/>
      <c r="AP171" s="1148"/>
      <c r="AQ171" s="1148"/>
      <c r="AR171" s="1144"/>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7929</v>
      </c>
      <c r="C172" s="1141" t="s">
        <v>933</v>
      </c>
      <c r="D172" s="990" t="s">
        <v>933</v>
      </c>
      <c r="E172" s="1148"/>
      <c r="F172" s="1174"/>
      <c r="G172" s="1148"/>
      <c r="H172" s="1048"/>
      <c r="I172" s="1148"/>
      <c r="J172" s="1148"/>
      <c r="K172" s="1148"/>
      <c r="L172" s="1030" t="s">
        <v>933</v>
      </c>
      <c r="M172" s="1148"/>
      <c r="N172" s="1148"/>
      <c r="O172" s="1148"/>
      <c r="P172" s="1150"/>
      <c r="Q172" s="1186" t="s">
        <v>2606</v>
      </c>
      <c r="R172" s="1039"/>
      <c r="S172" s="1148"/>
      <c r="T172" s="1148"/>
      <c r="U172" s="1148"/>
      <c r="V172" s="1148"/>
      <c r="W172" s="1148"/>
      <c r="X172" s="1148"/>
      <c r="Y172" s="1148"/>
      <c r="Z172" s="1148"/>
      <c r="AA172" s="1148"/>
      <c r="AB172" s="1148"/>
      <c r="AC172" s="1148"/>
      <c r="AD172" s="1148"/>
      <c r="AE172" s="1148"/>
      <c r="AF172" s="1148"/>
      <c r="AG172" s="1148"/>
      <c r="AH172" s="1148"/>
      <c r="AI172" s="1148"/>
      <c r="AJ172" s="1148"/>
      <c r="AK172" s="1148"/>
      <c r="AL172" s="1144"/>
      <c r="AM172" s="1148"/>
      <c r="AN172" s="1148"/>
      <c r="AO172" s="1148"/>
      <c r="AP172" s="1148"/>
      <c r="AQ172" s="1148"/>
      <c r="AR172" s="1144"/>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7666</v>
      </c>
      <c r="B173" s="1185" t="s">
        <v>7927</v>
      </c>
      <c r="C173" s="1141"/>
      <c r="D173" s="1148"/>
      <c r="E173" s="1148"/>
      <c r="F173" s="1028"/>
      <c r="G173" s="1148"/>
      <c r="H173" s="1048"/>
      <c r="I173" s="1148"/>
      <c r="J173" s="1148"/>
      <c r="K173" s="1148"/>
      <c r="L173" s="1148"/>
      <c r="M173" s="1148"/>
      <c r="N173" s="1148"/>
      <c r="O173" s="1148"/>
      <c r="P173" s="1150"/>
      <c r="Q173" s="1144"/>
      <c r="R173" s="1172"/>
      <c r="S173" s="1148"/>
      <c r="T173" s="1148"/>
      <c r="U173" s="1148"/>
      <c r="V173" s="1148"/>
      <c r="W173" s="1148"/>
      <c r="X173" s="1148"/>
      <c r="Y173" s="1148"/>
      <c r="Z173" s="1148"/>
      <c r="AA173" s="1148"/>
      <c r="AB173" s="1148"/>
      <c r="AC173" s="1148"/>
      <c r="AD173" s="1148"/>
      <c r="AE173" s="1148"/>
      <c r="AF173" s="1148"/>
      <c r="AG173" s="1148"/>
      <c r="AH173" s="1148"/>
      <c r="AI173" s="1148"/>
      <c r="AJ173" s="1148"/>
      <c r="AK173" s="1148"/>
      <c r="AL173" s="1144"/>
      <c r="AM173" s="1148"/>
      <c r="AN173" s="1148"/>
      <c r="AO173" s="1148"/>
      <c r="AP173" s="1148"/>
      <c r="AQ173" s="1148"/>
      <c r="AR173" s="1144"/>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7929</v>
      </c>
      <c r="C174" s="1196" t="s">
        <v>7836</v>
      </c>
      <c r="D174" s="1197" t="s">
        <v>7836</v>
      </c>
      <c r="E174" s="1148"/>
      <c r="F174" s="1174"/>
      <c r="G174" s="1148"/>
      <c r="H174" s="1048"/>
      <c r="I174" s="1148"/>
      <c r="J174" s="1148"/>
      <c r="K174" s="1148"/>
      <c r="L174" s="1048"/>
      <c r="M174" s="1148"/>
      <c r="N174" s="1148"/>
      <c r="O174" s="1148"/>
      <c r="P174" s="1150"/>
      <c r="Q174" s="1186" t="s">
        <v>7930</v>
      </c>
      <c r="R174" s="1039"/>
      <c r="S174" s="1148"/>
      <c r="T174" s="1148"/>
      <c r="U174" s="1148"/>
      <c r="V174" s="1148"/>
      <c r="W174" s="1148"/>
      <c r="X174" s="1148"/>
      <c r="Y174" s="1148"/>
      <c r="Z174" s="1148"/>
      <c r="AA174" s="1148"/>
      <c r="AB174" s="1148"/>
      <c r="AC174" s="1148"/>
      <c r="AD174" s="1148"/>
      <c r="AE174" s="1148"/>
      <c r="AF174" s="1148"/>
      <c r="AG174" s="1148"/>
      <c r="AH174" s="1148"/>
      <c r="AI174" s="1148"/>
      <c r="AJ174" s="1148"/>
      <c r="AK174" s="1148"/>
      <c r="AL174" s="1144"/>
      <c r="AM174" s="1148"/>
      <c r="AN174" s="1148"/>
      <c r="AO174" s="1148"/>
      <c r="AP174" s="1148"/>
      <c r="AQ174" s="1148"/>
      <c r="AR174" s="1144"/>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7670</v>
      </c>
      <c r="B175" s="1195" t="s">
        <v>7541</v>
      </c>
      <c r="C175" s="1141" t="s">
        <v>1520</v>
      </c>
      <c r="D175" s="987" t="s">
        <v>1589</v>
      </c>
      <c r="E175" s="1142" t="s">
        <v>7931</v>
      </c>
      <c r="F175" s="1028"/>
      <c r="G175" s="1142"/>
      <c r="H175" s="1048"/>
      <c r="I175" s="1142"/>
      <c r="J175" s="1142"/>
      <c r="K175" s="1142" t="s">
        <v>1455</v>
      </c>
      <c r="L175" s="1142"/>
      <c r="M175" s="1142"/>
      <c r="N175" s="1142"/>
      <c r="O175" s="1142"/>
      <c r="P175" s="1143"/>
      <c r="Q175" s="1186" t="s">
        <v>7932</v>
      </c>
      <c r="R175" s="1172"/>
      <c r="S175" s="1142"/>
      <c r="T175" s="1142"/>
      <c r="U175" s="1142"/>
      <c r="V175" s="1142"/>
      <c r="W175" s="1030" t="s">
        <v>2744</v>
      </c>
      <c r="X175" s="1142"/>
      <c r="Y175" s="1142"/>
      <c r="Z175" s="1142"/>
      <c r="AA175" s="1142"/>
      <c r="AB175" s="1142" t="s">
        <v>1520</v>
      </c>
      <c r="AC175" s="1142"/>
      <c r="AD175" s="1142"/>
      <c r="AE175" s="1142"/>
      <c r="AF175" s="1142"/>
      <c r="AG175" s="1142"/>
      <c r="AH175" s="1142"/>
      <c r="AI175" s="1142"/>
      <c r="AJ175" s="1142"/>
      <c r="AK175" s="1142"/>
      <c r="AL175" s="1144"/>
      <c r="AM175" s="1142"/>
      <c r="AN175" s="1142"/>
      <c r="AO175" s="1142"/>
      <c r="AP175" s="1142"/>
      <c r="AQ175" s="1142"/>
      <c r="AR175" s="1144"/>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7666</v>
      </c>
      <c r="B176" s="1181" t="s">
        <v>7541</v>
      </c>
      <c r="C176" s="1097" t="s">
        <v>7933</v>
      </c>
      <c r="D176" s="1084" t="s">
        <v>7933</v>
      </c>
      <c r="E176" s="1142"/>
      <c r="F176" s="1028"/>
      <c r="G176" s="1142"/>
      <c r="H176" s="1048"/>
      <c r="I176" s="1142"/>
      <c r="J176" s="1142"/>
      <c r="K176" s="1142"/>
      <c r="L176" s="1142"/>
      <c r="M176" s="1142"/>
      <c r="N176" s="1142"/>
      <c r="O176" s="1142"/>
      <c r="P176" s="1143"/>
      <c r="Q176" s="1186" t="s">
        <v>6707</v>
      </c>
      <c r="R176" s="1172"/>
      <c r="S176" s="1142"/>
      <c r="T176" s="1142"/>
      <c r="U176" s="1142"/>
      <c r="V176" s="1142"/>
      <c r="W176" s="1030" t="s">
        <v>7934</v>
      </c>
      <c r="X176" s="1142"/>
      <c r="Y176" s="1142"/>
      <c r="Z176" s="1142"/>
      <c r="AA176" s="1142"/>
      <c r="AB176" s="1142"/>
      <c r="AC176" s="1142"/>
      <c r="AD176" s="1142"/>
      <c r="AE176" s="1142"/>
      <c r="AF176" s="1142"/>
      <c r="AG176" s="1142"/>
      <c r="AH176" s="1142"/>
      <c r="AI176" s="1142"/>
      <c r="AJ176" s="1142"/>
      <c r="AK176" s="1142"/>
      <c r="AL176" s="1144"/>
      <c r="AM176" s="1142"/>
      <c r="AN176" s="1142"/>
      <c r="AO176" s="1142"/>
      <c r="AP176" s="1142"/>
      <c r="AQ176" s="1142"/>
      <c r="AR176" s="1144"/>
      <c r="AS176" s="1142"/>
      <c r="AT176" s="1030" t="s">
        <v>7935</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186" t="s">
        <v>7936</v>
      </c>
      <c r="R177" s="1039"/>
      <c r="S177" s="1148"/>
      <c r="T177" s="1148"/>
      <c r="U177" s="1148"/>
      <c r="V177" s="1148"/>
      <c r="W177" s="1148"/>
      <c r="X177" s="1148"/>
      <c r="Y177" s="1148"/>
      <c r="Z177" s="1148"/>
      <c r="AA177" s="1148"/>
      <c r="AB177" s="1148"/>
      <c r="AC177" s="1148"/>
      <c r="AD177" s="1148"/>
      <c r="AE177" s="1148"/>
      <c r="AF177" s="1148"/>
      <c r="AG177" s="1148"/>
      <c r="AH177" s="1148"/>
      <c r="AI177" s="1148"/>
      <c r="AJ177" s="1148"/>
      <c r="AK177" s="1148"/>
      <c r="AL177" s="1144"/>
      <c r="AM177" s="1148"/>
      <c r="AN177" s="1148"/>
      <c r="AO177" s="1148"/>
      <c r="AP177" s="1148"/>
      <c r="AQ177" s="1148"/>
      <c r="AR177" s="1144"/>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199"/>
      <c r="R178" s="1203"/>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7937</v>
      </c>
      <c r="B179" s="1205" t="s">
        <v>7938</v>
      </c>
      <c r="C179" s="1141" t="s">
        <v>7939</v>
      </c>
      <c r="D179" s="1031" t="s">
        <v>7940</v>
      </c>
      <c r="E179" s="1036" t="s">
        <v>7941</v>
      </c>
      <c r="F179" s="1057" t="s">
        <v>7942</v>
      </c>
      <c r="G179" s="1031" t="s">
        <v>7941</v>
      </c>
      <c r="H179" s="1030" t="s">
        <v>7943</v>
      </c>
      <c r="I179" s="1036"/>
      <c r="J179" s="1036" t="s">
        <v>7944</v>
      </c>
      <c r="K179" s="1036" t="s">
        <v>7945</v>
      </c>
      <c r="L179" s="1036" t="s">
        <v>7942</v>
      </c>
      <c r="M179" s="1036" t="s">
        <v>7942</v>
      </c>
      <c r="N179" s="1036"/>
      <c r="O179" s="1036"/>
      <c r="P179" s="1032" t="s">
        <v>7941</v>
      </c>
      <c r="Q179" s="1098"/>
      <c r="R179" s="1206"/>
      <c r="S179" s="1036"/>
      <c r="T179" s="1036" t="s">
        <v>2171</v>
      </c>
      <c r="U179" s="1036" t="s">
        <v>7946</v>
      </c>
      <c r="V179" s="1036"/>
      <c r="W179" s="1036"/>
      <c r="X179" s="1036"/>
      <c r="Y179" s="1036"/>
      <c r="Z179" s="1036"/>
      <c r="AA179" s="1036"/>
      <c r="AB179" s="1036"/>
      <c r="AC179" s="1036"/>
      <c r="AD179" s="1036" t="s">
        <v>7902</v>
      </c>
      <c r="AE179" s="1036" t="s">
        <v>7943</v>
      </c>
      <c r="AF179" s="1036"/>
      <c r="AG179" s="1036"/>
      <c r="AH179" s="1036" t="s">
        <v>7939</v>
      </c>
      <c r="AI179" s="1036"/>
      <c r="AJ179" s="1036"/>
      <c r="AK179" s="1036"/>
      <c r="AL179" s="1098"/>
      <c r="AM179" s="1036"/>
      <c r="AN179" s="1036" t="s">
        <v>7945</v>
      </c>
      <c r="AO179" s="1036"/>
      <c r="AP179" s="1036"/>
      <c r="AQ179" s="1036"/>
      <c r="AR179" s="1098"/>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7947</v>
      </c>
      <c r="C180" s="1141" t="s">
        <v>7948</v>
      </c>
      <c r="D180" s="1036"/>
      <c r="E180" s="1036" t="s">
        <v>7944</v>
      </c>
      <c r="F180" s="1209"/>
      <c r="G180" s="1036" t="s">
        <v>7948</v>
      </c>
      <c r="H180" s="1048"/>
      <c r="I180" s="1036"/>
      <c r="J180" s="1036"/>
      <c r="K180" s="1036"/>
      <c r="L180" s="1036"/>
      <c r="M180" s="1036"/>
      <c r="N180" s="1036"/>
      <c r="O180" s="1036"/>
      <c r="P180" s="1032" t="s">
        <v>7949</v>
      </c>
      <c r="Q180" s="1098"/>
      <c r="R180" s="1039"/>
      <c r="S180" s="1036"/>
      <c r="T180" s="1036"/>
      <c r="U180" s="1036"/>
      <c r="V180" s="1036" t="s">
        <v>7944</v>
      </c>
      <c r="W180" s="1036"/>
      <c r="X180" s="1036"/>
      <c r="Y180" s="1036"/>
      <c r="Z180" s="1036"/>
      <c r="AA180" s="1036"/>
      <c r="AB180" s="1036" t="s">
        <v>7941</v>
      </c>
      <c r="AC180" s="1036"/>
      <c r="AD180" s="1036"/>
      <c r="AE180" s="1036"/>
      <c r="AF180" s="1036"/>
      <c r="AG180" s="1036"/>
      <c r="AH180" s="1036"/>
      <c r="AI180" s="1036"/>
      <c r="AJ180" s="1036"/>
      <c r="AK180" s="1036"/>
      <c r="AL180" s="1098"/>
      <c r="AM180" s="1036"/>
      <c r="AN180" s="1036"/>
      <c r="AO180" s="1036"/>
      <c r="AP180" s="1036"/>
      <c r="AQ180" s="1036"/>
      <c r="AR180" s="1098"/>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7950</v>
      </c>
      <c r="B181" s="1205" t="s">
        <v>7541</v>
      </c>
      <c r="C181" s="1141" t="s">
        <v>1857</v>
      </c>
      <c r="D181" s="1031" t="s">
        <v>5488</v>
      </c>
      <c r="E181" s="1036" t="s">
        <v>6259</v>
      </c>
      <c r="F181" s="1057" t="s">
        <v>3003</v>
      </c>
      <c r="G181" s="1036" t="s">
        <v>3003</v>
      </c>
      <c r="H181" s="1030" t="s">
        <v>7951</v>
      </c>
      <c r="I181" s="1036"/>
      <c r="J181" s="1036"/>
      <c r="K181" s="1036"/>
      <c r="L181" s="1036" t="s">
        <v>4495</v>
      </c>
      <c r="M181" s="1036"/>
      <c r="N181" s="1036"/>
      <c r="O181" s="1036"/>
      <c r="P181" s="1032"/>
      <c r="Q181" s="1098"/>
      <c r="R181" s="1206"/>
      <c r="S181" s="1036"/>
      <c r="T181" s="1036"/>
      <c r="U181" s="1036" t="s">
        <v>4185</v>
      </c>
      <c r="V181" s="1036" t="s">
        <v>2943</v>
      </c>
      <c r="W181" s="1036"/>
      <c r="X181" s="1036"/>
      <c r="Y181" s="1036"/>
      <c r="Z181" s="1036"/>
      <c r="AA181" s="1036"/>
      <c r="AB181" s="1036"/>
      <c r="AC181" s="1036"/>
      <c r="AD181" s="1036" t="s">
        <v>1857</v>
      </c>
      <c r="AE181" s="1036"/>
      <c r="AF181" s="1036"/>
      <c r="AG181" s="1036"/>
      <c r="AH181" s="1036"/>
      <c r="AI181" s="1036"/>
      <c r="AJ181" s="1036"/>
      <c r="AK181" s="1036"/>
      <c r="AL181" s="1098"/>
      <c r="AM181" s="1036"/>
      <c r="AN181" s="1036"/>
      <c r="AO181" s="1036"/>
      <c r="AP181" s="1036"/>
      <c r="AQ181" s="1036"/>
      <c r="AR181" s="1098"/>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7952</v>
      </c>
      <c r="D182" s="1123"/>
      <c r="E182" s="1123" t="s">
        <v>7953</v>
      </c>
      <c r="F182" s="1212" t="s">
        <v>7954</v>
      </c>
      <c r="G182" s="1036" t="s">
        <v>7952</v>
      </c>
      <c r="H182" s="1048"/>
      <c r="I182" s="1123"/>
      <c r="J182" s="1123"/>
      <c r="K182" s="1123"/>
      <c r="L182" s="1123"/>
      <c r="M182" s="1123"/>
      <c r="N182" s="1123"/>
      <c r="O182" s="1123"/>
      <c r="P182" s="1047"/>
      <c r="Q182" s="1098"/>
      <c r="R182" s="1039"/>
      <c r="S182" s="1123"/>
      <c r="T182" s="1123"/>
      <c r="U182" s="1123"/>
      <c r="V182" s="1123"/>
      <c r="W182" s="1123"/>
      <c r="X182" s="1123"/>
      <c r="Y182" s="1123"/>
      <c r="Z182" s="1123"/>
      <c r="AA182" s="1123"/>
      <c r="AB182" s="1123"/>
      <c r="AC182" s="1123"/>
      <c r="AD182" s="1123"/>
      <c r="AE182" s="1123"/>
      <c r="AF182" s="1123"/>
      <c r="AG182" s="1123"/>
      <c r="AH182" s="1123"/>
      <c r="AI182" s="1123"/>
      <c r="AJ182" s="1123"/>
      <c r="AK182" s="1123"/>
      <c r="AL182" s="1098"/>
      <c r="AM182" s="1123"/>
      <c r="AN182" s="1123"/>
      <c r="AO182" s="1123"/>
      <c r="AP182" s="1123"/>
      <c r="AQ182" s="1123"/>
      <c r="AR182" s="1098"/>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7955</v>
      </c>
      <c r="C183" s="1141" t="s">
        <v>5100</v>
      </c>
      <c r="D183" s="1214"/>
      <c r="E183" s="1214"/>
      <c r="F183" s="1028"/>
      <c r="G183" s="1214"/>
      <c r="H183" s="1048"/>
      <c r="I183" s="1214"/>
      <c r="J183" s="1214" t="s">
        <v>5100</v>
      </c>
      <c r="K183" s="1214"/>
      <c r="L183" s="1214"/>
      <c r="M183" s="1214"/>
      <c r="N183" s="1214"/>
      <c r="O183" s="1214"/>
      <c r="P183" s="1061"/>
      <c r="Q183" s="1098"/>
      <c r="R183" s="1206"/>
      <c r="S183" s="1214"/>
      <c r="T183" s="1214"/>
      <c r="U183" s="1214"/>
      <c r="V183" s="1214"/>
      <c r="W183" s="1214"/>
      <c r="X183" s="1214"/>
      <c r="Y183" s="1214"/>
      <c r="Z183" s="1214"/>
      <c r="AA183" s="1214"/>
      <c r="AB183" s="1214"/>
      <c r="AC183" s="1214"/>
      <c r="AD183" s="1214"/>
      <c r="AE183" s="1214"/>
      <c r="AF183" s="1214"/>
      <c r="AG183" s="1214"/>
      <c r="AH183" s="1214"/>
      <c r="AI183" s="1214"/>
      <c r="AJ183" s="1214"/>
      <c r="AK183" s="1214"/>
      <c r="AL183" s="1098"/>
      <c r="AM183" s="1214"/>
      <c r="AN183" s="1214"/>
      <c r="AO183" s="1214"/>
      <c r="AP183" s="1214"/>
      <c r="AQ183" s="1214"/>
      <c r="AR183" s="1098"/>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7956</v>
      </c>
      <c r="C184" s="1141" t="s">
        <v>7957</v>
      </c>
      <c r="D184" s="1036" t="s">
        <v>7958</v>
      </c>
      <c r="E184" s="1036" t="s">
        <v>7957</v>
      </c>
      <c r="F184" s="1063" t="s">
        <v>1259</v>
      </c>
      <c r="G184" s="1036" t="s">
        <v>828</v>
      </c>
      <c r="H184" s="1030" t="s">
        <v>1303</v>
      </c>
      <c r="I184" s="1036"/>
      <c r="J184" s="1036" t="s">
        <v>610</v>
      </c>
      <c r="K184" s="1036" t="s">
        <v>355</v>
      </c>
      <c r="L184" s="1036"/>
      <c r="M184" s="1036"/>
      <c r="N184" s="1036" t="s">
        <v>147</v>
      </c>
      <c r="O184" s="1036" t="s">
        <v>7959</v>
      </c>
      <c r="P184" s="1032"/>
      <c r="Q184" s="1109" t="s">
        <v>7960</v>
      </c>
      <c r="R184" s="1039"/>
      <c r="S184" s="1036"/>
      <c r="T184" s="1036"/>
      <c r="U184" s="1036" t="s">
        <v>2616</v>
      </c>
      <c r="V184" s="1036"/>
      <c r="W184" s="1036"/>
      <c r="X184" s="1036"/>
      <c r="Y184" s="1036"/>
      <c r="Z184" s="1036"/>
      <c r="AA184" s="1036"/>
      <c r="AB184" s="1036"/>
      <c r="AC184" s="1036"/>
      <c r="AD184" s="1036"/>
      <c r="AE184" s="1036"/>
      <c r="AF184" s="1036"/>
      <c r="AG184" s="1036"/>
      <c r="AH184" s="1036"/>
      <c r="AI184" s="1036"/>
      <c r="AJ184" s="1036"/>
      <c r="AK184" s="1036"/>
      <c r="AL184" s="1098"/>
      <c r="AM184" s="1036"/>
      <c r="AN184" s="1036"/>
      <c r="AO184" s="1036"/>
      <c r="AP184" s="1036"/>
      <c r="AQ184" s="1036"/>
      <c r="AR184" s="1098"/>
      <c r="AS184" s="1036"/>
      <c r="AT184" s="1036"/>
      <c r="AU184" s="1050" t="s">
        <v>7957</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7961</v>
      </c>
      <c r="C185" s="1141" t="s">
        <v>7962</v>
      </c>
      <c r="D185" s="1074"/>
      <c r="E185" s="1074"/>
      <c r="F185" s="1028"/>
      <c r="G185" s="1074"/>
      <c r="H185" s="1048"/>
      <c r="I185" s="1074"/>
      <c r="J185" s="1074" t="s">
        <v>4569</v>
      </c>
      <c r="K185" s="1074"/>
      <c r="L185" s="1074"/>
      <c r="M185" s="1074"/>
      <c r="N185" s="1074"/>
      <c r="O185" s="1074"/>
      <c r="P185" s="1032"/>
      <c r="Q185" s="1098"/>
      <c r="R185" s="1206"/>
      <c r="S185" s="1074"/>
      <c r="T185" s="1074"/>
      <c r="U185" s="1074"/>
      <c r="V185" s="1074"/>
      <c r="W185" s="1074"/>
      <c r="X185" s="1074"/>
      <c r="Y185" s="1074"/>
      <c r="Z185" s="1074" t="s">
        <v>7963</v>
      </c>
      <c r="AA185" s="1074"/>
      <c r="AB185" s="1074"/>
      <c r="AC185" s="1074"/>
      <c r="AD185" s="1074"/>
      <c r="AE185" s="1074"/>
      <c r="AF185" s="1074"/>
      <c r="AG185" s="1074"/>
      <c r="AH185" s="1074"/>
      <c r="AI185" s="1074"/>
      <c r="AJ185" s="1074"/>
      <c r="AK185" s="1074"/>
      <c r="AL185" s="1098"/>
      <c r="AM185" s="1074"/>
      <c r="AN185" s="1074"/>
      <c r="AO185" s="1074"/>
      <c r="AP185" s="1074"/>
      <c r="AQ185" s="1074"/>
      <c r="AR185" s="1098"/>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7964</v>
      </c>
      <c r="C186" s="1141" t="s">
        <v>7965</v>
      </c>
      <c r="D186" s="1036" t="s">
        <v>1592</v>
      </c>
      <c r="E186" s="1036" t="s">
        <v>7965</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109" t="s">
        <v>7966</v>
      </c>
      <c r="R186" s="1050" t="s">
        <v>5481</v>
      </c>
      <c r="S186" s="1036"/>
      <c r="T186" s="1036"/>
      <c r="U186" s="1036"/>
      <c r="V186" s="1036"/>
      <c r="W186" s="1036"/>
      <c r="X186" s="1036" t="s">
        <v>7967</v>
      </c>
      <c r="Y186" s="1036"/>
      <c r="Z186" s="1036"/>
      <c r="AA186" s="1036"/>
      <c r="AB186" s="1036"/>
      <c r="AC186" s="1036"/>
      <c r="AD186" s="1036"/>
      <c r="AE186" s="1036"/>
      <c r="AF186" s="1036"/>
      <c r="AG186" s="1036"/>
      <c r="AH186" s="1036"/>
      <c r="AI186" s="1036"/>
      <c r="AJ186" s="1036"/>
      <c r="AK186" s="1036"/>
      <c r="AL186" s="1098"/>
      <c r="AM186" s="1036"/>
      <c r="AN186" s="1036"/>
      <c r="AO186" s="1036"/>
      <c r="AP186" s="1036"/>
      <c r="AQ186" s="1036"/>
      <c r="AR186" s="1098"/>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7968</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098"/>
      <c r="R187" s="1206"/>
      <c r="S187" s="1036"/>
      <c r="T187" s="1036"/>
      <c r="U187" s="1036"/>
      <c r="V187" s="1036"/>
      <c r="W187" s="1036"/>
      <c r="X187" s="1036"/>
      <c r="Y187" s="1036"/>
      <c r="Z187" s="1036"/>
      <c r="AA187" s="1036"/>
      <c r="AB187" s="1036"/>
      <c r="AC187" s="1036"/>
      <c r="AD187" s="1036"/>
      <c r="AE187" s="1036"/>
      <c r="AF187" s="1036"/>
      <c r="AG187" s="1036"/>
      <c r="AH187" s="1036"/>
      <c r="AI187" s="1036"/>
      <c r="AJ187" s="1036"/>
      <c r="AK187" s="1036"/>
      <c r="AL187" s="1098"/>
      <c r="AM187" s="1036"/>
      <c r="AN187" s="1036"/>
      <c r="AO187" s="1036"/>
      <c r="AP187" s="1036"/>
      <c r="AQ187" s="1036"/>
      <c r="AR187" s="1098"/>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7969</v>
      </c>
      <c r="B188" s="1215" t="s">
        <v>7717</v>
      </c>
      <c r="C188" s="1141" t="s">
        <v>3916</v>
      </c>
      <c r="D188" s="1214"/>
      <c r="E188" s="1214"/>
      <c r="F188" s="1218" t="s">
        <v>3671</v>
      </c>
      <c r="G188" s="1214"/>
      <c r="H188" s="1048"/>
      <c r="I188" s="1214"/>
      <c r="J188" s="1214"/>
      <c r="K188" s="1214"/>
      <c r="L188" s="1214" t="s">
        <v>2861</v>
      </c>
      <c r="M188" s="1214"/>
      <c r="N188" s="1214"/>
      <c r="O188" s="1214"/>
      <c r="P188" s="1061"/>
      <c r="Q188" s="1109" t="s">
        <v>4095</v>
      </c>
      <c r="R188" s="1039"/>
      <c r="S188" s="1214"/>
      <c r="T188" s="1214"/>
      <c r="U188" s="1214"/>
      <c r="V188" s="1214"/>
      <c r="W188" s="1214"/>
      <c r="X188" s="1214"/>
      <c r="Y188" s="1214"/>
      <c r="Z188" s="1214"/>
      <c r="AA188" s="1214"/>
      <c r="AB188" s="1214"/>
      <c r="AC188" s="1214" t="s">
        <v>3301</v>
      </c>
      <c r="AD188" s="1214"/>
      <c r="AE188" s="1214"/>
      <c r="AF188" s="1214"/>
      <c r="AG188" s="1214"/>
      <c r="AH188" s="1214"/>
      <c r="AI188" s="1214"/>
      <c r="AJ188" s="1214"/>
      <c r="AK188" s="1214"/>
      <c r="AL188" s="1098"/>
      <c r="AM188" s="1214"/>
      <c r="AN188" s="1214"/>
      <c r="AO188" s="1214"/>
      <c r="AP188" s="1214"/>
      <c r="AQ188" s="1214"/>
      <c r="AR188" s="1098"/>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7970</v>
      </c>
      <c r="C189" s="1219" t="s">
        <v>1569</v>
      </c>
      <c r="D189" s="1220" t="s">
        <v>179</v>
      </c>
      <c r="E189" s="1036" t="s">
        <v>4787</v>
      </c>
      <c r="F189" s="1028"/>
      <c r="G189" s="1036"/>
      <c r="H189" s="1030" t="s">
        <v>179</v>
      </c>
      <c r="I189" s="1036"/>
      <c r="J189" s="1036"/>
      <c r="K189" s="1029" t="s">
        <v>3301</v>
      </c>
      <c r="L189" s="1036"/>
      <c r="M189" s="1036"/>
      <c r="N189" s="1036"/>
      <c r="O189" s="1036"/>
      <c r="P189" s="1032"/>
      <c r="Q189" s="1098"/>
      <c r="R189" s="1206"/>
      <c r="S189" s="1036"/>
      <c r="T189" s="1036"/>
      <c r="U189" s="1036" t="s">
        <v>2069</v>
      </c>
      <c r="V189" s="1036"/>
      <c r="W189" s="1036"/>
      <c r="X189" s="1036"/>
      <c r="Y189" s="1036"/>
      <c r="Z189" s="1036"/>
      <c r="AA189" s="1036" t="s">
        <v>1107</v>
      </c>
      <c r="AB189" s="1036" t="s">
        <v>1029</v>
      </c>
      <c r="AC189" s="1036"/>
      <c r="AD189" s="1036"/>
      <c r="AE189" s="1036"/>
      <c r="AF189" s="1036"/>
      <c r="AG189" s="1036"/>
      <c r="AH189" s="1036"/>
      <c r="AI189" s="1036"/>
      <c r="AJ189" s="1036"/>
      <c r="AK189" s="1036"/>
      <c r="AL189" s="1098"/>
      <c r="AM189" s="1036"/>
      <c r="AN189" s="1036"/>
      <c r="AO189" s="1036"/>
      <c r="AP189" s="1036"/>
      <c r="AQ189" s="1036"/>
      <c r="AR189" s="1098"/>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7971</v>
      </c>
      <c r="B190" s="1215" t="s">
        <v>7717</v>
      </c>
      <c r="C190" s="1141" t="s">
        <v>7972</v>
      </c>
      <c r="D190" s="1214"/>
      <c r="E190" s="1214"/>
      <c r="F190" s="1212" t="s">
        <v>7973</v>
      </c>
      <c r="G190" s="1214" t="s">
        <v>7972</v>
      </c>
      <c r="H190" s="1048"/>
      <c r="I190" s="1214"/>
      <c r="J190" s="1214" t="s">
        <v>7974</v>
      </c>
      <c r="K190" s="1214"/>
      <c r="L190" s="1214"/>
      <c r="M190" s="1214"/>
      <c r="N190" s="1214"/>
      <c r="O190" s="1214"/>
      <c r="P190" s="1061"/>
      <c r="Q190" s="1109" t="s">
        <v>7975</v>
      </c>
      <c r="R190" s="1039"/>
      <c r="S190" s="1214"/>
      <c r="T190" s="1214"/>
      <c r="U190" s="1214"/>
      <c r="V190" s="1214"/>
      <c r="W190" s="1214"/>
      <c r="X190" s="1214"/>
      <c r="Y190" s="1214"/>
      <c r="Z190" s="1214" t="s">
        <v>7954</v>
      </c>
      <c r="AA190" s="1214"/>
      <c r="AB190" s="1214"/>
      <c r="AC190" s="1214"/>
      <c r="AD190" s="1214"/>
      <c r="AE190" s="1214"/>
      <c r="AF190" s="1214"/>
      <c r="AG190" s="1214"/>
      <c r="AH190" s="1214"/>
      <c r="AI190" s="1214"/>
      <c r="AJ190" s="1214"/>
      <c r="AK190" s="1214"/>
      <c r="AL190" s="1098"/>
      <c r="AM190" s="1214"/>
      <c r="AN190" s="1214"/>
      <c r="AO190" s="1214"/>
      <c r="AP190" s="1214"/>
      <c r="AQ190" s="1214"/>
      <c r="AR190" s="1098"/>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7970</v>
      </c>
      <c r="C191" s="1141" t="s">
        <v>7976</v>
      </c>
      <c r="D191" s="1031" t="s">
        <v>7977</v>
      </c>
      <c r="E191" s="1029" t="s">
        <v>7976</v>
      </c>
      <c r="F191" s="1028"/>
      <c r="G191" s="1031" t="s">
        <v>7976</v>
      </c>
      <c r="H191" s="1048"/>
      <c r="I191" s="1031"/>
      <c r="J191" s="1031"/>
      <c r="K191" s="1031"/>
      <c r="L191" s="1031"/>
      <c r="M191" s="1031"/>
      <c r="N191" s="1031"/>
      <c r="O191" s="1031"/>
      <c r="P191" s="1032"/>
      <c r="Q191" s="1120"/>
      <c r="R191" s="1206"/>
      <c r="S191" s="1031"/>
      <c r="T191" s="1031"/>
      <c r="U191" s="1031"/>
      <c r="V191" s="1031"/>
      <c r="W191" s="1031"/>
      <c r="X191" s="1031"/>
      <c r="Y191" s="1031"/>
      <c r="Z191" s="1031"/>
      <c r="AA191" s="1029" t="s">
        <v>7976</v>
      </c>
      <c r="AB191" s="1031"/>
      <c r="AC191" s="1031"/>
      <c r="AD191" s="1031"/>
      <c r="AE191" s="1031"/>
      <c r="AF191" s="1031"/>
      <c r="AG191" s="1031"/>
      <c r="AH191" s="1031"/>
      <c r="AI191" s="1031" t="s">
        <v>7978</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7979</v>
      </c>
      <c r="C192" s="1029" t="s">
        <v>7980</v>
      </c>
      <c r="D192" s="1031"/>
      <c r="E192" s="1031"/>
      <c r="F192" s="1028"/>
      <c r="G192" s="1029" t="s">
        <v>7980</v>
      </c>
      <c r="H192" s="1048"/>
      <c r="I192" s="1031"/>
      <c r="J192" s="1031"/>
      <c r="K192" s="1031"/>
      <c r="L192" s="1031"/>
      <c r="M192" s="1031"/>
      <c r="N192" s="1031"/>
      <c r="O192" s="1031"/>
      <c r="P192" s="1032"/>
      <c r="Q192" s="1120"/>
      <c r="R192" s="1206"/>
      <c r="S192" s="1031"/>
      <c r="T192" s="1031"/>
      <c r="U192" s="1031"/>
      <c r="V192" s="1031"/>
      <c r="W192" s="1031"/>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7981</v>
      </c>
      <c r="C193" s="1141" t="s">
        <v>2618</v>
      </c>
      <c r="D193" s="1214"/>
      <c r="E193" s="1214"/>
      <c r="F193" s="1209"/>
      <c r="G193" s="1214"/>
      <c r="H193" s="1030" t="s">
        <v>7982</v>
      </c>
      <c r="I193" s="1214"/>
      <c r="J193" s="1214"/>
      <c r="K193" s="1214"/>
      <c r="L193" s="1214"/>
      <c r="M193" s="1214"/>
      <c r="N193" s="1214" t="s">
        <v>4583</v>
      </c>
      <c r="O193" s="1214"/>
      <c r="P193" s="1061"/>
      <c r="Q193" s="1098"/>
      <c r="R193" s="1206"/>
      <c r="S193" s="1214"/>
      <c r="T193" s="1214"/>
      <c r="U193" s="1214"/>
      <c r="V193" s="1214"/>
      <c r="W193" s="1029" t="s">
        <v>644</v>
      </c>
      <c r="X193" s="1214" t="s">
        <v>259</v>
      </c>
      <c r="Y193" s="1214"/>
      <c r="Z193" s="1214"/>
      <c r="AA193" s="1214"/>
      <c r="AB193" s="1214"/>
      <c r="AC193" s="1214"/>
      <c r="AD193" s="1214"/>
      <c r="AE193" s="1214"/>
      <c r="AF193" s="1214"/>
      <c r="AG193" s="1214"/>
      <c r="AH193" s="1214"/>
      <c r="AI193" s="1214"/>
      <c r="AJ193" s="1214"/>
      <c r="AK193" s="1214"/>
      <c r="AL193" s="1098"/>
      <c r="AM193" s="1214"/>
      <c r="AN193" s="1214"/>
      <c r="AO193" s="1214"/>
      <c r="AP193" s="1214"/>
      <c r="AQ193" s="1214"/>
      <c r="AR193" s="1098"/>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7983</v>
      </c>
      <c r="C194" s="1141" t="s">
        <v>819</v>
      </c>
      <c r="D194" s="1214" t="s">
        <v>3471</v>
      </c>
      <c r="E194" s="1214"/>
      <c r="F194" s="1057" t="s">
        <v>2230</v>
      </c>
      <c r="G194" s="1214"/>
      <c r="H194" s="1048"/>
      <c r="I194" s="1214" t="s">
        <v>3598</v>
      </c>
      <c r="J194" s="1214"/>
      <c r="K194" s="1214" t="s">
        <v>3368</v>
      </c>
      <c r="L194" s="1214"/>
      <c r="M194" s="1214"/>
      <c r="N194" s="1214" t="s">
        <v>7984</v>
      </c>
      <c r="O194" s="1214"/>
      <c r="P194" s="1061"/>
      <c r="Q194" s="1109" t="s">
        <v>7985</v>
      </c>
      <c r="R194" s="1039"/>
      <c r="S194" s="1214"/>
      <c r="T194" s="1214"/>
      <c r="U194" s="1214"/>
      <c r="V194" s="1214"/>
      <c r="W194" s="1214"/>
      <c r="X194" s="1214"/>
      <c r="Y194" s="1214"/>
      <c r="Z194" s="1214"/>
      <c r="AA194" s="1214"/>
      <c r="AB194" s="1214"/>
      <c r="AC194" s="1214"/>
      <c r="AD194" s="1214"/>
      <c r="AE194" s="1214"/>
      <c r="AF194" s="1214"/>
      <c r="AG194" s="1214"/>
      <c r="AH194" s="1214"/>
      <c r="AI194" s="1214" t="s">
        <v>4536</v>
      </c>
      <c r="AJ194" s="1214"/>
      <c r="AK194" s="1214"/>
      <c r="AL194" s="1098"/>
      <c r="AM194" s="1214"/>
      <c r="AN194" s="1214"/>
      <c r="AO194" s="1214"/>
      <c r="AP194" s="1214"/>
      <c r="AQ194" s="1214"/>
      <c r="AR194" s="1098"/>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7986</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1"/>
      <c r="Q195" s="1098"/>
      <c r="R195" s="1206"/>
      <c r="S195" s="1214" t="s">
        <v>6454</v>
      </c>
      <c r="T195" s="1214"/>
      <c r="U195" s="1214"/>
      <c r="V195" s="1214" t="s">
        <v>494</v>
      </c>
      <c r="W195" s="1029" t="s">
        <v>2748</v>
      </c>
      <c r="X195" s="1214" t="s">
        <v>587</v>
      </c>
      <c r="Y195" s="1214"/>
      <c r="Z195" s="1214"/>
      <c r="AA195" s="1214"/>
      <c r="AB195" s="1214" t="s">
        <v>1522</v>
      </c>
      <c r="AC195" s="1214"/>
      <c r="AD195" s="1214"/>
      <c r="AE195" s="1214"/>
      <c r="AF195" s="1214"/>
      <c r="AG195" s="1214"/>
      <c r="AH195" s="1214"/>
      <c r="AI195" s="1214"/>
      <c r="AJ195" s="1214"/>
      <c r="AK195" s="1214"/>
      <c r="AL195" s="1098"/>
      <c r="AM195" s="1214"/>
      <c r="AN195" s="1214"/>
      <c r="AO195" s="1214"/>
      <c r="AP195" s="1214"/>
      <c r="AQ195" s="1214"/>
      <c r="AR195" s="1098"/>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7987</v>
      </c>
      <c r="C196" s="1141"/>
      <c r="D196" s="1214"/>
      <c r="E196" s="1214"/>
      <c r="F196" s="1028"/>
      <c r="G196" s="1214"/>
      <c r="H196" s="1048"/>
      <c r="I196" s="1214"/>
      <c r="J196" s="1214"/>
      <c r="K196" s="1214"/>
      <c r="L196" s="1214"/>
      <c r="M196" s="1214"/>
      <c r="N196" s="1214"/>
      <c r="O196" s="1214"/>
      <c r="P196" s="1061"/>
      <c r="Q196" s="1098"/>
      <c r="R196" s="1039"/>
      <c r="S196" s="1214"/>
      <c r="T196" s="1214"/>
      <c r="U196" s="1214"/>
      <c r="V196" s="1214"/>
      <c r="W196" s="1214"/>
      <c r="X196" s="1214"/>
      <c r="Y196" s="1214"/>
      <c r="Z196" s="1214"/>
      <c r="AA196" s="1214"/>
      <c r="AB196" s="1214"/>
      <c r="AC196" s="1214"/>
      <c r="AD196" s="1214"/>
      <c r="AE196" s="1214"/>
      <c r="AF196" s="1214"/>
      <c r="AG196" s="1214"/>
      <c r="AH196" s="1214"/>
      <c r="AI196" s="1214"/>
      <c r="AJ196" s="1214"/>
      <c r="AK196" s="1214"/>
      <c r="AL196" s="1098"/>
      <c r="AM196" s="1214"/>
      <c r="AN196" s="1214"/>
      <c r="AO196" s="1214"/>
      <c r="AP196" s="1214"/>
      <c r="AQ196" s="1214"/>
      <c r="AR196" s="1098"/>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7988</v>
      </c>
      <c r="C197" s="1141" t="s">
        <v>7912</v>
      </c>
      <c r="D197" s="1214"/>
      <c r="E197" s="1214"/>
      <c r="F197" s="1209"/>
      <c r="G197" s="1214"/>
      <c r="H197" s="1048"/>
      <c r="I197" s="1214"/>
      <c r="J197" s="1214"/>
      <c r="K197" s="1214"/>
      <c r="L197" s="1214"/>
      <c r="M197" s="1214"/>
      <c r="N197" s="1214"/>
      <c r="O197" s="1214"/>
      <c r="P197" s="1061"/>
      <c r="Q197" s="1098"/>
      <c r="R197" s="1206"/>
      <c r="S197" s="1214"/>
      <c r="T197" s="1214"/>
      <c r="U197" s="1214"/>
      <c r="V197" s="1214"/>
      <c r="W197" s="1214"/>
      <c r="X197" s="1214"/>
      <c r="Y197" s="1214"/>
      <c r="Z197" s="1214"/>
      <c r="AA197" s="1214"/>
      <c r="AB197" s="1214"/>
      <c r="AC197" s="1214"/>
      <c r="AD197" s="1214"/>
      <c r="AE197" s="1214"/>
      <c r="AF197" s="1214"/>
      <c r="AG197" s="1214"/>
      <c r="AH197" s="1214"/>
      <c r="AI197" s="1214"/>
      <c r="AJ197" s="1214"/>
      <c r="AK197" s="1214"/>
      <c r="AL197" s="1098"/>
      <c r="AM197" s="1214"/>
      <c r="AN197" s="1214"/>
      <c r="AO197" s="1214"/>
      <c r="AP197" s="1214"/>
      <c r="AQ197" s="1214"/>
      <c r="AR197" s="1098"/>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7989</v>
      </c>
      <c r="C198" s="1141" t="s">
        <v>7990</v>
      </c>
      <c r="D198" s="1214" t="s">
        <v>1544</v>
      </c>
      <c r="E198" s="1214"/>
      <c r="F198" s="1076" t="s">
        <v>7991</v>
      </c>
      <c r="G198" s="1214"/>
      <c r="H198" s="1048"/>
      <c r="I198" s="1214"/>
      <c r="J198" s="1214"/>
      <c r="K198" s="1214"/>
      <c r="L198" s="1214"/>
      <c r="M198" s="1214"/>
      <c r="N198" s="1214"/>
      <c r="O198" s="1214"/>
      <c r="P198" s="1061"/>
      <c r="Q198" s="1109" t="s">
        <v>5957</v>
      </c>
      <c r="R198" s="1039"/>
      <c r="S198" s="1214"/>
      <c r="T198" s="1214"/>
      <c r="U198" s="1214"/>
      <c r="V198" s="1214"/>
      <c r="W198" s="1214"/>
      <c r="X198" s="1214"/>
      <c r="Y198" s="1214"/>
      <c r="Z198" s="1214" t="s">
        <v>1544</v>
      </c>
      <c r="AA198" s="1214"/>
      <c r="AB198" s="1214"/>
      <c r="AC198" s="1214"/>
      <c r="AD198" s="1214"/>
      <c r="AE198" s="1214" t="s">
        <v>2056</v>
      </c>
      <c r="AF198" s="1214"/>
      <c r="AG198" s="1214"/>
      <c r="AH198" s="1214"/>
      <c r="AI198" s="1214"/>
      <c r="AJ198" s="1214"/>
      <c r="AK198" s="1214"/>
      <c r="AL198" s="1098"/>
      <c r="AM198" s="1214"/>
      <c r="AN198" s="1214"/>
      <c r="AO198" s="1214"/>
      <c r="AP198" s="1214"/>
      <c r="AQ198" s="1214"/>
      <c r="AR198" s="1098"/>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7992</v>
      </c>
      <c r="C199" s="1141" t="s">
        <v>2171</v>
      </c>
      <c r="D199" s="1080" t="s">
        <v>7993</v>
      </c>
      <c r="E199" s="1214"/>
      <c r="F199" s="1212" t="s">
        <v>589</v>
      </c>
      <c r="G199" s="1214" t="s">
        <v>3079</v>
      </c>
      <c r="H199" s="1048"/>
      <c r="I199" s="1214"/>
      <c r="J199" s="1214"/>
      <c r="K199" s="1214"/>
      <c r="L199" s="1214"/>
      <c r="M199" s="1214"/>
      <c r="N199" s="1214"/>
      <c r="O199" s="1214"/>
      <c r="P199" s="1061"/>
      <c r="Q199" s="1098"/>
      <c r="R199" s="1206"/>
      <c r="S199" s="1214"/>
      <c r="T199" s="1214"/>
      <c r="U199" s="1214"/>
      <c r="V199" s="1214" t="s">
        <v>2171</v>
      </c>
      <c r="W199" s="1214"/>
      <c r="X199" s="1214"/>
      <c r="Y199" s="1214"/>
      <c r="Z199" s="1214"/>
      <c r="AA199" s="1214"/>
      <c r="AB199" s="1214" t="s">
        <v>689</v>
      </c>
      <c r="AC199" s="1214"/>
      <c r="AD199" s="1142" t="s">
        <v>2171</v>
      </c>
      <c r="AE199" s="1214"/>
      <c r="AF199" s="1214" t="s">
        <v>1406</v>
      </c>
      <c r="AG199" s="1214"/>
      <c r="AH199" s="1214"/>
      <c r="AI199" s="1214"/>
      <c r="AJ199" s="1214"/>
      <c r="AK199" s="1214"/>
      <c r="AL199" s="1098"/>
      <c r="AM199" s="1214"/>
      <c r="AN199" s="1214"/>
      <c r="AO199" s="1214"/>
      <c r="AP199" s="1214"/>
      <c r="AQ199" s="1214"/>
      <c r="AR199" s="1098"/>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7725</v>
      </c>
      <c r="B200" s="1227" t="s">
        <v>7994</v>
      </c>
      <c r="C200" s="1141" t="s">
        <v>5489</v>
      </c>
      <c r="D200" s="1214"/>
      <c r="E200" s="1214"/>
      <c r="F200" s="1028"/>
      <c r="G200" s="1214"/>
      <c r="H200" s="1030" t="s">
        <v>3223</v>
      </c>
      <c r="I200" s="1214"/>
      <c r="J200" s="1214"/>
      <c r="K200" s="1214"/>
      <c r="L200" s="1214"/>
      <c r="M200" s="1214"/>
      <c r="N200" s="1214"/>
      <c r="O200" s="1214"/>
      <c r="P200" s="1061"/>
      <c r="Q200" s="1098"/>
      <c r="R200" s="1039"/>
      <c r="S200" s="1214"/>
      <c r="T200" s="1214"/>
      <c r="U200" s="1214"/>
      <c r="V200" s="1214"/>
      <c r="W200" s="1214"/>
      <c r="X200" s="1214"/>
      <c r="Y200" s="1214"/>
      <c r="Z200" s="1214"/>
      <c r="AA200" s="1214"/>
      <c r="AB200" s="1214"/>
      <c r="AC200" s="1214"/>
      <c r="AD200" s="1214"/>
      <c r="AE200" s="1214"/>
      <c r="AF200" s="1214"/>
      <c r="AG200" s="1214"/>
      <c r="AH200" s="1214"/>
      <c r="AI200" s="1214"/>
      <c r="AJ200" s="1214"/>
      <c r="AK200" s="1214"/>
      <c r="AL200" s="1098"/>
      <c r="AM200" s="1214"/>
      <c r="AN200" s="1214"/>
      <c r="AO200" s="1214"/>
      <c r="AP200" s="1214"/>
      <c r="AQ200" s="1214"/>
      <c r="AR200" s="1098"/>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7995</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1"/>
      <c r="Q201" s="1098"/>
      <c r="R201" s="1228"/>
      <c r="S201" s="1214"/>
      <c r="T201" s="1214"/>
      <c r="U201" s="1214"/>
      <c r="V201" s="1214" t="s">
        <v>3507</v>
      </c>
      <c r="W201" s="1214"/>
      <c r="X201" s="1214" t="s">
        <v>7996</v>
      </c>
      <c r="Y201" s="1214"/>
      <c r="Z201" s="1214"/>
      <c r="AA201" s="1214"/>
      <c r="AB201" s="1214"/>
      <c r="AC201" s="1214"/>
      <c r="AD201" s="1214"/>
      <c r="AE201" s="1214"/>
      <c r="AF201" s="1214"/>
      <c r="AG201" s="1214"/>
      <c r="AH201" s="1214"/>
      <c r="AI201" s="1214"/>
      <c r="AJ201" s="1214"/>
      <c r="AK201" s="1214"/>
      <c r="AL201" s="1098"/>
      <c r="AM201" s="1214"/>
      <c r="AN201" s="1214"/>
      <c r="AO201" s="1214"/>
      <c r="AP201" s="1214"/>
      <c r="AQ201" s="1214"/>
      <c r="AR201" s="1098"/>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7997</v>
      </c>
      <c r="C202" s="1141" t="s">
        <v>158</v>
      </c>
      <c r="D202" s="1214"/>
      <c r="E202" s="1214"/>
      <c r="F202" s="1028"/>
      <c r="G202" s="1214"/>
      <c r="H202" s="1048"/>
      <c r="I202" s="1214" t="s">
        <v>158</v>
      </c>
      <c r="J202" s="1214"/>
      <c r="K202" s="1214"/>
      <c r="L202" s="1214"/>
      <c r="M202" s="1214"/>
      <c r="N202" s="1214"/>
      <c r="O202" s="1214"/>
      <c r="P202" s="1061"/>
      <c r="Q202" s="1098"/>
      <c r="R202" s="1039"/>
      <c r="S202" s="1214"/>
      <c r="T202" s="1214"/>
      <c r="U202" s="1214"/>
      <c r="V202" s="1214"/>
      <c r="W202" s="1214"/>
      <c r="X202" s="1214"/>
      <c r="Y202" s="1214"/>
      <c r="Z202" s="1214"/>
      <c r="AA202" s="1214"/>
      <c r="AB202" s="1214"/>
      <c r="AC202" s="1214"/>
      <c r="AD202" s="1214"/>
      <c r="AE202" s="1214"/>
      <c r="AF202" s="1214"/>
      <c r="AG202" s="1214"/>
      <c r="AH202" s="1214"/>
      <c r="AI202" s="1214"/>
      <c r="AJ202" s="1214"/>
      <c r="AK202" s="1214"/>
      <c r="AL202" s="1098"/>
      <c r="AM202" s="1214"/>
      <c r="AN202" s="1214"/>
      <c r="AO202" s="1214"/>
      <c r="AP202" s="1214"/>
      <c r="AQ202" s="1214"/>
      <c r="AR202" s="1098"/>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7998</v>
      </c>
      <c r="C203" s="1141" t="s">
        <v>365</v>
      </c>
      <c r="D203" s="1031" t="s">
        <v>5882</v>
      </c>
      <c r="E203" s="1029" t="s">
        <v>365</v>
      </c>
      <c r="F203" s="1218" t="s">
        <v>7999</v>
      </c>
      <c r="G203" s="1031"/>
      <c r="H203" s="1048"/>
      <c r="I203" s="1031"/>
      <c r="J203" s="1029" t="s">
        <v>1762</v>
      </c>
      <c r="K203" s="1031"/>
      <c r="L203" s="1031"/>
      <c r="M203" s="1031"/>
      <c r="N203" s="1031"/>
      <c r="O203" s="1031"/>
      <c r="P203" s="1032"/>
      <c r="Q203" s="1109" t="s">
        <v>8000</v>
      </c>
      <c r="R203" s="1206"/>
      <c r="S203" s="1031"/>
      <c r="T203" s="1031"/>
      <c r="U203" s="1031"/>
      <c r="V203" s="1031"/>
      <c r="W203" s="1031"/>
      <c r="X203" s="1031"/>
      <c r="Y203" s="1031"/>
      <c r="Z203" s="1031"/>
      <c r="AA203" s="1031"/>
      <c r="AB203" s="1031"/>
      <c r="AC203" s="1031"/>
      <c r="AD203" s="1031"/>
      <c r="AE203" s="1031"/>
      <c r="AF203" s="1031"/>
      <c r="AG203" s="1031"/>
      <c r="AH203" s="1031"/>
      <c r="AI203" s="1031"/>
      <c r="AJ203" s="1031"/>
      <c r="AK203" s="1031"/>
      <c r="AL203" s="1098"/>
      <c r="AM203" s="1031"/>
      <c r="AN203" s="1031"/>
      <c r="AO203" s="1031"/>
      <c r="AP203" s="1031"/>
      <c r="AQ203" s="1031"/>
      <c r="AR203" s="1098"/>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8001</v>
      </c>
      <c r="C204" s="1141" t="s">
        <v>940</v>
      </c>
      <c r="D204" s="1036" t="s">
        <v>161</v>
      </c>
      <c r="E204" s="1080"/>
      <c r="F204" s="1063" t="s">
        <v>597</v>
      </c>
      <c r="G204" s="1142" t="s">
        <v>8002</v>
      </c>
      <c r="H204" s="1030" t="s">
        <v>116</v>
      </c>
      <c r="I204" s="1080"/>
      <c r="J204" s="1080"/>
      <c r="K204" s="1080"/>
      <c r="L204" s="1142" t="s">
        <v>940</v>
      </c>
      <c r="M204" s="1080" t="s">
        <v>784</v>
      </c>
      <c r="N204" s="1080"/>
      <c r="O204" s="1080"/>
      <c r="P204" s="1078"/>
      <c r="Q204" s="1098"/>
      <c r="R204" s="1039"/>
      <c r="S204" s="1080"/>
      <c r="T204" s="1080"/>
      <c r="U204" s="1080"/>
      <c r="V204" s="1080"/>
      <c r="W204" s="1080"/>
      <c r="X204" s="1080"/>
      <c r="Y204" s="1080"/>
      <c r="Z204" s="1080"/>
      <c r="AA204" s="1080"/>
      <c r="AB204" s="1080"/>
      <c r="AC204" s="1080"/>
      <c r="AD204" s="1080"/>
      <c r="AE204" s="1080"/>
      <c r="AF204" s="1080"/>
      <c r="AG204" s="1080"/>
      <c r="AH204" s="1080"/>
      <c r="AI204" s="1080"/>
      <c r="AJ204" s="1080"/>
      <c r="AK204" s="1080"/>
      <c r="AL204" s="1098"/>
      <c r="AM204" s="1080"/>
      <c r="AN204" s="1080"/>
      <c r="AO204" s="1080"/>
      <c r="AP204" s="1080"/>
      <c r="AQ204" s="1080"/>
      <c r="AR204" s="1098"/>
      <c r="AS204" s="1080"/>
      <c r="AT204" s="1080"/>
      <c r="AU204" s="1039"/>
      <c r="AV204" s="1080"/>
      <c r="AW204" s="1080"/>
      <c r="AX204" s="1080"/>
      <c r="AY204" s="1080"/>
      <c r="AZ204" s="1080"/>
      <c r="BA204" s="1039"/>
      <c r="BB204" s="1080"/>
      <c r="BC204" s="1080"/>
      <c r="BD204" s="1080"/>
      <c r="BE204" s="1080"/>
      <c r="BF204" s="1080"/>
      <c r="BG204" s="1080"/>
      <c r="BH204" s="1080"/>
      <c r="BI204" s="1039"/>
      <c r="BJ204" s="1039"/>
      <c r="BK204" s="1039"/>
      <c r="BL204" s="1039"/>
      <c r="BM204" s="1039"/>
      <c r="BN204" s="1039"/>
      <c r="BO204" s="1039"/>
    </row>
    <row r="205" ht="15.75" customHeight="1">
      <c r="A205" s="1210" t="s">
        <v>7555</v>
      </c>
      <c r="B205" s="1215" t="s">
        <v>7994</v>
      </c>
      <c r="C205" s="1141" t="s">
        <v>1491</v>
      </c>
      <c r="D205" s="1080"/>
      <c r="E205" s="1080"/>
      <c r="F205" s="1209"/>
      <c r="G205" s="1080"/>
      <c r="H205" s="1048"/>
      <c r="I205" s="1080"/>
      <c r="J205" s="1080" t="s">
        <v>6865</v>
      </c>
      <c r="K205" s="1080"/>
      <c r="L205" s="1080"/>
      <c r="M205" s="1080"/>
      <c r="N205" s="1080"/>
      <c r="O205" s="1080"/>
      <c r="P205" s="1078"/>
      <c r="Q205" s="1098"/>
      <c r="R205" s="1206"/>
      <c r="S205" s="1080"/>
      <c r="T205" s="1080"/>
      <c r="U205" s="1080"/>
      <c r="V205" s="1080"/>
      <c r="W205" s="1080"/>
      <c r="X205" s="1080"/>
      <c r="Y205" s="1080"/>
      <c r="Z205" s="1142" t="s">
        <v>844</v>
      </c>
      <c r="AA205" s="1080"/>
      <c r="AB205" s="1080"/>
      <c r="AC205" s="1080"/>
      <c r="AD205" s="1080"/>
      <c r="AE205" s="1142" t="s">
        <v>8003</v>
      </c>
      <c r="AF205" s="1080"/>
      <c r="AG205" s="1080"/>
      <c r="AH205" s="1080"/>
      <c r="AI205" s="1080"/>
      <c r="AJ205" s="1080"/>
      <c r="AK205" s="1080"/>
      <c r="AL205" s="1098"/>
      <c r="AM205" s="1080"/>
      <c r="AN205" s="1080"/>
      <c r="AO205" s="1080"/>
      <c r="AP205" s="1080"/>
      <c r="AQ205" s="1080"/>
      <c r="AR205" s="1098"/>
      <c r="AS205" s="1080"/>
      <c r="AT205" s="1080"/>
      <c r="AU205" s="1206"/>
      <c r="AV205" s="1080"/>
      <c r="AW205" s="1080"/>
      <c r="AX205" s="1080"/>
      <c r="AY205" s="1080"/>
      <c r="AZ205" s="1080"/>
      <c r="BA205" s="1206"/>
      <c r="BB205" s="1080"/>
      <c r="BC205" s="1080"/>
      <c r="BD205" s="1080"/>
      <c r="BE205" s="1080"/>
      <c r="BF205" s="1080"/>
      <c r="BG205" s="1080" t="s">
        <v>8004</v>
      </c>
      <c r="BH205" s="1080"/>
      <c r="BI205" s="1206"/>
      <c r="BJ205" s="1206"/>
      <c r="BK205" s="1206"/>
      <c r="BL205" s="1206"/>
      <c r="BM205" s="1206"/>
      <c r="BN205" s="1206"/>
      <c r="BO205" s="1206"/>
    </row>
    <row r="206" ht="15.75" customHeight="1">
      <c r="A206" s="1207"/>
      <c r="B206" s="1208" t="s">
        <v>7995</v>
      </c>
      <c r="C206" s="1141" t="s">
        <v>8005</v>
      </c>
      <c r="D206" s="1080" t="s">
        <v>328</v>
      </c>
      <c r="E206" s="1080" t="s">
        <v>3832</v>
      </c>
      <c r="F206" s="1212" t="s">
        <v>4984</v>
      </c>
      <c r="G206" s="1080"/>
      <c r="H206" s="1030" t="s">
        <v>6553</v>
      </c>
      <c r="I206" s="1080" t="s">
        <v>8006</v>
      </c>
      <c r="J206" s="1080"/>
      <c r="K206" s="1080"/>
      <c r="L206" s="1080" t="s">
        <v>3832</v>
      </c>
      <c r="M206" s="1080"/>
      <c r="N206" s="1080" t="s">
        <v>8007</v>
      </c>
      <c r="O206" s="1080"/>
      <c r="P206" s="1078" t="s">
        <v>3859</v>
      </c>
      <c r="Q206" s="1098"/>
      <c r="R206" s="1050" t="s">
        <v>8008</v>
      </c>
      <c r="S206" s="1080"/>
      <c r="T206" s="1074" t="s">
        <v>8009</v>
      </c>
      <c r="U206" s="1080"/>
      <c r="V206" s="1080"/>
      <c r="W206" s="1080"/>
      <c r="X206" s="1080" t="s">
        <v>3170</v>
      </c>
      <c r="Y206" s="1080"/>
      <c r="Z206" s="1080" t="s">
        <v>3937</v>
      </c>
      <c r="AA206" s="1080"/>
      <c r="AB206" s="1080"/>
      <c r="AC206" s="1080"/>
      <c r="AD206" s="1080"/>
      <c r="AE206" s="1080"/>
      <c r="AF206" s="1080"/>
      <c r="AG206" s="1080"/>
      <c r="AH206" s="1080"/>
      <c r="AI206" s="1080"/>
      <c r="AJ206" s="1080"/>
      <c r="AK206" s="1080"/>
      <c r="AL206" s="1098"/>
      <c r="AM206" s="1080"/>
      <c r="AN206" s="1080"/>
      <c r="AO206" s="1080"/>
      <c r="AP206" s="1080"/>
      <c r="AQ206" s="1080"/>
      <c r="AR206" s="1098"/>
      <c r="AS206" s="1080"/>
      <c r="AT206" s="1080"/>
      <c r="AU206" s="1039"/>
      <c r="AV206" s="1080"/>
      <c r="AW206" s="1080"/>
      <c r="AX206" s="1080"/>
      <c r="AY206" s="1080"/>
      <c r="AZ206" s="1080"/>
      <c r="BA206" s="1039"/>
      <c r="BB206" s="1080"/>
      <c r="BC206" s="1080"/>
      <c r="BD206" s="1080"/>
      <c r="BE206" s="1080"/>
      <c r="BF206" s="1080"/>
      <c r="BG206" s="1080"/>
      <c r="BH206" s="1080"/>
      <c r="BI206" s="1039"/>
      <c r="BJ206" s="1039"/>
      <c r="BK206" s="1039"/>
      <c r="BL206" s="1039"/>
      <c r="BM206" s="1039"/>
      <c r="BN206" s="1039"/>
      <c r="BO206" s="1039"/>
    </row>
    <row r="207" ht="15.75" customHeight="1">
      <c r="A207" s="1216"/>
      <c r="B207" s="1217" t="s">
        <v>7997</v>
      </c>
      <c r="C207" s="1141" t="s">
        <v>4932</v>
      </c>
      <c r="D207" s="1214"/>
      <c r="E207" s="1214"/>
      <c r="F207" s="1212"/>
      <c r="G207" s="1214"/>
      <c r="H207" s="1048"/>
      <c r="I207" s="1214" t="str">
        <f>HYPERLINK("https://youtu.be/hsc9lXHQpts","23.75")</f>
        <v>23.75</v>
      </c>
      <c r="J207" s="1214"/>
      <c r="K207" s="1214"/>
      <c r="L207" s="1214"/>
      <c r="M207" s="1214"/>
      <c r="N207" s="1214"/>
      <c r="O207" s="1214"/>
      <c r="P207" s="1061"/>
      <c r="Q207" s="1098"/>
      <c r="R207" s="1206"/>
      <c r="S207" s="1214"/>
      <c r="T207" s="1214"/>
      <c r="U207" s="1214"/>
      <c r="V207" s="1214"/>
      <c r="W207" s="1214"/>
      <c r="X207" s="1214"/>
      <c r="Y207" s="1214"/>
      <c r="Z207" s="1214" t="s">
        <v>4760</v>
      </c>
      <c r="AA207" s="1214"/>
      <c r="AB207" s="1214"/>
      <c r="AC207" s="1214"/>
      <c r="AD207" s="1214"/>
      <c r="AE207" s="1214" t="s">
        <v>543</v>
      </c>
      <c r="AF207" s="1214"/>
      <c r="AG207" s="1214"/>
      <c r="AH207" s="1214"/>
      <c r="AI207" s="1214"/>
      <c r="AJ207" s="1214"/>
      <c r="AK207" s="1214"/>
      <c r="AL207" s="1098"/>
      <c r="AM207" s="1214"/>
      <c r="AN207" s="1214"/>
      <c r="AO207" s="1214"/>
      <c r="AP207" s="1214"/>
      <c r="AQ207" s="1214"/>
      <c r="AR207" s="1098"/>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7998</v>
      </c>
      <c r="C208" s="1141" t="s">
        <v>2932</v>
      </c>
      <c r="D208" s="1036" t="s">
        <v>543</v>
      </c>
      <c r="E208" s="1036" t="s">
        <v>2932</v>
      </c>
      <c r="F208" s="1057" t="s">
        <v>8010</v>
      </c>
      <c r="G208" s="1036"/>
      <c r="H208" s="1048"/>
      <c r="I208" s="1036" t="s">
        <v>1459</v>
      </c>
      <c r="J208" s="1036" t="s">
        <v>8011</v>
      </c>
      <c r="K208" s="1036" t="s">
        <v>4256</v>
      </c>
      <c r="L208" s="1036"/>
      <c r="M208" s="1036" t="s">
        <v>8012</v>
      </c>
      <c r="N208" s="1036" t="s">
        <v>4502</v>
      </c>
      <c r="O208" s="1036" t="s">
        <v>4840</v>
      </c>
      <c r="P208" s="1029" t="s">
        <v>8013</v>
      </c>
      <c r="Q208" s="1109" t="s">
        <v>8014</v>
      </c>
      <c r="R208" s="1039"/>
      <c r="S208" s="1036"/>
      <c r="T208" s="1029" t="s">
        <v>5906</v>
      </c>
      <c r="U208" s="1036"/>
      <c r="V208" s="1036"/>
      <c r="W208" s="1036"/>
      <c r="X208" s="1036"/>
      <c r="Y208" s="1036" t="s">
        <v>2533</v>
      </c>
      <c r="Z208" s="1036" t="s">
        <v>8015</v>
      </c>
      <c r="AA208" s="1036"/>
      <c r="AB208" s="1036"/>
      <c r="AC208" s="1036"/>
      <c r="AD208" s="1036"/>
      <c r="AE208" s="1036"/>
      <c r="AF208" s="1036"/>
      <c r="AG208" s="1036"/>
      <c r="AH208" s="1036"/>
      <c r="AI208" s="1036"/>
      <c r="AJ208" s="1036"/>
      <c r="AK208" s="1036"/>
      <c r="AL208" s="1098"/>
      <c r="AM208" s="1036" t="s">
        <v>4840</v>
      </c>
      <c r="AN208" s="1036"/>
      <c r="AO208" s="1036"/>
      <c r="AP208" s="1036"/>
      <c r="AQ208" s="1036"/>
      <c r="AR208" s="1098"/>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8001</v>
      </c>
      <c r="C209" s="1141" t="s">
        <v>2138</v>
      </c>
      <c r="D209" s="1036" t="s">
        <v>1593</v>
      </c>
      <c r="E209" s="1031"/>
      <c r="F209" s="1063" t="s">
        <v>2565</v>
      </c>
      <c r="G209" s="1029" t="s">
        <v>2138</v>
      </c>
      <c r="H209" s="1048"/>
      <c r="I209" s="1031"/>
      <c r="J209" s="1031"/>
      <c r="K209" s="1031"/>
      <c r="L209" s="1031"/>
      <c r="M209" s="1031"/>
      <c r="N209" s="1031"/>
      <c r="O209" s="1031"/>
      <c r="P209" s="1032"/>
      <c r="Q209" s="1109" t="s">
        <v>496</v>
      </c>
      <c r="R209" s="1206"/>
      <c r="S209" s="1031"/>
      <c r="T209" s="1031"/>
      <c r="U209" s="1031"/>
      <c r="V209" s="1029" t="s">
        <v>496</v>
      </c>
      <c r="W209" s="1031"/>
      <c r="X209" s="1031"/>
      <c r="Y209" s="1031"/>
      <c r="Z209" s="1031"/>
      <c r="AA209" s="1031"/>
      <c r="AB209" s="1029" t="s">
        <v>2138</v>
      </c>
      <c r="AC209" s="1031"/>
      <c r="AD209" s="1031" t="s">
        <v>2138</v>
      </c>
      <c r="AE209" s="1031"/>
      <c r="AF209" s="1031"/>
      <c r="AG209" s="1031"/>
      <c r="AH209" s="1031"/>
      <c r="AI209" s="1031"/>
      <c r="AJ209" s="1031"/>
      <c r="AK209" s="1031"/>
      <c r="AL209" s="1098"/>
      <c r="AM209" s="1031"/>
      <c r="AN209" s="1031"/>
      <c r="AO209" s="1031"/>
      <c r="AP209" s="1031"/>
      <c r="AQ209" s="1031"/>
      <c r="AR209" s="1098"/>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8016</v>
      </c>
      <c r="I210" s="1031"/>
      <c r="J210" s="1031"/>
      <c r="K210" s="1031"/>
      <c r="L210" s="1031" t="s">
        <v>8017</v>
      </c>
      <c r="M210" s="1031"/>
      <c r="N210" s="1031"/>
      <c r="O210" s="1031"/>
      <c r="P210" s="1032"/>
      <c r="Q210" s="1098"/>
      <c r="R210" s="1039"/>
      <c r="S210" s="1031"/>
      <c r="T210" s="1031"/>
      <c r="U210" s="1031"/>
      <c r="V210" s="1031"/>
      <c r="W210" s="1031"/>
      <c r="X210" s="1031"/>
      <c r="Y210" s="1031" t="s">
        <v>4436</v>
      </c>
      <c r="Z210" s="1031"/>
      <c r="AA210" s="1031"/>
      <c r="AB210" s="1029" t="s">
        <v>4436</v>
      </c>
      <c r="AC210" s="1031"/>
      <c r="AD210" s="1029" t="s">
        <v>892</v>
      </c>
      <c r="AE210" s="1031"/>
      <c r="AF210" s="1031"/>
      <c r="AG210" s="1031"/>
      <c r="AH210" s="1031"/>
      <c r="AI210" s="1031"/>
      <c r="AJ210" s="1031"/>
      <c r="AK210" s="1031"/>
      <c r="AL210" s="1098"/>
      <c r="AM210" s="1031"/>
      <c r="AN210" s="1031"/>
      <c r="AO210" s="1031"/>
      <c r="AP210" s="1031"/>
      <c r="AQ210" s="1031"/>
      <c r="AR210" s="1098"/>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8018</v>
      </c>
      <c r="B211" s="1215" t="s">
        <v>7541</v>
      </c>
      <c r="C211" s="1141" t="s">
        <v>8019</v>
      </c>
      <c r="D211" s="1031"/>
      <c r="E211" s="1029" t="s">
        <v>8019</v>
      </c>
      <c r="F211" s="1218" t="s">
        <v>8020</v>
      </c>
      <c r="G211" s="1031" t="s">
        <v>8021</v>
      </c>
      <c r="H211" s="1048"/>
      <c r="I211" s="1031"/>
      <c r="J211" s="1031" t="s">
        <v>8022</v>
      </c>
      <c r="K211" s="1031"/>
      <c r="L211" s="1031"/>
      <c r="M211" s="1031"/>
      <c r="N211" s="1031"/>
      <c r="O211" s="1029" t="s">
        <v>8019</v>
      </c>
      <c r="P211" s="1032"/>
      <c r="Q211" s="1120"/>
      <c r="R211" s="1206"/>
      <c r="S211" s="1031"/>
      <c r="T211" s="1031"/>
      <c r="U211" s="1031"/>
      <c r="V211" s="1031"/>
      <c r="W211" s="1031"/>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7804</v>
      </c>
      <c r="B212" s="1213" t="s">
        <v>8023</v>
      </c>
      <c r="C212" s="1141" t="s">
        <v>8024</v>
      </c>
      <c r="D212" s="1036" t="s">
        <v>1594</v>
      </c>
      <c r="E212" s="1036" t="s">
        <v>8024</v>
      </c>
      <c r="F212" s="1057" t="s">
        <v>2566</v>
      </c>
      <c r="G212" s="1036" t="s">
        <v>1018</v>
      </c>
      <c r="H212" s="1030" t="s">
        <v>1306</v>
      </c>
      <c r="I212" s="1036"/>
      <c r="J212" s="1036"/>
      <c r="K212" s="1036"/>
      <c r="L212" s="1036"/>
      <c r="M212" s="1036"/>
      <c r="N212" s="1036"/>
      <c r="O212" s="1036"/>
      <c r="P212" s="1032"/>
      <c r="Q212" s="1098"/>
      <c r="R212" s="1206"/>
      <c r="S212" s="1036"/>
      <c r="T212" s="1036"/>
      <c r="U212" s="1036"/>
      <c r="V212" s="1036"/>
      <c r="W212" s="1036"/>
      <c r="X212" s="1036"/>
      <c r="Y212" s="1036"/>
      <c r="Z212" s="1036"/>
      <c r="AA212" s="1036"/>
      <c r="AB212" s="1036"/>
      <c r="AC212" s="1036"/>
      <c r="AD212" s="1036"/>
      <c r="AE212" s="1036"/>
      <c r="AF212" s="1036"/>
      <c r="AG212" s="1036"/>
      <c r="AH212" s="1036"/>
      <c r="AI212" s="1036"/>
      <c r="AJ212" s="1036"/>
      <c r="AK212" s="1036"/>
      <c r="AL212" s="1098"/>
      <c r="AM212" s="1036"/>
      <c r="AN212" s="1036"/>
      <c r="AO212" s="1036"/>
      <c r="AP212" s="1036"/>
      <c r="AQ212" s="1036"/>
      <c r="AR212" s="1098"/>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8025</v>
      </c>
      <c r="D213" s="1036" t="s">
        <v>3400</v>
      </c>
      <c r="E213" s="1036" t="s">
        <v>4455</v>
      </c>
      <c r="F213" s="1057" t="s">
        <v>8025</v>
      </c>
      <c r="G213" s="1036" t="s">
        <v>1119</v>
      </c>
      <c r="H213" s="1030" t="s">
        <v>965</v>
      </c>
      <c r="I213" s="1036"/>
      <c r="J213" s="1036"/>
      <c r="K213" s="1036"/>
      <c r="L213" s="1036" t="s">
        <v>313</v>
      </c>
      <c r="M213" s="1036"/>
      <c r="N213" s="1036"/>
      <c r="O213" s="1036"/>
      <c r="P213" s="1032"/>
      <c r="Q213" s="1098"/>
      <c r="R213" s="1039"/>
      <c r="S213" s="1036"/>
      <c r="T213" s="1036"/>
      <c r="U213" s="1036" t="s">
        <v>8026</v>
      </c>
      <c r="V213" s="1036"/>
      <c r="W213" s="1036"/>
      <c r="X213" s="1036"/>
      <c r="Y213" s="1036" t="s">
        <v>8027</v>
      </c>
      <c r="Z213" s="1036"/>
      <c r="AA213" s="1036"/>
      <c r="AB213" s="1036"/>
      <c r="AC213" s="1036"/>
      <c r="AD213" s="1036"/>
      <c r="AE213" s="1036"/>
      <c r="AF213" s="1036"/>
      <c r="AG213" s="1036" t="s">
        <v>886</v>
      </c>
      <c r="AH213" s="1036"/>
      <c r="AI213" s="1036"/>
      <c r="AJ213" s="1036"/>
      <c r="AK213" s="1036"/>
      <c r="AL213" s="1098"/>
      <c r="AM213" s="1036"/>
      <c r="AN213" s="1036"/>
      <c r="AO213" s="1036"/>
      <c r="AP213" s="1036"/>
      <c r="AQ213" s="1036"/>
      <c r="AR213" s="1098"/>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8028</v>
      </c>
      <c r="C214" s="1231" t="s">
        <v>5855</v>
      </c>
      <c r="D214" s="1214"/>
      <c r="E214" s="1214"/>
      <c r="F214" s="1218" t="s">
        <v>4797</v>
      </c>
      <c r="G214" s="1047" t="s">
        <v>4162</v>
      </c>
      <c r="H214" s="1048"/>
      <c r="I214" s="1214"/>
      <c r="J214" s="1214"/>
      <c r="K214" s="1214"/>
      <c r="L214" s="1214"/>
      <c r="M214" s="1214"/>
      <c r="N214" s="1214"/>
      <c r="O214" s="1214"/>
      <c r="P214" s="1061"/>
      <c r="Q214" s="1098"/>
      <c r="R214" s="1206"/>
      <c r="S214" s="1214"/>
      <c r="T214" s="1214"/>
      <c r="U214" s="1214"/>
      <c r="V214" s="1214"/>
      <c r="W214" s="1214"/>
      <c r="X214" s="1214"/>
      <c r="Y214" s="1214"/>
      <c r="Z214" s="1214"/>
      <c r="AA214" s="1214"/>
      <c r="AB214" s="1214"/>
      <c r="AC214" s="1214"/>
      <c r="AD214" s="1214"/>
      <c r="AE214" s="1214"/>
      <c r="AF214" s="1214"/>
      <c r="AG214" s="1214"/>
      <c r="AH214" s="1214"/>
      <c r="AI214" s="1214"/>
      <c r="AJ214" s="1214"/>
      <c r="AK214" s="1214"/>
      <c r="AL214" s="1098"/>
      <c r="AM214" s="1214"/>
      <c r="AN214" s="1214"/>
      <c r="AO214" s="1214"/>
      <c r="AP214" s="1214"/>
      <c r="AQ214" s="1214"/>
      <c r="AR214" s="1098"/>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8029</v>
      </c>
      <c r="C215" s="1141" t="s">
        <v>526</v>
      </c>
      <c r="D215" s="1214"/>
      <c r="E215" s="1214"/>
      <c r="F215" s="1028"/>
      <c r="G215" s="1214" t="s">
        <v>526</v>
      </c>
      <c r="H215" s="1048"/>
      <c r="I215" s="1214"/>
      <c r="J215" s="1214"/>
      <c r="K215" s="1214"/>
      <c r="L215" s="1214"/>
      <c r="M215" s="1214"/>
      <c r="N215" s="1214"/>
      <c r="O215" s="1214"/>
      <c r="P215" s="1061"/>
      <c r="Q215" s="1098"/>
      <c r="R215" s="1206"/>
      <c r="S215" s="1214"/>
      <c r="T215" s="1214"/>
      <c r="U215" s="1214"/>
      <c r="V215" s="1214"/>
      <c r="W215" s="1214"/>
      <c r="X215" s="1214"/>
      <c r="Y215" s="1214"/>
      <c r="Z215" s="1214"/>
      <c r="AA215" s="1214"/>
      <c r="AB215" s="1214"/>
      <c r="AC215" s="1214"/>
      <c r="AD215" s="1214"/>
      <c r="AE215" s="1214"/>
      <c r="AF215" s="1214"/>
      <c r="AG215" s="1214"/>
      <c r="AH215" s="1214"/>
      <c r="AI215" s="1214"/>
      <c r="AJ215" s="1214"/>
      <c r="AK215" s="1214"/>
      <c r="AL215" s="1098"/>
      <c r="AM215" s="1214"/>
      <c r="AN215" s="1214"/>
      <c r="AO215" s="1214"/>
      <c r="AP215" s="1214"/>
      <c r="AQ215" s="1214"/>
      <c r="AR215" s="1098"/>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7656</v>
      </c>
      <c r="B216" s="1213" t="s">
        <v>8030</v>
      </c>
      <c r="C216" s="1141" t="s">
        <v>1873</v>
      </c>
      <c r="D216" s="1214" t="s">
        <v>4165</v>
      </c>
      <c r="E216" s="1214"/>
      <c r="F216" s="1218" t="s">
        <v>887</v>
      </c>
      <c r="G216" s="1214"/>
      <c r="H216" s="1030" t="s">
        <v>3126</v>
      </c>
      <c r="I216" s="1214"/>
      <c r="J216" s="1214"/>
      <c r="K216" s="1214" t="s">
        <v>1048</v>
      </c>
      <c r="L216" s="1214"/>
      <c r="M216" s="1214"/>
      <c r="N216" s="1214" t="s">
        <v>8031</v>
      </c>
      <c r="O216" s="1142" t="s">
        <v>6760</v>
      </c>
      <c r="P216" s="1061" t="s">
        <v>8032</v>
      </c>
      <c r="Q216" s="1098"/>
      <c r="R216" s="1221" t="s">
        <v>8033</v>
      </c>
      <c r="S216" s="1214"/>
      <c r="T216" s="1214" t="s">
        <v>887</v>
      </c>
      <c r="U216" s="1214" t="s">
        <v>8032</v>
      </c>
      <c r="V216" s="1214"/>
      <c r="W216" s="1214"/>
      <c r="X216" s="1214"/>
      <c r="Y216" s="1214"/>
      <c r="Z216" s="1214"/>
      <c r="AA216" s="1214"/>
      <c r="AB216" s="1214"/>
      <c r="AC216" s="1214"/>
      <c r="AD216" s="1214"/>
      <c r="AE216" s="1214"/>
      <c r="AF216" s="1214"/>
      <c r="AG216" s="1214"/>
      <c r="AH216" s="1214"/>
      <c r="AI216" s="1214"/>
      <c r="AJ216" s="1214"/>
      <c r="AK216" s="1214"/>
      <c r="AL216" s="1098"/>
      <c r="AM216" s="1214"/>
      <c r="AN216" s="1214"/>
      <c r="AO216" s="1214"/>
      <c r="AP216" s="1214"/>
      <c r="AQ216" s="1214"/>
      <c r="AR216" s="1098"/>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8034</v>
      </c>
      <c r="C217" s="1141" t="s">
        <v>394</v>
      </c>
      <c r="D217" s="1036" t="s">
        <v>1522</v>
      </c>
      <c r="E217" s="1214"/>
      <c r="F217" s="1042" t="s">
        <v>2568</v>
      </c>
      <c r="G217" s="1214"/>
      <c r="H217" s="1030" t="s">
        <v>166</v>
      </c>
      <c r="I217" s="1214"/>
      <c r="J217" s="1214"/>
      <c r="K217" s="1214"/>
      <c r="L217" s="1142" t="s">
        <v>945</v>
      </c>
      <c r="M217" s="1142" t="s">
        <v>788</v>
      </c>
      <c r="N217" s="1214"/>
      <c r="O217" s="1142" t="s">
        <v>1994</v>
      </c>
      <c r="P217" s="1061" t="s">
        <v>1463</v>
      </c>
      <c r="Q217" s="1098"/>
      <c r="R217" s="1039"/>
      <c r="S217" s="1214"/>
      <c r="T217" s="1214" t="s">
        <v>2767</v>
      </c>
      <c r="U217" s="1214"/>
      <c r="V217" s="1214" t="s">
        <v>1016</v>
      </c>
      <c r="W217" s="1214"/>
      <c r="X217" s="1214"/>
      <c r="Y217" s="1214"/>
      <c r="Z217" s="1214"/>
      <c r="AA217" s="1214"/>
      <c r="AB217" s="1214"/>
      <c r="AC217" s="1214"/>
      <c r="AD217" s="1214"/>
      <c r="AE217" s="1214"/>
      <c r="AF217" s="1214"/>
      <c r="AG217" s="1214"/>
      <c r="AH217" s="1214"/>
      <c r="AI217" s="1214"/>
      <c r="AJ217" s="1214"/>
      <c r="AK217" s="1214"/>
      <c r="AL217" s="1098"/>
      <c r="AM217" s="1214"/>
      <c r="AN217" s="1214"/>
      <c r="AO217" s="1214"/>
      <c r="AP217" s="1214"/>
      <c r="AQ217" s="1214"/>
      <c r="AR217" s="1098"/>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7660</v>
      </c>
      <c r="B218" s="1213" t="s">
        <v>8035</v>
      </c>
      <c r="C218" s="1141" t="s">
        <v>1464</v>
      </c>
      <c r="D218" s="1084" t="s">
        <v>1597</v>
      </c>
      <c r="E218" s="1214"/>
      <c r="F218" s="1209"/>
      <c r="G218" s="1080" t="s">
        <v>8036</v>
      </c>
      <c r="H218" s="1048"/>
      <c r="I218" s="1214" t="s">
        <v>1464</v>
      </c>
      <c r="J218" s="1214" t="s">
        <v>8037</v>
      </c>
      <c r="K218" s="1214" t="s">
        <v>8038</v>
      </c>
      <c r="L218" s="1214"/>
      <c r="M218" s="1214"/>
      <c r="N218" s="1214"/>
      <c r="O218" s="1214"/>
      <c r="P218" s="1061"/>
      <c r="Q218" s="1098"/>
      <c r="R218" s="1206"/>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098"/>
      <c r="AM218" s="1214"/>
      <c r="AN218" s="1214"/>
      <c r="AO218" s="1214"/>
      <c r="AP218" s="1214"/>
      <c r="AQ218" s="1214"/>
      <c r="AR218" s="1098"/>
      <c r="AS218" s="1214"/>
      <c r="AT218" s="1214"/>
      <c r="AU218" s="1206"/>
      <c r="AV218" s="1214"/>
      <c r="AW218" s="1214"/>
      <c r="AX218" s="1214"/>
      <c r="AY218" s="1214"/>
      <c r="AZ218" s="1214"/>
      <c r="BA218" s="1206"/>
      <c r="BB218" s="1214"/>
      <c r="BC218" s="1214"/>
      <c r="BD218" s="1214"/>
      <c r="BE218" s="1214"/>
      <c r="BF218" s="1214"/>
      <c r="BG218" s="1214"/>
      <c r="BH218" s="1080" t="s">
        <v>8039</v>
      </c>
      <c r="BI218" s="1206"/>
      <c r="BJ218" s="1206"/>
      <c r="BK218" s="1206"/>
      <c r="BL218" s="1206"/>
      <c r="BM218" s="1206"/>
      <c r="BN218" s="1206"/>
      <c r="BO218" s="1206"/>
    </row>
    <row r="219" ht="15.75" customHeight="1">
      <c r="A219" s="1204" t="s">
        <v>7926</v>
      </c>
      <c r="B219" s="1213" t="s">
        <v>7541</v>
      </c>
      <c r="C219" s="1141" t="str">
        <f>HYPERLINK("https://www.youtube.com/watch?v=_HQgQjbTLjM","1:11.32")</f>
        <v>1:11.32</v>
      </c>
      <c r="D219" s="990" t="s">
        <v>1598</v>
      </c>
      <c r="E219" s="1214"/>
      <c r="F219" s="1209"/>
      <c r="G219" s="1214"/>
      <c r="H219" s="1030" t="s">
        <v>1309</v>
      </c>
      <c r="I219" s="1214" t="s">
        <v>1474</v>
      </c>
      <c r="J219" s="1214" t="s">
        <v>8040</v>
      </c>
      <c r="K219" s="1214" t="s">
        <v>3663</v>
      </c>
      <c r="L219" s="1214" t="s">
        <v>947</v>
      </c>
      <c r="M219" s="1214" t="s">
        <v>867</v>
      </c>
      <c r="N219" s="1214"/>
      <c r="O219" s="1214"/>
      <c r="P219" s="1061"/>
      <c r="Q219" s="1098"/>
      <c r="R219" s="1039"/>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098"/>
      <c r="AM219" s="1214"/>
      <c r="AN219" s="1214"/>
      <c r="AO219" s="1214"/>
      <c r="AP219" s="1214"/>
      <c r="AQ219" s="1214"/>
      <c r="AR219" s="1098"/>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7666</v>
      </c>
      <c r="B220" s="1215" t="s">
        <v>7541</v>
      </c>
      <c r="C220" s="1233"/>
      <c r="D220" s="1029" t="s">
        <v>8041</v>
      </c>
      <c r="E220" s="1214"/>
      <c r="F220" s="1028"/>
      <c r="G220" s="1214"/>
      <c r="H220" s="1048"/>
      <c r="I220" s="1214"/>
      <c r="J220" s="1214" t="s">
        <v>321</v>
      </c>
      <c r="K220" s="1214"/>
      <c r="L220" s="1214"/>
      <c r="M220" s="1214"/>
      <c r="N220" s="1214"/>
      <c r="O220" s="1214"/>
      <c r="P220" s="1061"/>
      <c r="Q220" s="1098"/>
      <c r="R220" s="1206"/>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098"/>
      <c r="AM220" s="1214"/>
      <c r="AN220" s="1214"/>
      <c r="AO220" s="1214"/>
      <c r="AP220" s="1214"/>
      <c r="AQ220" s="1214"/>
      <c r="AR220" s="1098"/>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8042</v>
      </c>
      <c r="B221" s="1215" t="s">
        <v>8043</v>
      </c>
      <c r="C221" s="1141" t="s">
        <v>8044</v>
      </c>
      <c r="D221" s="1214"/>
      <c r="E221" s="1214"/>
      <c r="F221" s="1209"/>
      <c r="G221" s="1214"/>
      <c r="H221" s="1048"/>
      <c r="I221" s="1214"/>
      <c r="J221" s="1214" t="s">
        <v>8044</v>
      </c>
      <c r="K221" s="1214"/>
      <c r="L221" s="1214"/>
      <c r="M221" s="1214"/>
      <c r="N221" s="1214"/>
      <c r="O221" s="1214"/>
      <c r="P221" s="1061"/>
      <c r="Q221" s="1098"/>
      <c r="R221" s="1039"/>
      <c r="S221" s="1214"/>
      <c r="T221" s="1214"/>
      <c r="U221" s="1214"/>
      <c r="V221" s="1214"/>
      <c r="W221" s="1214"/>
      <c r="X221" s="1214"/>
      <c r="Y221" s="1214"/>
      <c r="Z221" s="1214"/>
      <c r="AA221" s="1214"/>
      <c r="AB221" s="1214"/>
      <c r="AC221" s="1214"/>
      <c r="AD221" s="1214"/>
      <c r="AE221" s="1214"/>
      <c r="AF221" s="1214"/>
      <c r="AG221" s="1214"/>
      <c r="AH221" s="1214"/>
      <c r="AI221" s="1214"/>
      <c r="AJ221" s="1214"/>
      <c r="AK221" s="1214"/>
      <c r="AL221" s="1098"/>
      <c r="AM221" s="1214"/>
      <c r="AN221" s="1214"/>
      <c r="AO221" s="1214"/>
      <c r="AP221" s="1214"/>
      <c r="AQ221" s="1214"/>
      <c r="AR221" s="1098"/>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8045</v>
      </c>
      <c r="C222" s="1141" t="s">
        <v>2425</v>
      </c>
      <c r="D222" s="1214"/>
      <c r="E222" s="1214"/>
      <c r="F222" s="1028"/>
      <c r="G222" s="1214"/>
      <c r="H222" s="1048"/>
      <c r="I222" s="1214"/>
      <c r="J222" s="1214" t="s">
        <v>2425</v>
      </c>
      <c r="K222" s="1214"/>
      <c r="L222" s="1214"/>
      <c r="M222" s="1214"/>
      <c r="N222" s="1214"/>
      <c r="O222" s="1214"/>
      <c r="P222" s="1061"/>
      <c r="Q222" s="1098"/>
      <c r="R222" s="1206"/>
      <c r="S222" s="1214"/>
      <c r="T222" s="1214"/>
      <c r="U222" s="1214"/>
      <c r="V222" s="1214"/>
      <c r="W222" s="1214"/>
      <c r="X222" s="1214"/>
      <c r="Y222" s="1214"/>
      <c r="Z222" s="1214"/>
      <c r="AA222" s="1214"/>
      <c r="AB222" s="1214"/>
      <c r="AC222" s="1214"/>
      <c r="AD222" s="1214"/>
      <c r="AE222" s="1214"/>
      <c r="AF222" s="1214"/>
      <c r="AG222" s="1214"/>
      <c r="AH222" s="1214"/>
      <c r="AI222" s="1214"/>
      <c r="AJ222" s="1214"/>
      <c r="AK222" s="1214"/>
      <c r="AL222" s="1098"/>
      <c r="AM222" s="1214"/>
      <c r="AN222" s="1214"/>
      <c r="AO222" s="1214"/>
      <c r="AP222" s="1214"/>
      <c r="AQ222" s="1214"/>
      <c r="AR222" s="1098"/>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7781</v>
      </c>
      <c r="B223" s="1213" t="s">
        <v>7541</v>
      </c>
      <c r="C223" s="1141" t="s">
        <v>141</v>
      </c>
      <c r="D223" s="1036" t="s">
        <v>141</v>
      </c>
      <c r="E223" s="1036" t="s">
        <v>310</v>
      </c>
      <c r="F223" s="1028"/>
      <c r="G223" s="1080" t="s">
        <v>1187</v>
      </c>
      <c r="H223" s="1048"/>
      <c r="I223" s="1036"/>
      <c r="J223" s="1036" t="s">
        <v>585</v>
      </c>
      <c r="K223" s="1036" t="s">
        <v>3664</v>
      </c>
      <c r="L223" s="1036" t="s">
        <v>1444</v>
      </c>
      <c r="M223" s="1036"/>
      <c r="N223" s="1036" t="str">
        <f>HYPERLINK("https://youtu.be/YAmVWTPAJZs","42.49")</f>
        <v>42.49</v>
      </c>
      <c r="O223" s="1036"/>
      <c r="P223" s="1032"/>
      <c r="Q223" s="1027" t="s">
        <v>581</v>
      </c>
      <c r="R223" s="1039"/>
      <c r="S223" s="1036"/>
      <c r="T223" s="1036"/>
      <c r="U223" s="1036"/>
      <c r="V223" s="1036"/>
      <c r="W223" s="1036"/>
      <c r="X223" s="1036"/>
      <c r="Y223" s="1036"/>
      <c r="Z223" s="1036"/>
      <c r="AA223" s="1036"/>
      <c r="AB223" s="1036"/>
      <c r="AC223" s="1036"/>
      <c r="AD223" s="1036"/>
      <c r="AE223" s="1036"/>
      <c r="AF223" s="1036"/>
      <c r="AG223" s="1036"/>
      <c r="AH223" s="1036"/>
      <c r="AI223" s="1036"/>
      <c r="AJ223" s="1036"/>
      <c r="AK223" s="1036"/>
      <c r="AL223" s="1098"/>
      <c r="AM223" s="1036"/>
      <c r="AN223" s="1036" t="s">
        <v>1132</v>
      </c>
      <c r="AO223" s="1036"/>
      <c r="AP223" s="1036"/>
      <c r="AQ223" s="1036"/>
      <c r="AR223" s="1098"/>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7666</v>
      </c>
      <c r="B224" s="1215" t="s">
        <v>7541</v>
      </c>
      <c r="C224" s="1233"/>
      <c r="D224" s="1047" t="s">
        <v>8046</v>
      </c>
      <c r="E224" s="1036"/>
      <c r="F224" s="1028"/>
      <c r="G224" s="1080" t="s">
        <v>1407</v>
      </c>
      <c r="H224" s="1048"/>
      <c r="I224" s="1036"/>
      <c r="J224" s="1036"/>
      <c r="K224" s="1036"/>
      <c r="L224" s="1036"/>
      <c r="M224" s="1036"/>
      <c r="N224" s="1036"/>
      <c r="O224" s="1036"/>
      <c r="P224" s="1032"/>
      <c r="Q224" s="1036" t="s">
        <v>8047</v>
      </c>
      <c r="R224" s="1039"/>
      <c r="S224" s="1036"/>
      <c r="T224" s="1036"/>
      <c r="U224" s="1036"/>
      <c r="V224" s="1036"/>
      <c r="W224" s="1036"/>
      <c r="X224" s="1036"/>
      <c r="Y224" s="1036"/>
      <c r="Z224" s="1036"/>
      <c r="AA224" s="1036"/>
      <c r="AB224" s="1036"/>
      <c r="AC224" s="1036"/>
      <c r="AD224" s="1036"/>
      <c r="AE224" s="1036"/>
      <c r="AF224" s="1036"/>
      <c r="AG224" s="1036"/>
      <c r="AH224" s="1036"/>
      <c r="AI224" s="1036"/>
      <c r="AJ224" s="1036"/>
      <c r="AK224" s="1036"/>
      <c r="AL224" s="1098"/>
      <c r="AM224" s="1036"/>
      <c r="AN224" s="1036"/>
      <c r="AO224" s="1036"/>
      <c r="AP224" s="1036"/>
      <c r="AQ224" s="1036"/>
      <c r="AR224" s="1098"/>
      <c r="AS224" s="1036"/>
      <c r="AT224" s="1029" t="s">
        <v>8048</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8049</v>
      </c>
      <c r="C225" s="1141" t="s">
        <v>1466</v>
      </c>
      <c r="D225" s="990" t="s">
        <v>8050</v>
      </c>
      <c r="E225" s="1214"/>
      <c r="F225" s="1028"/>
      <c r="G225" s="1214"/>
      <c r="H225" s="1030" t="s">
        <v>1310</v>
      </c>
      <c r="I225" s="1214" t="s">
        <v>1466</v>
      </c>
      <c r="J225" s="1214"/>
      <c r="K225" s="1214"/>
      <c r="L225" s="1142" t="s">
        <v>170</v>
      </c>
      <c r="M225" s="1214"/>
      <c r="N225" s="1214"/>
      <c r="O225" s="1214"/>
      <c r="P225" s="1061"/>
      <c r="Q225" s="1098"/>
      <c r="R225" s="1039"/>
      <c r="S225" s="1214"/>
      <c r="T225" s="1214"/>
      <c r="U225" s="1214"/>
      <c r="V225" s="1214"/>
      <c r="W225" s="1214"/>
      <c r="X225" s="1214"/>
      <c r="Y225" s="1214"/>
      <c r="Z225" s="1214"/>
      <c r="AA225" s="1214"/>
      <c r="AB225" s="1214"/>
      <c r="AC225" s="1214"/>
      <c r="AD225" s="1214"/>
      <c r="AE225" s="1214"/>
      <c r="AF225" s="1214"/>
      <c r="AG225" s="1214"/>
      <c r="AH225" s="1214"/>
      <c r="AI225" s="1214"/>
      <c r="AJ225" s="1214"/>
      <c r="AK225" s="1214"/>
      <c r="AL225" s="1098"/>
      <c r="AM225" s="1214"/>
      <c r="AN225" s="1214"/>
      <c r="AO225" s="1214"/>
      <c r="AP225" s="1142" t="str">
        <f>HYPERLINK("https://youtu.be/fYWiIA5i7cs","2:29.99")</f>
        <v>2:29.99</v>
      </c>
      <c r="AQ225" s="1214"/>
      <c r="AR225" s="1098"/>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8051</v>
      </c>
      <c r="D226" s="1236"/>
      <c r="E226" s="1236"/>
      <c r="F226" s="1237"/>
      <c r="G226" s="1236"/>
      <c r="H226" s="1238"/>
      <c r="I226" s="1236"/>
      <c r="J226" s="1236"/>
      <c r="K226" s="1236"/>
      <c r="L226" s="1236"/>
      <c r="M226" s="1236"/>
      <c r="N226" s="1236"/>
      <c r="O226" s="1236"/>
      <c r="P226" s="1239"/>
      <c r="Q226" s="1236"/>
      <c r="R226" s="1240"/>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8052</v>
      </c>
      <c r="J227" s="1142" t="s">
        <v>4580</v>
      </c>
      <c r="K227" s="1142" t="s">
        <v>1642</v>
      </c>
      <c r="L227" s="1142" t="s">
        <v>949</v>
      </c>
      <c r="M227" s="1142" t="s">
        <v>257</v>
      </c>
      <c r="N227" s="1148" t="s">
        <v>4429</v>
      </c>
      <c r="O227" s="1142" t="s">
        <v>1173</v>
      </c>
      <c r="P227" s="1150" t="s">
        <v>355</v>
      </c>
      <c r="Q227" s="1144"/>
      <c r="R227" s="1243" t="s">
        <v>8053</v>
      </c>
      <c r="S227" s="1148"/>
      <c r="T227" s="1148"/>
      <c r="U227" s="1148"/>
      <c r="V227" s="1148"/>
      <c r="W227" s="1148"/>
      <c r="X227" s="1148" t="s">
        <v>4043</v>
      </c>
      <c r="Y227" s="1148"/>
      <c r="Z227" s="1148"/>
      <c r="AA227" s="1148"/>
      <c r="AB227" s="1142" t="s">
        <v>503</v>
      </c>
      <c r="AC227" s="1148"/>
      <c r="AD227" s="1148"/>
      <c r="AE227" s="1148"/>
      <c r="AF227" s="1148"/>
      <c r="AG227" s="1148"/>
      <c r="AH227" s="1148"/>
      <c r="AI227" s="1148"/>
      <c r="AJ227" s="1148"/>
      <c r="AK227" s="1148"/>
      <c r="AL227" s="1144"/>
      <c r="AM227" s="1148"/>
      <c r="AN227" s="1148"/>
      <c r="AO227" s="1148"/>
      <c r="AP227" s="1148"/>
      <c r="AQ227" s="1148"/>
      <c r="AR227" s="1144"/>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7789</v>
      </c>
      <c r="B228" s="1242" t="s">
        <v>8054</v>
      </c>
      <c r="C228" s="1141" t="s">
        <v>1615</v>
      </c>
      <c r="D228" s="1036" t="s">
        <v>1601</v>
      </c>
      <c r="E228" s="1142" t="s">
        <v>1615</v>
      </c>
      <c r="F228" s="1042" t="s">
        <v>2570</v>
      </c>
      <c r="G228" s="1142" t="s">
        <v>2216</v>
      </c>
      <c r="H228" s="1030" t="s">
        <v>2771</v>
      </c>
      <c r="I228" s="1142" t="s">
        <v>1601</v>
      </c>
      <c r="J228" s="1142" t="s">
        <v>7869</v>
      </c>
      <c r="K228" s="1142" t="s">
        <v>2216</v>
      </c>
      <c r="L228" s="1142" t="s">
        <v>950</v>
      </c>
      <c r="M228" s="1142" t="s">
        <v>1242</v>
      </c>
      <c r="N228" s="1142" t="s">
        <v>375</v>
      </c>
      <c r="O228" s="1142" t="s">
        <v>2933</v>
      </c>
      <c r="P228" s="1143" t="s">
        <v>2355</v>
      </c>
      <c r="Q228" s="1144"/>
      <c r="R228" s="1050" t="s">
        <v>938</v>
      </c>
      <c r="S228" s="1142" t="s">
        <v>845</v>
      </c>
      <c r="T228" s="1142"/>
      <c r="U228" s="1142"/>
      <c r="V228" s="1142"/>
      <c r="W228" s="1142"/>
      <c r="X228" s="1142" t="s">
        <v>2318</v>
      </c>
      <c r="Y228" s="1142"/>
      <c r="Z228" s="1142"/>
      <c r="AA228" s="1142"/>
      <c r="AB228" s="1142"/>
      <c r="AC228" s="1142"/>
      <c r="AD228" s="1142"/>
      <c r="AE228" s="1142"/>
      <c r="AF228" s="1142"/>
      <c r="AG228" s="1142"/>
      <c r="AH228" s="1142"/>
      <c r="AI228" s="1142"/>
      <c r="AJ228" s="1142"/>
      <c r="AK228" s="1142"/>
      <c r="AL228" s="1144"/>
      <c r="AM228" s="1142"/>
      <c r="AN228" s="1142"/>
      <c r="AO228" s="1142"/>
      <c r="AP228" s="1142"/>
      <c r="AQ228" s="1142"/>
      <c r="AR228" s="1144"/>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8055</v>
      </c>
      <c r="I229" s="1142" t="s">
        <v>1727</v>
      </c>
      <c r="J229" s="1148"/>
      <c r="K229" s="1142" t="s">
        <v>6606</v>
      </c>
      <c r="L229" s="1142" t="s">
        <v>4507</v>
      </c>
      <c r="M229" s="1142" t="str">
        <f>HYPERLINK("https://www.youtube.com/watch?v=aWzlUqH0LaM","41.87")</f>
        <v>41.87</v>
      </c>
      <c r="N229" s="1148" t="s">
        <v>2197</v>
      </c>
      <c r="O229" s="1142" t="s">
        <v>1533</v>
      </c>
      <c r="P229" s="1150" t="s">
        <v>3298</v>
      </c>
      <c r="Q229" s="1144"/>
      <c r="R229" s="1245" t="s">
        <v>661</v>
      </c>
      <c r="S229" s="1148"/>
      <c r="T229" s="1148"/>
      <c r="U229" s="1148"/>
      <c r="V229" s="1148"/>
      <c r="W229" s="1148"/>
      <c r="X229" s="1148" t="s">
        <v>8056</v>
      </c>
      <c r="Y229" s="1148"/>
      <c r="Z229" s="1148"/>
      <c r="AA229" s="1148"/>
      <c r="AB229" s="1148"/>
      <c r="AC229" s="1148"/>
      <c r="AD229" s="1148"/>
      <c r="AE229" s="1148"/>
      <c r="AF229" s="1148"/>
      <c r="AG229" s="1148"/>
      <c r="AH229" s="1148"/>
      <c r="AI229" s="1148"/>
      <c r="AJ229" s="1148"/>
      <c r="AK229" s="1148"/>
      <c r="AL229" s="1144"/>
      <c r="AM229" s="1148"/>
      <c r="AN229" s="1148"/>
      <c r="AO229" s="1148"/>
      <c r="AP229" s="1148"/>
      <c r="AQ229" s="1148"/>
      <c r="AR229" s="1144"/>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7725</v>
      </c>
      <c r="B230" s="1242" t="s">
        <v>8057</v>
      </c>
      <c r="C230" s="1025" t="s">
        <v>8058</v>
      </c>
      <c r="D230" s="1148" t="s">
        <v>7510</v>
      </c>
      <c r="E230" s="1148"/>
      <c r="F230" s="1246"/>
      <c r="G230" s="1148"/>
      <c r="H230" s="1030" t="s">
        <v>8059</v>
      </c>
      <c r="I230" s="1148"/>
      <c r="J230" s="1148"/>
      <c r="K230" s="1148"/>
      <c r="L230" s="1148"/>
      <c r="M230" s="1148"/>
      <c r="N230" s="1148"/>
      <c r="O230" s="1148"/>
      <c r="P230" s="1150"/>
      <c r="Q230" s="1144"/>
      <c r="R230" s="1059" t="s">
        <v>8060</v>
      </c>
      <c r="S230" s="1148"/>
      <c r="T230" s="1148"/>
      <c r="U230" s="1148"/>
      <c r="V230" s="1148"/>
      <c r="W230" s="1071" t="s">
        <v>8058</v>
      </c>
      <c r="X230" s="1148"/>
      <c r="Y230" s="1148"/>
      <c r="Z230" s="1148"/>
      <c r="AA230" s="1148"/>
      <c r="AB230" s="1148"/>
      <c r="AC230" s="1148"/>
      <c r="AD230" s="1148"/>
      <c r="AE230" s="1148"/>
      <c r="AF230" s="1148"/>
      <c r="AG230" s="1148"/>
      <c r="AH230" s="1148"/>
      <c r="AI230" s="1148"/>
      <c r="AJ230" s="1148"/>
      <c r="AK230" s="1148"/>
      <c r="AL230" s="1144"/>
      <c r="AM230" s="1148"/>
      <c r="AN230" s="1148"/>
      <c r="AO230" s="1148"/>
      <c r="AP230" s="1148"/>
      <c r="AQ230" s="1148"/>
      <c r="AR230" s="1144"/>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8061</v>
      </c>
      <c r="C231" s="1141" t="s">
        <v>506</v>
      </c>
      <c r="D231" s="1036" t="s">
        <v>8062</v>
      </c>
      <c r="E231" s="1148"/>
      <c r="F231" s="1076" t="s">
        <v>8063</v>
      </c>
      <c r="G231" s="1148" t="s">
        <v>7757</v>
      </c>
      <c r="H231" s="1030" t="s">
        <v>1314</v>
      </c>
      <c r="I231" s="1148"/>
      <c r="J231" s="1142" t="s">
        <v>8064</v>
      </c>
      <c r="K231" s="1148"/>
      <c r="L231" s="1148" t="s">
        <v>951</v>
      </c>
      <c r="M231" s="1142" t="s">
        <v>792</v>
      </c>
      <c r="N231" s="1148"/>
      <c r="O231" s="1148"/>
      <c r="P231" s="1150" t="s">
        <v>4199</v>
      </c>
      <c r="Q231" s="1186" t="s">
        <v>8065</v>
      </c>
      <c r="R231" s="1244"/>
      <c r="S231" s="1148"/>
      <c r="T231" s="1148"/>
      <c r="U231" s="1148"/>
      <c r="V231" s="1142" t="s">
        <v>506</v>
      </c>
      <c r="W231" s="1148"/>
      <c r="X231" s="1148" t="s">
        <v>6350</v>
      </c>
      <c r="Y231" s="1148"/>
      <c r="Z231" s="1148"/>
      <c r="AA231" s="1148"/>
      <c r="AB231" s="1148"/>
      <c r="AC231" s="1148"/>
      <c r="AD231" s="1148" t="s">
        <v>8066</v>
      </c>
      <c r="AE231" s="1148" t="s">
        <v>8067</v>
      </c>
      <c r="AF231" s="1148"/>
      <c r="AG231" s="1148"/>
      <c r="AH231" s="1148"/>
      <c r="AI231" s="1148"/>
      <c r="AJ231" s="1148"/>
      <c r="AK231" s="1148"/>
      <c r="AL231" s="1144"/>
      <c r="AM231" s="1148"/>
      <c r="AN231" s="1148"/>
      <c r="AO231" s="1148"/>
      <c r="AP231" s="1148"/>
      <c r="AQ231" s="1148"/>
      <c r="AR231" s="1144"/>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8068</v>
      </c>
      <c r="C232" s="1141" t="s">
        <v>8069</v>
      </c>
      <c r="D232" s="1148"/>
      <c r="E232" s="1148"/>
      <c r="F232" s="1246"/>
      <c r="G232" s="1148"/>
      <c r="H232" s="1048"/>
      <c r="I232" s="1148"/>
      <c r="J232" s="1148"/>
      <c r="K232" s="1148"/>
      <c r="L232" s="1148"/>
      <c r="M232" s="1148"/>
      <c r="N232" s="1148"/>
      <c r="O232" s="1148"/>
      <c r="P232" s="1150"/>
      <c r="Q232" s="1144"/>
      <c r="R232" s="1039"/>
      <c r="S232" s="1148"/>
      <c r="T232" s="1148"/>
      <c r="U232" s="1148"/>
      <c r="V232" s="1148"/>
      <c r="W232" s="1148"/>
      <c r="X232" s="1148"/>
      <c r="Y232" s="1148"/>
      <c r="Z232" s="1148"/>
      <c r="AA232" s="1148"/>
      <c r="AB232" s="1148"/>
      <c r="AC232" s="1148"/>
      <c r="AD232" s="1142" t="s">
        <v>8069</v>
      </c>
      <c r="AE232" s="1148"/>
      <c r="AF232" s="1148"/>
      <c r="AG232" s="1148"/>
      <c r="AH232" s="1148"/>
      <c r="AI232" s="1148"/>
      <c r="AJ232" s="1148"/>
      <c r="AK232" s="1148"/>
      <c r="AL232" s="1144"/>
      <c r="AM232" s="1148"/>
      <c r="AN232" s="1148"/>
      <c r="AO232" s="1148"/>
      <c r="AP232" s="1142" t="s">
        <v>3480</v>
      </c>
      <c r="AQ232" s="1148"/>
      <c r="AR232" s="1144"/>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8070</v>
      </c>
      <c r="C233" s="1141" t="s">
        <v>3128</v>
      </c>
      <c r="D233" s="1148"/>
      <c r="E233" s="1148"/>
      <c r="F233" s="1063" t="s">
        <v>2572</v>
      </c>
      <c r="G233" s="1142" t="s">
        <v>6848</v>
      </c>
      <c r="H233" s="1048"/>
      <c r="I233" s="1148"/>
      <c r="J233" s="1148"/>
      <c r="K233" s="1148"/>
      <c r="L233" s="1148"/>
      <c r="M233" s="1148"/>
      <c r="N233" s="1148"/>
      <c r="O233" s="1148"/>
      <c r="P233" s="1150"/>
      <c r="Q233" s="1144"/>
      <c r="R233" s="1244"/>
      <c r="S233" s="1148"/>
      <c r="T233" s="1148"/>
      <c r="U233" s="1148"/>
      <c r="V233" s="1148"/>
      <c r="W233" s="1148"/>
      <c r="X233" s="1148"/>
      <c r="Y233" s="1148"/>
      <c r="Z233" s="1148"/>
      <c r="AA233" s="1148"/>
      <c r="AB233" s="1148"/>
      <c r="AC233" s="1148"/>
      <c r="AD233" s="1142" t="s">
        <v>8071</v>
      </c>
      <c r="AE233" s="1148"/>
      <c r="AF233" s="1148"/>
      <c r="AG233" s="1148"/>
      <c r="AH233" s="1148"/>
      <c r="AI233" s="1148"/>
      <c r="AJ233" s="1148"/>
      <c r="AK233" s="1148"/>
      <c r="AL233" s="1144"/>
      <c r="AM233" s="1148"/>
      <c r="AN233" s="1148"/>
      <c r="AO233" s="1148"/>
      <c r="AP233" s="1148"/>
      <c r="AQ233" s="1148"/>
      <c r="AR233" s="1144"/>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8057</v>
      </c>
      <c r="C234" s="1141"/>
      <c r="D234" s="1254"/>
      <c r="E234" s="1254"/>
      <c r="F234" s="1246"/>
      <c r="G234" s="1254"/>
      <c r="H234" s="1048"/>
      <c r="I234" s="1254"/>
      <c r="J234" s="1254"/>
      <c r="K234" s="1254"/>
      <c r="L234" s="1254"/>
      <c r="M234" s="1254"/>
      <c r="N234" s="1254"/>
      <c r="O234" s="1254"/>
      <c r="P234" s="1255"/>
      <c r="Q234" s="1144"/>
      <c r="R234" s="1050" t="s">
        <v>8072</v>
      </c>
      <c r="S234" s="1254"/>
      <c r="T234" s="1254"/>
      <c r="U234" s="1254"/>
      <c r="V234" s="1254"/>
      <c r="W234" s="1254"/>
      <c r="X234" s="1254"/>
      <c r="Y234" s="1254"/>
      <c r="Z234" s="1254"/>
      <c r="AA234" s="1254"/>
      <c r="AB234" s="1254"/>
      <c r="AC234" s="1254"/>
      <c r="AD234" s="1254"/>
      <c r="AE234" s="1254"/>
      <c r="AF234" s="1254"/>
      <c r="AG234" s="1254"/>
      <c r="AH234" s="1254"/>
      <c r="AI234" s="1254"/>
      <c r="AJ234" s="1254"/>
      <c r="AK234" s="1254"/>
      <c r="AL234" s="1144"/>
      <c r="AM234" s="1254"/>
      <c r="AN234" s="1254"/>
      <c r="AO234" s="1254"/>
      <c r="AP234" s="1254"/>
      <c r="AQ234" s="1254"/>
      <c r="AR234" s="1144"/>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8061</v>
      </c>
      <c r="C235" s="1256" t="s">
        <v>8073</v>
      </c>
      <c r="D235" s="1257" t="s">
        <v>8073</v>
      </c>
      <c r="E235" s="1254"/>
      <c r="F235" s="1028"/>
      <c r="G235" s="1254"/>
      <c r="H235" s="1048"/>
      <c r="I235" s="1254"/>
      <c r="J235" s="1254"/>
      <c r="K235" s="1254"/>
      <c r="L235" s="1254"/>
      <c r="M235" s="1254"/>
      <c r="N235" s="1254"/>
      <c r="O235" s="1254"/>
      <c r="P235" s="1255"/>
      <c r="Q235" s="1144"/>
      <c r="R235" s="1039"/>
      <c r="S235" s="1254"/>
      <c r="T235" s="1254"/>
      <c r="U235" s="1254"/>
      <c r="V235" s="1254"/>
      <c r="W235" s="1254"/>
      <c r="X235" s="1254"/>
      <c r="Y235" s="1254"/>
      <c r="Z235" s="1254"/>
      <c r="AA235" s="1254"/>
      <c r="AB235" s="1254"/>
      <c r="AC235" s="1254"/>
      <c r="AD235" s="1254"/>
      <c r="AE235" s="1254"/>
      <c r="AF235" s="1254"/>
      <c r="AG235" s="1254"/>
      <c r="AH235" s="1254"/>
      <c r="AI235" s="1254"/>
      <c r="AJ235" s="1254"/>
      <c r="AK235" s="1254"/>
      <c r="AL235" s="1144"/>
      <c r="AM235" s="1254"/>
      <c r="AN235" s="1254"/>
      <c r="AO235" s="1254"/>
      <c r="AP235" s="1254"/>
      <c r="AQ235" s="1254"/>
      <c r="AR235" s="1144"/>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8068</v>
      </c>
      <c r="C236" s="1141"/>
      <c r="D236" s="1254"/>
      <c r="E236" s="1254"/>
      <c r="F236" s="1246"/>
      <c r="G236" s="1254"/>
      <c r="H236" s="1048"/>
      <c r="I236" s="1254"/>
      <c r="J236" s="1254"/>
      <c r="K236" s="1254"/>
      <c r="L236" s="1254"/>
      <c r="M236" s="1254"/>
      <c r="N236" s="1254"/>
      <c r="O236" s="1254"/>
      <c r="P236" s="1255"/>
      <c r="Q236" s="1144"/>
      <c r="R236" s="1039"/>
      <c r="S236" s="1254"/>
      <c r="T236" s="1254"/>
      <c r="U236" s="1254"/>
      <c r="V236" s="1254"/>
      <c r="W236" s="1254"/>
      <c r="X236" s="1254"/>
      <c r="Y236" s="1254"/>
      <c r="Z236" s="1254"/>
      <c r="AA236" s="1254"/>
      <c r="AB236" s="1254"/>
      <c r="AC236" s="1254"/>
      <c r="AD236" s="1254"/>
      <c r="AE236" s="1254"/>
      <c r="AF236" s="1254"/>
      <c r="AG236" s="1254"/>
      <c r="AH236" s="1254"/>
      <c r="AI236" s="1254"/>
      <c r="AJ236" s="1254"/>
      <c r="AK236" s="1254"/>
      <c r="AL236" s="1144"/>
      <c r="AM236" s="1254"/>
      <c r="AN236" s="1254"/>
      <c r="AO236" s="1254"/>
      <c r="AP236" s="1254"/>
      <c r="AQ236" s="1254"/>
      <c r="AR236" s="1144"/>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8070</v>
      </c>
      <c r="C237" s="1025" t="s">
        <v>764</v>
      </c>
      <c r="D237" s="1254"/>
      <c r="E237" s="1254"/>
      <c r="F237" s="1057" t="s">
        <v>2573</v>
      </c>
      <c r="G237" s="1025" t="s">
        <v>764</v>
      </c>
      <c r="H237" s="1048"/>
      <c r="I237" s="1254"/>
      <c r="J237" s="1254"/>
      <c r="K237" s="1254"/>
      <c r="L237" s="1254"/>
      <c r="M237" s="1254"/>
      <c r="N237" s="1254"/>
      <c r="O237" s="1254"/>
      <c r="P237" s="1255"/>
      <c r="Q237" s="1144"/>
      <c r="R237" s="1039"/>
      <c r="S237" s="1254"/>
      <c r="T237" s="1254"/>
      <c r="U237" s="1254"/>
      <c r="V237" s="1254"/>
      <c r="W237" s="1254"/>
      <c r="X237" s="1254"/>
      <c r="Y237" s="1254"/>
      <c r="Z237" s="1254"/>
      <c r="AA237" s="1254"/>
      <c r="AB237" s="1254"/>
      <c r="AC237" s="1254"/>
      <c r="AD237" s="1254"/>
      <c r="AE237" s="1254"/>
      <c r="AF237" s="1254"/>
      <c r="AG237" s="1254"/>
      <c r="AH237" s="1254"/>
      <c r="AI237" s="1254"/>
      <c r="AJ237" s="1254"/>
      <c r="AK237" s="1254"/>
      <c r="AL237" s="1144"/>
      <c r="AM237" s="1254"/>
      <c r="AN237" s="1254"/>
      <c r="AO237" s="1254"/>
      <c r="AP237" s="1254"/>
      <c r="AQ237" s="1254"/>
      <c r="AR237" s="1144"/>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8074</v>
      </c>
      <c r="C238" s="1141" t="s">
        <v>8075</v>
      </c>
      <c r="D238" s="1258">
        <v>13.23</v>
      </c>
      <c r="E238" s="1254"/>
      <c r="F238" s="1259" t="s">
        <v>8076</v>
      </c>
      <c r="G238" s="1254"/>
      <c r="H238" s="1030" t="s">
        <v>8077</v>
      </c>
      <c r="I238" s="1254"/>
      <c r="J238" s="1260" t="s">
        <v>3592</v>
      </c>
      <c r="K238" s="1254"/>
      <c r="L238" s="1254"/>
      <c r="M238" s="1254"/>
      <c r="N238" s="1254"/>
      <c r="O238" s="1254"/>
      <c r="P238" s="1255"/>
      <c r="Q238" s="1144"/>
      <c r="R238" s="1244"/>
      <c r="S238" s="1254"/>
      <c r="T238" s="1260" t="s">
        <v>7903</v>
      </c>
      <c r="U238" s="1254"/>
      <c r="V238" s="1254"/>
      <c r="W238" s="1254"/>
      <c r="X238" s="1254"/>
      <c r="Y238" s="1260" t="s">
        <v>2611</v>
      </c>
      <c r="Z238" s="1254"/>
      <c r="AA238" s="1254"/>
      <c r="AB238" s="1254"/>
      <c r="AC238" s="1254"/>
      <c r="AD238" s="1260" t="s">
        <v>8075</v>
      </c>
      <c r="AE238" s="1254"/>
      <c r="AF238" s="1254"/>
      <c r="AG238" s="1254"/>
      <c r="AH238" s="1254"/>
      <c r="AI238" s="1254"/>
      <c r="AJ238" s="1254"/>
      <c r="AK238" s="1254"/>
      <c r="AL238" s="1144"/>
      <c r="AM238" s="1254"/>
      <c r="AN238" s="1254" t="s">
        <v>7916</v>
      </c>
      <c r="AO238" s="1254"/>
      <c r="AP238" s="1254"/>
      <c r="AQ238" s="1254"/>
      <c r="AR238" s="1144"/>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8078</v>
      </c>
      <c r="C239" s="1141" t="s">
        <v>486</v>
      </c>
      <c r="D239" s="1142"/>
      <c r="E239" s="1142" t="s">
        <v>799</v>
      </c>
      <c r="F239" s="1057" t="s">
        <v>1471</v>
      </c>
      <c r="G239" s="1142" t="s">
        <v>486</v>
      </c>
      <c r="H239" s="1030" t="s">
        <v>8079</v>
      </c>
      <c r="I239" s="1142"/>
      <c r="J239" s="1142"/>
      <c r="K239" s="1142"/>
      <c r="L239" s="1142" t="s">
        <v>8075</v>
      </c>
      <c r="M239" s="1142"/>
      <c r="N239" s="1142"/>
      <c r="O239" s="1142"/>
      <c r="P239" s="1143"/>
      <c r="Q239" s="1144"/>
      <c r="R239" s="1039"/>
      <c r="S239" s="1142"/>
      <c r="T239" s="1142"/>
      <c r="U239" s="1142" t="s">
        <v>8080</v>
      </c>
      <c r="V239" s="1142"/>
      <c r="W239" s="1142"/>
      <c r="X239" s="1142"/>
      <c r="Y239" s="1142"/>
      <c r="Z239" s="1142"/>
      <c r="AA239" s="1142" t="s">
        <v>7903</v>
      </c>
      <c r="AB239" s="1142"/>
      <c r="AC239" s="1142"/>
      <c r="AD239" s="1142" t="s">
        <v>486</v>
      </c>
      <c r="AE239" s="1142"/>
      <c r="AF239" s="1142"/>
      <c r="AG239" s="1142"/>
      <c r="AH239" s="1142"/>
      <c r="AI239" s="1142"/>
      <c r="AJ239" s="1142"/>
      <c r="AK239" s="1142"/>
      <c r="AL239" s="1144"/>
      <c r="AM239" s="1142"/>
      <c r="AN239" s="1142"/>
      <c r="AO239" s="1142"/>
      <c r="AP239" s="1142"/>
      <c r="AQ239" s="1142"/>
      <c r="AR239" s="1144"/>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7804</v>
      </c>
      <c r="B240" s="1242" t="s">
        <v>7541</v>
      </c>
      <c r="C240" s="1261" t="s">
        <v>961</v>
      </c>
      <c r="D240" s="1148"/>
      <c r="E240" s="1148"/>
      <c r="F240" s="1259" t="s">
        <v>961</v>
      </c>
      <c r="G240" s="1148"/>
      <c r="H240" s="1048"/>
      <c r="I240" s="1148"/>
      <c r="J240" s="1148"/>
      <c r="K240" s="1148"/>
      <c r="L240" s="1148"/>
      <c r="M240" s="1148"/>
      <c r="N240" s="1148"/>
      <c r="O240" s="1148"/>
      <c r="P240" s="1150"/>
      <c r="Q240" s="1144"/>
      <c r="R240" s="1244"/>
      <c r="S240" s="1148"/>
      <c r="T240" s="1148"/>
      <c r="U240" s="1148"/>
      <c r="V240" s="1148"/>
      <c r="W240" s="1148"/>
      <c r="X240" s="1148"/>
      <c r="Y240" s="1148"/>
      <c r="Z240" s="1148"/>
      <c r="AA240" s="1148"/>
      <c r="AB240" s="1148"/>
      <c r="AC240" s="1148"/>
      <c r="AD240" s="1148"/>
      <c r="AE240" s="1148"/>
      <c r="AF240" s="1148"/>
      <c r="AG240" s="1148"/>
      <c r="AH240" s="1148"/>
      <c r="AI240" s="1148"/>
      <c r="AJ240" s="1148"/>
      <c r="AK240" s="1148"/>
      <c r="AL240" s="1144"/>
      <c r="AM240" s="1148"/>
      <c r="AN240" s="1148"/>
      <c r="AO240" s="1148"/>
      <c r="AP240" s="1148"/>
      <c r="AQ240" s="1148"/>
      <c r="AR240" s="1144"/>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8081</v>
      </c>
      <c r="B241" s="1263" t="s">
        <v>7541</v>
      </c>
      <c r="C241" s="1056" t="s">
        <v>8082</v>
      </c>
      <c r="D241" s="1030" t="s">
        <v>8083</v>
      </c>
      <c r="E241" s="1148"/>
      <c r="F241" s="1057" t="s">
        <v>8084</v>
      </c>
      <c r="G241" s="1152" t="s">
        <v>426</v>
      </c>
      <c r="H241" s="1048"/>
      <c r="I241" s="1148"/>
      <c r="J241" s="1148"/>
      <c r="K241" s="1148"/>
      <c r="L241" s="1148"/>
      <c r="M241" s="1148"/>
      <c r="N241" s="1148"/>
      <c r="O241" s="1148"/>
      <c r="P241" s="1150"/>
      <c r="Q241" s="1144"/>
      <c r="R241" s="1039"/>
      <c r="S241" s="1148"/>
      <c r="T241" s="1148"/>
      <c r="U241" s="1148"/>
      <c r="V241" s="1148"/>
      <c r="W241" s="1148"/>
      <c r="X241" s="1148"/>
      <c r="Y241" s="1148"/>
      <c r="Z241" s="1148"/>
      <c r="AA241" s="1148"/>
      <c r="AB241" s="1148"/>
      <c r="AC241" s="1148"/>
      <c r="AD241" s="1148"/>
      <c r="AE241" s="1148"/>
      <c r="AF241" s="1148"/>
      <c r="AG241" s="1148"/>
      <c r="AH241" s="1148"/>
      <c r="AI241" s="1148"/>
      <c r="AJ241" s="1148"/>
      <c r="AK241" s="1148"/>
      <c r="AL241" s="1144"/>
      <c r="AM241" s="1148"/>
      <c r="AN241" s="1148"/>
      <c r="AO241" s="1148"/>
      <c r="AP241" s="1148"/>
      <c r="AQ241" s="1148"/>
      <c r="AR241" s="1144"/>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8085</v>
      </c>
      <c r="C242" s="1141" t="s">
        <v>8086</v>
      </c>
      <c r="D242" s="1148" t="s">
        <v>4194</v>
      </c>
      <c r="E242" s="1148"/>
      <c r="F242" s="1246"/>
      <c r="G242" s="1148"/>
      <c r="H242" s="1048"/>
      <c r="I242" s="1148"/>
      <c r="J242" s="1148"/>
      <c r="K242" s="1142" t="s">
        <v>5501</v>
      </c>
      <c r="L242" s="1148"/>
      <c r="M242" s="1148"/>
      <c r="N242" s="1148"/>
      <c r="O242" s="1148"/>
      <c r="P242" s="1150"/>
      <c r="Q242" s="1144"/>
      <c r="R242" s="1039"/>
      <c r="S242" s="1148"/>
      <c r="T242" s="1148"/>
      <c r="U242" s="1142" t="s">
        <v>4642</v>
      </c>
      <c r="V242" s="1148"/>
      <c r="W242" s="1148"/>
      <c r="X242" s="1148"/>
      <c r="Y242" s="1148"/>
      <c r="Z242" s="1148"/>
      <c r="AA242" s="1148"/>
      <c r="AB242" s="1148"/>
      <c r="AC242" s="1148"/>
      <c r="AD242" s="1148"/>
      <c r="AE242" s="1148"/>
      <c r="AF242" s="1148"/>
      <c r="AG242" s="1148"/>
      <c r="AH242" s="1148"/>
      <c r="AI242" s="1148"/>
      <c r="AJ242" s="1148"/>
      <c r="AK242" s="1148"/>
      <c r="AL242" s="1144"/>
      <c r="AM242" s="1148"/>
      <c r="AN242" s="1148"/>
      <c r="AO242" s="1148"/>
      <c r="AP242" s="1148"/>
      <c r="AQ242" s="1148"/>
      <c r="AR242" s="1144"/>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8087</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144"/>
      <c r="R243" s="1244"/>
      <c r="S243" s="1148" t="s">
        <v>2001</v>
      </c>
      <c r="T243" s="1030" t="s">
        <v>1762</v>
      </c>
      <c r="U243" s="1030" t="s">
        <v>122</v>
      </c>
      <c r="V243" s="1142" t="s">
        <v>4049</v>
      </c>
      <c r="W243" s="1148"/>
      <c r="X243" s="1148" t="s">
        <v>4434</v>
      </c>
      <c r="Y243" s="1148"/>
      <c r="Z243" s="1148"/>
      <c r="AA243" s="1148"/>
      <c r="AB243" s="1148"/>
      <c r="AC243" s="1148"/>
      <c r="AD243" s="1148"/>
      <c r="AE243" s="1148"/>
      <c r="AF243" s="1148"/>
      <c r="AG243" s="1148"/>
      <c r="AH243" s="1148"/>
      <c r="AI243" s="1148" t="s">
        <v>2811</v>
      </c>
      <c r="AJ243" s="1148"/>
      <c r="AK243" s="1148"/>
      <c r="AL243" s="1144"/>
      <c r="AM243" s="1148"/>
      <c r="AN243" s="1148"/>
      <c r="AO243" s="1148"/>
      <c r="AP243" s="1148"/>
      <c r="AQ243" s="1148"/>
      <c r="AR243" s="1144"/>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8088</v>
      </c>
      <c r="C244" s="1056" t="s">
        <v>2574</v>
      </c>
      <c r="D244" s="1142"/>
      <c r="E244" s="1142" t="s">
        <v>402</v>
      </c>
      <c r="F244" s="1042" t="s">
        <v>2574</v>
      </c>
      <c r="G244" s="1148" t="s">
        <v>7690</v>
      </c>
      <c r="H244" s="1048"/>
      <c r="I244" s="1142"/>
      <c r="J244" s="1142"/>
      <c r="K244" s="1142"/>
      <c r="L244" s="1142" t="s">
        <v>177</v>
      </c>
      <c r="M244" s="1142" t="str">
        <f>HYPERLINK("https://youtu.be/gxCMrXIu1MU","52.20")</f>
        <v>52.20</v>
      </c>
      <c r="N244" s="1142"/>
      <c r="O244" s="1142"/>
      <c r="P244" s="1143"/>
      <c r="Q244" s="1144"/>
      <c r="R244" s="1039"/>
      <c r="S244" s="1142"/>
      <c r="T244" s="1142"/>
      <c r="U244" s="1142"/>
      <c r="V244" s="1142"/>
      <c r="W244" s="1142"/>
      <c r="X244" s="1142"/>
      <c r="Y244" s="1142"/>
      <c r="Z244" s="1142"/>
      <c r="AA244" s="1142"/>
      <c r="AB244" s="1142"/>
      <c r="AC244" s="1142"/>
      <c r="AD244" s="1142"/>
      <c r="AE244" s="1142"/>
      <c r="AF244" s="1142"/>
      <c r="AG244" s="1142"/>
      <c r="AH244" s="1142"/>
      <c r="AI244" s="1142"/>
      <c r="AJ244" s="1142"/>
      <c r="AK244" s="1142"/>
      <c r="AL244" s="1144"/>
      <c r="AM244" s="1142"/>
      <c r="AN244" s="1142"/>
      <c r="AO244" s="1142"/>
      <c r="AP244" s="1142"/>
      <c r="AQ244" s="1142"/>
      <c r="AR244" s="1144"/>
      <c r="AS244" s="1142"/>
      <c r="AT244" s="1142"/>
      <c r="AU244" s="1039"/>
      <c r="AV244" s="1142"/>
      <c r="AW244" s="1142"/>
      <c r="AX244" s="1142"/>
      <c r="AY244" s="1142"/>
      <c r="AZ244" s="1142"/>
      <c r="BA244" s="1039"/>
      <c r="BB244" s="1071" t="s">
        <v>8089</v>
      </c>
      <c r="BC244" s="1142"/>
      <c r="BD244" s="1142"/>
      <c r="BE244" s="1142"/>
      <c r="BF244" s="1142"/>
      <c r="BG244" s="1142"/>
      <c r="BH244" s="1142"/>
      <c r="BI244" s="1039"/>
      <c r="BJ244" s="1039"/>
      <c r="BK244" s="1039"/>
      <c r="BL244" s="1039"/>
      <c r="BM244" s="1039"/>
      <c r="BN244" s="1039"/>
      <c r="BO244" s="1039"/>
    </row>
    <row r="245" ht="15.75" customHeight="1">
      <c r="A245" s="1252" t="s">
        <v>7555</v>
      </c>
      <c r="B245" s="1265" t="s">
        <v>8090</v>
      </c>
      <c r="C245" s="1141" t="s">
        <v>2959</v>
      </c>
      <c r="D245" s="1148" t="s">
        <v>389</v>
      </c>
      <c r="E245" s="1148"/>
      <c r="F245" s="1028"/>
      <c r="G245" s="1148"/>
      <c r="H245" s="1048"/>
      <c r="I245" s="1148"/>
      <c r="J245" s="1148"/>
      <c r="K245" s="1030" t="s">
        <v>3273</v>
      </c>
      <c r="L245" s="1148"/>
      <c r="M245" s="1148"/>
      <c r="N245" s="1148"/>
      <c r="O245" s="1148"/>
      <c r="P245" s="1150"/>
      <c r="Q245" s="1144"/>
      <c r="R245" s="1244"/>
      <c r="S245" s="1148"/>
      <c r="T245" s="1148"/>
      <c r="U245" s="1148"/>
      <c r="V245" s="1148"/>
      <c r="W245" s="1148"/>
      <c r="X245" s="1148"/>
      <c r="Y245" s="1148"/>
      <c r="Z245" s="1148"/>
      <c r="AA245" s="1148"/>
      <c r="AB245" s="1148"/>
      <c r="AC245" s="1148"/>
      <c r="AD245" s="1148"/>
      <c r="AE245" s="1148"/>
      <c r="AF245" s="1148"/>
      <c r="AG245" s="1148"/>
      <c r="AH245" s="1148"/>
      <c r="AI245" s="1148"/>
      <c r="AJ245" s="1148"/>
      <c r="AK245" s="1148"/>
      <c r="AL245" s="1144"/>
      <c r="AM245" s="1148"/>
      <c r="AN245" s="1148"/>
      <c r="AO245" s="1148"/>
      <c r="AP245" s="1148"/>
      <c r="AQ245" s="1148"/>
      <c r="AR245" s="1144"/>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8091</v>
      </c>
      <c r="C246" s="1051" t="s">
        <v>1694</v>
      </c>
      <c r="D246" s="1142"/>
      <c r="E246" s="1142" t="s">
        <v>4252</v>
      </c>
      <c r="F246" s="1259" t="s">
        <v>2356</v>
      </c>
      <c r="G246" s="1142"/>
      <c r="H246" s="1048"/>
      <c r="I246" s="1142"/>
      <c r="J246" s="1142"/>
      <c r="K246" s="1142"/>
      <c r="L246" s="1142"/>
      <c r="M246" s="1142"/>
      <c r="N246" s="1142"/>
      <c r="O246" s="1142"/>
      <c r="P246" s="1143"/>
      <c r="Q246" s="1144"/>
      <c r="R246" s="1038" t="s">
        <v>8092</v>
      </c>
      <c r="S246" s="1142"/>
      <c r="T246" s="1142" t="s">
        <v>2174</v>
      </c>
      <c r="U246" s="1142"/>
      <c r="V246" s="1142"/>
      <c r="W246" s="1142"/>
      <c r="X246" s="1142"/>
      <c r="Y246" s="1142"/>
      <c r="Z246" s="1142" t="s">
        <v>3273</v>
      </c>
      <c r="AA246" s="1142"/>
      <c r="AB246" s="1142"/>
      <c r="AC246" s="1142"/>
      <c r="AD246" s="1142"/>
      <c r="AE246" s="1142"/>
      <c r="AF246" s="1142"/>
      <c r="AG246" s="1142"/>
      <c r="AH246" s="1142"/>
      <c r="AI246" s="1142"/>
      <c r="AJ246" s="1142"/>
      <c r="AK246" s="1142"/>
      <c r="AL246" s="1144"/>
      <c r="AM246" s="1142"/>
      <c r="AN246" s="1142"/>
      <c r="AO246" s="1142"/>
      <c r="AP246" s="1142"/>
      <c r="AQ246" s="1142"/>
      <c r="AR246" s="1144"/>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8093</v>
      </c>
      <c r="C247" s="1141" t="s">
        <v>5431</v>
      </c>
      <c r="D247" s="1148" t="s">
        <v>1623</v>
      </c>
      <c r="E247" s="1148"/>
      <c r="G247" s="1148"/>
      <c r="I247" s="1148" t="s">
        <v>2415</v>
      </c>
      <c r="J247" s="1148"/>
      <c r="L247" s="1148"/>
      <c r="M247" s="1148"/>
      <c r="N247" s="1148" t="s">
        <v>3236</v>
      </c>
      <c r="O247" s="1148"/>
      <c r="P247" s="1150" t="s">
        <v>8094</v>
      </c>
      <c r="Q247" s="1144"/>
      <c r="R247" s="1244"/>
      <c r="S247" s="1148"/>
      <c r="T247" s="1148" t="s">
        <v>5431</v>
      </c>
      <c r="U247" s="1148"/>
      <c r="V247" s="1148"/>
      <c r="W247" s="1030" t="s">
        <v>3040</v>
      </c>
      <c r="X247" s="1148" t="s">
        <v>3770</v>
      </c>
      <c r="Y247" s="1148"/>
      <c r="Z247" s="1148"/>
      <c r="AA247" s="1148"/>
      <c r="AB247" s="1148"/>
      <c r="AC247" s="1148"/>
      <c r="AD247" s="1148"/>
      <c r="AE247" s="1148"/>
      <c r="AF247" s="1148"/>
      <c r="AI247" s="1148" t="s">
        <v>2473</v>
      </c>
      <c r="AJ247" s="1148"/>
      <c r="AK247" s="1148"/>
      <c r="AL247" s="1144"/>
      <c r="AM247" s="1148"/>
      <c r="AO247" s="1148"/>
      <c r="AP247" s="1030" t="str">
        <f>HYPERLINK("https://youtu.be/7lF7UZKburw","31.51")</f>
        <v>31.51</v>
      </c>
      <c r="AQ247" s="1148"/>
      <c r="AR247" s="1144"/>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8095</v>
      </c>
      <c r="C248" s="1141" t="s">
        <v>425</v>
      </c>
      <c r="D248" s="1267"/>
      <c r="E248" s="1148"/>
      <c r="F248" s="1057" t="s">
        <v>2325</v>
      </c>
      <c r="G248" s="1142"/>
      <c r="H248" s="1030" t="s">
        <v>1780</v>
      </c>
      <c r="I248" s="1148"/>
      <c r="J248" s="1142"/>
      <c r="K248" s="1030" t="s">
        <v>1405</v>
      </c>
      <c r="L248" s="1142"/>
      <c r="M248" s="1142"/>
      <c r="N248" s="1148"/>
      <c r="O248" s="1142"/>
      <c r="P248" s="1150"/>
      <c r="Q248" s="1144"/>
      <c r="R248" s="1039"/>
      <c r="S248" s="1148"/>
      <c r="T248" s="1048"/>
      <c r="U248" s="1148"/>
      <c r="V248" s="1148"/>
      <c r="W248" s="1148"/>
      <c r="X248" s="1148"/>
      <c r="Y248" s="1148"/>
      <c r="Z248" s="1148"/>
      <c r="AA248" s="1148"/>
      <c r="AB248" s="1148"/>
      <c r="AC248" s="1148"/>
      <c r="AD248" s="1148"/>
      <c r="AE248" s="1148"/>
      <c r="AF248" s="1148"/>
      <c r="AG248" s="1142" t="s">
        <v>425</v>
      </c>
      <c r="AH248" s="1142" t="s">
        <v>425</v>
      </c>
      <c r="AI248" s="1148"/>
      <c r="AJ248" s="1048"/>
      <c r="AK248" s="1148"/>
      <c r="AL248" s="1144"/>
      <c r="AM248" s="1148"/>
      <c r="AN248" s="1142" t="s">
        <v>4853</v>
      </c>
      <c r="AO248" s="1148"/>
      <c r="AP248" s="1148"/>
      <c r="AQ248" s="1148"/>
      <c r="AR248" s="1144"/>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8096</v>
      </c>
      <c r="C249" s="1141" t="s">
        <v>8097</v>
      </c>
      <c r="D249" s="1036" t="s">
        <v>1606</v>
      </c>
      <c r="E249" s="1148"/>
      <c r="F249" s="1042" t="s">
        <v>996</v>
      </c>
      <c r="G249" s="1142" t="s">
        <v>2524</v>
      </c>
      <c r="H249" s="1048"/>
      <c r="I249" s="1148"/>
      <c r="J249" s="1142" t="s">
        <v>996</v>
      </c>
      <c r="K249" s="1148"/>
      <c r="L249" s="1142" t="s">
        <v>952</v>
      </c>
      <c r="M249" s="1142" t="s">
        <v>243</v>
      </c>
      <c r="N249" s="1148"/>
      <c r="O249" s="1142" t="s">
        <v>3129</v>
      </c>
      <c r="P249" s="1150"/>
      <c r="Q249" s="1144"/>
      <c r="R249" s="1039"/>
      <c r="S249" s="1148" t="s">
        <v>8098</v>
      </c>
      <c r="T249" s="1030" t="s">
        <v>2147</v>
      </c>
      <c r="U249" s="1148"/>
      <c r="V249" s="1148"/>
      <c r="W249" s="1148"/>
      <c r="X249" s="1148"/>
      <c r="Y249" s="1148"/>
      <c r="Z249" s="1148"/>
      <c r="AA249" s="1148"/>
      <c r="AB249" s="1148"/>
      <c r="AC249" s="1148"/>
      <c r="AD249" s="1148"/>
      <c r="AE249" s="1148"/>
      <c r="AF249" s="1148"/>
      <c r="AG249" s="1148"/>
      <c r="AH249" s="1148"/>
      <c r="AI249" s="1148"/>
      <c r="AJ249" s="1030" t="s">
        <v>8097</v>
      </c>
      <c r="AK249" s="1148"/>
      <c r="AL249" s="1144"/>
      <c r="AM249" s="1148"/>
      <c r="AN249" s="1148"/>
      <c r="AO249" s="1148"/>
      <c r="AP249" s="1148"/>
      <c r="AQ249" s="1148"/>
      <c r="AR249" s="1144"/>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8099</v>
      </c>
      <c r="C250" s="1141" t="s">
        <v>5027</v>
      </c>
      <c r="D250" s="1268"/>
      <c r="E250" s="1142" t="s">
        <v>5867</v>
      </c>
      <c r="F250" s="1028"/>
      <c r="G250" s="1268"/>
      <c r="H250" s="1048"/>
      <c r="I250" s="1268"/>
      <c r="J250" s="1268"/>
      <c r="K250" s="1268"/>
      <c r="L250" s="1268"/>
      <c r="M250" s="1268"/>
      <c r="N250" s="1268"/>
      <c r="O250" s="1268"/>
      <c r="P250" s="1143"/>
      <c r="Q250" s="1144"/>
      <c r="R250" s="1245" t="s">
        <v>1902</v>
      </c>
      <c r="S250" s="1268"/>
      <c r="T250" s="1268"/>
      <c r="U250" s="1268"/>
      <c r="V250" s="1268"/>
      <c r="W250" s="1268"/>
      <c r="X250" s="1268"/>
      <c r="Y250" s="1268"/>
      <c r="Z250" s="1142" t="s">
        <v>824</v>
      </c>
      <c r="AA250" s="1268"/>
      <c r="AB250" s="1268"/>
      <c r="AC250" s="1268"/>
      <c r="AD250" s="1268"/>
      <c r="AE250" s="1268" t="s">
        <v>8100</v>
      </c>
      <c r="AF250" s="1268"/>
      <c r="AG250" s="1268"/>
      <c r="AH250" s="1268"/>
      <c r="AI250" s="1268"/>
      <c r="AJ250" s="1268"/>
      <c r="AK250" s="1268"/>
      <c r="AL250" s="1144"/>
      <c r="AM250" s="1268"/>
      <c r="AN250" s="1268"/>
      <c r="AO250" s="1268"/>
      <c r="AP250" s="1268"/>
      <c r="AQ250" s="1268"/>
      <c r="AR250" s="1144"/>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8101</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144"/>
      <c r="R251" s="1039"/>
      <c r="S251" s="1142"/>
      <c r="T251" s="1030" t="s">
        <v>810</v>
      </c>
      <c r="U251" s="1142" t="s">
        <v>1341</v>
      </c>
      <c r="V251" s="1142"/>
      <c r="W251" s="1142"/>
      <c r="X251" s="1142"/>
      <c r="Y251" s="1142" t="s">
        <v>4455</v>
      </c>
      <c r="Z251" s="1142"/>
      <c r="AA251" s="1142"/>
      <c r="AB251" s="1142"/>
      <c r="AC251" s="1142"/>
      <c r="AD251" s="1142"/>
      <c r="AE251" s="1142"/>
      <c r="AF251" s="1142"/>
      <c r="AG251" s="1142"/>
      <c r="AH251" s="1142" t="s">
        <v>8102</v>
      </c>
      <c r="AI251" s="1142"/>
      <c r="AJ251" s="1142"/>
      <c r="AK251" s="1142"/>
      <c r="AL251" s="1144"/>
      <c r="AM251" s="1142"/>
      <c r="AN251" s="1142"/>
      <c r="AO251" s="1142"/>
      <c r="AP251" s="1142"/>
      <c r="AQ251" s="1142"/>
      <c r="AR251" s="1144"/>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8103</v>
      </c>
      <c r="C252" s="1056" t="s">
        <v>5476</v>
      </c>
      <c r="D252" s="1269" t="s">
        <v>4616</v>
      </c>
      <c r="E252" s="1142"/>
      <c r="F252" s="1057" t="s">
        <v>5476</v>
      </c>
      <c r="G252" s="1142"/>
      <c r="H252" s="1048"/>
      <c r="I252" s="1142"/>
      <c r="J252" s="1142"/>
      <c r="K252" s="1142"/>
      <c r="L252" s="1142"/>
      <c r="M252" s="1142"/>
      <c r="N252" s="1142"/>
      <c r="O252" s="1142"/>
      <c r="P252" s="1143"/>
      <c r="Q252" s="1144"/>
      <c r="R252" s="1244"/>
      <c r="S252" s="1142"/>
      <c r="T252" s="1142"/>
      <c r="U252" s="1142"/>
      <c r="V252" s="1142"/>
      <c r="W252" s="1030" t="s">
        <v>8104</v>
      </c>
      <c r="X252" s="1142"/>
      <c r="Y252" s="1142"/>
      <c r="Z252" s="1142"/>
      <c r="AA252" s="1142"/>
      <c r="AB252" s="1142"/>
      <c r="AC252" s="1142"/>
      <c r="AD252" s="1142"/>
      <c r="AE252" s="1142"/>
      <c r="AF252" s="1142"/>
      <c r="AG252" s="1142"/>
      <c r="AH252" s="1142"/>
      <c r="AI252" s="1142"/>
      <c r="AJ252" s="1142"/>
      <c r="AK252" s="1142"/>
      <c r="AL252" s="1144"/>
      <c r="AM252" s="1142"/>
      <c r="AN252" s="1142"/>
      <c r="AO252" s="1142"/>
      <c r="AP252" s="1142"/>
      <c r="AQ252" s="1142"/>
      <c r="AR252" s="1144"/>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7656</v>
      </c>
      <c r="B253" s="1242" t="s">
        <v>8030</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144"/>
      <c r="R253" s="1245" t="s">
        <v>8105</v>
      </c>
      <c r="S253" s="1142"/>
      <c r="T253" s="1142" t="s">
        <v>5531</v>
      </c>
      <c r="U253" s="1142"/>
      <c r="V253" s="1142"/>
      <c r="W253" s="1142"/>
      <c r="X253" s="1142" t="s">
        <v>4282</v>
      </c>
      <c r="Y253" s="1142"/>
      <c r="Z253" s="1142"/>
      <c r="AA253" s="1142"/>
      <c r="AB253" s="1142"/>
      <c r="AC253" s="1142"/>
      <c r="AD253" s="1142"/>
      <c r="AE253" s="1142"/>
      <c r="AF253" s="1142"/>
      <c r="AG253" s="1142"/>
      <c r="AH253" s="1142"/>
      <c r="AI253" s="1142"/>
      <c r="AJ253" s="1142"/>
      <c r="AK253" s="1142"/>
      <c r="AL253" s="1144"/>
      <c r="AM253" s="1142"/>
      <c r="AN253" s="1142"/>
      <c r="AO253" s="1142" t="s">
        <v>3158</v>
      </c>
      <c r="AP253" s="1142"/>
      <c r="AQ253" s="1142"/>
      <c r="AR253" s="1144"/>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7774</v>
      </c>
      <c r="C254" s="1141" t="s">
        <v>3074</v>
      </c>
      <c r="D254" s="1142"/>
      <c r="E254" s="1142" t="s">
        <v>4272</v>
      </c>
      <c r="F254" s="1259" t="s">
        <v>8106</v>
      </c>
      <c r="G254" s="1142" t="s">
        <v>3074</v>
      </c>
      <c r="H254" s="1048"/>
      <c r="I254" s="1142" t="str">
        <f>HYPERLINK("https://youtu.be/yGR2akJEjQQ","19.18")</f>
        <v>19.18</v>
      </c>
      <c r="J254" s="1142"/>
      <c r="K254" s="1142"/>
      <c r="L254" s="1142"/>
      <c r="M254" s="1142"/>
      <c r="N254" s="1142"/>
      <c r="O254" s="1142"/>
      <c r="P254" s="1143"/>
      <c r="Q254" s="1144"/>
      <c r="R254" s="1030" t="s">
        <v>8107</v>
      </c>
      <c r="S254" s="1142"/>
      <c r="T254" s="1030" t="s">
        <v>5514</v>
      </c>
      <c r="U254" s="1142"/>
      <c r="V254" s="1142" t="s">
        <v>2419</v>
      </c>
      <c r="W254" s="1142"/>
      <c r="X254" s="1142"/>
      <c r="Y254" s="1142" t="s">
        <v>3038</v>
      </c>
      <c r="Z254" s="1142"/>
      <c r="AA254" s="1142"/>
      <c r="AB254" s="1142"/>
      <c r="AC254" s="1142"/>
      <c r="AD254" s="1142"/>
      <c r="AE254" s="1142"/>
      <c r="AF254" s="1142"/>
      <c r="AG254" s="1142"/>
      <c r="AH254" s="1142"/>
      <c r="AI254" s="1142"/>
      <c r="AJ254" s="1142"/>
      <c r="AK254" s="1142"/>
      <c r="AL254" s="1144"/>
      <c r="AM254" s="1142"/>
      <c r="AN254" s="1142"/>
      <c r="AO254" s="1142"/>
      <c r="AP254" s="1142"/>
      <c r="AQ254" s="1142"/>
      <c r="AR254" s="1144"/>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8108</v>
      </c>
      <c r="C255" s="1141" t="s">
        <v>4104</v>
      </c>
      <c r="D255" s="1142"/>
      <c r="E255" s="1142" t="s">
        <v>917</v>
      </c>
      <c r="F255" s="1028"/>
      <c r="G255" s="1142" t="s">
        <v>4104</v>
      </c>
      <c r="H255" s="1048"/>
      <c r="I255" s="1142"/>
      <c r="J255" s="1142"/>
      <c r="K255" s="1142"/>
      <c r="L255" s="1142"/>
      <c r="M255" s="1142"/>
      <c r="N255" s="1142"/>
      <c r="O255" s="1142"/>
      <c r="P255" s="1143"/>
      <c r="Q255" s="1144"/>
      <c r="R255" s="1050" t="s">
        <v>8109</v>
      </c>
      <c r="S255" s="1142"/>
      <c r="T255" s="1142"/>
      <c r="U255" s="1142"/>
      <c r="V255" s="1142" t="s">
        <v>917</v>
      </c>
      <c r="W255" s="1142"/>
      <c r="X255" s="1142"/>
      <c r="Y255" s="1142"/>
      <c r="Z255" s="1142"/>
      <c r="AA255" s="1142"/>
      <c r="AB255" s="1142"/>
      <c r="AC255" s="1142"/>
      <c r="AD255" s="1142"/>
      <c r="AE255" s="1142"/>
      <c r="AF255" s="1142"/>
      <c r="AG255" s="1142"/>
      <c r="AH255" s="1142"/>
      <c r="AI255" s="1142"/>
      <c r="AJ255" s="1142"/>
      <c r="AK255" s="1142"/>
      <c r="AL255" s="1144"/>
      <c r="AM255" s="1142"/>
      <c r="AN255" s="1142"/>
      <c r="AO255" s="1142"/>
      <c r="AP255" s="1142"/>
      <c r="AQ255" s="1142"/>
      <c r="AR255" s="1144"/>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8110</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144"/>
      <c r="R256" s="1050" t="s">
        <v>8111</v>
      </c>
      <c r="S256" s="1048"/>
      <c r="T256" s="1048"/>
      <c r="U256" s="1048"/>
      <c r="V256" s="1048"/>
      <c r="W256" s="1048"/>
      <c r="X256" s="1048"/>
      <c r="Y256" s="1048"/>
      <c r="Z256" s="1048"/>
      <c r="AA256" s="1048"/>
      <c r="AB256" s="1048"/>
      <c r="AC256" s="1048"/>
      <c r="AD256" s="1048"/>
      <c r="AE256" s="1048"/>
      <c r="AF256" s="1048"/>
      <c r="AG256" s="1048"/>
      <c r="AH256" s="1048"/>
      <c r="AI256" s="1048"/>
      <c r="AJ256" s="1048"/>
      <c r="AK256" s="1048"/>
      <c r="AL256" s="1144"/>
      <c r="AM256" s="1048"/>
      <c r="AN256" s="1048"/>
      <c r="AO256" s="1048"/>
      <c r="AP256" s="1048"/>
      <c r="AQ256" s="1048"/>
      <c r="AR256" s="1144"/>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8112</v>
      </c>
      <c r="C257" s="1025" t="s">
        <v>5042</v>
      </c>
      <c r="D257" s="1148"/>
      <c r="E257" s="1148"/>
      <c r="F257" s="1057" t="s">
        <v>2069</v>
      </c>
      <c r="G257" s="1030" t="s">
        <v>5042</v>
      </c>
      <c r="H257" s="1048"/>
      <c r="I257" s="1148"/>
      <c r="J257" s="1148"/>
      <c r="K257" s="1148"/>
      <c r="L257" s="1148"/>
      <c r="M257" s="1148"/>
      <c r="N257" s="1148"/>
      <c r="O257" s="1148"/>
      <c r="P257" s="1150"/>
      <c r="Q257" s="1144"/>
      <c r="R257" s="1245" t="s">
        <v>8113</v>
      </c>
      <c r="S257" s="1148"/>
      <c r="T257" s="1148"/>
      <c r="U257" s="1148"/>
      <c r="V257" s="1148"/>
      <c r="W257" s="1148"/>
      <c r="X257" s="1148"/>
      <c r="Y257" s="1148"/>
      <c r="Z257" s="1148"/>
      <c r="AA257" s="1148"/>
      <c r="AB257" s="1148"/>
      <c r="AC257" s="1148"/>
      <c r="AD257" s="1148"/>
      <c r="AE257" s="1148"/>
      <c r="AF257" s="1148"/>
      <c r="AG257" s="1148"/>
      <c r="AH257" s="1148"/>
      <c r="AI257" s="1148"/>
      <c r="AJ257" s="1148"/>
      <c r="AK257" s="1148"/>
      <c r="AL257" s="1144"/>
      <c r="AM257" s="1148"/>
      <c r="AN257" s="1148"/>
      <c r="AO257" s="1148"/>
      <c r="AP257" s="1148"/>
      <c r="AQ257" s="1148"/>
      <c r="AR257" s="1144"/>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8114</v>
      </c>
      <c r="B258" s="1242" t="s">
        <v>7541</v>
      </c>
      <c r="C258" s="1141" t="s">
        <v>8115</v>
      </c>
      <c r="D258" s="990" t="s">
        <v>1608</v>
      </c>
      <c r="E258" s="1148"/>
      <c r="F258" s="1246"/>
      <c r="G258" s="1148"/>
      <c r="H258" s="1030" t="s">
        <v>1317</v>
      </c>
      <c r="I258" s="1148"/>
      <c r="J258" s="1148"/>
      <c r="K258" s="1148"/>
      <c r="L258" s="1142" t="s">
        <v>953</v>
      </c>
      <c r="M258" s="1142" t="s">
        <v>796</v>
      </c>
      <c r="N258" s="1148"/>
      <c r="O258" s="1148"/>
      <c r="P258" s="1150"/>
      <c r="Q258" s="1071" t="s">
        <v>8115</v>
      </c>
      <c r="R258" s="1244"/>
      <c r="S258" s="1148"/>
      <c r="T258" s="1148"/>
      <c r="U258" s="1148"/>
      <c r="V258" s="1148"/>
      <c r="W258" s="1148"/>
      <c r="X258" s="1148"/>
      <c r="Y258" s="1148"/>
      <c r="Z258" s="1148"/>
      <c r="AA258" s="1148"/>
      <c r="AB258" s="1148"/>
      <c r="AC258" s="1148"/>
      <c r="AD258" s="1148"/>
      <c r="AE258" s="1148"/>
      <c r="AF258" s="1148"/>
      <c r="AG258" s="1148"/>
      <c r="AH258" s="1148"/>
      <c r="AI258" s="1148"/>
      <c r="AJ258" s="1148"/>
      <c r="AK258" s="1148"/>
      <c r="AL258" s="1144"/>
      <c r="AM258" s="1148"/>
      <c r="AN258" s="1148"/>
      <c r="AO258" s="1148"/>
      <c r="AP258" s="1148"/>
      <c r="AQ258" s="1148"/>
      <c r="AR258" s="1144"/>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7670</v>
      </c>
      <c r="B259" s="1242" t="s">
        <v>7664</v>
      </c>
      <c r="C259" s="1141" t="s">
        <v>8116</v>
      </c>
      <c r="D259" s="990" t="s">
        <v>1610</v>
      </c>
      <c r="E259" s="1148"/>
      <c r="F259" s="1246"/>
      <c r="G259" s="1148"/>
      <c r="H259" s="1048"/>
      <c r="I259" s="1148" t="s">
        <v>1858</v>
      </c>
      <c r="J259" s="1142" t="s">
        <v>1465</v>
      </c>
      <c r="K259" s="1148" t="s">
        <v>5733</v>
      </c>
      <c r="L259" s="1148" t="s">
        <v>6055</v>
      </c>
      <c r="M259" s="1148"/>
      <c r="N259" s="1148"/>
      <c r="O259" s="1148"/>
      <c r="P259" s="1150"/>
      <c r="Q259" s="1144"/>
      <c r="R259" s="1039"/>
      <c r="S259" s="1148"/>
      <c r="T259" s="1148"/>
      <c r="U259" s="1148"/>
      <c r="V259" s="1148"/>
      <c r="W259" s="1148"/>
      <c r="X259" s="1148"/>
      <c r="Y259" s="1148"/>
      <c r="Z259" s="1148"/>
      <c r="AA259" s="1148"/>
      <c r="AB259" s="1148"/>
      <c r="AC259" s="1148"/>
      <c r="AD259" s="1148"/>
      <c r="AE259" s="1148"/>
      <c r="AF259" s="1148"/>
      <c r="AG259" s="1148"/>
      <c r="AH259" s="1148"/>
      <c r="AI259" s="1148"/>
      <c r="AJ259" s="1148"/>
      <c r="AK259" s="1148"/>
      <c r="AL259" s="1144"/>
      <c r="AM259" s="1148"/>
      <c r="AN259" s="1148"/>
      <c r="AO259" s="1148"/>
      <c r="AP259" s="1148"/>
      <c r="AQ259" s="1148"/>
      <c r="AR259" s="1144"/>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7666</v>
      </c>
      <c r="B260" s="1270" t="s">
        <v>7664</v>
      </c>
      <c r="C260" s="1097" t="s">
        <v>8117</v>
      </c>
      <c r="D260" s="1084" t="s">
        <v>8117</v>
      </c>
      <c r="E260" s="1148"/>
      <c r="F260" s="1246"/>
      <c r="G260" s="1148"/>
      <c r="H260" s="1048"/>
      <c r="I260" s="1148"/>
      <c r="J260" s="1142"/>
      <c r="K260" s="1148"/>
      <c r="L260" s="1148"/>
      <c r="M260" s="1148"/>
      <c r="N260" s="1148"/>
      <c r="O260" s="1148"/>
      <c r="P260" s="1150"/>
      <c r="Q260" s="1144"/>
      <c r="R260" s="1039"/>
      <c r="S260" s="1148"/>
      <c r="T260" s="1148"/>
      <c r="U260" s="1148"/>
      <c r="V260" s="1148"/>
      <c r="W260" s="1148"/>
      <c r="X260" s="1148"/>
      <c r="Y260" s="1148"/>
      <c r="Z260" s="1148"/>
      <c r="AA260" s="1148"/>
      <c r="AB260" s="1148"/>
      <c r="AC260" s="1148"/>
      <c r="AD260" s="1148"/>
      <c r="AE260" s="1148"/>
      <c r="AF260" s="1148"/>
      <c r="AG260" s="1148"/>
      <c r="AH260" s="1148"/>
      <c r="AI260" s="1148"/>
      <c r="AJ260" s="1148"/>
      <c r="AK260" s="1148"/>
      <c r="AL260" s="1144"/>
      <c r="AM260" s="1148"/>
      <c r="AN260" s="1148"/>
      <c r="AO260" s="1148"/>
      <c r="AP260" s="1148"/>
      <c r="AQ260" s="1148"/>
      <c r="AR260" s="1144"/>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8118</v>
      </c>
      <c r="C261" s="1141" t="s">
        <v>2736</v>
      </c>
      <c r="D261" s="1142"/>
      <c r="E261" s="1142" t="s">
        <v>2736</v>
      </c>
      <c r="F261" s="1028"/>
      <c r="G261" s="1142"/>
      <c r="H261" s="1048"/>
      <c r="I261" s="1142"/>
      <c r="J261" s="1142"/>
      <c r="K261" s="1142"/>
      <c r="L261" s="1142"/>
      <c r="M261" s="1142"/>
      <c r="N261" s="1142"/>
      <c r="O261" s="1142"/>
      <c r="P261" s="1143"/>
      <c r="Q261" s="1144"/>
      <c r="R261" s="1039"/>
      <c r="S261" s="1142"/>
      <c r="T261" s="1142"/>
      <c r="U261" s="1142"/>
      <c r="V261" s="1142"/>
      <c r="W261" s="1142"/>
      <c r="X261" s="1142"/>
      <c r="Y261" s="1142"/>
      <c r="Z261" s="1142"/>
      <c r="AA261" s="1142"/>
      <c r="AB261" s="1142"/>
      <c r="AC261" s="1142"/>
      <c r="AD261" s="1142"/>
      <c r="AE261" s="1142"/>
      <c r="AF261" s="1142"/>
      <c r="AG261" s="1142"/>
      <c r="AH261" s="1142"/>
      <c r="AI261" s="1142"/>
      <c r="AJ261" s="1142"/>
      <c r="AK261" s="1142"/>
      <c r="AL261" s="1144"/>
      <c r="AM261" s="1142"/>
      <c r="AN261" s="1142"/>
      <c r="AO261" s="1142"/>
      <c r="AP261" s="1142"/>
      <c r="AQ261" s="1142"/>
      <c r="AR261" s="1144"/>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8119</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144"/>
      <c r="R262" s="1244"/>
      <c r="S262" s="1048"/>
      <c r="T262" s="1048"/>
      <c r="U262" s="1048"/>
      <c r="V262" s="1048" t="s">
        <v>517</v>
      </c>
      <c r="W262" s="1048"/>
      <c r="X262" s="1048"/>
      <c r="Y262" s="1048"/>
      <c r="Z262" s="1048"/>
      <c r="AA262" s="1048"/>
      <c r="AB262" s="1048"/>
      <c r="AC262" s="1048"/>
      <c r="AD262" s="1048"/>
      <c r="AE262" s="1048"/>
      <c r="AF262" s="1048"/>
      <c r="AG262" s="1048"/>
      <c r="AH262" s="1048"/>
      <c r="AI262" s="1048"/>
      <c r="AJ262" s="1048"/>
      <c r="AK262" s="1048"/>
      <c r="AL262" s="1144"/>
      <c r="AM262" s="1048"/>
      <c r="AN262" s="1048"/>
      <c r="AO262" s="1048"/>
      <c r="AP262" s="1048"/>
      <c r="AQ262" s="1048"/>
      <c r="AR262" s="1144"/>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8120</v>
      </c>
      <c r="C263" s="1025" t="s">
        <v>614</v>
      </c>
      <c r="D263" s="990" t="s">
        <v>1611</v>
      </c>
      <c r="H263" s="1030" t="s">
        <v>1320</v>
      </c>
      <c r="L263" s="1142" t="s">
        <v>955</v>
      </c>
      <c r="V263" s="1030" t="s">
        <v>514</v>
      </c>
      <c r="Y263" s="1030" t="s">
        <v>614</v>
      </c>
      <c r="BL263" s="1039"/>
      <c r="BM263" s="1039"/>
      <c r="BN263" s="1039"/>
      <c r="BO263" s="1039"/>
    </row>
    <row r="264" ht="15.75" customHeight="1">
      <c r="A264" s="1264"/>
      <c r="B264" s="1248" t="s">
        <v>8121</v>
      </c>
      <c r="C264" s="1025" t="s">
        <v>4263</v>
      </c>
      <c r="E264" s="1148"/>
      <c r="F264" s="1028"/>
      <c r="G264" s="1148"/>
      <c r="I264" s="1148"/>
      <c r="J264" s="1148"/>
      <c r="K264" s="1148"/>
      <c r="M264" s="1148"/>
      <c r="N264" s="1148"/>
      <c r="O264" s="1148"/>
      <c r="P264" s="1150"/>
      <c r="Q264" s="1144"/>
      <c r="R264" s="1039"/>
      <c r="S264" s="1148"/>
      <c r="T264" s="1148"/>
      <c r="U264" s="1148"/>
      <c r="W264" s="1148"/>
      <c r="X264" s="1148"/>
      <c r="Y264" s="1148"/>
      <c r="Z264" s="1148"/>
      <c r="AA264" s="1148"/>
      <c r="AB264" s="1148"/>
      <c r="AC264" s="1148"/>
      <c r="AD264" s="1148"/>
      <c r="AE264" s="1148"/>
      <c r="AF264" s="1148"/>
      <c r="AG264" s="1148"/>
      <c r="AH264" s="1148"/>
      <c r="AI264" s="1148"/>
      <c r="AJ264" s="1148"/>
      <c r="AK264" s="1148"/>
      <c r="AL264" s="1144"/>
      <c r="AM264" s="1148"/>
      <c r="AN264" s="1148"/>
      <c r="AO264" s="1148"/>
      <c r="AP264" s="1148"/>
      <c r="AQ264" s="1148"/>
      <c r="AR264" s="1144"/>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8122</v>
      </c>
      <c r="D265" s="1272"/>
      <c r="E265" s="1272"/>
      <c r="F265" s="1273"/>
      <c r="G265" s="1272"/>
      <c r="H265" s="1274"/>
      <c r="I265" s="1272"/>
      <c r="J265" s="1272"/>
      <c r="K265" s="1272"/>
      <c r="L265" s="1272"/>
      <c r="M265" s="1272"/>
      <c r="N265" s="1272"/>
      <c r="O265" s="1272"/>
      <c r="P265" s="1275"/>
      <c r="Q265" s="1272"/>
      <c r="R265" s="1276"/>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8123</v>
      </c>
      <c r="C266" s="1141" t="s">
        <v>1668</v>
      </c>
      <c r="D266" s="1148" t="s">
        <v>3987</v>
      </c>
      <c r="E266" s="1148"/>
      <c r="F266" s="1028"/>
      <c r="G266" s="1148"/>
      <c r="H266" s="1048"/>
      <c r="I266" s="1148"/>
      <c r="J266" s="1142" t="s">
        <v>3137</v>
      </c>
      <c r="K266" s="1148"/>
      <c r="L266" s="1148"/>
      <c r="M266" s="1148"/>
      <c r="N266" s="1148"/>
      <c r="O266" s="1148"/>
      <c r="P266" s="1150"/>
      <c r="Q266" s="1144"/>
      <c r="R266" s="1279" t="s">
        <v>8124</v>
      </c>
      <c r="S266" s="1148"/>
      <c r="T266" s="1148"/>
      <c r="U266" s="1148"/>
      <c r="V266" s="1148"/>
      <c r="W266" s="1148"/>
      <c r="X266" s="1148"/>
      <c r="Y266" s="1148"/>
      <c r="Z266" s="1148" t="s">
        <v>6813</v>
      </c>
      <c r="AA266" s="1148"/>
      <c r="AB266" s="1148"/>
      <c r="AC266" s="1148"/>
      <c r="AD266" s="1148"/>
      <c r="AE266" s="1148"/>
      <c r="AF266" s="1148"/>
      <c r="AG266" s="1148"/>
      <c r="AH266" s="1148"/>
      <c r="AI266" s="1148"/>
      <c r="AJ266" s="1148"/>
      <c r="AK266" s="1148"/>
      <c r="AL266" s="1144"/>
      <c r="AM266" s="1148"/>
      <c r="AN266" s="1148"/>
      <c r="AO266" s="1148"/>
      <c r="AP266" s="1148"/>
      <c r="AQ266" s="1148"/>
      <c r="AR266" s="1144"/>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8125</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144"/>
      <c r="R267" s="1039"/>
      <c r="S267" s="1148"/>
      <c r="T267" s="1030" t="s">
        <v>8126</v>
      </c>
      <c r="U267" s="1148"/>
      <c r="V267" s="1142" t="s">
        <v>4559</v>
      </c>
      <c r="W267" s="1148"/>
      <c r="X267" s="1148"/>
      <c r="Y267" s="1148"/>
      <c r="Z267" s="1148"/>
      <c r="AA267" s="1148"/>
      <c r="AB267" s="1148"/>
      <c r="AC267" s="1148"/>
      <c r="AD267" s="1148"/>
      <c r="AE267" s="1148"/>
      <c r="AF267" s="1148"/>
      <c r="AG267" s="1148"/>
      <c r="AH267" s="1148"/>
      <c r="AI267" s="1148"/>
      <c r="AJ267" s="1148"/>
      <c r="AK267" s="1148"/>
      <c r="AL267" s="1144"/>
      <c r="AM267" s="1148"/>
      <c r="AN267" s="1148"/>
      <c r="AO267" s="1148"/>
      <c r="AP267" s="1148"/>
      <c r="AQ267" s="1148"/>
      <c r="AR267" s="1144"/>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8127</v>
      </c>
      <c r="C268" s="1141" t="s">
        <v>428</v>
      </c>
      <c r="D268" s="1148" t="s">
        <v>4559</v>
      </c>
      <c r="E268" s="1148"/>
      <c r="F268" s="1028"/>
      <c r="G268" s="1148"/>
      <c r="H268" s="1048"/>
      <c r="I268" s="1148" t="s">
        <v>8128</v>
      </c>
      <c r="J268" s="1142" t="s">
        <v>4846</v>
      </c>
      <c r="K268" s="1148"/>
      <c r="L268" s="1148"/>
      <c r="M268" s="1148"/>
      <c r="N268" s="1148"/>
      <c r="O268" s="1148"/>
      <c r="P268" s="1150"/>
      <c r="Q268" s="1144"/>
      <c r="R268" s="1279" t="s">
        <v>8129</v>
      </c>
      <c r="S268" s="1148"/>
      <c r="T268" s="1148"/>
      <c r="U268" s="1148"/>
      <c r="V268" s="1148"/>
      <c r="W268" s="1148"/>
      <c r="X268" s="1148"/>
      <c r="Y268" s="1148"/>
      <c r="Z268" s="1148"/>
      <c r="AA268" s="1148"/>
      <c r="AB268" s="1148"/>
      <c r="AC268" s="1148"/>
      <c r="AD268" s="1148"/>
      <c r="AE268" s="1148"/>
      <c r="AF268" s="1148"/>
      <c r="AG268" s="1148"/>
      <c r="AH268" s="1148"/>
      <c r="AI268" s="1148"/>
      <c r="AJ268" s="1148"/>
      <c r="AK268" s="1148"/>
      <c r="AL268" s="1144"/>
      <c r="AM268" s="1148"/>
      <c r="AN268" s="1148"/>
      <c r="AO268" s="1148"/>
      <c r="AP268" s="1148"/>
      <c r="AQ268" s="1148"/>
      <c r="AR268" s="1144"/>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8130</v>
      </c>
      <c r="C269" s="1141" t="s">
        <v>3882</v>
      </c>
      <c r="D269" s="1148"/>
      <c r="E269" s="1148"/>
      <c r="F269" s="1286"/>
      <c r="G269" s="1148"/>
      <c r="H269" s="1030" t="s">
        <v>6493</v>
      </c>
      <c r="I269" s="1142" t="s">
        <v>8131</v>
      </c>
      <c r="J269" s="1148"/>
      <c r="K269" s="1148"/>
      <c r="L269" s="1148"/>
      <c r="M269" s="1148"/>
      <c r="N269" s="1148"/>
      <c r="O269" s="1148"/>
      <c r="P269" s="1150"/>
      <c r="Q269" s="1144"/>
      <c r="R269" s="1039"/>
      <c r="S269" s="1148" t="s">
        <v>569</v>
      </c>
      <c r="T269" s="1148"/>
      <c r="U269" s="1148"/>
      <c r="V269" s="1148"/>
      <c r="W269" s="1148"/>
      <c r="X269" s="1148"/>
      <c r="Y269" s="1148"/>
      <c r="Z269" s="1148"/>
      <c r="AA269" s="1148"/>
      <c r="AB269" s="1148"/>
      <c r="AC269" s="1148"/>
      <c r="AD269" s="1148" t="s">
        <v>3527</v>
      </c>
      <c r="AE269" s="1148"/>
      <c r="AF269" s="1148"/>
      <c r="AG269" s="1148"/>
      <c r="AH269" s="1148"/>
      <c r="AI269" s="1148"/>
      <c r="AJ269" s="1148"/>
      <c r="AK269" s="1148"/>
      <c r="AL269" s="1144"/>
      <c r="AM269" s="1148"/>
      <c r="AN269" s="1148"/>
      <c r="AO269" s="1148"/>
      <c r="AP269" s="1148"/>
      <c r="AQ269" s="1148"/>
      <c r="AR269" s="1144"/>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8132</v>
      </c>
      <c r="C270" s="1056" t="s">
        <v>2926</v>
      </c>
      <c r="D270" s="1142"/>
      <c r="E270" s="1142" t="s">
        <v>1533</v>
      </c>
      <c r="F270" s="1057" t="s">
        <v>2926</v>
      </c>
      <c r="G270" s="1142" t="s">
        <v>2071</v>
      </c>
      <c r="H270" s="1048"/>
      <c r="I270" s="1142"/>
      <c r="J270" s="1142" t="s">
        <v>2204</v>
      </c>
      <c r="K270" s="1142"/>
      <c r="L270" s="1143" t="s">
        <v>8133</v>
      </c>
      <c r="M270" s="1142"/>
      <c r="N270" s="1142"/>
      <c r="O270" s="1142" t="s">
        <v>1395</v>
      </c>
      <c r="P270" s="1143" t="s">
        <v>8134</v>
      </c>
      <c r="Q270" s="1144"/>
      <c r="R270" s="1280"/>
      <c r="S270" s="1142"/>
      <c r="T270" s="1142"/>
      <c r="U270" s="1142"/>
      <c r="V270" s="1142" t="s">
        <v>2194</v>
      </c>
      <c r="W270" s="1142"/>
      <c r="X270" s="1142"/>
      <c r="Y270" s="1142"/>
      <c r="Z270" s="1142"/>
      <c r="AA270" s="1142" t="s">
        <v>1851</v>
      </c>
      <c r="AB270" s="1142"/>
      <c r="AC270" s="1142"/>
      <c r="AD270" s="1142"/>
      <c r="AE270" s="1142"/>
      <c r="AF270" s="1142"/>
      <c r="AG270" s="1142"/>
      <c r="AH270" s="1142"/>
      <c r="AI270" s="1142"/>
      <c r="AJ270" s="1142"/>
      <c r="AK270" s="1142"/>
      <c r="AL270" s="1144"/>
      <c r="AM270" s="1142"/>
      <c r="AN270" s="1142"/>
      <c r="AO270" s="1142"/>
      <c r="AP270" s="1142"/>
      <c r="AQ270" s="1142"/>
      <c r="AR270" s="1144"/>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8135</v>
      </c>
      <c r="C271" s="1141" t="s">
        <v>2204</v>
      </c>
      <c r="D271" s="1142"/>
      <c r="E271" s="1142" t="s">
        <v>2204</v>
      </c>
      <c r="F271" s="1283" t="s">
        <v>8136</v>
      </c>
      <c r="G271" s="1143" t="s">
        <v>3131</v>
      </c>
      <c r="H271" s="1048"/>
      <c r="I271" s="1142"/>
      <c r="J271" s="1142"/>
      <c r="K271" s="1142"/>
      <c r="L271" s="1142"/>
      <c r="M271" s="1142"/>
      <c r="N271" s="1142"/>
      <c r="O271" s="1142"/>
      <c r="P271" s="1143"/>
      <c r="Q271" s="1144"/>
      <c r="R271" s="1039"/>
      <c r="S271" s="1030" t="s">
        <v>3298</v>
      </c>
      <c r="T271" s="1142"/>
      <c r="U271" s="1142"/>
      <c r="V271" s="1142"/>
      <c r="W271" s="1142"/>
      <c r="X271" s="1142"/>
      <c r="Y271" s="1143" t="s">
        <v>4594</v>
      </c>
      <c r="Z271" s="1142"/>
      <c r="AA271" s="1142"/>
      <c r="AB271" s="1142"/>
      <c r="AC271" s="1142"/>
      <c r="AD271" s="1142"/>
      <c r="AE271" s="1142"/>
      <c r="AF271" s="1142"/>
      <c r="AG271" s="1142"/>
      <c r="AH271" s="1142"/>
      <c r="AI271" s="1142"/>
      <c r="AJ271" s="1142"/>
      <c r="AK271" s="1142"/>
      <c r="AL271" s="1144"/>
      <c r="AM271" s="1142"/>
      <c r="AN271" s="1142"/>
      <c r="AO271" s="1142"/>
      <c r="AP271" s="1142"/>
      <c r="AQ271" s="1142"/>
      <c r="AR271" s="1144"/>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8137</v>
      </c>
      <c r="C272" s="1287" t="s">
        <v>5724</v>
      </c>
      <c r="D272" s="1142"/>
      <c r="E272" s="1142" t="s">
        <v>800</v>
      </c>
      <c r="F272" s="1057" t="s">
        <v>1395</v>
      </c>
      <c r="G272" s="1143" t="s">
        <v>5619</v>
      </c>
      <c r="H272" s="1048"/>
      <c r="I272" s="1142"/>
      <c r="J272" s="1142"/>
      <c r="K272" s="1142"/>
      <c r="L272" s="1142"/>
      <c r="M272" s="1142"/>
      <c r="N272" s="1142"/>
      <c r="O272" s="1142" t="s">
        <v>5791</v>
      </c>
      <c r="P272" s="1143"/>
      <c r="Q272" s="1144"/>
      <c r="R272" s="1280"/>
      <c r="S272" s="1142"/>
      <c r="T272" s="1142"/>
      <c r="U272" s="1142"/>
      <c r="V272" s="1142"/>
      <c r="W272" s="1142"/>
      <c r="X272" s="1142"/>
      <c r="Y272" s="1143" t="s">
        <v>8138</v>
      </c>
      <c r="Z272" s="1142"/>
      <c r="AA272" s="1142"/>
      <c r="AB272" s="1142"/>
      <c r="AC272" s="1142"/>
      <c r="AD272" s="1142"/>
      <c r="AE272" s="1142"/>
      <c r="AF272" s="1142"/>
      <c r="AG272" s="1142"/>
      <c r="AH272" s="1142"/>
      <c r="AI272" s="1142"/>
      <c r="AJ272" s="1142"/>
      <c r="AK272" s="1142"/>
      <c r="AL272" s="1144"/>
      <c r="AM272" s="1142"/>
      <c r="AN272" s="1142"/>
      <c r="AO272" s="1142"/>
      <c r="AP272" s="1142"/>
      <c r="AQ272" s="1142"/>
      <c r="AR272" s="1144"/>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8139</v>
      </c>
      <c r="C273" s="1056" t="s">
        <v>2575</v>
      </c>
      <c r="D273" s="1142" t="s">
        <v>846</v>
      </c>
      <c r="E273" s="1142" t="s">
        <v>8140</v>
      </c>
      <c r="F273" s="1057" t="s">
        <v>2575</v>
      </c>
      <c r="G273" s="1142"/>
      <c r="H273" s="1030" t="s">
        <v>2724</v>
      </c>
      <c r="I273" s="1142"/>
      <c r="J273" s="1142"/>
      <c r="K273" s="1142"/>
      <c r="L273" s="1142"/>
      <c r="M273" s="1142"/>
      <c r="N273" s="1142"/>
      <c r="O273" s="1142" t="s">
        <v>8141</v>
      </c>
      <c r="P273" s="1143"/>
      <c r="Q273" s="1144"/>
      <c r="R273" s="1039"/>
      <c r="S273" s="1142"/>
      <c r="T273" s="1142"/>
      <c r="U273" s="1142"/>
      <c r="V273" s="1142"/>
      <c r="W273" s="1030" t="s">
        <v>653</v>
      </c>
      <c r="X273" s="1142"/>
      <c r="Y273" s="1142"/>
      <c r="Z273" s="1142"/>
      <c r="AA273" s="1142"/>
      <c r="AB273" s="1142"/>
      <c r="AC273" s="1142"/>
      <c r="AD273" s="1142"/>
      <c r="AE273" s="1142"/>
      <c r="AF273" s="1142"/>
      <c r="AG273" s="1142"/>
      <c r="AH273" s="1142"/>
      <c r="AI273" s="1142"/>
      <c r="AJ273" s="1142"/>
      <c r="AK273" s="1142"/>
      <c r="AL273" s="1144"/>
      <c r="AM273" s="1142"/>
      <c r="AN273" s="1142"/>
      <c r="AO273" s="1142"/>
      <c r="AP273" s="1142"/>
      <c r="AQ273" s="1142"/>
      <c r="AR273" s="1144"/>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8142</v>
      </c>
      <c r="D274" s="1148"/>
      <c r="E274" s="1148"/>
      <c r="F274" s="1057" t="s">
        <v>8142</v>
      </c>
      <c r="G274" s="1148"/>
      <c r="H274" s="1048"/>
      <c r="I274" s="1148"/>
      <c r="J274" s="1148"/>
      <c r="K274" s="1148"/>
      <c r="L274" s="1148"/>
      <c r="M274" s="1148"/>
      <c r="N274" s="1148"/>
      <c r="O274" s="1148"/>
      <c r="P274" s="1150"/>
      <c r="Q274" s="1144"/>
      <c r="R274" s="1280"/>
      <c r="S274" s="1148"/>
      <c r="T274" s="1148"/>
      <c r="U274" s="1148"/>
      <c r="V274" s="1148"/>
      <c r="W274" s="1148"/>
      <c r="X274" s="1148"/>
      <c r="Y274" s="1148"/>
      <c r="Z274" s="1148"/>
      <c r="AA274" s="1148"/>
      <c r="AB274" s="1148"/>
      <c r="AC274" s="1148"/>
      <c r="AD274" s="1148"/>
      <c r="AE274" s="1148"/>
      <c r="AF274" s="1148"/>
      <c r="AG274" s="1148"/>
      <c r="AH274" s="1148"/>
      <c r="AI274" s="1148"/>
      <c r="AJ274" s="1148"/>
      <c r="AK274" s="1148"/>
      <c r="AL274" s="1144"/>
      <c r="AM274" s="1148"/>
      <c r="AN274" s="1148"/>
      <c r="AO274" s="1148"/>
      <c r="AP274" s="1148"/>
      <c r="AQ274" s="1148"/>
      <c r="AR274" s="1144"/>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7716</v>
      </c>
      <c r="B275" s="1278" t="s">
        <v>8143</v>
      </c>
      <c r="C275" s="1141" t="s">
        <v>1623</v>
      </c>
      <c r="D275" s="1148" t="s">
        <v>1670</v>
      </c>
      <c r="E275" s="1148"/>
      <c r="F275" s="1286"/>
      <c r="G275" s="1148"/>
      <c r="H275" s="1030" t="s">
        <v>4239</v>
      </c>
      <c r="I275" s="1142" t="str">
        <f>HYPERLINK("https://youtu.be/_GZXmZdCc5s","31.80")</f>
        <v>31.80</v>
      </c>
      <c r="J275" s="1148"/>
      <c r="K275" s="1142" t="s">
        <v>8144</v>
      </c>
      <c r="L275" s="1148"/>
      <c r="M275" s="1142" t="s">
        <v>1623</v>
      </c>
      <c r="N275" s="1142" t="str">
        <f>HYPERLINK("https://youtu.be/kUsh0nBBuMY","32.45")</f>
        <v>32.45</v>
      </c>
      <c r="O275" s="1148"/>
      <c r="P275" s="1150" t="s">
        <v>2258</v>
      </c>
      <c r="Q275" s="1144"/>
      <c r="R275" s="1288" t="s">
        <v>859</v>
      </c>
      <c r="S275" s="1148"/>
      <c r="T275" s="1148" t="s">
        <v>1005</v>
      </c>
      <c r="U275" s="1148"/>
      <c r="V275" s="1148"/>
      <c r="W275" s="1193" t="s">
        <v>3954</v>
      </c>
      <c r="X275" s="1148" t="s">
        <v>817</v>
      </c>
      <c r="Y275" s="1148"/>
      <c r="Z275" s="1148"/>
      <c r="AA275" s="1148"/>
      <c r="AB275" s="1148"/>
      <c r="AC275" s="1148"/>
      <c r="AD275" s="1148"/>
      <c r="AE275" s="1148"/>
      <c r="AF275" s="1148"/>
      <c r="AG275" s="1148"/>
      <c r="AH275" s="1148"/>
      <c r="AI275" s="1148"/>
      <c r="AJ275" s="1148"/>
      <c r="AK275" s="1148"/>
      <c r="AL275" s="1144"/>
      <c r="AM275" s="1148"/>
      <c r="AN275" s="1148"/>
      <c r="AO275" s="1148"/>
      <c r="AP275" s="1148"/>
      <c r="AQ275" s="1148"/>
      <c r="AR275" s="1144"/>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8145</v>
      </c>
      <c r="C276" s="1141" t="s">
        <v>458</v>
      </c>
      <c r="D276" s="1148"/>
      <c r="E276" s="1148"/>
      <c r="F276" s="1028"/>
      <c r="G276" s="1148"/>
      <c r="H276" s="1048"/>
      <c r="I276" s="1148"/>
      <c r="J276" s="1148"/>
      <c r="K276" s="1030" t="s">
        <v>2321</v>
      </c>
      <c r="L276" s="1148"/>
      <c r="M276" s="1148"/>
      <c r="N276" s="1148"/>
      <c r="O276" s="1148"/>
      <c r="P276" s="1150"/>
      <c r="Q276" s="1144"/>
      <c r="R276" s="1039"/>
      <c r="S276" s="1148"/>
      <c r="T276" s="1148"/>
      <c r="U276" s="1148"/>
      <c r="V276" s="1142" t="s">
        <v>458</v>
      </c>
      <c r="W276" s="1148"/>
      <c r="X276" s="1148" t="s">
        <v>4094</v>
      </c>
      <c r="Y276" s="1148"/>
      <c r="Z276" s="1148"/>
      <c r="AA276" s="1148"/>
      <c r="AB276" s="1148"/>
      <c r="AC276" s="1148"/>
      <c r="AD276" s="1148"/>
      <c r="AE276" s="1148"/>
      <c r="AF276" s="1148"/>
      <c r="AG276" s="1148"/>
      <c r="AH276" s="1148"/>
      <c r="AI276" s="1148" t="s">
        <v>2721</v>
      </c>
      <c r="AJ276" s="1148"/>
      <c r="AK276" s="1148"/>
      <c r="AL276" s="1144"/>
      <c r="AM276" s="1148"/>
      <c r="AN276" s="1148"/>
      <c r="AO276" s="1148"/>
      <c r="AP276" s="1148"/>
      <c r="AQ276" s="1148"/>
      <c r="AR276" s="1144"/>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8146</v>
      </c>
      <c r="C277" s="1141" t="s">
        <v>5031</v>
      </c>
      <c r="D277" s="1148" t="s">
        <v>3438</v>
      </c>
      <c r="E277" s="1148"/>
      <c r="F277" s="1286"/>
      <c r="G277" s="1148"/>
      <c r="H277" s="1048"/>
      <c r="I277" s="1148"/>
      <c r="J277" s="1148"/>
      <c r="K277" s="1030" t="s">
        <v>968</v>
      </c>
      <c r="L277" s="1148"/>
      <c r="M277" s="1148"/>
      <c r="N277" s="1148"/>
      <c r="O277" s="1148"/>
      <c r="P277" s="1150"/>
      <c r="Q277" s="1144"/>
      <c r="R277" s="1280"/>
      <c r="S277" s="1148"/>
      <c r="T277" s="1148"/>
      <c r="U277" s="1148"/>
      <c r="V277" s="1148"/>
      <c r="W277" s="1148"/>
      <c r="X277" s="1148"/>
      <c r="Y277" s="1148"/>
      <c r="Z277" s="1148"/>
      <c r="AA277" s="1148"/>
      <c r="AB277" s="1148"/>
      <c r="AC277" s="1148"/>
      <c r="AD277" s="1148"/>
      <c r="AE277" s="1148"/>
      <c r="AF277" s="1148"/>
      <c r="AG277" s="1148"/>
      <c r="AH277" s="1148"/>
      <c r="AI277" s="1148"/>
      <c r="AJ277" s="1148"/>
      <c r="AK277" s="1148"/>
      <c r="AL277" s="1144"/>
      <c r="AM277" s="1148"/>
      <c r="AN277" s="1148"/>
      <c r="AO277" s="1148"/>
      <c r="AP277" s="1148"/>
      <c r="AQ277" s="1148"/>
      <c r="AR277" s="1144"/>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8147</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144"/>
      <c r="R278" s="1039"/>
      <c r="S278" s="1142" t="s">
        <v>4094</v>
      </c>
      <c r="T278" s="1142"/>
      <c r="U278" s="1142"/>
      <c r="V278" s="1142"/>
      <c r="W278" s="1289" t="s">
        <v>1566</v>
      </c>
      <c r="X278" s="1142" t="s">
        <v>8148</v>
      </c>
      <c r="Y278" s="1142"/>
      <c r="Z278" s="1142"/>
      <c r="AA278" s="1142"/>
      <c r="AB278" s="1142"/>
      <c r="AC278" s="1142"/>
      <c r="AD278" s="1142"/>
      <c r="AE278" s="1142"/>
      <c r="AF278" s="1142"/>
      <c r="AG278" s="1142"/>
      <c r="AH278" s="1142"/>
      <c r="AI278" s="1142" t="s">
        <v>403</v>
      </c>
      <c r="AJ278" s="1142"/>
      <c r="AK278" s="1142"/>
      <c r="AL278" s="1144"/>
      <c r="AM278" s="1142"/>
      <c r="AN278" s="1142"/>
      <c r="AO278" s="1142"/>
      <c r="AP278" s="1142"/>
      <c r="AQ278" s="1142"/>
      <c r="AR278" s="1144"/>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8149</v>
      </c>
      <c r="C279" s="1141" t="s">
        <v>8150</v>
      </c>
      <c r="D279" s="1142" t="s">
        <v>7733</v>
      </c>
      <c r="E279" s="1142" t="s">
        <v>4162</v>
      </c>
      <c r="F279" s="1283" t="s">
        <v>2525</v>
      </c>
      <c r="G279" s="1142"/>
      <c r="H279" s="1030" t="s">
        <v>8151</v>
      </c>
      <c r="I279" s="1142" t="str">
        <f>HYPERLINK("https://youtu.be/fNmQmNF7N9I","46.93")</f>
        <v>46.93</v>
      </c>
      <c r="J279" s="1142" t="s">
        <v>8150</v>
      </c>
      <c r="K279" s="1142" t="s">
        <v>536</v>
      </c>
      <c r="L279" s="1142" t="s">
        <v>8152</v>
      </c>
      <c r="M279" s="1142" t="s">
        <v>1570</v>
      </c>
      <c r="N279" s="1142"/>
      <c r="O279" s="1142"/>
      <c r="P279" s="1143"/>
      <c r="Q279" s="1144"/>
      <c r="R279" s="1280"/>
      <c r="S279" s="1142"/>
      <c r="T279" s="1142"/>
      <c r="U279" s="1142" t="s">
        <v>3997</v>
      </c>
      <c r="V279" s="1142" t="s">
        <v>8128</v>
      </c>
      <c r="W279" s="1142"/>
      <c r="X279" s="1142" t="s">
        <v>8153</v>
      </c>
      <c r="Y279" s="1142" t="s">
        <v>4401</v>
      </c>
      <c r="Z279" s="1142" t="s">
        <v>8154</v>
      </c>
      <c r="AA279" s="1142"/>
      <c r="AB279" s="1142"/>
      <c r="AC279" s="1142" t="s">
        <v>8155</v>
      </c>
      <c r="AD279" s="1142" t="s">
        <v>8156</v>
      </c>
      <c r="AE279" s="1142"/>
      <c r="AF279" s="1142"/>
      <c r="AG279" s="1142"/>
      <c r="AH279" s="1142"/>
      <c r="AI279" s="1142"/>
      <c r="AJ279" s="1142"/>
      <c r="AK279" s="1142"/>
      <c r="AL279" s="1144"/>
      <c r="AM279" s="1142"/>
      <c r="AN279" s="1142"/>
      <c r="AO279" s="1142"/>
      <c r="AP279" s="1142"/>
      <c r="AQ279" s="1142"/>
      <c r="AR279" s="1144"/>
      <c r="AS279" s="1142" t="s">
        <v>8157</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8158</v>
      </c>
      <c r="C280" s="1141" t="s">
        <v>3982</v>
      </c>
      <c r="D280" s="1142" t="s">
        <v>5203</v>
      </c>
      <c r="E280" s="1142" t="s">
        <v>3439</v>
      </c>
      <c r="F280" s="1076" t="s">
        <v>8159</v>
      </c>
      <c r="G280" s="1142"/>
      <c r="H280" s="1030" t="s">
        <v>8160</v>
      </c>
      <c r="I280" s="1142" t="str">
        <f>HYPERLINK(" https://youtu.be/dsDcBzsPA5s","45.74")</f>
        <v>45.74</v>
      </c>
      <c r="J280" s="1142" t="s">
        <v>3982</v>
      </c>
      <c r="K280" s="1142" t="s">
        <v>8161</v>
      </c>
      <c r="L280" s="1142" t="s">
        <v>3909</v>
      </c>
      <c r="M280" s="1142" t="s">
        <v>1786</v>
      </c>
      <c r="N280" s="1142" t="s">
        <v>2072</v>
      </c>
      <c r="O280" s="1142" t="s">
        <v>4046</v>
      </c>
      <c r="P280" s="1143" t="s">
        <v>3527</v>
      </c>
      <c r="Q280" s="1144"/>
      <c r="R280" s="1039"/>
      <c r="S280" s="1142" t="s">
        <v>8162</v>
      </c>
      <c r="T280" s="1142"/>
      <c r="U280" s="1142" t="s">
        <v>8163</v>
      </c>
      <c r="V280" s="1142" t="s">
        <v>286</v>
      </c>
      <c r="W280" s="1142"/>
      <c r="X280" s="1142" t="s">
        <v>8138</v>
      </c>
      <c r="Y280" s="1142" t="s">
        <v>706</v>
      </c>
      <c r="Z280" s="1142" t="s">
        <v>8164</v>
      </c>
      <c r="AA280" s="1142"/>
      <c r="AB280" s="1142"/>
      <c r="AC280" s="1142"/>
      <c r="AD280" s="1142" t="s">
        <v>7799</v>
      </c>
      <c r="AE280" s="1142"/>
      <c r="AF280" s="1142"/>
      <c r="AG280" s="1142"/>
      <c r="AH280" s="1142"/>
      <c r="AI280" s="1142"/>
      <c r="AJ280" s="1142"/>
      <c r="AK280" s="1142"/>
      <c r="AL280" s="1144"/>
      <c r="AM280" s="1142"/>
      <c r="AN280" s="1142"/>
      <c r="AO280" s="1142"/>
      <c r="AP280" s="1142"/>
      <c r="AQ280" s="1142"/>
      <c r="AR280" s="1144"/>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8165</v>
      </c>
      <c r="C281" s="1141" t="s">
        <v>1111</v>
      </c>
      <c r="D281" s="1142" t="s">
        <v>4646</v>
      </c>
      <c r="E281" s="1142" t="s">
        <v>410</v>
      </c>
      <c r="F281" s="1057" t="s">
        <v>565</v>
      </c>
      <c r="G281" s="1142" t="s">
        <v>1910</v>
      </c>
      <c r="H281" s="1030" t="s">
        <v>1324</v>
      </c>
      <c r="I281" s="1142" t="str">
        <f>HYPERLINK("https://youtu.be/9O9oqhlyCxY","45.20")</f>
        <v>45.20</v>
      </c>
      <c r="J281" s="1142" t="s">
        <v>8166</v>
      </c>
      <c r="K281" s="1030" t="s">
        <v>3672</v>
      </c>
      <c r="L281" s="1142" t="s">
        <v>321</v>
      </c>
      <c r="M281" s="1142" t="s">
        <v>1396</v>
      </c>
      <c r="N281" s="1142" t="s">
        <v>8131</v>
      </c>
      <c r="O281" s="1142" t="s">
        <v>1111</v>
      </c>
      <c r="P281" s="1143"/>
      <c r="Q281" s="1144"/>
      <c r="R281" s="1280"/>
      <c r="S281" s="1142" t="s">
        <v>1861</v>
      </c>
      <c r="T281" s="1142"/>
      <c r="U281" s="1142" t="s">
        <v>428</v>
      </c>
      <c r="V281" s="1142" t="s">
        <v>518</v>
      </c>
      <c r="W281" s="1142"/>
      <c r="X281" s="1142"/>
      <c r="Y281" s="1142" t="s">
        <v>618</v>
      </c>
      <c r="Z281" s="1142"/>
      <c r="AA281" s="1142"/>
      <c r="AB281" s="1142"/>
      <c r="AC281" s="1142" t="s">
        <v>4398</v>
      </c>
      <c r="AD281" s="1142" t="s">
        <v>1396</v>
      </c>
      <c r="AE281" s="1142"/>
      <c r="AF281" s="1142"/>
      <c r="AG281" s="1142"/>
      <c r="AH281" s="1142"/>
      <c r="AI281" s="1142"/>
      <c r="AJ281" s="1142"/>
      <c r="AK281" s="1142"/>
      <c r="AL281" s="1144"/>
      <c r="AM281" s="1142"/>
      <c r="AN281" s="1142"/>
      <c r="AO281" s="1142"/>
      <c r="AP281" s="1142"/>
      <c r="AQ281" s="1142"/>
      <c r="AR281" s="1144"/>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7804</v>
      </c>
      <c r="B282" s="1291" t="s">
        <v>8167</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144"/>
      <c r="R282" s="1039"/>
      <c r="S282" s="1292"/>
      <c r="T282" s="1292"/>
      <c r="U282" s="1292"/>
      <c r="V282" s="1292"/>
      <c r="W282" s="1292"/>
      <c r="X282" s="1292"/>
      <c r="Y282" s="1292"/>
      <c r="Z282" s="1292"/>
      <c r="AA282" s="1292"/>
      <c r="AB282" s="1292"/>
      <c r="AC282" s="1292"/>
      <c r="AD282" s="1292"/>
      <c r="AE282" s="1292"/>
      <c r="AF282" s="1292"/>
      <c r="AG282" s="1292"/>
      <c r="AH282" s="1292"/>
      <c r="AI282" s="1292"/>
      <c r="AJ282" s="1292"/>
      <c r="AK282" s="1292"/>
      <c r="AL282" s="1144"/>
      <c r="AM282" s="1292"/>
      <c r="AN282" s="1292"/>
      <c r="AO282" s="1292"/>
      <c r="AP282" s="1292"/>
      <c r="AQ282" s="1292"/>
      <c r="AR282" s="1144"/>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8167</v>
      </c>
      <c r="C283" s="1141" t="s">
        <v>8168</v>
      </c>
      <c r="D283" s="1292" t="s">
        <v>1615</v>
      </c>
      <c r="E283" s="1292" t="s">
        <v>412</v>
      </c>
      <c r="F283" s="1042" t="s">
        <v>1577</v>
      </c>
      <c r="G283" s="1292" t="s">
        <v>8168</v>
      </c>
      <c r="H283" s="1048"/>
      <c r="I283" s="1292"/>
      <c r="J283" s="1292"/>
      <c r="K283" s="1292"/>
      <c r="L283" s="1292" t="s">
        <v>957</v>
      </c>
      <c r="M283" s="1292" t="s">
        <v>191</v>
      </c>
      <c r="N283" s="1292"/>
      <c r="O283" s="1292" t="s">
        <v>1113</v>
      </c>
      <c r="P283" s="1293"/>
      <c r="Q283" s="1144"/>
      <c r="R283" s="1280"/>
      <c r="S283" s="1292"/>
      <c r="T283" s="1292"/>
      <c r="U283" s="1292"/>
      <c r="V283" s="1292" t="s">
        <v>3097</v>
      </c>
      <c r="W283" s="1292"/>
      <c r="X283" s="1292"/>
      <c r="Y283" s="1292"/>
      <c r="Z283" s="1292"/>
      <c r="AA283" s="1292"/>
      <c r="AB283" s="1292"/>
      <c r="AC283" s="1292"/>
      <c r="AD283" s="1292"/>
      <c r="AE283" s="1292"/>
      <c r="AF283" s="1292"/>
      <c r="AG283" s="1292"/>
      <c r="AH283" s="1292"/>
      <c r="AI283" s="1292"/>
      <c r="AJ283" s="1292"/>
      <c r="AK283" s="1292"/>
      <c r="AL283" s="1144"/>
      <c r="AM283" s="1292"/>
      <c r="AN283" s="1292"/>
      <c r="AO283" s="1292"/>
      <c r="AP283" s="1292"/>
      <c r="AQ283" s="1292"/>
      <c r="AR283" s="1144"/>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8169</v>
      </c>
      <c r="M284" s="1142"/>
      <c r="N284" s="1142"/>
      <c r="O284" s="1142" t="s">
        <v>5872</v>
      </c>
      <c r="P284" s="1143"/>
      <c r="Q284" s="1144"/>
      <c r="R284" s="1039"/>
      <c r="S284" s="1142"/>
      <c r="T284" s="1030" t="s">
        <v>8170</v>
      </c>
      <c r="U284" s="1142"/>
      <c r="V284" s="1142" t="s">
        <v>5872</v>
      </c>
      <c r="W284" s="1142"/>
      <c r="X284" s="1142"/>
      <c r="Y284" s="1142" t="s">
        <v>3611</v>
      </c>
      <c r="Z284" s="1142" t="s">
        <v>3598</v>
      </c>
      <c r="AA284" s="1142" t="s">
        <v>8171</v>
      </c>
      <c r="AB284" s="1142" t="s">
        <v>6255</v>
      </c>
      <c r="AC284" s="1142"/>
      <c r="AD284" s="1142"/>
      <c r="AE284" s="1142"/>
      <c r="AF284" s="1142"/>
      <c r="AG284" s="1142" t="s">
        <v>3461</v>
      </c>
      <c r="AH284" s="1142"/>
      <c r="AI284" s="1142"/>
      <c r="AJ284" s="1142"/>
      <c r="AK284" s="1142"/>
      <c r="AL284" s="1144"/>
      <c r="AM284" s="1142"/>
      <c r="AN284" s="1142"/>
      <c r="AO284" s="1142"/>
      <c r="AP284" s="1142"/>
      <c r="AQ284" s="1142"/>
      <c r="AR284" s="1144"/>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7753</v>
      </c>
      <c r="B285" s="1298" t="s">
        <v>8172</v>
      </c>
      <c r="C285" s="1141" t="s">
        <v>8173</v>
      </c>
      <c r="D285" s="1036" t="s">
        <v>1478</v>
      </c>
      <c r="E285" s="1142" t="s">
        <v>4427</v>
      </c>
      <c r="F285" s="1042" t="s">
        <v>3084</v>
      </c>
      <c r="G285" s="1142" t="s">
        <v>8173</v>
      </c>
      <c r="H285" s="1030" t="s">
        <v>1327</v>
      </c>
      <c r="I285" s="1142" t="s">
        <v>1478</v>
      </c>
      <c r="J285" s="1142" t="s">
        <v>3840</v>
      </c>
      <c r="K285" s="1142"/>
      <c r="L285" s="1142" t="s">
        <v>958</v>
      </c>
      <c r="M285" s="1142"/>
      <c r="N285" s="1142"/>
      <c r="O285" s="1142" t="s">
        <v>8174</v>
      </c>
      <c r="P285" s="1143"/>
      <c r="Q285" s="1144"/>
      <c r="R285" s="1280"/>
      <c r="S285" s="1142" t="s">
        <v>192</v>
      </c>
      <c r="T285" s="1142"/>
      <c r="U285" s="1142"/>
      <c r="V285" s="1142" t="s">
        <v>521</v>
      </c>
      <c r="W285" s="1142"/>
      <c r="X285" s="1142"/>
      <c r="Y285" s="1142" t="s">
        <v>8175</v>
      </c>
      <c r="Z285" s="1142"/>
      <c r="AA285" s="1142"/>
      <c r="AB285" s="1142"/>
      <c r="AC285" s="1142"/>
      <c r="AD285" s="1142"/>
      <c r="AE285" s="1142"/>
      <c r="AF285" s="1142"/>
      <c r="AG285" s="1142"/>
      <c r="AH285" s="1142" t="s">
        <v>8176</v>
      </c>
      <c r="AI285" s="1142"/>
      <c r="AJ285" s="1142"/>
      <c r="AK285" s="1142"/>
      <c r="AL285" s="1144"/>
      <c r="AM285" s="1142"/>
      <c r="AN285" s="1142"/>
      <c r="AO285" s="1142"/>
      <c r="AP285" s="1142"/>
      <c r="AQ285" s="1142"/>
      <c r="AR285" s="1144"/>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7764</v>
      </c>
      <c r="B286" s="1297" t="s">
        <v>8172</v>
      </c>
      <c r="C286" s="1025" t="s">
        <v>8177</v>
      </c>
      <c r="D286" s="1142" t="s">
        <v>8178</v>
      </c>
      <c r="E286" s="1142"/>
      <c r="F286" s="1042" t="s">
        <v>8179</v>
      </c>
      <c r="G286" s="1030" t="s">
        <v>7446</v>
      </c>
      <c r="H286" s="1048"/>
      <c r="I286" s="1142"/>
      <c r="J286" s="1142"/>
      <c r="K286" s="1142"/>
      <c r="L286" s="1142"/>
      <c r="M286" s="1142"/>
      <c r="N286" s="1142"/>
      <c r="O286" s="1142"/>
      <c r="P286" s="1143"/>
      <c r="Q286" s="1144"/>
      <c r="R286" s="1280"/>
      <c r="S286" s="1142"/>
      <c r="T286" s="1142"/>
      <c r="U286" s="1142"/>
      <c r="V286" s="1142"/>
      <c r="W286" s="1142"/>
      <c r="X286" s="1142"/>
      <c r="Y286" s="1142"/>
      <c r="Z286" s="1142"/>
      <c r="AA286" s="1142"/>
      <c r="AB286" s="1142"/>
      <c r="AC286" s="1142"/>
      <c r="AD286" s="1142"/>
      <c r="AE286" s="1142"/>
      <c r="AF286" s="1142"/>
      <c r="AG286" s="1142"/>
      <c r="AH286" s="1142"/>
      <c r="AI286" s="1142"/>
      <c r="AJ286" s="1142"/>
      <c r="AK286" s="1142"/>
      <c r="AL286" s="1144"/>
      <c r="AM286" s="1142"/>
      <c r="AN286" s="1142"/>
      <c r="AO286" s="1142"/>
      <c r="AP286" s="1142"/>
      <c r="AQ286" s="1142"/>
      <c r="AR286" s="1144"/>
      <c r="AS286" s="1142"/>
      <c r="AT286" s="1142"/>
      <c r="AU286" s="1300" t="s">
        <v>8180</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7656</v>
      </c>
      <c r="B287" s="1278" t="s">
        <v>8181</v>
      </c>
      <c r="C287" s="1141" t="s">
        <v>4219</v>
      </c>
      <c r="D287" s="1048"/>
      <c r="E287" s="1030" t="s">
        <v>4360</v>
      </c>
      <c r="F287" s="1286"/>
      <c r="G287" s="1030" t="s">
        <v>4219</v>
      </c>
      <c r="H287" s="1030" t="s">
        <v>3252</v>
      </c>
      <c r="I287" s="1048"/>
      <c r="J287" s="1048"/>
      <c r="K287" s="1048"/>
      <c r="L287" s="1048"/>
      <c r="M287" s="1048"/>
      <c r="N287" s="1048" t="s">
        <v>4340</v>
      </c>
      <c r="O287" s="1048"/>
      <c r="P287" s="1143" t="s">
        <v>8182</v>
      </c>
      <c r="Q287" s="1144"/>
      <c r="R287" s="1039"/>
      <c r="S287" s="1048"/>
      <c r="T287" s="1048"/>
      <c r="U287" s="1048"/>
      <c r="V287" s="1048"/>
      <c r="W287" s="1030" t="s">
        <v>8106</v>
      </c>
      <c r="X287" s="1048"/>
      <c r="Y287" s="1048"/>
      <c r="Z287" s="1048"/>
      <c r="AA287" s="1048"/>
      <c r="AB287" s="1048"/>
      <c r="AC287" s="1048"/>
      <c r="AD287" s="1048"/>
      <c r="AE287" s="1048"/>
      <c r="AF287" s="1048"/>
      <c r="AG287" s="1048"/>
      <c r="AH287" s="1048"/>
      <c r="AI287" s="1048"/>
      <c r="AJ287" s="1048"/>
      <c r="AK287" s="1048"/>
      <c r="AL287" s="1144"/>
      <c r="AM287" s="1048"/>
      <c r="AN287" s="1048"/>
      <c r="AO287" s="1048"/>
      <c r="AP287" s="1048"/>
      <c r="AQ287" s="1048"/>
      <c r="AR287" s="1144"/>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8183</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144"/>
      <c r="R288" s="1279" t="s">
        <v>6245</v>
      </c>
      <c r="S288" s="1142" t="s">
        <v>2635</v>
      </c>
      <c r="T288" s="1142" t="s">
        <v>1616</v>
      </c>
      <c r="U288" s="1142"/>
      <c r="V288" s="1142" t="s">
        <v>4511</v>
      </c>
      <c r="W288" s="1142"/>
      <c r="X288" s="1142"/>
      <c r="Y288" s="1142"/>
      <c r="Z288" s="1142"/>
      <c r="AA288" s="1142"/>
      <c r="AB288" s="1142"/>
      <c r="AC288" s="1142" t="s">
        <v>1657</v>
      </c>
      <c r="AD288" s="1142"/>
      <c r="AE288" s="1142"/>
      <c r="AF288" s="1142"/>
      <c r="AG288" s="1142"/>
      <c r="AH288" s="1142"/>
      <c r="AI288" s="1142"/>
      <c r="AJ288" s="1142"/>
      <c r="AK288" s="1142"/>
      <c r="AL288" s="1144"/>
      <c r="AM288" s="1142"/>
      <c r="AN288" s="1142"/>
      <c r="AO288" s="1142"/>
      <c r="AP288" s="1142"/>
      <c r="AQ288" s="1142"/>
      <c r="AR288" s="1144"/>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8184</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144"/>
      <c r="R289" s="1039"/>
      <c r="S289" s="1142"/>
      <c r="T289" s="1142"/>
      <c r="U289" s="1142"/>
      <c r="V289" s="1142" t="s">
        <v>369</v>
      </c>
      <c r="W289" s="1142"/>
      <c r="X289" s="1142"/>
      <c r="Y289" s="1142" t="s">
        <v>622</v>
      </c>
      <c r="Z289" s="1142"/>
      <c r="AA289" s="1142"/>
      <c r="AB289" s="1142"/>
      <c r="AC289" s="1142"/>
      <c r="AD289" s="1142"/>
      <c r="AE289" s="1142"/>
      <c r="AF289" s="1142"/>
      <c r="AG289" s="1142"/>
      <c r="AH289" s="1142"/>
      <c r="AI289" s="1142"/>
      <c r="AJ289" s="1142"/>
      <c r="AK289" s="1142"/>
      <c r="AL289" s="1144"/>
      <c r="AM289" s="1142"/>
      <c r="AN289" s="1142"/>
      <c r="AO289" s="1142"/>
      <c r="AP289" s="1142"/>
      <c r="AQ289" s="1142"/>
      <c r="AR289" s="1144"/>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7660</v>
      </c>
      <c r="B290" s="1278" t="s">
        <v>7541</v>
      </c>
      <c r="C290" s="1141" t="s">
        <v>8185</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144"/>
      <c r="R290" s="1280"/>
      <c r="S290" s="1148"/>
      <c r="T290" s="1148"/>
      <c r="U290" s="1148"/>
      <c r="V290" s="1148"/>
      <c r="W290" s="1148"/>
      <c r="X290" s="1148"/>
      <c r="Y290" s="1148"/>
      <c r="Z290" s="1148"/>
      <c r="AA290" s="1148"/>
      <c r="AB290" s="1148"/>
      <c r="AC290" s="1148"/>
      <c r="AD290" s="1148"/>
      <c r="AE290" s="1148"/>
      <c r="AF290" s="1148"/>
      <c r="AG290" s="1148"/>
      <c r="AH290" s="1148"/>
      <c r="AI290" s="1148"/>
      <c r="AJ290" s="1148"/>
      <c r="AK290" s="1148"/>
      <c r="AL290" s="1144"/>
      <c r="AM290" s="1148"/>
      <c r="AN290" s="1148"/>
      <c r="AO290" s="1148"/>
      <c r="AP290" s="1148"/>
      <c r="AQ290" s="1148"/>
      <c r="AR290" s="1144"/>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8186</v>
      </c>
      <c r="B291" s="1278" t="s">
        <v>7541</v>
      </c>
      <c r="C291" s="1141"/>
      <c r="E291" s="1142"/>
      <c r="F291" s="1112"/>
      <c r="G291" s="1142"/>
      <c r="H291" s="1048"/>
      <c r="I291" s="1142"/>
      <c r="J291" s="1142"/>
      <c r="K291" s="1142"/>
      <c r="L291" s="1142"/>
      <c r="M291" s="1142"/>
      <c r="N291" s="1142"/>
      <c r="O291" s="1142"/>
      <c r="P291" s="1143"/>
      <c r="Q291" s="1144"/>
      <c r="R291" s="1039"/>
      <c r="S291" s="1142"/>
      <c r="T291" s="1048"/>
      <c r="U291" s="1142"/>
      <c r="V291" s="1142"/>
      <c r="W291" s="1142"/>
      <c r="X291" s="1142"/>
      <c r="Y291" s="1142"/>
      <c r="Z291" s="1142"/>
      <c r="AA291" s="1142"/>
      <c r="AB291" s="1142"/>
      <c r="AC291" s="1142"/>
      <c r="AD291" s="1142"/>
      <c r="AE291" s="1142"/>
      <c r="AF291" s="1142"/>
      <c r="AG291" s="1142"/>
      <c r="AH291" s="1142"/>
      <c r="AI291" s="1142"/>
      <c r="AJ291" s="1142"/>
      <c r="AK291" s="1142"/>
      <c r="AL291" s="1144"/>
      <c r="AM291" s="1142"/>
      <c r="AN291" s="1142"/>
      <c r="AO291" s="1142"/>
      <c r="AP291" s="1142"/>
      <c r="AQ291" s="1142"/>
      <c r="AR291" s="1144"/>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7666</v>
      </c>
      <c r="B292" s="1297" t="s">
        <v>7541</v>
      </c>
      <c r="C292" s="1025" t="s">
        <v>8187</v>
      </c>
      <c r="D292" s="1030" t="s">
        <v>8187</v>
      </c>
      <c r="E292" s="1142"/>
      <c r="F292" s="1112"/>
      <c r="G292" s="1142"/>
      <c r="H292" s="1048"/>
      <c r="I292" s="1142"/>
      <c r="J292" s="1142"/>
      <c r="K292" s="1142"/>
      <c r="L292" s="1142"/>
      <c r="M292" s="1142"/>
      <c r="N292" s="1142"/>
      <c r="O292" s="1142"/>
      <c r="P292" s="1143"/>
      <c r="Q292" s="1144"/>
      <c r="R292" s="1039"/>
      <c r="S292" s="1142"/>
      <c r="T292" s="1048"/>
      <c r="U292" s="1142"/>
      <c r="V292" s="1142"/>
      <c r="W292" s="1142"/>
      <c r="X292" s="1142"/>
      <c r="Y292" s="1142"/>
      <c r="Z292" s="1142"/>
      <c r="AA292" s="1142"/>
      <c r="AB292" s="1142"/>
      <c r="AC292" s="1142"/>
      <c r="AD292" s="1142"/>
      <c r="AE292" s="1142"/>
      <c r="AF292" s="1142"/>
      <c r="AG292" s="1142"/>
      <c r="AH292" s="1142"/>
      <c r="AI292" s="1142"/>
      <c r="AJ292" s="1142"/>
      <c r="AK292" s="1142"/>
      <c r="AL292" s="1144"/>
      <c r="AM292" s="1142"/>
      <c r="AN292" s="1142"/>
      <c r="AO292" s="1142"/>
      <c r="AP292" s="1142"/>
      <c r="AQ292" s="1142"/>
      <c r="AR292" s="1144"/>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7790</v>
      </c>
      <c r="C293" s="1025" t="s">
        <v>8188</v>
      </c>
      <c r="D293" s="987" t="s">
        <v>1617</v>
      </c>
      <c r="E293" s="1148"/>
      <c r="F293" s="1286"/>
      <c r="G293" s="1030" t="s">
        <v>8188</v>
      </c>
      <c r="H293" s="1030" t="s">
        <v>1730</v>
      </c>
      <c r="I293" s="1148" t="s">
        <v>4176</v>
      </c>
      <c r="J293" s="1148"/>
      <c r="K293" s="1148"/>
      <c r="L293" s="1148"/>
      <c r="M293" s="1148"/>
      <c r="N293" s="1142" t="str">
        <f>HYPERLINK("https://youtu.be/iPAXLOnqzFM","41.13")</f>
        <v>41.13</v>
      </c>
      <c r="O293" s="1148"/>
      <c r="P293" s="1150"/>
      <c r="Q293" s="1144"/>
      <c r="R293" s="1039"/>
      <c r="S293" s="1148"/>
      <c r="T293" s="1148"/>
      <c r="U293" s="1148"/>
      <c r="V293" s="1148"/>
      <c r="W293" s="1148"/>
      <c r="X293" s="1148"/>
      <c r="Y293" s="1148"/>
      <c r="Z293" s="1148"/>
      <c r="AA293" s="1148"/>
      <c r="AB293" s="1148"/>
      <c r="AC293" s="1148"/>
      <c r="AD293" s="1148"/>
      <c r="AE293" s="1148"/>
      <c r="AF293" s="1148"/>
      <c r="AG293" s="1148"/>
      <c r="AH293" s="1148"/>
      <c r="AI293" s="1148"/>
      <c r="AJ293" s="1148"/>
      <c r="AK293" s="1148"/>
      <c r="AL293" s="1144"/>
      <c r="AM293" s="1148"/>
      <c r="AN293" s="1148"/>
      <c r="AO293" s="1148"/>
      <c r="AP293" s="1148"/>
      <c r="AQ293" s="1148"/>
      <c r="AR293" s="1144"/>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7793</v>
      </c>
      <c r="C294" s="1141" t="s">
        <v>4838</v>
      </c>
      <c r="D294" s="1148"/>
      <c r="E294" s="1148"/>
      <c r="F294" s="1028"/>
      <c r="G294" s="1148"/>
      <c r="H294" s="1030" t="s">
        <v>1330</v>
      </c>
      <c r="I294" s="1148"/>
      <c r="J294" s="1148"/>
      <c r="K294" s="1148"/>
      <c r="L294" s="1148"/>
      <c r="M294" s="1148"/>
      <c r="N294" s="1148"/>
      <c r="O294" s="1148"/>
      <c r="P294" s="1150"/>
      <c r="Q294" s="1144"/>
      <c r="R294" s="1280"/>
      <c r="S294" s="1148"/>
      <c r="T294" s="1148"/>
      <c r="U294" s="1030" t="s">
        <v>2637</v>
      </c>
      <c r="V294" s="1148"/>
      <c r="W294" s="1148"/>
      <c r="X294" s="1148"/>
      <c r="Y294" s="1148"/>
      <c r="Z294" s="1148"/>
      <c r="AA294" s="1148"/>
      <c r="AB294" s="1148"/>
      <c r="AC294" s="1148"/>
      <c r="AD294" s="1148"/>
      <c r="AE294" s="1148"/>
      <c r="AF294" s="1148"/>
      <c r="AG294" s="1148"/>
      <c r="AH294" s="1148"/>
      <c r="AI294" s="1148"/>
      <c r="AJ294" s="1148"/>
      <c r="AK294" s="1148"/>
      <c r="AL294" s="1144"/>
      <c r="AM294" s="1148"/>
      <c r="AN294" s="1148"/>
      <c r="AO294" s="1148"/>
      <c r="AP294" s="1148"/>
      <c r="AQ294" s="1148"/>
      <c r="AR294" s="1144"/>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8189</v>
      </c>
      <c r="E295" s="1148"/>
      <c r="F295" s="1286"/>
      <c r="G295" s="1148"/>
      <c r="H295" s="1030" t="s">
        <v>1331</v>
      </c>
      <c r="I295" s="1148"/>
      <c r="J295" s="1148"/>
      <c r="K295" s="1148"/>
      <c r="L295" s="1148" t="s">
        <v>962</v>
      </c>
      <c r="M295" s="1148"/>
      <c r="N295" s="1148"/>
      <c r="O295" s="1148"/>
      <c r="P295" s="1150"/>
      <c r="Q295" s="1144"/>
      <c r="R295" s="1039"/>
      <c r="S295" s="1148"/>
      <c r="T295" s="1148"/>
      <c r="U295" s="1148"/>
      <c r="V295" s="1148"/>
      <c r="W295" s="1148"/>
      <c r="X295" s="1148"/>
      <c r="Y295" s="1148"/>
      <c r="Z295" s="1148"/>
      <c r="AA295" s="1148"/>
      <c r="AB295" s="1148"/>
      <c r="AC295" s="1148"/>
      <c r="AD295" s="1148"/>
      <c r="AE295" s="1148"/>
      <c r="AF295" s="1148"/>
      <c r="AG295" s="1148"/>
      <c r="AH295" s="1148"/>
      <c r="AI295" s="1148"/>
      <c r="AJ295" s="1148"/>
      <c r="AK295" s="1148"/>
      <c r="AL295" s="1144"/>
      <c r="AM295" s="1148"/>
      <c r="AN295" s="1148"/>
      <c r="AO295" s="1148"/>
      <c r="AP295" s="1148"/>
      <c r="AQ295" s="1148"/>
      <c r="AR295" s="1144"/>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8190</v>
      </c>
      <c r="D296" s="1303"/>
      <c r="E296" s="1303"/>
      <c r="F296" s="1304"/>
      <c r="G296" s="1303"/>
      <c r="H296" s="1305"/>
      <c r="I296" s="1303"/>
      <c r="J296" s="1303"/>
      <c r="K296" s="1303"/>
      <c r="L296" s="1303"/>
      <c r="M296" s="1303"/>
      <c r="N296" s="1303"/>
      <c r="O296" s="1303"/>
      <c r="P296" s="1306"/>
      <c r="Q296" s="1303"/>
      <c r="R296" s="1307"/>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8191</v>
      </c>
      <c r="B297" s="1309" t="s">
        <v>8192</v>
      </c>
      <c r="C297" s="1025" t="s">
        <v>8193</v>
      </c>
      <c r="D297" s="1267"/>
      <c r="E297" s="1048"/>
      <c r="F297" s="1310"/>
      <c r="G297" s="1048"/>
      <c r="H297" s="1030" t="s">
        <v>4855</v>
      </c>
      <c r="I297" s="1048"/>
      <c r="J297" s="1048"/>
      <c r="K297" s="1048"/>
      <c r="L297" s="1048"/>
      <c r="M297" s="1048"/>
      <c r="N297" s="1048"/>
      <c r="O297" s="1048"/>
      <c r="P297" s="1143"/>
      <c r="Q297" s="1144"/>
      <c r="R297" s="1039"/>
      <c r="S297" s="1048"/>
      <c r="T297" s="1048"/>
      <c r="U297" s="1048"/>
      <c r="V297" s="1048"/>
      <c r="W297" s="1030" t="s">
        <v>8193</v>
      </c>
      <c r="X297" s="1048"/>
      <c r="Y297" s="1048"/>
      <c r="Z297" s="1048"/>
      <c r="AA297" s="1048"/>
      <c r="AB297" s="1048"/>
      <c r="AC297" s="1048"/>
      <c r="AD297" s="1048"/>
      <c r="AE297" s="1048"/>
      <c r="AF297" s="1048"/>
      <c r="AG297" s="1048"/>
      <c r="AH297" s="1048"/>
      <c r="AI297" s="1048"/>
      <c r="AJ297" s="1048"/>
      <c r="AK297" s="1048"/>
      <c r="AL297" s="1144"/>
      <c r="AM297" s="1048"/>
      <c r="AN297" s="1048"/>
      <c r="AO297" s="1048"/>
      <c r="AP297" s="1048"/>
      <c r="AQ297" s="1048"/>
      <c r="AR297" s="1144"/>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8194</v>
      </c>
      <c r="C298" s="1141" t="s">
        <v>7182</v>
      </c>
      <c r="D298" s="1142" t="s">
        <v>8195</v>
      </c>
      <c r="E298" s="1142" t="s">
        <v>7182</v>
      </c>
      <c r="F298" s="1028"/>
      <c r="G298" s="1142"/>
      <c r="I298" s="1142"/>
      <c r="J298" s="1142"/>
      <c r="K298" s="1143" t="s">
        <v>8196</v>
      </c>
      <c r="L298" s="1142"/>
      <c r="M298" s="1142"/>
      <c r="N298" s="1142"/>
      <c r="O298" s="1142"/>
      <c r="P298" s="1143" t="s">
        <v>8197</v>
      </c>
      <c r="Q298" s="1144"/>
      <c r="R298" s="1311"/>
      <c r="S298" s="1142"/>
      <c r="T298" s="1142"/>
      <c r="U298" s="1142"/>
      <c r="V298" s="1142"/>
      <c r="W298" s="1048"/>
      <c r="X298" s="1142"/>
      <c r="Y298" s="1142"/>
      <c r="Z298" s="1142"/>
      <c r="AA298" s="1142"/>
      <c r="AB298" s="1142"/>
      <c r="AC298" s="1142"/>
      <c r="AD298" s="1142"/>
      <c r="AE298" s="1142"/>
      <c r="AF298" s="1142"/>
      <c r="AG298" s="1142"/>
      <c r="AH298" s="1142"/>
      <c r="AI298" s="1142"/>
      <c r="AJ298" s="1142"/>
      <c r="AK298" s="1142"/>
      <c r="AL298" s="1144"/>
      <c r="AM298" s="1142"/>
      <c r="AN298" s="1142"/>
      <c r="AO298" s="1142"/>
      <c r="AP298" s="1142"/>
      <c r="AQ298" s="1142"/>
      <c r="AR298" s="1144"/>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8198</v>
      </c>
      <c r="C299" s="1141" t="s">
        <v>424</v>
      </c>
      <c r="D299" s="1036" t="s">
        <v>1622</v>
      </c>
      <c r="E299" s="1030" t="s">
        <v>424</v>
      </c>
      <c r="F299" s="1057" t="s">
        <v>2579</v>
      </c>
      <c r="G299" s="1030" t="s">
        <v>8199</v>
      </c>
      <c r="H299" s="1030" t="s">
        <v>1338</v>
      </c>
      <c r="I299" s="1030" t="str">
        <f>HYPERLINK("https://youtu.be/ZpzmhXUsVhA","1:19.38")</f>
        <v>1:19.38</v>
      </c>
      <c r="J299" s="1048"/>
      <c r="K299" s="1030" t="s">
        <v>3678</v>
      </c>
      <c r="L299" s="1048" t="s">
        <v>967</v>
      </c>
      <c r="M299" s="1048" t="s">
        <v>6121</v>
      </c>
      <c r="N299" s="1048" t="s">
        <v>8200</v>
      </c>
      <c r="O299" s="1030" t="s">
        <v>8201</v>
      </c>
      <c r="P299" s="1143" t="s">
        <v>8202</v>
      </c>
      <c r="Q299" s="1144"/>
      <c r="R299" s="1039"/>
      <c r="S299" s="1048"/>
      <c r="T299" s="1048"/>
      <c r="U299" s="1048"/>
      <c r="V299" s="1048"/>
      <c r="W299" s="1289" t="s">
        <v>8203</v>
      </c>
      <c r="X299" s="1048"/>
      <c r="Y299" s="1048"/>
      <c r="Z299" s="1048"/>
      <c r="AA299" s="1048"/>
      <c r="AB299" s="1048"/>
      <c r="AC299" s="1048"/>
      <c r="AD299" s="1048"/>
      <c r="AE299" s="1048"/>
      <c r="AF299" s="1048"/>
      <c r="AG299" s="1048"/>
      <c r="AH299" s="1048"/>
      <c r="AI299" s="1048"/>
      <c r="AJ299" s="1048"/>
      <c r="AK299" s="1048"/>
      <c r="AL299" s="1144"/>
      <c r="AM299" s="1048"/>
      <c r="AN299" s="1048"/>
      <c r="AO299" s="1048"/>
      <c r="AP299" s="1048"/>
      <c r="AQ299" s="1048"/>
      <c r="AR299" s="1144"/>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8204</v>
      </c>
      <c r="B300" s="1313" t="s">
        <v>8192</v>
      </c>
      <c r="C300" s="1025" t="s">
        <v>2173</v>
      </c>
      <c r="D300" s="1142"/>
      <c r="E300" s="1142"/>
      <c r="F300" s="1028"/>
      <c r="G300" s="1142"/>
      <c r="H300" s="1048"/>
      <c r="I300" s="1142"/>
      <c r="J300" s="1142"/>
      <c r="K300" s="1142"/>
      <c r="L300" s="1142"/>
      <c r="M300" s="1142"/>
      <c r="N300" s="1142"/>
      <c r="O300" s="1142"/>
      <c r="P300" s="1143"/>
      <c r="Q300" s="1144"/>
      <c r="R300" s="1311"/>
      <c r="S300" s="1142"/>
      <c r="T300" s="1142"/>
      <c r="U300" s="1142"/>
      <c r="V300" s="1142"/>
      <c r="W300" s="1071" t="s">
        <v>2605</v>
      </c>
      <c r="X300" s="1142"/>
      <c r="Y300" s="1142"/>
      <c r="Z300" s="1142"/>
      <c r="AA300" s="1142"/>
      <c r="AB300" s="1142"/>
      <c r="AC300" s="1142"/>
      <c r="AD300" s="1142"/>
      <c r="AE300" s="1142"/>
      <c r="AF300" s="1142"/>
      <c r="AG300" s="1142"/>
      <c r="AH300" s="1142"/>
      <c r="AI300" s="1142"/>
      <c r="AJ300" s="1142"/>
      <c r="AK300" s="1142"/>
      <c r="AL300" s="1144"/>
      <c r="AM300" s="1142"/>
      <c r="AN300" s="1142"/>
      <c r="AO300" s="1142"/>
      <c r="AP300" s="1142"/>
      <c r="AQ300" s="1142"/>
      <c r="AR300" s="1144"/>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8194</v>
      </c>
      <c r="C301" s="1141" t="s">
        <v>5558</v>
      </c>
      <c r="D301" s="1142" t="s">
        <v>1083</v>
      </c>
      <c r="E301" s="1142" t="s">
        <v>3316</v>
      </c>
      <c r="F301" s="1028"/>
      <c r="G301" s="1142"/>
      <c r="H301" s="1048"/>
      <c r="I301" s="1142"/>
      <c r="J301" s="1142"/>
      <c r="K301" s="1142"/>
      <c r="L301" s="1142"/>
      <c r="M301" s="1142"/>
      <c r="N301" s="1142"/>
      <c r="O301" s="1142"/>
      <c r="P301" s="1143"/>
      <c r="Q301" s="1144"/>
      <c r="R301" s="1311"/>
      <c r="S301" s="1142"/>
      <c r="T301" s="1142"/>
      <c r="U301" s="1142"/>
      <c r="V301" s="1142"/>
      <c r="W301" s="1142"/>
      <c r="X301" s="1142"/>
      <c r="Y301" s="1142"/>
      <c r="Z301" s="1142"/>
      <c r="AA301" s="1142"/>
      <c r="AB301" s="1142"/>
      <c r="AC301" s="1142"/>
      <c r="AD301" s="1142"/>
      <c r="AE301" s="1142"/>
      <c r="AF301" s="1142"/>
      <c r="AG301" s="1142"/>
      <c r="AH301" s="1142"/>
      <c r="AI301" s="1142"/>
      <c r="AJ301" s="1142"/>
      <c r="AK301" s="1142"/>
      <c r="AL301" s="1144"/>
      <c r="AM301" s="1142"/>
      <c r="AN301" s="1142"/>
      <c r="AO301" s="1142"/>
      <c r="AP301" s="1142"/>
      <c r="AQ301" s="1142"/>
      <c r="AR301" s="1144"/>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8198</v>
      </c>
      <c r="C302" s="1141" t="s">
        <v>2221</v>
      </c>
      <c r="D302" s="1315" t="s">
        <v>8205</v>
      </c>
      <c r="E302" s="1142" t="s">
        <v>3589</v>
      </c>
      <c r="F302" s="1113" t="s">
        <v>685</v>
      </c>
      <c r="G302" s="1188" t="s">
        <v>2578</v>
      </c>
      <c r="H302" s="1030" t="s">
        <v>2839</v>
      </c>
      <c r="I302" s="1142"/>
      <c r="J302" s="1142"/>
      <c r="K302" s="1142"/>
      <c r="L302" s="1142"/>
      <c r="M302" s="1142"/>
      <c r="N302" s="1142"/>
      <c r="O302" s="1142" t="s">
        <v>2221</v>
      </c>
      <c r="P302" s="1143"/>
      <c r="Q302" s="1144"/>
      <c r="R302" s="1039"/>
      <c r="S302" s="1142"/>
      <c r="T302" s="1142"/>
      <c r="U302" s="1142"/>
      <c r="V302" s="1142"/>
      <c r="W302" s="1030" t="s">
        <v>1648</v>
      </c>
      <c r="X302" s="1142"/>
      <c r="Y302" s="1142"/>
      <c r="Z302" s="1142"/>
      <c r="AA302" s="1142"/>
      <c r="AB302" s="1142"/>
      <c r="AC302" s="1142"/>
      <c r="AD302" s="1142"/>
      <c r="AE302" s="1142"/>
      <c r="AF302" s="1142"/>
      <c r="AG302" s="1142"/>
      <c r="AH302" s="1142"/>
      <c r="AI302" s="1142"/>
      <c r="AJ302" s="1142"/>
      <c r="AK302" s="1142"/>
      <c r="AL302" s="1144"/>
      <c r="AM302" s="1142"/>
      <c r="AN302" s="1142"/>
      <c r="AO302" s="1142"/>
      <c r="AP302" s="1142"/>
      <c r="AQ302" s="1142"/>
      <c r="AR302" s="1144"/>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8206</v>
      </c>
      <c r="B303" s="1316" t="s">
        <v>8207</v>
      </c>
      <c r="C303" s="1141" t="s">
        <v>4237</v>
      </c>
      <c r="D303" s="1269" t="s">
        <v>1712</v>
      </c>
      <c r="E303" s="1142" t="s">
        <v>4237</v>
      </c>
      <c r="F303" s="1028"/>
      <c r="G303" s="1142"/>
      <c r="H303" s="1048"/>
      <c r="I303" s="1142"/>
      <c r="J303" s="1142"/>
      <c r="K303" s="1142" t="s">
        <v>2338</v>
      </c>
      <c r="L303" s="1142"/>
      <c r="M303" s="1142"/>
      <c r="N303" s="1142"/>
      <c r="O303" s="1142"/>
      <c r="P303" s="1143" t="s">
        <v>8208</v>
      </c>
      <c r="Q303" s="1144"/>
      <c r="R303" s="1311"/>
      <c r="S303" s="1142"/>
      <c r="T303" s="1142"/>
      <c r="U303" s="1142" t="s">
        <v>2637</v>
      </c>
      <c r="V303" s="1142"/>
      <c r="W303" s="1142"/>
      <c r="X303" s="1142"/>
      <c r="Y303" s="1142"/>
      <c r="Z303" s="1142"/>
      <c r="AA303" s="1142"/>
      <c r="AB303" s="1142"/>
      <c r="AC303" s="1142"/>
      <c r="AD303" s="1142"/>
      <c r="AE303" s="1142"/>
      <c r="AF303" s="1142"/>
      <c r="AG303" s="1142"/>
      <c r="AH303" s="1142"/>
      <c r="AI303" s="1142"/>
      <c r="AJ303" s="1142"/>
      <c r="AK303" s="1142"/>
      <c r="AL303" s="1144"/>
      <c r="AM303" s="1142"/>
      <c r="AN303" s="1142"/>
      <c r="AO303" s="1142"/>
      <c r="AP303" s="1142"/>
      <c r="AQ303" s="1142"/>
      <c r="AR303" s="1144"/>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8209</v>
      </c>
      <c r="C304" s="1141" t="s">
        <v>8148</v>
      </c>
      <c r="D304" s="1036" t="s">
        <v>1623</v>
      </c>
      <c r="E304" s="1030" t="s">
        <v>425</v>
      </c>
      <c r="F304" s="1063" t="s">
        <v>2580</v>
      </c>
      <c r="G304" s="1030" t="s">
        <v>1940</v>
      </c>
      <c r="H304" s="1030" t="s">
        <v>1339</v>
      </c>
      <c r="I304" s="1048"/>
      <c r="J304" s="1048"/>
      <c r="K304" s="1048"/>
      <c r="L304" s="1030" t="s">
        <v>968</v>
      </c>
      <c r="M304" s="1048" t="s">
        <v>815</v>
      </c>
      <c r="N304" s="1048"/>
      <c r="O304" s="1030" t="s">
        <v>8148</v>
      </c>
      <c r="P304" s="1143" t="s">
        <v>1443</v>
      </c>
      <c r="Q304" s="1144"/>
      <c r="R304" s="1039"/>
      <c r="S304" s="1048"/>
      <c r="T304" s="1048"/>
      <c r="U304" s="1048"/>
      <c r="V304" s="1048" t="s">
        <v>1606</v>
      </c>
      <c r="W304" s="1048"/>
      <c r="X304" s="1048"/>
      <c r="Y304" s="1048"/>
      <c r="Z304" s="1048"/>
      <c r="AA304" s="1048"/>
      <c r="AB304" s="1030" t="s">
        <v>5431</v>
      </c>
      <c r="AC304" s="1048"/>
      <c r="AD304" s="1048"/>
      <c r="AE304" s="1048"/>
      <c r="AF304" s="1048"/>
      <c r="AG304" s="1048"/>
      <c r="AH304" s="1048"/>
      <c r="AI304" s="1048"/>
      <c r="AJ304" s="1048"/>
      <c r="AK304" s="1048"/>
      <c r="AL304" s="1144"/>
      <c r="AM304" s="1048"/>
      <c r="AN304" s="1048"/>
      <c r="AO304" s="1048"/>
      <c r="AP304" s="1048"/>
      <c r="AQ304" s="1048"/>
      <c r="AR304" s="1144"/>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8210</v>
      </c>
      <c r="B305" s="1309" t="s">
        <v>8211</v>
      </c>
      <c r="C305" s="1141" t="s">
        <v>6328</v>
      </c>
      <c r="D305" s="1142"/>
      <c r="E305" s="1142" t="s">
        <v>6328</v>
      </c>
      <c r="F305" s="1028"/>
      <c r="G305" s="1142"/>
      <c r="H305" s="1048"/>
      <c r="I305" s="1142" t="s">
        <v>8075</v>
      </c>
      <c r="J305" s="1142"/>
      <c r="K305" s="1142"/>
      <c r="L305" s="1142"/>
      <c r="M305" s="1142"/>
      <c r="N305" s="1142"/>
      <c r="O305" s="1142"/>
      <c r="P305" s="1143"/>
      <c r="Q305" s="1144"/>
      <c r="R305" s="1311"/>
      <c r="S305" s="1142"/>
      <c r="T305" s="1142"/>
      <c r="U305" s="1142"/>
      <c r="V305" s="1142"/>
      <c r="W305" s="1142"/>
      <c r="X305" s="1142"/>
      <c r="Y305" s="1142"/>
      <c r="Z305" s="1142"/>
      <c r="AA305" s="1142"/>
      <c r="AB305" s="1142"/>
      <c r="AC305" s="1142"/>
      <c r="AD305" s="1142"/>
      <c r="AE305" s="1142"/>
      <c r="AF305" s="1142"/>
      <c r="AG305" s="1142"/>
      <c r="AH305" s="1142"/>
      <c r="AI305" s="1142"/>
      <c r="AJ305" s="1142"/>
      <c r="AK305" s="1142"/>
      <c r="AL305" s="1144"/>
      <c r="AM305" s="1142"/>
      <c r="AN305" s="1142"/>
      <c r="AO305" s="1142"/>
      <c r="AP305" s="1142"/>
      <c r="AQ305" s="1142"/>
      <c r="AR305" s="1144"/>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8212</v>
      </c>
      <c r="C306" s="1141" t="s">
        <v>7990</v>
      </c>
      <c r="D306" s="1142"/>
      <c r="E306" s="1142" t="s">
        <v>1406</v>
      </c>
      <c r="F306" s="1103"/>
      <c r="G306" s="1142"/>
      <c r="H306" s="1048"/>
      <c r="I306" s="1142" t="s">
        <v>7990</v>
      </c>
      <c r="J306" s="1142"/>
      <c r="K306" s="1142"/>
      <c r="L306" s="1142"/>
      <c r="M306" s="1142"/>
      <c r="N306" s="1142"/>
      <c r="O306" s="1142"/>
      <c r="P306" s="1143"/>
      <c r="Q306" s="1144"/>
      <c r="R306" s="1039"/>
      <c r="S306" s="1142"/>
      <c r="T306" s="1142"/>
      <c r="U306" s="1142"/>
      <c r="V306" s="1142"/>
      <c r="W306" s="1142"/>
      <c r="X306" s="1142"/>
      <c r="Y306" s="1142"/>
      <c r="Z306" s="1142"/>
      <c r="AA306" s="1142"/>
      <c r="AB306" s="1142"/>
      <c r="AC306" s="1142"/>
      <c r="AD306" s="1142"/>
      <c r="AE306" s="1142"/>
      <c r="AF306" s="1142"/>
      <c r="AG306" s="1142"/>
      <c r="AH306" s="1142"/>
      <c r="AI306" s="1142"/>
      <c r="AJ306" s="1142"/>
      <c r="AK306" s="1142"/>
      <c r="AL306" s="1144"/>
      <c r="AM306" s="1142"/>
      <c r="AN306" s="1142"/>
      <c r="AO306" s="1142"/>
      <c r="AP306" s="1142"/>
      <c r="AQ306" s="1142"/>
      <c r="AR306" s="1144"/>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8213</v>
      </c>
      <c r="C307" s="1141"/>
      <c r="D307" s="1148"/>
      <c r="E307" s="1148"/>
      <c r="F307" s="1028"/>
      <c r="G307" s="1148"/>
      <c r="H307" s="1048"/>
      <c r="I307" s="1148"/>
      <c r="J307" s="1148"/>
      <c r="K307" s="1148"/>
      <c r="L307" s="1148"/>
      <c r="M307" s="1148"/>
      <c r="N307" s="1148"/>
      <c r="O307" s="1148"/>
      <c r="P307" s="1150"/>
      <c r="Q307" s="1144"/>
      <c r="R307" s="1311"/>
      <c r="S307" s="1148"/>
      <c r="T307" s="1148"/>
      <c r="U307" s="1148"/>
      <c r="V307" s="1148"/>
      <c r="W307" s="1148"/>
      <c r="X307" s="1148"/>
      <c r="Y307" s="1148"/>
      <c r="Z307" s="1148"/>
      <c r="AA307" s="1148"/>
      <c r="AB307" s="1148"/>
      <c r="AC307" s="1148"/>
      <c r="AD307" s="1148"/>
      <c r="AE307" s="1148"/>
      <c r="AF307" s="1148"/>
      <c r="AG307" s="1148"/>
      <c r="AH307" s="1148"/>
      <c r="AI307" s="1148"/>
      <c r="AJ307" s="1148"/>
      <c r="AK307" s="1148"/>
      <c r="AL307" s="1144"/>
      <c r="AM307" s="1148"/>
      <c r="AN307" s="1148"/>
      <c r="AO307" s="1148"/>
      <c r="AP307" s="1148"/>
      <c r="AQ307" s="1148"/>
      <c r="AR307" s="1144"/>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8214</v>
      </c>
      <c r="C308" s="1141" t="s">
        <v>2611</v>
      </c>
      <c r="D308" s="1193"/>
      <c r="E308" s="1193"/>
      <c r="F308" s="1103"/>
      <c r="G308" s="1193"/>
      <c r="H308" s="1048"/>
      <c r="I308" s="1193" t="s">
        <v>2611</v>
      </c>
      <c r="J308" s="1193"/>
      <c r="K308" s="1193"/>
      <c r="L308" s="1193"/>
      <c r="M308" s="1193"/>
      <c r="N308" s="1193"/>
      <c r="O308" s="1193"/>
      <c r="P308" s="1143"/>
      <c r="Q308" s="1144"/>
      <c r="R308" s="1039"/>
      <c r="S308" s="1193"/>
      <c r="T308" s="1193"/>
      <c r="U308" s="1193"/>
      <c r="V308" s="1193"/>
      <c r="W308" s="1193"/>
      <c r="X308" s="1193"/>
      <c r="Y308" s="1193"/>
      <c r="Z308" s="1193"/>
      <c r="AA308" s="1193"/>
      <c r="AB308" s="1193"/>
      <c r="AC308" s="1193"/>
      <c r="AD308" s="1193"/>
      <c r="AE308" s="1193"/>
      <c r="AF308" s="1193"/>
      <c r="AG308" s="1193"/>
      <c r="AH308" s="1193"/>
      <c r="AI308" s="1193"/>
      <c r="AJ308" s="1193"/>
      <c r="AK308" s="1193"/>
      <c r="AL308" s="1144"/>
      <c r="AM308" s="1193"/>
      <c r="AN308" s="1193"/>
      <c r="AO308" s="1193"/>
      <c r="AP308" s="1193"/>
      <c r="AQ308" s="1193"/>
      <c r="AR308" s="1144"/>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8215</v>
      </c>
      <c r="C309" s="1141" t="s">
        <v>1489</v>
      </c>
      <c r="D309" s="1148"/>
      <c r="E309" s="1148"/>
      <c r="F309" s="1028"/>
      <c r="G309" s="1148"/>
      <c r="H309" s="1048"/>
      <c r="I309" s="1030" t="s">
        <v>1489</v>
      </c>
      <c r="J309" s="1148"/>
      <c r="K309" s="1148"/>
      <c r="L309" s="1148"/>
      <c r="M309" s="1148"/>
      <c r="N309" s="1148"/>
      <c r="O309" s="1148"/>
      <c r="P309" s="1150"/>
      <c r="Q309" s="1144"/>
      <c r="R309" s="1311"/>
      <c r="S309" s="1148"/>
      <c r="T309" s="1148"/>
      <c r="U309" s="1148"/>
      <c r="V309" s="1148"/>
      <c r="W309" s="1148"/>
      <c r="X309" s="1148"/>
      <c r="Y309" s="1148"/>
      <c r="Z309" s="1148"/>
      <c r="AA309" s="1148"/>
      <c r="AB309" s="1148"/>
      <c r="AC309" s="1148"/>
      <c r="AD309" s="1148"/>
      <c r="AE309" s="1148"/>
      <c r="AF309" s="1148"/>
      <c r="AG309" s="1148"/>
      <c r="AH309" s="1030" t="s">
        <v>292</v>
      </c>
      <c r="AI309" s="1148"/>
      <c r="AJ309" s="1148"/>
      <c r="AK309" s="1148"/>
      <c r="AL309" s="1144"/>
      <c r="AM309" s="1148"/>
      <c r="AN309" s="1148"/>
      <c r="AO309" s="1148"/>
      <c r="AP309" s="1148"/>
      <c r="AQ309" s="1148"/>
      <c r="AR309" s="1144"/>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8216</v>
      </c>
      <c r="B310" s="1317"/>
      <c r="C310" s="1141"/>
      <c r="D310" s="1148"/>
      <c r="E310" s="1148"/>
      <c r="F310" s="1103"/>
      <c r="G310" s="1148"/>
      <c r="H310" s="1048"/>
      <c r="I310" s="1148"/>
      <c r="J310" s="1148"/>
      <c r="K310" s="1148"/>
      <c r="L310" s="1148"/>
      <c r="M310" s="1148"/>
      <c r="N310" s="1148"/>
      <c r="O310" s="1148"/>
      <c r="P310" s="1150"/>
      <c r="Q310" s="1144"/>
      <c r="R310" s="1311"/>
      <c r="S310" s="1148"/>
      <c r="T310" s="1148"/>
      <c r="U310" s="1148"/>
      <c r="V310" s="1148"/>
      <c r="W310" s="1148"/>
      <c r="X310" s="1148"/>
      <c r="Y310" s="1148"/>
      <c r="Z310" s="1148"/>
      <c r="AA310" s="1148"/>
      <c r="AB310" s="1148"/>
      <c r="AC310" s="1148"/>
      <c r="AD310" s="1148"/>
      <c r="AE310" s="1148"/>
      <c r="AF310" s="1148"/>
      <c r="AG310" s="1148"/>
      <c r="AH310" s="1148"/>
      <c r="AI310" s="1148"/>
      <c r="AJ310" s="1148"/>
      <c r="AK310" s="1148"/>
      <c r="AL310" s="1144"/>
      <c r="AM310" s="1148"/>
      <c r="AN310" s="1148"/>
      <c r="AO310" s="1148"/>
      <c r="AP310" s="1148"/>
      <c r="AQ310" s="1148"/>
      <c r="AR310" s="1144"/>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7664</v>
      </c>
      <c r="C311" s="1025" t="s">
        <v>5963</v>
      </c>
      <c r="D311" s="1142"/>
      <c r="E311" s="1142" t="s">
        <v>3770</v>
      </c>
      <c r="F311" s="1028"/>
      <c r="G311" s="1030" t="s">
        <v>5963</v>
      </c>
      <c r="H311" s="1048"/>
      <c r="I311" s="1142" t="s">
        <v>6916</v>
      </c>
      <c r="J311" s="1142"/>
      <c r="K311" s="1142"/>
      <c r="L311" s="1142"/>
      <c r="M311" s="1142"/>
      <c r="N311" s="1142"/>
      <c r="O311" s="1142"/>
      <c r="P311" s="1143"/>
      <c r="Q311" s="1144"/>
      <c r="R311" s="1311"/>
      <c r="S311" s="1142"/>
      <c r="T311" s="1142"/>
      <c r="U311" s="1142"/>
      <c r="V311" s="1142"/>
      <c r="W311" s="1142"/>
      <c r="X311" s="1142"/>
      <c r="Y311" s="1142"/>
      <c r="Z311" s="1142"/>
      <c r="AA311" s="1142"/>
      <c r="AB311" s="1142"/>
      <c r="AC311" s="1142"/>
      <c r="AD311" s="1142"/>
      <c r="AE311" s="1142"/>
      <c r="AF311" s="1142"/>
      <c r="AG311" s="1142"/>
      <c r="AH311" s="1142"/>
      <c r="AI311" s="1142"/>
      <c r="AJ311" s="1142"/>
      <c r="AK311" s="1142"/>
      <c r="AL311" s="1144"/>
      <c r="AM311" s="1142"/>
      <c r="AN311" s="1142"/>
      <c r="AO311" s="1142"/>
      <c r="AP311" s="1142"/>
      <c r="AQ311" s="1142"/>
      <c r="AR311" s="1144"/>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8217</v>
      </c>
      <c r="B312" s="1318"/>
      <c r="C312" s="1025" t="s">
        <v>8218</v>
      </c>
      <c r="D312" s="1148"/>
      <c r="E312" s="1148"/>
      <c r="F312" s="1103"/>
      <c r="G312" s="1030" t="s">
        <v>8218</v>
      </c>
      <c r="H312" s="1048"/>
      <c r="I312" s="1148"/>
      <c r="J312" s="1148"/>
      <c r="K312" s="1148"/>
      <c r="L312" s="1148"/>
      <c r="M312" s="1148"/>
      <c r="N312" s="1148"/>
      <c r="O312" s="1148"/>
      <c r="P312" s="1150"/>
      <c r="Q312" s="1144"/>
      <c r="R312" s="1039"/>
      <c r="S312" s="1148"/>
      <c r="T312" s="1148"/>
      <c r="U312" s="1148"/>
      <c r="V312" s="1148"/>
      <c r="W312" s="1148"/>
      <c r="X312" s="1148"/>
      <c r="Y312" s="1148"/>
      <c r="Z312" s="1148"/>
      <c r="AA312" s="1148"/>
      <c r="AB312" s="1148"/>
      <c r="AC312" s="1148"/>
      <c r="AD312" s="1148"/>
      <c r="AE312" s="1148"/>
      <c r="AF312" s="1148"/>
      <c r="AG312" s="1148"/>
      <c r="AH312" s="1148"/>
      <c r="AI312" s="1148"/>
      <c r="AJ312" s="1148"/>
      <c r="AK312" s="1148"/>
      <c r="AL312" s="1144"/>
      <c r="AM312" s="1148"/>
      <c r="AN312" s="1148"/>
      <c r="AO312" s="1148"/>
      <c r="AP312" s="1148"/>
      <c r="AQ312" s="1148"/>
      <c r="AR312" s="1144"/>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8219</v>
      </c>
      <c r="B313" s="1316" t="s">
        <v>8220</v>
      </c>
      <c r="C313" s="1025" t="s">
        <v>2861</v>
      </c>
      <c r="D313" s="1036" t="s">
        <v>3639</v>
      </c>
      <c r="E313" s="1148"/>
      <c r="F313" s="1028"/>
      <c r="G313" s="1030" t="s">
        <v>2861</v>
      </c>
      <c r="H313" s="1048"/>
      <c r="I313" s="1030" t="s">
        <v>905</v>
      </c>
      <c r="J313" s="1148"/>
      <c r="K313" s="1148"/>
      <c r="L313" s="1148"/>
      <c r="M313" s="1148"/>
      <c r="N313" s="1148"/>
      <c r="O313" s="1148"/>
      <c r="P313" s="1150"/>
      <c r="Q313" s="1144"/>
      <c r="R313" s="1311"/>
      <c r="S313" s="1148"/>
      <c r="T313" s="1148"/>
      <c r="U313" s="1148"/>
      <c r="V313" s="1148"/>
      <c r="W313" s="1148"/>
      <c r="X313" s="1148"/>
      <c r="Y313" s="1148"/>
      <c r="Z313" s="1148" t="s">
        <v>1778</v>
      </c>
      <c r="AA313" s="1148"/>
      <c r="AB313" s="1148"/>
      <c r="AC313" s="1148"/>
      <c r="AD313" s="1148"/>
      <c r="AE313" s="1148"/>
      <c r="AF313" s="1148"/>
      <c r="AG313" s="1148"/>
      <c r="AH313" s="1148"/>
      <c r="AI313" s="1148"/>
      <c r="AJ313" s="1148"/>
      <c r="AK313" s="1148"/>
      <c r="AL313" s="1144"/>
      <c r="AM313" s="1148"/>
      <c r="AN313" s="1148"/>
      <c r="AO313" s="1148"/>
      <c r="AP313" s="1148"/>
      <c r="AQ313" s="1148"/>
      <c r="AR313" s="1144"/>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8221</v>
      </c>
      <c r="C314" s="1141" t="s">
        <v>3946</v>
      </c>
      <c r="D314" s="1190"/>
      <c r="E314" s="1190" t="s">
        <v>4185</v>
      </c>
      <c r="F314" s="1103"/>
      <c r="G314" s="1030" t="s">
        <v>3946</v>
      </c>
      <c r="H314" s="1048"/>
      <c r="I314" s="1030" t="s">
        <v>3946</v>
      </c>
      <c r="J314" s="1190"/>
      <c r="K314" s="1190"/>
      <c r="L314" s="1190"/>
      <c r="M314" s="1190" t="s">
        <v>7600</v>
      </c>
      <c r="N314" s="1190"/>
      <c r="O314" s="1190"/>
      <c r="P314" s="1188"/>
      <c r="Q314" s="1144"/>
      <c r="R314" s="1039"/>
      <c r="S314" s="1190"/>
      <c r="T314" s="1190"/>
      <c r="U314" s="1190"/>
      <c r="V314" s="1190"/>
      <c r="W314" s="1190"/>
      <c r="X314" s="1190"/>
      <c r="Y314" s="1190"/>
      <c r="Z314" s="1190"/>
      <c r="AA314" s="1190"/>
      <c r="AB314" s="1190"/>
      <c r="AC314" s="1190"/>
      <c r="AD314" s="1190"/>
      <c r="AE314" s="1190"/>
      <c r="AF314" s="1190"/>
      <c r="AG314" s="1190"/>
      <c r="AH314" s="1190"/>
      <c r="AI314" s="1190"/>
      <c r="AJ314" s="1190"/>
      <c r="AK314" s="1190"/>
      <c r="AL314" s="1144"/>
      <c r="AM314" s="1190"/>
      <c r="AN314" s="1190"/>
      <c r="AO314" s="1190"/>
      <c r="AP314" s="1190"/>
      <c r="AQ314" s="1190"/>
      <c r="AR314" s="1144"/>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8222</v>
      </c>
      <c r="B315" s="1317" t="s">
        <v>8223</v>
      </c>
      <c r="C315" s="1141"/>
      <c r="D315" s="1148"/>
      <c r="E315" s="1148"/>
      <c r="F315" s="1028"/>
      <c r="G315" s="1148"/>
      <c r="H315" s="1048"/>
      <c r="I315" s="1148"/>
      <c r="J315" s="1148"/>
      <c r="K315" s="1148"/>
      <c r="L315" s="1148"/>
      <c r="M315" s="1148"/>
      <c r="N315" s="1148"/>
      <c r="O315" s="1148"/>
      <c r="P315" s="1150"/>
      <c r="Q315" s="1144"/>
      <c r="R315" s="1311"/>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4"/>
      <c r="AM315" s="1148"/>
      <c r="AN315" s="1148"/>
      <c r="AO315" s="1148"/>
      <c r="AP315" s="1148"/>
      <c r="AQ315" s="1148"/>
      <c r="AR315" s="1144"/>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8224</v>
      </c>
      <c r="C316" s="1141"/>
      <c r="D316" s="1148"/>
      <c r="E316" s="1148"/>
      <c r="F316" s="1103"/>
      <c r="G316" s="1148"/>
      <c r="H316" s="1048"/>
      <c r="I316" s="1148"/>
      <c r="J316" s="1148"/>
      <c r="K316" s="1148"/>
      <c r="L316" s="1148"/>
      <c r="M316" s="1148"/>
      <c r="N316" s="1148" t="s">
        <v>5368</v>
      </c>
      <c r="O316" s="1148"/>
      <c r="P316" s="1150"/>
      <c r="Q316" s="1144"/>
      <c r="R316" s="1039"/>
      <c r="S316" s="1148"/>
      <c r="T316" s="1148"/>
      <c r="U316" s="1148"/>
      <c r="V316" s="1148"/>
      <c r="W316" s="1148"/>
      <c r="X316" s="1148"/>
      <c r="Y316" s="1148"/>
      <c r="Z316" s="1148"/>
      <c r="AA316" s="1148"/>
      <c r="AB316" s="1148"/>
      <c r="AC316" s="1148"/>
      <c r="AD316" s="1148"/>
      <c r="AE316" s="1148"/>
      <c r="AF316" s="1148"/>
      <c r="AG316" s="1148"/>
      <c r="AH316" s="1148"/>
      <c r="AI316" s="1148"/>
      <c r="AJ316" s="1148"/>
      <c r="AK316" s="1148"/>
      <c r="AL316" s="1144"/>
      <c r="AM316" s="1148"/>
      <c r="AN316" s="1148"/>
      <c r="AO316" s="1148"/>
      <c r="AP316" s="1148"/>
      <c r="AQ316" s="1148"/>
      <c r="AR316" s="1144"/>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8225</v>
      </c>
      <c r="B317" s="1317" t="s">
        <v>8226</v>
      </c>
      <c r="C317" s="1141"/>
      <c r="D317" s="1148"/>
      <c r="E317" s="1148"/>
      <c r="F317" s="1028"/>
      <c r="G317" s="1148"/>
      <c r="H317" s="1048"/>
      <c r="I317" s="1148"/>
      <c r="J317" s="1148"/>
      <c r="K317" s="1148"/>
      <c r="L317" s="1148"/>
      <c r="M317" s="1148"/>
      <c r="N317" s="1148"/>
      <c r="O317" s="1148"/>
      <c r="P317" s="1150"/>
      <c r="Q317" s="1144"/>
      <c r="R317" s="1039"/>
      <c r="S317" s="1148"/>
      <c r="T317" s="1148"/>
      <c r="U317" s="1148"/>
      <c r="V317" s="1148"/>
      <c r="W317" s="1148"/>
      <c r="X317" s="1148"/>
      <c r="Y317" s="1148"/>
      <c r="Z317" s="1148"/>
      <c r="AA317" s="1148"/>
      <c r="AB317" s="1148"/>
      <c r="AC317" s="1148"/>
      <c r="AD317" s="1148"/>
      <c r="AE317" s="1148"/>
      <c r="AF317" s="1148"/>
      <c r="AG317" s="1148"/>
      <c r="AH317" s="1148"/>
      <c r="AI317" s="1148"/>
      <c r="AJ317" s="1148"/>
      <c r="AK317" s="1148"/>
      <c r="AL317" s="1144"/>
      <c r="AM317" s="1148"/>
      <c r="AN317" s="1148"/>
      <c r="AO317" s="1148"/>
      <c r="AP317" s="1148"/>
      <c r="AQ317" s="1148"/>
      <c r="AR317" s="1144"/>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8227</v>
      </c>
      <c r="C318" s="1141"/>
      <c r="D318" s="1148"/>
      <c r="E318" s="1148"/>
      <c r="F318" s="1103"/>
      <c r="G318" s="1148"/>
      <c r="H318" s="1048"/>
      <c r="I318" s="1148"/>
      <c r="J318" s="1148"/>
      <c r="K318" s="1148"/>
      <c r="L318" s="1148"/>
      <c r="M318" s="1148"/>
      <c r="N318" s="1148"/>
      <c r="O318" s="1148"/>
      <c r="P318" s="1150"/>
      <c r="Q318" s="1144"/>
      <c r="R318" s="1039"/>
      <c r="S318" s="1148"/>
      <c r="T318" s="1148"/>
      <c r="U318" s="1148"/>
      <c r="V318" s="1148"/>
      <c r="W318" s="1148"/>
      <c r="X318" s="1148"/>
      <c r="Y318" s="1148"/>
      <c r="Z318" s="1148"/>
      <c r="AA318" s="1148"/>
      <c r="AB318" s="1148"/>
      <c r="AC318" s="1148"/>
      <c r="AD318" s="1148"/>
      <c r="AE318" s="1148"/>
      <c r="AF318" s="1148"/>
      <c r="AG318" s="1148"/>
      <c r="AH318" s="1148"/>
      <c r="AI318" s="1148"/>
      <c r="AJ318" s="1148"/>
      <c r="AK318" s="1148"/>
      <c r="AL318" s="1144"/>
      <c r="AM318" s="1148"/>
      <c r="AN318" s="1148"/>
      <c r="AO318" s="1148"/>
      <c r="AP318" s="1148"/>
      <c r="AQ318" s="1148"/>
      <c r="AR318" s="1144"/>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8228</v>
      </c>
      <c r="C319" s="1141"/>
      <c r="D319" s="1148"/>
      <c r="E319" s="1148"/>
      <c r="F319" s="1028"/>
      <c r="G319" s="1148"/>
      <c r="H319" s="1048"/>
      <c r="I319" s="1148"/>
      <c r="J319" s="1148"/>
      <c r="K319" s="1148"/>
      <c r="L319" s="1148"/>
      <c r="M319" s="1148"/>
      <c r="N319" s="1148"/>
      <c r="O319" s="1148"/>
      <c r="P319" s="1150"/>
      <c r="Q319" s="1186" t="s">
        <v>8229</v>
      </c>
      <c r="R319" s="1039"/>
      <c r="S319" s="1148"/>
      <c r="T319" s="1148"/>
      <c r="U319" s="1148"/>
      <c r="V319" s="1148"/>
      <c r="W319" s="1148"/>
      <c r="X319" s="1148"/>
      <c r="Y319" s="1148"/>
      <c r="Z319" s="1148"/>
      <c r="AA319" s="1148"/>
      <c r="AB319" s="1148"/>
      <c r="AC319" s="1148"/>
      <c r="AD319" s="1148"/>
      <c r="AE319" s="1148"/>
      <c r="AF319" s="1148"/>
      <c r="AG319" s="1148"/>
      <c r="AH319" s="1148"/>
      <c r="AI319" s="1148"/>
      <c r="AJ319" s="1148"/>
      <c r="AK319" s="1148"/>
      <c r="AL319" s="1144"/>
      <c r="AM319" s="1148"/>
      <c r="AN319" s="1148"/>
      <c r="AO319" s="1148"/>
      <c r="AP319" s="1148"/>
      <c r="AQ319" s="1148"/>
      <c r="AR319" s="1144"/>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8230</v>
      </c>
      <c r="C320" s="1141"/>
      <c r="D320" s="1148"/>
      <c r="E320" s="1148"/>
      <c r="F320" s="1103"/>
      <c r="G320" s="1148"/>
      <c r="H320" s="1048"/>
      <c r="I320" s="1148" t="s">
        <v>279</v>
      </c>
      <c r="J320" s="1148"/>
      <c r="K320" s="1148"/>
      <c r="L320" s="1148"/>
      <c r="M320" s="1148"/>
      <c r="N320" s="1148"/>
      <c r="O320" s="1148"/>
      <c r="P320" s="1150"/>
      <c r="Q320" s="1144"/>
      <c r="R320" s="1311"/>
      <c r="S320" s="1148"/>
      <c r="T320" s="1148"/>
      <c r="U320" s="1148"/>
      <c r="V320" s="1148"/>
      <c r="W320" s="1148"/>
      <c r="X320" s="1148"/>
      <c r="Y320" s="1148"/>
      <c r="Z320" s="1148"/>
      <c r="AA320" s="1148"/>
      <c r="AB320" s="1148"/>
      <c r="AC320" s="1148"/>
      <c r="AD320" s="1148"/>
      <c r="AE320" s="1148"/>
      <c r="AF320" s="1148"/>
      <c r="AG320" s="1148"/>
      <c r="AH320" s="1148"/>
      <c r="AI320" s="1148"/>
      <c r="AJ320" s="1148"/>
      <c r="AK320" s="1148"/>
      <c r="AL320" s="1144"/>
      <c r="AM320" s="1148"/>
      <c r="AN320" s="1148"/>
      <c r="AO320" s="1148"/>
      <c r="AP320" s="1148"/>
      <c r="AQ320" s="1148"/>
      <c r="AR320" s="1144"/>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8230</v>
      </c>
      <c r="C321" s="1141" t="s">
        <v>6546</v>
      </c>
      <c r="D321" s="1148"/>
      <c r="E321" s="1148"/>
      <c r="F321" s="1028"/>
      <c r="G321" s="1148"/>
      <c r="H321" s="1048"/>
      <c r="I321" s="1030" t="s">
        <v>6546</v>
      </c>
      <c r="J321" s="1148"/>
      <c r="K321" s="1148"/>
      <c r="L321" s="1148"/>
      <c r="M321" s="1148"/>
      <c r="N321" s="1148" t="s">
        <v>5925</v>
      </c>
      <c r="O321" s="1148"/>
      <c r="P321" s="1150"/>
      <c r="Q321" s="1144"/>
      <c r="R321" s="1039"/>
      <c r="S321" s="1148"/>
      <c r="T321" s="1148"/>
      <c r="U321" s="1148"/>
      <c r="V321" s="1148"/>
      <c r="W321" s="1148"/>
      <c r="X321" s="1148"/>
      <c r="Y321" s="1148"/>
      <c r="Z321" s="1148"/>
      <c r="AA321" s="1148"/>
      <c r="AB321" s="1148"/>
      <c r="AC321" s="1148"/>
      <c r="AD321" s="1148"/>
      <c r="AE321" s="1148"/>
      <c r="AF321" s="1148"/>
      <c r="AG321" s="1148"/>
      <c r="AH321" s="1148"/>
      <c r="AI321" s="1148"/>
      <c r="AJ321" s="1148"/>
      <c r="AK321" s="1148"/>
      <c r="AL321" s="1144"/>
      <c r="AM321" s="1148"/>
      <c r="AN321" s="1148"/>
      <c r="AO321" s="1148"/>
      <c r="AP321" s="1148"/>
      <c r="AQ321" s="1148"/>
      <c r="AR321" s="1144"/>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8231</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8232</v>
      </c>
      <c r="B323" s="1320" t="s">
        <v>8233</v>
      </c>
      <c r="C323" s="1141" t="s">
        <v>533</v>
      </c>
      <c r="D323" s="1152" t="s">
        <v>3438</v>
      </c>
      <c r="E323" s="1152"/>
      <c r="F323" s="1028"/>
      <c r="G323" s="1152"/>
      <c r="H323" s="1048"/>
      <c r="I323" s="1152"/>
      <c r="J323" s="1152"/>
      <c r="K323" s="1152"/>
      <c r="L323" s="1152"/>
      <c r="M323" s="1152"/>
      <c r="N323" s="1152"/>
      <c r="O323" s="1152"/>
      <c r="P323" s="1321"/>
      <c r="Q323" s="1144"/>
      <c r="R323" s="1039"/>
      <c r="S323" s="1152"/>
      <c r="T323" s="1152"/>
      <c r="U323" s="1152"/>
      <c r="V323" s="1152"/>
      <c r="W323" s="1152"/>
      <c r="X323" s="1152"/>
      <c r="Y323" s="1152"/>
      <c r="Z323" s="1152"/>
      <c r="AA323" s="1152"/>
      <c r="AB323" s="1152"/>
      <c r="AC323" s="1152"/>
      <c r="AD323" s="1152"/>
      <c r="AE323" s="1152"/>
      <c r="AF323" s="1152"/>
      <c r="AG323" s="1152"/>
      <c r="AH323" s="1152"/>
      <c r="AI323" s="1152"/>
      <c r="AJ323" s="1152"/>
      <c r="AK323" s="1152"/>
      <c r="AL323" s="1144"/>
      <c r="AM323" s="1152"/>
      <c r="AN323" s="1152"/>
      <c r="AO323" s="1152"/>
      <c r="AP323" s="1152"/>
      <c r="AQ323" s="1152"/>
      <c r="AR323" s="1144"/>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8234</v>
      </c>
      <c r="C324" s="1141" t="s">
        <v>354</v>
      </c>
      <c r="D324" s="1048"/>
      <c r="E324" s="1030" t="s">
        <v>354</v>
      </c>
      <c r="F324" s="1103"/>
      <c r="G324" s="1048"/>
      <c r="H324" s="1048"/>
      <c r="I324" s="1048"/>
      <c r="J324" s="1048"/>
      <c r="K324" s="1048"/>
      <c r="L324" s="1048"/>
      <c r="M324" s="1048"/>
      <c r="N324" s="1048"/>
      <c r="O324" s="1048"/>
      <c r="P324" s="1143"/>
      <c r="Q324" s="1144"/>
      <c r="R324" s="1311"/>
      <c r="S324" s="1048"/>
      <c r="T324" s="1048"/>
      <c r="U324" s="1048"/>
      <c r="V324" s="1048"/>
      <c r="W324" s="1048"/>
      <c r="X324" s="1048"/>
      <c r="Y324" s="1048"/>
      <c r="Z324" s="1048"/>
      <c r="AA324" s="1048"/>
      <c r="AB324" s="1048"/>
      <c r="AC324" s="1048"/>
      <c r="AD324" s="1048"/>
      <c r="AE324" s="1048"/>
      <c r="AF324" s="1048"/>
      <c r="AG324" s="1048"/>
      <c r="AH324" s="1048"/>
      <c r="AI324" s="1048"/>
      <c r="AJ324" s="1048"/>
      <c r="AK324" s="1048"/>
      <c r="AL324" s="1144"/>
      <c r="AM324" s="1048"/>
      <c r="AN324" s="1048"/>
      <c r="AO324" s="1048"/>
      <c r="AP324" s="1048"/>
      <c r="AQ324" s="1048"/>
      <c r="AR324" s="1144"/>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8235</v>
      </c>
      <c r="C325" s="1141" t="s">
        <v>3033</v>
      </c>
      <c r="D325" s="1030" t="s">
        <v>406</v>
      </c>
      <c r="E325" s="1030" t="s">
        <v>5417</v>
      </c>
      <c r="F325" s="1057" t="s">
        <v>3564</v>
      </c>
      <c r="G325" s="1048" t="s">
        <v>1905</v>
      </c>
      <c r="H325" s="1048"/>
      <c r="I325" s="1048"/>
      <c r="J325" s="1048"/>
      <c r="K325" s="1048"/>
      <c r="L325" s="1048"/>
      <c r="M325" s="1048"/>
      <c r="N325" s="1048"/>
      <c r="O325" s="1048"/>
      <c r="P325" s="1143"/>
      <c r="Q325" s="1144"/>
      <c r="R325" s="1039"/>
      <c r="S325" s="1048"/>
      <c r="T325" s="1030" t="s">
        <v>5417</v>
      </c>
      <c r="U325" s="1048"/>
      <c r="V325" s="1030" t="s">
        <v>3033</v>
      </c>
      <c r="W325" s="1048"/>
      <c r="X325" s="1048"/>
      <c r="Y325" s="1048"/>
      <c r="Z325" s="1048"/>
      <c r="AA325" s="1030" t="s">
        <v>2814</v>
      </c>
      <c r="AB325" s="1048"/>
      <c r="AC325" s="1048"/>
      <c r="AD325" s="1048"/>
      <c r="AE325" s="1048"/>
      <c r="AF325" s="1048"/>
      <c r="AG325" s="1048"/>
      <c r="AH325" s="1048"/>
      <c r="AI325" s="1048"/>
      <c r="AJ325" s="1048"/>
      <c r="AK325" s="1048"/>
      <c r="AL325" s="1144"/>
      <c r="AM325" s="1048"/>
      <c r="AN325" s="1048"/>
      <c r="AO325" s="1048"/>
      <c r="AP325" s="1048"/>
      <c r="AQ325" s="1048"/>
      <c r="AR325" s="1144"/>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8236</v>
      </c>
      <c r="B326" s="1320" t="s">
        <v>7657</v>
      </c>
      <c r="C326" s="1141" t="s">
        <v>5078</v>
      </c>
      <c r="D326" s="1048"/>
      <c r="E326" s="1030" t="s">
        <v>5078</v>
      </c>
      <c r="F326" s="1119"/>
      <c r="G326" s="1048"/>
      <c r="H326" s="1048"/>
      <c r="I326" s="1048"/>
      <c r="J326" s="1048"/>
      <c r="K326" s="1048"/>
      <c r="L326" s="1048"/>
      <c r="M326" s="1048"/>
      <c r="N326" s="1048"/>
      <c r="O326" s="1048"/>
      <c r="P326" s="1143"/>
      <c r="Q326" s="1144"/>
      <c r="R326" s="1311"/>
      <c r="S326" s="1048"/>
      <c r="T326" s="1048"/>
      <c r="U326" s="1048"/>
      <c r="V326" s="1048"/>
      <c r="W326" s="1048"/>
      <c r="X326" s="1048"/>
      <c r="Y326" s="1048"/>
      <c r="Z326" s="1048"/>
      <c r="AA326" s="1048"/>
      <c r="AB326" s="1048"/>
      <c r="AC326" s="1048"/>
      <c r="AD326" s="1048"/>
      <c r="AE326" s="1048"/>
      <c r="AF326" s="1048"/>
      <c r="AG326" s="1048"/>
      <c r="AH326" s="1048"/>
      <c r="AI326" s="1048"/>
      <c r="AJ326" s="1048"/>
      <c r="AK326" s="1048"/>
      <c r="AL326" s="1144"/>
      <c r="AM326" s="1048"/>
      <c r="AN326" s="1048"/>
      <c r="AO326" s="1048"/>
      <c r="AP326" s="1048"/>
      <c r="AQ326" s="1048"/>
      <c r="AR326" s="1144"/>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7659</v>
      </c>
      <c r="C327" s="1141" t="s">
        <v>4728</v>
      </c>
      <c r="D327" s="1048" t="s">
        <v>5131</v>
      </c>
      <c r="E327" s="1030" t="s">
        <v>4481</v>
      </c>
      <c r="F327" s="1057" t="s">
        <v>7026</v>
      </c>
      <c r="G327" s="1030" t="s">
        <v>4728</v>
      </c>
      <c r="H327" s="1048"/>
      <c r="I327" s="1048"/>
      <c r="J327" s="1048"/>
      <c r="K327" s="1048"/>
      <c r="L327" s="1048"/>
      <c r="M327" s="1048"/>
      <c r="N327" s="1048"/>
      <c r="O327" s="1048"/>
      <c r="P327" s="1143"/>
      <c r="Q327" s="1144"/>
      <c r="R327" s="1039"/>
      <c r="S327" s="1048"/>
      <c r="T327" s="1030" t="s">
        <v>7848</v>
      </c>
      <c r="U327" s="1048"/>
      <c r="V327" s="1048"/>
      <c r="W327" s="1048"/>
      <c r="X327" s="1048"/>
      <c r="Y327" s="1030" t="s">
        <v>6113</v>
      </c>
      <c r="Z327" s="1048"/>
      <c r="AA327" s="1030" t="s">
        <v>493</v>
      </c>
      <c r="AB327" s="1048"/>
      <c r="AC327" s="1048"/>
      <c r="AD327" s="1048"/>
      <c r="AE327" s="1048"/>
      <c r="AF327" s="1048"/>
      <c r="AG327" s="1048"/>
      <c r="AH327" s="1048"/>
      <c r="AI327" s="1048"/>
      <c r="AJ327" s="1048"/>
      <c r="AK327" s="1048"/>
      <c r="AL327" s="1144"/>
      <c r="AM327" s="1048"/>
      <c r="AN327" s="1048"/>
      <c r="AO327" s="1048"/>
      <c r="AP327" s="1048"/>
      <c r="AQ327" s="1048"/>
      <c r="AR327" s="1144"/>
      <c r="AS327" s="1030" t="s">
        <v>7848</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8237</v>
      </c>
      <c r="B328" s="1320" t="s">
        <v>7541</v>
      </c>
      <c r="C328" s="1117" t="s">
        <v>3532</v>
      </c>
      <c r="D328" s="1070"/>
      <c r="E328" s="1069" t="s">
        <v>1698</v>
      </c>
      <c r="F328" s="1113" t="s">
        <v>3532</v>
      </c>
      <c r="G328" s="1069" t="s">
        <v>2388</v>
      </c>
      <c r="H328" s="1048"/>
      <c r="I328" s="1070"/>
      <c r="J328" s="1069" t="s">
        <v>1698</v>
      </c>
      <c r="K328" s="1070"/>
      <c r="L328" s="1069" t="s">
        <v>8238</v>
      </c>
      <c r="M328" s="1069" t="s">
        <v>8239</v>
      </c>
      <c r="N328" s="1070"/>
      <c r="O328" s="1070"/>
      <c r="P328" s="1068"/>
      <c r="Q328" s="1068"/>
      <c r="R328" s="1311"/>
      <c r="S328" s="1070"/>
      <c r="T328" s="1070"/>
      <c r="U328" s="1070"/>
      <c r="V328" s="1070"/>
      <c r="W328" s="1070"/>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8240</v>
      </c>
      <c r="B329" s="1320" t="s">
        <v>8241</v>
      </c>
      <c r="C329" s="1141" t="s">
        <v>8242</v>
      </c>
      <c r="D329" s="1048"/>
      <c r="E329" s="1030" t="s">
        <v>8242</v>
      </c>
      <c r="F329" s="1028"/>
      <c r="G329" s="1048"/>
      <c r="H329" s="1048"/>
      <c r="I329" s="1048"/>
      <c r="J329" s="1048"/>
      <c r="K329" s="1048"/>
      <c r="L329" s="1048"/>
      <c r="M329" s="1048"/>
      <c r="N329" s="1048"/>
      <c r="O329" s="1048"/>
      <c r="P329" s="1143"/>
      <c r="Q329" s="1144"/>
      <c r="R329" s="1039"/>
      <c r="S329" s="1048"/>
      <c r="T329" s="1048"/>
      <c r="U329" s="1048"/>
      <c r="V329" s="1048"/>
      <c r="W329" s="1048"/>
      <c r="X329" s="1048"/>
      <c r="Y329" s="1048"/>
      <c r="Z329" s="1048"/>
      <c r="AA329" s="1048"/>
      <c r="AB329" s="1048"/>
      <c r="AC329" s="1048"/>
      <c r="AD329" s="1048"/>
      <c r="AE329" s="1048"/>
      <c r="AF329" s="1048"/>
      <c r="AG329" s="1048"/>
      <c r="AH329" s="1048"/>
      <c r="AI329" s="1048"/>
      <c r="AJ329" s="1048"/>
      <c r="AK329" s="1048"/>
      <c r="AL329" s="1144"/>
      <c r="AM329" s="1048"/>
      <c r="AN329" s="1048"/>
      <c r="AO329" s="1048"/>
      <c r="AP329" s="1048"/>
      <c r="AQ329" s="1048"/>
      <c r="AR329" s="1144"/>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8243</v>
      </c>
      <c r="C330" s="1117" t="s">
        <v>8244</v>
      </c>
      <c r="D330" s="1048"/>
      <c r="E330" s="1030" t="s">
        <v>8245</v>
      </c>
      <c r="F330" s="1113" t="s">
        <v>8244</v>
      </c>
      <c r="G330" s="1048" t="s">
        <v>1422</v>
      </c>
      <c r="H330" s="1048"/>
      <c r="I330" s="1048"/>
      <c r="J330" s="1048"/>
      <c r="K330" s="1048"/>
      <c r="L330" s="1048"/>
      <c r="M330" s="1048"/>
      <c r="N330" s="1048"/>
      <c r="O330" s="1048"/>
      <c r="P330" s="1143"/>
      <c r="Q330" s="1144"/>
      <c r="R330" s="1311"/>
      <c r="S330" s="1048"/>
      <c r="T330" s="1048"/>
      <c r="U330" s="1048"/>
      <c r="V330" s="1048"/>
      <c r="W330" s="1048"/>
      <c r="X330" s="1048"/>
      <c r="Y330" s="1048"/>
      <c r="Z330" s="1048"/>
      <c r="AA330" s="1030" t="s">
        <v>8246</v>
      </c>
      <c r="AB330" s="1048"/>
      <c r="AC330" s="1048"/>
      <c r="AD330" s="1048"/>
      <c r="AE330" s="1048"/>
      <c r="AF330" s="1048"/>
      <c r="AG330" s="1048"/>
      <c r="AH330" s="1048"/>
      <c r="AI330" s="1048"/>
      <c r="AJ330" s="1048"/>
      <c r="AK330" s="1048"/>
      <c r="AL330" s="1144"/>
      <c r="AM330" s="1048"/>
      <c r="AN330" s="1048"/>
      <c r="AO330" s="1048"/>
      <c r="AP330" s="1048"/>
      <c r="AQ330" s="1048"/>
      <c r="AR330" s="1144"/>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8247</v>
      </c>
      <c r="B331" s="1309" t="s">
        <v>8248</v>
      </c>
      <c r="C331" s="1141" t="s">
        <v>4335</v>
      </c>
      <c r="D331" s="1048"/>
      <c r="E331" s="1030" t="s">
        <v>4335</v>
      </c>
      <c r="F331" s="1028"/>
      <c r="G331" s="1048"/>
      <c r="H331" s="1048"/>
      <c r="I331" s="1048"/>
      <c r="J331" s="1048"/>
      <c r="K331" s="1048"/>
      <c r="L331" s="1048"/>
      <c r="M331" s="1048"/>
      <c r="N331" s="1048"/>
      <c r="O331" s="1048"/>
      <c r="P331" s="1143"/>
      <c r="Q331" s="1144"/>
      <c r="R331" s="1039"/>
      <c r="S331" s="1048"/>
      <c r="T331" s="1048"/>
      <c r="U331" s="1048"/>
      <c r="V331" s="1048"/>
      <c r="W331" s="1048"/>
      <c r="X331" s="1048"/>
      <c r="Y331" s="1048"/>
      <c r="Z331" s="1048"/>
      <c r="AA331" s="1048"/>
      <c r="AB331" s="1048"/>
      <c r="AC331" s="1048"/>
      <c r="AD331" s="1048"/>
      <c r="AE331" s="1048"/>
      <c r="AF331" s="1048"/>
      <c r="AG331" s="1048"/>
      <c r="AH331" s="1048"/>
      <c r="AI331" s="1048"/>
      <c r="AJ331" s="1048"/>
      <c r="AK331" s="1048"/>
      <c r="AL331" s="1144"/>
      <c r="AM331" s="1048"/>
      <c r="AN331" s="1048"/>
      <c r="AO331" s="1048"/>
      <c r="AP331" s="1048"/>
      <c r="AQ331" s="1048"/>
      <c r="AR331" s="1144"/>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8249</v>
      </c>
      <c r="C332" s="1141" t="s">
        <v>3669</v>
      </c>
      <c r="D332" s="1048"/>
      <c r="E332" s="1030" t="s">
        <v>3669</v>
      </c>
      <c r="F332" s="1103"/>
      <c r="G332" s="1048"/>
      <c r="H332" s="1048"/>
      <c r="I332" s="1048"/>
      <c r="J332" s="1048"/>
      <c r="K332" s="1048"/>
      <c r="L332" s="1048"/>
      <c r="M332" s="1048"/>
      <c r="N332" s="1048"/>
      <c r="O332" s="1048"/>
      <c r="P332" s="1143"/>
      <c r="Q332" s="1144"/>
      <c r="R332" s="1311"/>
      <c r="S332" s="1048"/>
      <c r="T332" s="1048"/>
      <c r="U332" s="1048"/>
      <c r="V332" s="1048"/>
      <c r="W332" s="1048"/>
      <c r="X332" s="1048"/>
      <c r="Y332" s="1048"/>
      <c r="Z332" s="1048"/>
      <c r="AA332" s="1048"/>
      <c r="AB332" s="1048"/>
      <c r="AC332" s="1048"/>
      <c r="AD332" s="1048"/>
      <c r="AE332" s="1048"/>
      <c r="AF332" s="1048"/>
      <c r="AG332" s="1048"/>
      <c r="AH332" s="1048"/>
      <c r="AI332" s="1048"/>
      <c r="AJ332" s="1048"/>
      <c r="AK332" s="1048"/>
      <c r="AL332" s="1144"/>
      <c r="AM332" s="1048"/>
      <c r="AN332" s="1048"/>
      <c r="AO332" s="1048"/>
      <c r="AP332" s="1048"/>
      <c r="AQ332" s="1048"/>
      <c r="AR332" s="1144"/>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8250</v>
      </c>
      <c r="C333" s="1141" t="s">
        <v>8251</v>
      </c>
      <c r="D333" s="1048"/>
      <c r="E333" s="1030" t="s">
        <v>8251</v>
      </c>
      <c r="F333" s="1028"/>
      <c r="G333" s="1048"/>
      <c r="H333" s="1048"/>
      <c r="I333" s="1048"/>
      <c r="J333" s="1048"/>
      <c r="K333" s="1048"/>
      <c r="L333" s="1048"/>
      <c r="M333" s="1048"/>
      <c r="N333" s="1048"/>
      <c r="O333" s="1048"/>
      <c r="P333" s="1143"/>
      <c r="Q333" s="1144"/>
      <c r="R333" s="1039"/>
      <c r="S333" s="1048"/>
      <c r="T333" s="1048"/>
      <c r="U333" s="1048"/>
      <c r="V333" s="1048"/>
      <c r="W333" s="1048"/>
      <c r="X333" s="1048"/>
      <c r="Y333" s="1048"/>
      <c r="Z333" s="1048"/>
      <c r="AA333" s="1048"/>
      <c r="AB333" s="1048"/>
      <c r="AC333" s="1048"/>
      <c r="AD333" s="1048"/>
      <c r="AE333" s="1048"/>
      <c r="AF333" s="1048"/>
      <c r="AG333" s="1048"/>
      <c r="AH333" s="1048"/>
      <c r="AI333" s="1048"/>
      <c r="AJ333" s="1048"/>
      <c r="AK333" s="1048"/>
      <c r="AL333" s="1144"/>
      <c r="AM333" s="1048"/>
      <c r="AN333" s="1048"/>
      <c r="AO333" s="1048"/>
      <c r="AP333" s="1048"/>
      <c r="AQ333" s="1048"/>
      <c r="AR333" s="1144"/>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8252</v>
      </c>
      <c r="C334" s="1141" t="s">
        <v>1245</v>
      </c>
      <c r="D334" s="1048"/>
      <c r="E334" s="1030" t="s">
        <v>1245</v>
      </c>
      <c r="F334" s="1103"/>
      <c r="G334" s="1048"/>
      <c r="H334" s="1048"/>
      <c r="I334" s="1048"/>
      <c r="J334" s="1048"/>
      <c r="K334" s="1048"/>
      <c r="L334" s="1048"/>
      <c r="M334" s="1048"/>
      <c r="N334" s="1048"/>
      <c r="O334" s="1048"/>
      <c r="P334" s="1143"/>
      <c r="Q334" s="1144"/>
      <c r="R334" s="1311"/>
      <c r="S334" s="1048"/>
      <c r="T334" s="1048"/>
      <c r="U334" s="1048"/>
      <c r="V334" s="1048"/>
      <c r="W334" s="1048"/>
      <c r="X334" s="1048"/>
      <c r="Y334" s="1048"/>
      <c r="Z334" s="1048"/>
      <c r="AA334" s="1048"/>
      <c r="AB334" s="1048"/>
      <c r="AC334" s="1048"/>
      <c r="AD334" s="1048"/>
      <c r="AE334" s="1048"/>
      <c r="AF334" s="1048"/>
      <c r="AG334" s="1048"/>
      <c r="AH334" s="1048"/>
      <c r="AI334" s="1048"/>
      <c r="AJ334" s="1048"/>
      <c r="AK334" s="1048"/>
      <c r="AL334" s="1144"/>
      <c r="AM334" s="1048"/>
      <c r="AN334" s="1048"/>
      <c r="AO334" s="1048"/>
      <c r="AP334" s="1048"/>
      <c r="AQ334" s="1048"/>
      <c r="AR334" s="1144"/>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8253</v>
      </c>
      <c r="C335" s="1141" t="s">
        <v>1176</v>
      </c>
      <c r="D335" s="1048"/>
      <c r="E335" s="1030" t="s">
        <v>1176</v>
      </c>
      <c r="F335" s="1028"/>
      <c r="G335" s="1048"/>
      <c r="H335" s="1048"/>
      <c r="I335" s="1048"/>
      <c r="J335" s="1048"/>
      <c r="K335" s="1048"/>
      <c r="L335" s="1048"/>
      <c r="M335" s="1048"/>
      <c r="N335" s="1048"/>
      <c r="O335" s="1048"/>
      <c r="P335" s="1143"/>
      <c r="Q335" s="1144"/>
      <c r="R335" s="1039"/>
      <c r="S335" s="1048"/>
      <c r="T335" s="1048"/>
      <c r="U335" s="1048"/>
      <c r="V335" s="1048"/>
      <c r="W335" s="1048"/>
      <c r="X335" s="1048"/>
      <c r="Y335" s="1048"/>
      <c r="Z335" s="1048"/>
      <c r="AA335" s="1048"/>
      <c r="AB335" s="1048"/>
      <c r="AC335" s="1048"/>
      <c r="AD335" s="1048"/>
      <c r="AE335" s="1048"/>
      <c r="AF335" s="1048"/>
      <c r="AG335" s="1048"/>
      <c r="AH335" s="1048"/>
      <c r="AI335" s="1048"/>
      <c r="AJ335" s="1048"/>
      <c r="AK335" s="1048"/>
      <c r="AL335" s="1144"/>
      <c r="AM335" s="1048"/>
      <c r="AN335" s="1048"/>
      <c r="AO335" s="1048"/>
      <c r="AP335" s="1048"/>
      <c r="AQ335" s="1048"/>
      <c r="AR335" s="1144"/>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8254</v>
      </c>
      <c r="C336" s="1141" t="s">
        <v>8255</v>
      </c>
      <c r="D336" s="1048"/>
      <c r="E336" s="1030" t="s">
        <v>3925</v>
      </c>
      <c r="F336" s="1113" t="s">
        <v>1026</v>
      </c>
      <c r="G336" s="1030" t="s">
        <v>8255</v>
      </c>
      <c r="H336" s="1048"/>
      <c r="I336" s="1048"/>
      <c r="J336" s="1048"/>
      <c r="K336" s="1048"/>
      <c r="L336" s="1048"/>
      <c r="M336" s="1048"/>
      <c r="N336" s="1048"/>
      <c r="O336" s="1048"/>
      <c r="P336" s="1143"/>
      <c r="Q336" s="1144"/>
      <c r="R336" s="1311"/>
      <c r="S336" s="1048"/>
      <c r="T336" s="1048"/>
      <c r="U336" s="1048"/>
      <c r="V336" s="1048"/>
      <c r="W336" s="1048"/>
      <c r="X336" s="1048"/>
      <c r="Y336" s="1048"/>
      <c r="Z336" s="1048"/>
      <c r="AA336" s="1048"/>
      <c r="AB336" s="1048"/>
      <c r="AC336" s="1048"/>
      <c r="AD336" s="1048"/>
      <c r="AE336" s="1048" t="s">
        <v>1245</v>
      </c>
      <c r="AF336" s="1048"/>
      <c r="AG336" s="1048"/>
      <c r="AH336" s="1048"/>
      <c r="AI336" s="1048"/>
      <c r="AJ336" s="1048"/>
      <c r="AK336" s="1048"/>
      <c r="AL336" s="1144"/>
      <c r="AM336" s="1048"/>
      <c r="AN336" s="1048"/>
      <c r="AO336" s="1048"/>
      <c r="AP336" s="1048"/>
      <c r="AQ336" s="1048"/>
      <c r="AR336" s="1144"/>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8256</v>
      </c>
      <c r="C337" s="1141" t="s">
        <v>8257</v>
      </c>
      <c r="D337" s="1148" t="s">
        <v>8258</v>
      </c>
      <c r="E337" s="1148"/>
      <c r="F337" s="1057" t="s">
        <v>8259</v>
      </c>
      <c r="G337" s="1030" t="s">
        <v>8260</v>
      </c>
      <c r="H337" s="1048"/>
      <c r="I337" s="1148"/>
      <c r="J337" s="1148"/>
      <c r="K337" s="1148"/>
      <c r="L337" s="1148"/>
      <c r="M337" s="1148"/>
      <c r="N337" s="1148"/>
      <c r="O337" s="1148"/>
      <c r="P337" s="1150"/>
      <c r="Q337" s="1144"/>
      <c r="R337" s="1039"/>
      <c r="S337" s="1148"/>
      <c r="T337" s="1030" t="s">
        <v>8261</v>
      </c>
      <c r="U337" s="1148"/>
      <c r="V337" s="1030" t="s">
        <v>8262</v>
      </c>
      <c r="W337" s="1148"/>
      <c r="X337" s="1148"/>
      <c r="Y337" s="1148"/>
      <c r="Z337" s="1148"/>
      <c r="AA337" s="1030" t="s">
        <v>8257</v>
      </c>
      <c r="AB337" s="1148"/>
      <c r="AC337" s="1148"/>
      <c r="AD337" s="1148"/>
      <c r="AE337" s="1148"/>
      <c r="AF337" s="1148"/>
      <c r="AG337" s="1148"/>
      <c r="AH337" s="1148"/>
      <c r="AI337" s="1148"/>
      <c r="AJ337" s="1148"/>
      <c r="AK337" s="1148"/>
      <c r="AL337" s="1144"/>
      <c r="AM337" s="1148"/>
      <c r="AN337" s="1148"/>
      <c r="AO337" s="1148"/>
      <c r="AP337" s="1148"/>
      <c r="AQ337" s="1148"/>
      <c r="AR337" s="1144"/>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8263</v>
      </c>
      <c r="B338" s="1309" t="s">
        <v>8264</v>
      </c>
      <c r="C338" s="1141"/>
      <c r="D338" s="1152"/>
      <c r="E338" s="1148"/>
      <c r="F338" s="1322"/>
      <c r="G338" s="1048" t="s">
        <v>8265</v>
      </c>
      <c r="H338" s="1048"/>
      <c r="I338" s="1148"/>
      <c r="J338" s="1048"/>
      <c r="K338" s="1148"/>
      <c r="L338" s="1148"/>
      <c r="M338" s="1148"/>
      <c r="N338" s="1148"/>
      <c r="O338" s="1148"/>
      <c r="P338" s="1150"/>
      <c r="Q338" s="1144"/>
      <c r="R338" s="1311"/>
      <c r="S338" s="1148"/>
      <c r="T338" s="1148"/>
      <c r="U338" s="1148"/>
      <c r="V338" s="1148"/>
      <c r="W338" s="1148"/>
      <c r="X338" s="1148"/>
      <c r="Y338" s="1148"/>
      <c r="Z338" s="1148"/>
      <c r="AA338" s="1148"/>
      <c r="AB338" s="1148"/>
      <c r="AC338" s="1148"/>
      <c r="AD338" s="1148"/>
      <c r="AE338" s="1048"/>
      <c r="AF338" s="1148"/>
      <c r="AG338" s="1148"/>
      <c r="AH338" s="1148"/>
      <c r="AI338" s="1148"/>
      <c r="AJ338" s="1148"/>
      <c r="AK338" s="1048"/>
      <c r="AL338" s="1144"/>
      <c r="AM338" s="1148"/>
      <c r="AN338" s="1148"/>
      <c r="AO338" s="1148"/>
      <c r="AP338" s="1148"/>
      <c r="AQ338" s="1148"/>
      <c r="AR338" s="1144"/>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8266</v>
      </c>
      <c r="C339" s="1141"/>
      <c r="D339" s="1152"/>
      <c r="E339" s="1148"/>
      <c r="F339" s="1322"/>
      <c r="G339" s="1048" t="s">
        <v>8267</v>
      </c>
      <c r="H339" s="1048"/>
      <c r="I339" s="1148"/>
      <c r="J339" s="1048"/>
      <c r="K339" s="1148"/>
      <c r="L339" s="1148"/>
      <c r="M339" s="1148"/>
      <c r="N339" s="1148"/>
      <c r="O339" s="1148"/>
      <c r="P339" s="1150"/>
      <c r="Q339" s="1144"/>
      <c r="R339" s="1311"/>
      <c r="S339" s="1148"/>
      <c r="T339" s="1148"/>
      <c r="U339" s="1148"/>
      <c r="V339" s="1148"/>
      <c r="W339" s="1148"/>
      <c r="X339" s="1148"/>
      <c r="Y339" s="1148"/>
      <c r="Z339" s="1148"/>
      <c r="AA339" s="1148"/>
      <c r="AB339" s="1148"/>
      <c r="AC339" s="1148"/>
      <c r="AD339" s="1148"/>
      <c r="AE339" s="1048"/>
      <c r="AF339" s="1148"/>
      <c r="AG339" s="1148"/>
      <c r="AH339" s="1148"/>
      <c r="AI339" s="1148"/>
      <c r="AJ339" s="1148"/>
      <c r="AK339" s="1048"/>
      <c r="AL339" s="1144"/>
      <c r="AM339" s="1148"/>
      <c r="AN339" s="1148"/>
      <c r="AO339" s="1148"/>
      <c r="AP339" s="1148"/>
      <c r="AQ339" s="1148"/>
      <c r="AR339" s="1144"/>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8268</v>
      </c>
      <c r="C340" s="1141"/>
      <c r="D340" s="1152"/>
      <c r="E340" s="1148"/>
      <c r="F340" s="1322"/>
      <c r="G340" s="1048">
        <v>5.83</v>
      </c>
      <c r="H340" s="1048"/>
      <c r="I340" s="1148"/>
      <c r="J340" s="1048"/>
      <c r="K340" s="1148"/>
      <c r="L340" s="1148"/>
      <c r="M340" s="1148"/>
      <c r="N340" s="1148"/>
      <c r="O340" s="1148"/>
      <c r="P340" s="1150"/>
      <c r="Q340" s="1144"/>
      <c r="R340" s="1311"/>
      <c r="S340" s="1148"/>
      <c r="T340" s="1148"/>
      <c r="U340" s="1148"/>
      <c r="V340" s="1148"/>
      <c r="W340" s="1148"/>
      <c r="X340" s="1148"/>
      <c r="Y340" s="1148"/>
      <c r="Z340" s="1148"/>
      <c r="AA340" s="1148"/>
      <c r="AB340" s="1148"/>
      <c r="AC340" s="1148"/>
      <c r="AD340" s="1148"/>
      <c r="AE340" s="1048"/>
      <c r="AF340" s="1148"/>
      <c r="AG340" s="1148"/>
      <c r="AH340" s="1148"/>
      <c r="AI340" s="1148"/>
      <c r="AJ340" s="1148"/>
      <c r="AK340" s="1048"/>
      <c r="AL340" s="1144"/>
      <c r="AM340" s="1148"/>
      <c r="AN340" s="1148"/>
      <c r="AO340" s="1148"/>
      <c r="AP340" s="1148"/>
      <c r="AQ340" s="1148"/>
      <c r="AR340" s="1144"/>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8269</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144"/>
      <c r="R341" s="1311"/>
      <c r="S341" s="1148"/>
      <c r="T341" s="1148" t="s">
        <v>7171</v>
      </c>
      <c r="U341" s="1148"/>
      <c r="V341" s="1148"/>
      <c r="W341" s="1148"/>
      <c r="X341" s="1148"/>
      <c r="Y341" s="1148" t="s">
        <v>6454</v>
      </c>
      <c r="Z341" s="1148"/>
      <c r="AA341" s="1148"/>
      <c r="AB341" s="1148"/>
      <c r="AC341" s="1148"/>
      <c r="AD341" s="1148"/>
      <c r="AE341" s="1030" t="s">
        <v>1036</v>
      </c>
      <c r="AF341" s="1148"/>
      <c r="AG341" s="1148"/>
      <c r="AH341" s="1148"/>
      <c r="AI341" s="1148"/>
      <c r="AJ341" s="1148"/>
      <c r="AK341" s="1030" t="s">
        <v>783</v>
      </c>
      <c r="AL341" s="1144"/>
      <c r="AM341" s="1148"/>
      <c r="AN341" s="1148"/>
      <c r="AO341" s="1148"/>
      <c r="AP341" s="1148"/>
      <c r="AQ341" s="1148"/>
      <c r="AR341" s="1144"/>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8270</v>
      </c>
      <c r="B342" s="1309" t="s">
        <v>8271</v>
      </c>
      <c r="C342" s="1141"/>
      <c r="D342" s="1048"/>
      <c r="E342" s="1048"/>
      <c r="F342" s="1028"/>
      <c r="G342" s="1048"/>
      <c r="H342" s="1048"/>
      <c r="I342" s="1048"/>
      <c r="J342" s="1048"/>
      <c r="K342" s="1048"/>
      <c r="L342" s="1048"/>
      <c r="M342" s="1048"/>
      <c r="N342" s="1048"/>
      <c r="O342" s="1048"/>
      <c r="P342" s="1143"/>
      <c r="Q342" s="1144"/>
      <c r="R342" s="1039"/>
      <c r="S342" s="1048"/>
      <c r="T342" s="1048"/>
      <c r="U342" s="1048"/>
      <c r="V342" s="1048"/>
      <c r="W342" s="1048"/>
      <c r="X342" s="1048"/>
      <c r="Y342" s="1048"/>
      <c r="Z342" s="1048"/>
      <c r="AA342" s="1048"/>
      <c r="AB342" s="1048"/>
      <c r="AC342" s="1048"/>
      <c r="AD342" s="1048"/>
      <c r="AE342" s="1048"/>
      <c r="AF342" s="1048"/>
      <c r="AG342" s="1048"/>
      <c r="AH342" s="1048"/>
      <c r="AI342" s="1048"/>
      <c r="AJ342" s="1048"/>
      <c r="AK342" s="1048"/>
      <c r="AL342" s="1144"/>
      <c r="AM342" s="1048"/>
      <c r="AN342" s="1048"/>
      <c r="AO342" s="1048"/>
      <c r="AP342" s="1048"/>
      <c r="AQ342" s="1048"/>
      <c r="AR342" s="1144"/>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8272</v>
      </c>
      <c r="C343" s="1141"/>
      <c r="D343" s="1048"/>
      <c r="E343" s="1048"/>
      <c r="F343" s="1028"/>
      <c r="G343" s="1048"/>
      <c r="H343" s="1048"/>
      <c r="I343" s="1048"/>
      <c r="J343" s="1048"/>
      <c r="K343" s="1048"/>
      <c r="L343" s="1048"/>
      <c r="M343" s="1048"/>
      <c r="N343" s="1048"/>
      <c r="O343" s="1048"/>
      <c r="P343" s="1143"/>
      <c r="Q343" s="1144"/>
      <c r="R343" s="1039"/>
      <c r="S343" s="1048"/>
      <c r="T343" s="1048"/>
      <c r="U343" s="1048"/>
      <c r="V343" s="1048"/>
      <c r="W343" s="1048"/>
      <c r="X343" s="1048"/>
      <c r="Y343" s="1048"/>
      <c r="Z343" s="1048"/>
      <c r="AA343" s="1048"/>
      <c r="AB343" s="1048"/>
      <c r="AC343" s="1048"/>
      <c r="AD343" s="1048"/>
      <c r="AE343" s="1048"/>
      <c r="AF343" s="1048"/>
      <c r="AG343" s="1048"/>
      <c r="AH343" s="1048"/>
      <c r="AI343" s="1048"/>
      <c r="AJ343" s="1048"/>
      <c r="AK343" s="1048"/>
      <c r="AL343" s="1144"/>
      <c r="AM343" s="1048"/>
      <c r="AN343" s="1048"/>
      <c r="AO343" s="1048"/>
      <c r="AP343" s="1048"/>
      <c r="AQ343" s="1048"/>
      <c r="AR343" s="1144"/>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8268</v>
      </c>
      <c r="C344" s="1141"/>
      <c r="D344" s="1048"/>
      <c r="E344" s="1048"/>
      <c r="F344" s="1028"/>
      <c r="G344" s="1048"/>
      <c r="H344" s="1048"/>
      <c r="I344" s="1048"/>
      <c r="J344" s="1048"/>
      <c r="K344" s="1048"/>
      <c r="L344" s="1048"/>
      <c r="M344" s="1048"/>
      <c r="N344" s="1048"/>
      <c r="O344" s="1048"/>
      <c r="P344" s="1143"/>
      <c r="Q344" s="1144"/>
      <c r="R344" s="1039"/>
      <c r="S344" s="1048"/>
      <c r="T344" s="1048"/>
      <c r="U344" s="1048"/>
      <c r="V344" s="1048"/>
      <c r="W344" s="1048"/>
      <c r="X344" s="1048"/>
      <c r="Y344" s="1048"/>
      <c r="Z344" s="1048"/>
      <c r="AA344" s="1048"/>
      <c r="AB344" s="1048"/>
      <c r="AC344" s="1048"/>
      <c r="AD344" s="1048"/>
      <c r="AE344" s="1048"/>
      <c r="AF344" s="1048"/>
      <c r="AG344" s="1048"/>
      <c r="AH344" s="1048"/>
      <c r="AI344" s="1048"/>
      <c r="AJ344" s="1048"/>
      <c r="AK344" s="1048"/>
      <c r="AL344" s="1144"/>
      <c r="AM344" s="1048"/>
      <c r="AN344" s="1048"/>
      <c r="AO344" s="1048"/>
      <c r="AP344" s="1048"/>
      <c r="AQ344" s="1048"/>
      <c r="AR344" s="1144"/>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8273</v>
      </c>
      <c r="B345" s="1309" t="s">
        <v>8274</v>
      </c>
      <c r="C345" s="1141" t="s">
        <v>4750</v>
      </c>
      <c r="D345" s="1048"/>
      <c r="E345" s="1030" t="s">
        <v>4750</v>
      </c>
      <c r="F345" s="1028"/>
      <c r="G345" s="1048"/>
      <c r="H345" s="1048"/>
      <c r="I345" s="1048"/>
      <c r="J345" s="1048"/>
      <c r="K345" s="1048"/>
      <c r="L345" s="1048"/>
      <c r="M345" s="1048"/>
      <c r="N345" s="1048"/>
      <c r="O345" s="1048"/>
      <c r="P345" s="1143"/>
      <c r="Q345" s="1144"/>
      <c r="R345" s="1039"/>
      <c r="S345" s="1048"/>
      <c r="T345" s="1048"/>
      <c r="U345" s="1048"/>
      <c r="V345" s="1048"/>
      <c r="W345" s="1048"/>
      <c r="X345" s="1048"/>
      <c r="Y345" s="1048"/>
      <c r="Z345" s="1048"/>
      <c r="AA345" s="1048"/>
      <c r="AB345" s="1048"/>
      <c r="AC345" s="1048"/>
      <c r="AD345" s="1048"/>
      <c r="AE345" s="1048"/>
      <c r="AF345" s="1048"/>
      <c r="AG345" s="1048"/>
      <c r="AH345" s="1048"/>
      <c r="AI345" s="1048"/>
      <c r="AJ345" s="1048"/>
      <c r="AK345" s="1048"/>
      <c r="AL345" s="1144"/>
      <c r="AM345" s="1048"/>
      <c r="AN345" s="1048"/>
      <c r="AO345" s="1048"/>
      <c r="AP345" s="1048"/>
      <c r="AQ345" s="1048"/>
      <c r="AR345" s="1144"/>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8275</v>
      </c>
      <c r="C346" s="1025" t="s">
        <v>8276</v>
      </c>
      <c r="D346" s="1048" t="s">
        <v>1077</v>
      </c>
      <c r="E346" s="1030" t="s">
        <v>8277</v>
      </c>
      <c r="F346" s="1119" t="s">
        <v>8278</v>
      </c>
      <c r="G346" s="1048"/>
      <c r="H346" s="1048"/>
      <c r="I346" s="1048"/>
      <c r="J346" s="1030" t="s">
        <v>8279</v>
      </c>
      <c r="K346" s="1048"/>
      <c r="L346" s="1048"/>
      <c r="M346" s="1048"/>
      <c r="N346" s="1048"/>
      <c r="O346" s="1048"/>
      <c r="P346" s="1143"/>
      <c r="Q346" s="1144"/>
      <c r="R346" s="1311"/>
      <c r="S346" s="1048"/>
      <c r="T346" s="1048"/>
      <c r="U346" s="1048"/>
      <c r="V346" s="1048"/>
      <c r="W346" s="1048"/>
      <c r="X346" s="1048"/>
      <c r="Y346" s="1048"/>
      <c r="Z346" s="1048"/>
      <c r="AA346" s="1048"/>
      <c r="AB346" s="1048"/>
      <c r="AC346" s="1048"/>
      <c r="AD346" s="1048"/>
      <c r="AE346" s="1048"/>
      <c r="AF346" s="1048"/>
      <c r="AG346" s="1048"/>
      <c r="AH346" s="1048"/>
      <c r="AI346" s="1048"/>
      <c r="AJ346" s="1048"/>
      <c r="AK346" s="1048"/>
      <c r="AL346" s="1144"/>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8280</v>
      </c>
      <c r="C347" s="1025" t="s">
        <v>8281</v>
      </c>
      <c r="D347" s="1048"/>
      <c r="E347" s="1048"/>
      <c r="F347" s="1112"/>
      <c r="G347" s="1048" t="s">
        <v>8282</v>
      </c>
      <c r="H347" s="1048"/>
      <c r="I347" s="1048"/>
      <c r="J347" s="1048"/>
      <c r="K347" s="1048"/>
      <c r="L347" s="1048"/>
      <c r="M347" s="1048"/>
      <c r="N347" s="1048"/>
      <c r="O347" s="1048"/>
      <c r="P347" s="1143"/>
      <c r="Q347" s="1144"/>
      <c r="R347" s="1039"/>
      <c r="S347" s="1048"/>
      <c r="T347" s="1048"/>
      <c r="U347" s="1048"/>
      <c r="V347" s="1048"/>
      <c r="W347" s="1048"/>
      <c r="X347" s="1048"/>
      <c r="Y347" s="1048"/>
      <c r="Z347" s="1048"/>
      <c r="AA347" s="1048"/>
      <c r="AB347" s="1048"/>
      <c r="AC347" s="1048"/>
      <c r="AD347" s="1048"/>
      <c r="AE347" s="1048"/>
      <c r="AF347" s="1048"/>
      <c r="AG347" s="1048"/>
      <c r="AH347" s="1048"/>
      <c r="AI347" s="1048"/>
      <c r="AJ347" s="1048"/>
      <c r="AK347" s="1048"/>
      <c r="AL347" s="1144"/>
      <c r="AM347" s="1048"/>
      <c r="AN347" s="1048"/>
      <c r="AO347" s="1048"/>
      <c r="AP347" s="1048"/>
      <c r="AQ347" s="1048"/>
      <c r="AR347" s="1071" t="s">
        <v>8281</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8283</v>
      </c>
      <c r="B348" s="1317" t="s">
        <v>8284</v>
      </c>
      <c r="C348" s="1141" t="s">
        <v>5847</v>
      </c>
      <c r="D348" s="1323"/>
      <c r="E348" s="1323"/>
      <c r="F348" s="1113" t="s">
        <v>8170</v>
      </c>
      <c r="G348" s="1188" t="s">
        <v>8285</v>
      </c>
      <c r="H348" s="1048"/>
      <c r="I348" s="1323"/>
      <c r="J348" s="1030" t="s">
        <v>5847</v>
      </c>
      <c r="K348" s="1323"/>
      <c r="L348" s="1323"/>
      <c r="M348" s="1323"/>
      <c r="N348" s="1323"/>
      <c r="O348" s="1323"/>
      <c r="P348" s="1143"/>
      <c r="Q348" s="1144"/>
      <c r="R348" s="1311"/>
      <c r="S348" s="1323"/>
      <c r="T348" s="1323"/>
      <c r="U348" s="1323"/>
      <c r="V348" s="1323"/>
      <c r="W348" s="1323"/>
      <c r="X348" s="1323"/>
      <c r="Y348" s="1323"/>
      <c r="Z348" s="1323"/>
      <c r="AA348" s="1030" t="s">
        <v>4482</v>
      </c>
      <c r="AB348" s="1323"/>
      <c r="AC348" s="1323"/>
      <c r="AD348" s="1323"/>
      <c r="AE348" s="1323"/>
      <c r="AF348" s="1323"/>
      <c r="AG348" s="1323"/>
      <c r="AH348" s="1323"/>
      <c r="AI348" s="1323"/>
      <c r="AJ348" s="1323"/>
      <c r="AK348" s="1323"/>
      <c r="AL348" s="1144"/>
      <c r="AM348" s="1323"/>
      <c r="AN348" s="1323"/>
      <c r="AO348" s="1323"/>
      <c r="AP348" s="1323"/>
      <c r="AQ348" s="1323"/>
      <c r="AR348" s="1144"/>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8286</v>
      </c>
      <c r="C349" s="1141" t="s">
        <v>4616</v>
      </c>
      <c r="D349" s="1048"/>
      <c r="E349" s="1030" t="s">
        <v>5814</v>
      </c>
      <c r="F349" s="1076" t="s">
        <v>965</v>
      </c>
      <c r="G349" s="1048"/>
      <c r="H349" s="1048"/>
      <c r="I349" s="1048"/>
      <c r="J349" s="1048"/>
      <c r="K349" s="1048"/>
      <c r="L349" s="1048"/>
      <c r="M349" s="1048"/>
      <c r="N349" s="1048"/>
      <c r="O349" s="1048"/>
      <c r="P349" s="1143"/>
      <c r="Q349" s="1144"/>
      <c r="R349" s="1039"/>
      <c r="S349" s="1048"/>
      <c r="T349" s="1030" t="s">
        <v>1795</v>
      </c>
      <c r="U349" s="1048"/>
      <c r="V349" s="1048"/>
      <c r="W349" s="1048"/>
      <c r="X349" s="1048"/>
      <c r="Y349" s="1048"/>
      <c r="Z349" s="1048"/>
      <c r="AA349" s="1030" t="s">
        <v>4616</v>
      </c>
      <c r="AB349" s="1048"/>
      <c r="AC349" s="1048"/>
      <c r="AD349" s="1048"/>
      <c r="AE349" s="1048"/>
      <c r="AF349" s="1048"/>
      <c r="AG349" s="1048"/>
      <c r="AH349" s="1048"/>
      <c r="AI349" s="1048"/>
      <c r="AJ349" s="1048"/>
      <c r="AK349" s="1048"/>
      <c r="AL349" s="1144"/>
      <c r="AM349" s="1048"/>
      <c r="AN349" s="1048"/>
      <c r="AO349" s="1048"/>
      <c r="AP349" s="1048"/>
      <c r="AQ349" s="1048"/>
      <c r="AR349" s="1144"/>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8287</v>
      </c>
      <c r="B350" s="1309" t="s">
        <v>8264</v>
      </c>
      <c r="C350" s="1030" t="s">
        <v>8288</v>
      </c>
      <c r="D350" s="1189"/>
      <c r="E350" s="1189"/>
      <c r="F350" s="1103"/>
      <c r="G350" s="1030" t="s">
        <v>8288</v>
      </c>
      <c r="H350" s="1048"/>
      <c r="I350" s="1189"/>
      <c r="J350" s="1189"/>
      <c r="K350" s="1189"/>
      <c r="L350" s="1189"/>
      <c r="M350" s="1048"/>
      <c r="N350" s="1189"/>
      <c r="O350" s="1189"/>
      <c r="P350" s="1143"/>
      <c r="Q350" s="1144"/>
      <c r="R350" s="1311"/>
      <c r="S350" s="1189"/>
      <c r="T350" s="1189"/>
      <c r="U350" s="1189"/>
      <c r="V350" s="1189"/>
      <c r="W350" s="1189"/>
      <c r="X350" s="1189"/>
      <c r="Y350" s="1189"/>
      <c r="Z350" s="1189"/>
      <c r="AA350" s="1189"/>
      <c r="AB350" s="1189"/>
      <c r="AC350" s="1189"/>
      <c r="AD350" s="1189"/>
      <c r="AE350" s="1189"/>
      <c r="AF350" s="1189"/>
      <c r="AG350" s="1189"/>
      <c r="AH350" s="1189"/>
      <c r="AI350" s="1189"/>
      <c r="AJ350" s="1189"/>
      <c r="AK350" s="1189"/>
      <c r="AL350" s="1144"/>
      <c r="AM350" s="1189"/>
      <c r="AN350" s="1189"/>
      <c r="AO350" s="1189"/>
      <c r="AP350" s="1189"/>
      <c r="AQ350" s="1189"/>
      <c r="AR350" s="1144"/>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8289</v>
      </c>
      <c r="C351" s="1141"/>
      <c r="D351" s="1189"/>
      <c r="E351" s="1189"/>
      <c r="F351" s="1103"/>
      <c r="G351" s="1048" t="s">
        <v>8288</v>
      </c>
      <c r="H351" s="1048"/>
      <c r="I351" s="1189"/>
      <c r="J351" s="1189"/>
      <c r="K351" s="1189"/>
      <c r="L351" s="1189"/>
      <c r="M351" s="1048"/>
      <c r="N351" s="1189"/>
      <c r="O351" s="1189"/>
      <c r="P351" s="1143"/>
      <c r="Q351" s="1144"/>
      <c r="R351" s="1311"/>
      <c r="S351" s="1189"/>
      <c r="T351" s="1189"/>
      <c r="U351" s="1189"/>
      <c r="V351" s="1189"/>
      <c r="W351" s="1189"/>
      <c r="X351" s="1189"/>
      <c r="Y351" s="1189"/>
      <c r="Z351" s="1189"/>
      <c r="AA351" s="1189"/>
      <c r="AB351" s="1189"/>
      <c r="AC351" s="1189"/>
      <c r="AD351" s="1189"/>
      <c r="AE351" s="1189"/>
      <c r="AF351" s="1189"/>
      <c r="AG351" s="1189"/>
      <c r="AH351" s="1189"/>
      <c r="AI351" s="1189"/>
      <c r="AJ351" s="1189"/>
      <c r="AK351" s="1189"/>
      <c r="AL351" s="1144"/>
      <c r="AM351" s="1189"/>
      <c r="AN351" s="1189"/>
      <c r="AO351" s="1189"/>
      <c r="AP351" s="1189"/>
      <c r="AQ351" s="1189"/>
      <c r="AR351" s="1144"/>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8290</v>
      </c>
      <c r="B352" s="1309" t="s">
        <v>7541</v>
      </c>
      <c r="C352" s="1141" t="s">
        <v>8291</v>
      </c>
      <c r="D352" s="1189"/>
      <c r="E352" s="1189"/>
      <c r="F352" s="1103"/>
      <c r="G352" s="1030" t="s">
        <v>8291</v>
      </c>
      <c r="H352" s="1048"/>
      <c r="I352" s="1189"/>
      <c r="J352" s="1189"/>
      <c r="K352" s="1189"/>
      <c r="L352" s="1189"/>
      <c r="M352" s="1030" t="s">
        <v>8292</v>
      </c>
      <c r="N352" s="1189"/>
      <c r="O352" s="1189"/>
      <c r="P352" s="1143"/>
      <c r="Q352" s="1144"/>
      <c r="R352" s="1311"/>
      <c r="S352" s="1189"/>
      <c r="T352" s="1189"/>
      <c r="U352" s="1189"/>
      <c r="V352" s="1189"/>
      <c r="W352" s="1189"/>
      <c r="X352" s="1189"/>
      <c r="Y352" s="1189"/>
      <c r="Z352" s="1189"/>
      <c r="AA352" s="1189"/>
      <c r="AB352" s="1189"/>
      <c r="AC352" s="1189"/>
      <c r="AD352" s="1189"/>
      <c r="AE352" s="1189"/>
      <c r="AF352" s="1189"/>
      <c r="AG352" s="1189"/>
      <c r="AH352" s="1189"/>
      <c r="AI352" s="1189"/>
      <c r="AJ352" s="1189"/>
      <c r="AK352" s="1189"/>
      <c r="AL352" s="1144"/>
      <c r="AM352" s="1189"/>
      <c r="AN352" s="1189"/>
      <c r="AO352" s="1189"/>
      <c r="AP352" s="1189"/>
      <c r="AQ352" s="1189"/>
      <c r="AR352" s="1144"/>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8293</v>
      </c>
      <c r="B353" s="1309" t="s">
        <v>8294</v>
      </c>
      <c r="C353" s="1141" t="s">
        <v>3243</v>
      </c>
      <c r="D353" s="1143"/>
      <c r="E353" s="1143"/>
      <c r="F353" s="1028"/>
      <c r="G353" s="1143"/>
      <c r="H353" s="1048"/>
      <c r="I353" s="1143"/>
      <c r="J353" s="1143"/>
      <c r="K353" s="1143"/>
      <c r="L353" s="1143"/>
      <c r="M353" s="1143"/>
      <c r="N353" s="1143"/>
      <c r="O353" s="1143"/>
      <c r="P353" s="1143"/>
      <c r="Q353" s="1183"/>
      <c r="R353" s="1039"/>
      <c r="S353" s="1143"/>
      <c r="T353" s="1143"/>
      <c r="U353" s="1143"/>
      <c r="V353" s="1143"/>
      <c r="W353" s="114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8295</v>
      </c>
      <c r="C354" s="1141" t="s">
        <v>756</v>
      </c>
      <c r="D354" s="1143"/>
      <c r="E354" s="1143"/>
      <c r="F354" s="1113" t="s">
        <v>1068</v>
      </c>
      <c r="G354" s="1030" t="s">
        <v>756</v>
      </c>
      <c r="H354" s="1048"/>
      <c r="I354" s="1143"/>
      <c r="J354" s="1143"/>
      <c r="K354" s="1143"/>
      <c r="L354" s="1143"/>
      <c r="M354" s="1143"/>
      <c r="N354" s="1143"/>
      <c r="O354" s="1030" t="s">
        <v>458</v>
      </c>
      <c r="P354" s="1143"/>
      <c r="Q354" s="1183"/>
      <c r="R354" s="1039"/>
      <c r="S354" s="1143"/>
      <c r="T354" s="1143"/>
      <c r="U354" s="1143"/>
      <c r="V354" s="1143"/>
      <c r="W354" s="114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8296</v>
      </c>
      <c r="C355" s="1141" t="s">
        <v>756</v>
      </c>
      <c r="D355" s="1048"/>
      <c r="E355" s="1030" t="s">
        <v>756</v>
      </c>
      <c r="F355" s="1028"/>
      <c r="G355" s="1048" t="s">
        <v>756</v>
      </c>
      <c r="H355" s="1048"/>
      <c r="I355" s="1048"/>
      <c r="J355" s="1048"/>
      <c r="K355" s="1048"/>
      <c r="L355" s="1048"/>
      <c r="M355" s="1048"/>
      <c r="N355" s="1048"/>
      <c r="O355" s="1048"/>
      <c r="P355" s="1143"/>
      <c r="Q355" s="1183"/>
      <c r="R355" s="1311"/>
      <c r="S355" s="1048"/>
      <c r="T355" s="1048"/>
      <c r="U355" s="1048"/>
      <c r="V355" s="1048"/>
      <c r="W355" s="1048"/>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O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U15"/>
    <hyperlink r:id="rId93" ref="AC15"/>
    <hyperlink r:id="rId94" ref="AF15"/>
    <hyperlink r:id="rId95" ref="AJ15"/>
    <hyperlink r:id="rId96" ref="AL15"/>
    <hyperlink r:id="rId97" ref="AM15"/>
    <hyperlink r:id="rId98" ref="C16"/>
    <hyperlink r:id="rId99" ref="F16"/>
    <hyperlink r:id="rId100" ref="M16"/>
    <hyperlink r:id="rId101" ref="R16"/>
    <hyperlink r:id="rId102" ref="U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O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T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M42"/>
    <hyperlink r:id="rId254" ref="O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T55"/>
    <hyperlink r:id="rId299" ref="W55"/>
    <hyperlink r:id="rId300" ref="C56"/>
    <hyperlink r:id="rId301" ref="E56"/>
    <hyperlink r:id="rId302" ref="O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Q61"/>
    <hyperlink r:id="rId315" ref="C62"/>
    <hyperlink r:id="rId316" ref="G62"/>
    <hyperlink r:id="rId317" ref="C63"/>
    <hyperlink r:id="rId318" ref="F63"/>
    <hyperlink r:id="rId319" ref="G63"/>
    <hyperlink r:id="rId320" ref="H63"/>
    <hyperlink r:id="rId321" ref="O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M71"/>
    <hyperlink r:id="rId354" ref="V71"/>
    <hyperlink r:id="rId355" ref="AG71"/>
    <hyperlink r:id="rId356" ref="AT71"/>
    <hyperlink r:id="rId357" ref="N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M74"/>
    <hyperlink r:id="rId371" ref="O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M76"/>
    <hyperlink r:id="rId390" ref="O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M79"/>
    <hyperlink r:id="rId406" ref="O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O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O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O88"/>
    <hyperlink r:id="rId456" ref="P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M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M94"/>
    <hyperlink r:id="rId488" ref="O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N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M102"/>
    <hyperlink r:id="rId522" ref="O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M115"/>
    <hyperlink r:id="rId573" ref="O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M118"/>
    <hyperlink r:id="rId592" ref="O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M122"/>
    <hyperlink r:id="rId607" ref="O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O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M132"/>
    <hyperlink r:id="rId647" ref="R132"/>
    <hyperlink r:id="rId648" ref="D133"/>
    <hyperlink r:id="rId649" ref="F133"/>
    <hyperlink r:id="rId650" ref="G133"/>
    <hyperlink r:id="rId651" ref="H133"/>
    <hyperlink r:id="rId652" ref="J133"/>
    <hyperlink r:id="rId653" ref="L133"/>
    <hyperlink r:id="rId654" ref="M133"/>
    <hyperlink r:id="rId655" ref="O133"/>
    <hyperlink r:id="rId656" ref="U133"/>
    <hyperlink r:id="rId657" ref="C134"/>
    <hyperlink r:id="rId658" ref="E134"/>
    <hyperlink r:id="rId659" ref="F134"/>
    <hyperlink r:id="rId660" ref="H134"/>
    <hyperlink r:id="rId661" ref="M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M138"/>
    <hyperlink r:id="rId681" ref="O138"/>
    <hyperlink r:id="rId682" ref="T138"/>
    <hyperlink r:id="rId683" ref="W138"/>
    <hyperlink r:id="rId684" ref="AB138"/>
    <hyperlink r:id="rId685" ref="C139"/>
    <hyperlink r:id="rId686" ref="J139"/>
    <hyperlink r:id="rId687" ref="K139"/>
    <hyperlink r:id="rId688" ref="O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M141"/>
    <hyperlink r:id="rId700" ref="O141"/>
    <hyperlink r:id="rId701" ref="AV141"/>
    <hyperlink r:id="rId702" ref="C142"/>
    <hyperlink r:id="rId703" ref="C143"/>
    <hyperlink r:id="rId704" ref="H143"/>
    <hyperlink r:id="rId705" ref="J143"/>
    <hyperlink r:id="rId706" ref="O143"/>
    <hyperlink r:id="rId707" ref="Q144"/>
    <hyperlink r:id="rId708" ref="C145"/>
    <hyperlink r:id="rId709" ref="D145"/>
    <hyperlink r:id="rId710" ref="Q145"/>
    <hyperlink r:id="rId711" ref="C147"/>
    <hyperlink r:id="rId712" ref="D147"/>
    <hyperlink r:id="rId713" ref="H147"/>
    <hyperlink r:id="rId714" ref="C148"/>
    <hyperlink r:id="rId715" ref="E148"/>
    <hyperlink r:id="rId716" ref="H148"/>
    <hyperlink r:id="rId717" ref="K148"/>
    <hyperlink r:id="rId718" ref="M148"/>
    <hyperlink r:id="rId719" ref="AG148"/>
    <hyperlink r:id="rId720" ref="C149"/>
    <hyperlink r:id="rId721" ref="D149"/>
    <hyperlink r:id="rId722" ref="E149"/>
    <hyperlink r:id="rId723" ref="F149"/>
    <hyperlink r:id="rId724" ref="H149"/>
    <hyperlink r:id="rId725" ref="J149"/>
    <hyperlink r:id="rId726" ref="K149"/>
    <hyperlink r:id="rId727" ref="M149"/>
    <hyperlink r:id="rId728" ref="O149"/>
    <hyperlink r:id="rId729" ref="U149"/>
    <hyperlink r:id="rId730" ref="C150"/>
    <hyperlink r:id="rId731" ref="H150"/>
    <hyperlink r:id="rId732" ref="O150"/>
    <hyperlink r:id="rId733" ref="C151"/>
    <hyperlink r:id="rId734" ref="E151"/>
    <hyperlink r:id="rId735" ref="J151"/>
    <hyperlink r:id="rId736" ref="L151"/>
    <hyperlink r:id="rId737" ref="AK151"/>
    <hyperlink r:id="rId738" ref="C152"/>
    <hyperlink r:id="rId739" ref="O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M154"/>
    <hyperlink r:id="rId752" ref="O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M160"/>
    <hyperlink r:id="rId767" ref="U160"/>
    <hyperlink r:id="rId768" ref="C161"/>
    <hyperlink r:id="rId769" ref="C163"/>
    <hyperlink r:id="rId770" ref="F163"/>
    <hyperlink r:id="rId771" ref="G163"/>
    <hyperlink r:id="rId772" ref="H163"/>
    <hyperlink r:id="rId773" ref="I163"/>
    <hyperlink r:id="rId774" ref="M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M166"/>
    <hyperlink r:id="rId789" ref="Y166"/>
    <hyperlink r:id="rId790" ref="C167"/>
    <hyperlink r:id="rId791" ref="F167"/>
    <hyperlink r:id="rId792" ref="G167"/>
    <hyperlink r:id="rId793" ref="H167"/>
    <hyperlink r:id="rId794" ref="K167"/>
    <hyperlink r:id="rId795" ref="O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O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M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O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M186"/>
    <hyperlink r:id="rId882" ref="O186"/>
    <hyperlink r:id="rId883" ref="R186"/>
    <hyperlink r:id="rId884" ref="C187"/>
    <hyperlink r:id="rId885" ref="E187"/>
    <hyperlink r:id="rId886" ref="M187"/>
    <hyperlink r:id="rId887" ref="O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O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M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M208"/>
    <hyperlink r:id="rId965" ref="O208"/>
    <hyperlink r:id="rId966" ref="P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O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O216"/>
    <hyperlink r:id="rId1003" ref="R216"/>
    <hyperlink r:id="rId1004" ref="T216"/>
    <hyperlink r:id="rId1005" ref="U216"/>
    <hyperlink r:id="rId1006" ref="C217"/>
    <hyperlink r:id="rId1007" ref="D217"/>
    <hyperlink r:id="rId1008" ref="F217"/>
    <hyperlink r:id="rId1009" ref="H217"/>
    <hyperlink r:id="rId1010" ref="L217"/>
    <hyperlink r:id="rId1011" ref="M217"/>
    <hyperlink r:id="rId1012" ref="O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M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Q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R228"/>
    <hyperlink r:id="rId1065" ref="G229"/>
    <hyperlink r:id="rId1066" ref="H229"/>
    <hyperlink r:id="rId1067" ref="I229"/>
    <hyperlink r:id="rId1068" ref="K229"/>
    <hyperlink r:id="rId1069" ref="L229"/>
    <hyperlink r:id="rId1070" ref="O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M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O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M249"/>
    <hyperlink r:id="rId1156" ref="O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O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O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Q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M262"/>
    <hyperlink r:id="rId1232" ref="O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O270"/>
    <hyperlink r:id="rId1260" ref="AA270"/>
    <hyperlink r:id="rId1261" ref="C271"/>
    <hyperlink r:id="rId1262" ref="E271"/>
    <hyperlink r:id="rId1263" ref="F271"/>
    <hyperlink r:id="rId1264" ref="S271"/>
    <hyperlink r:id="rId1265" ref="C272"/>
    <hyperlink r:id="rId1266" ref="E272"/>
    <hyperlink r:id="rId1267" ref="F272"/>
    <hyperlink r:id="rId1268" ref="O272"/>
    <hyperlink r:id="rId1269" ref="AU272"/>
    <hyperlink r:id="rId1270" ref="C273"/>
    <hyperlink r:id="rId1271" ref="D273"/>
    <hyperlink r:id="rId1272" ref="E273"/>
    <hyperlink r:id="rId1273" ref="F273"/>
    <hyperlink r:id="rId1274" ref="H273"/>
    <hyperlink r:id="rId1275" ref="O273"/>
    <hyperlink r:id="rId1276" ref="W273"/>
    <hyperlink r:id="rId1277" ref="C274"/>
    <hyperlink r:id="rId1278" ref="F274"/>
    <hyperlink r:id="rId1279" ref="C275"/>
    <hyperlink r:id="rId1280" ref="H275"/>
    <hyperlink r:id="rId1281" ref="K275"/>
    <hyperlink r:id="rId1282" ref="M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M278"/>
    <hyperlink r:id="rId1298" ref="O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O280"/>
    <hyperlink r:id="rId1314" ref="AS280"/>
    <hyperlink r:id="rId1315" ref="C281"/>
    <hyperlink r:id="rId1316" ref="D281"/>
    <hyperlink r:id="rId1317" ref="E281"/>
    <hyperlink r:id="rId1318" ref="F281"/>
    <hyperlink r:id="rId1319" ref="H281"/>
    <hyperlink r:id="rId1320" ref="J281"/>
    <hyperlink r:id="rId1321" ref="K281"/>
    <hyperlink r:id="rId1322" ref="O281"/>
    <hyperlink r:id="rId1323" ref="Y281"/>
    <hyperlink r:id="rId1324" ref="AC281"/>
    <hyperlink r:id="rId1325" ref="C282"/>
    <hyperlink r:id="rId1326" ref="D282"/>
    <hyperlink r:id="rId1327" ref="E282"/>
    <hyperlink r:id="rId1328" ref="F282"/>
    <hyperlink r:id="rId1329" ref="G282"/>
    <hyperlink r:id="rId1330" ref="H282"/>
    <hyperlink r:id="rId1331" ref="O282"/>
    <hyperlink r:id="rId1332" ref="C283"/>
    <hyperlink r:id="rId1333" ref="D283"/>
    <hyperlink r:id="rId1334" ref="E283"/>
    <hyperlink r:id="rId1335" ref="F283"/>
    <hyperlink r:id="rId1336" ref="G283"/>
    <hyperlink r:id="rId1337" ref="L283"/>
    <hyperlink r:id="rId1338" ref="M283"/>
    <hyperlink r:id="rId1339" ref="O283"/>
    <hyperlink r:id="rId1340" ref="C284"/>
    <hyperlink r:id="rId1341" ref="E284"/>
    <hyperlink r:id="rId1342" ref="F284"/>
    <hyperlink r:id="rId1343" ref="H284"/>
    <hyperlink r:id="rId1344" ref="J284"/>
    <hyperlink r:id="rId1345" ref="O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O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M289"/>
    <hyperlink r:id="rId1385" ref="O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O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O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O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M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M352"/>
    <hyperlink r:id="rId1548" ref="C353"/>
    <hyperlink r:id="rId1549" ref="AE353"/>
    <hyperlink r:id="rId1550" ref="C354"/>
    <hyperlink r:id="rId1551" ref="F354"/>
    <hyperlink r:id="rId1552" ref="G354"/>
    <hyperlink r:id="rId1553" ref="O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8297</v>
      </c>
      <c r="C1" s="23" t="s">
        <v>10</v>
      </c>
      <c r="F1" s="23" t="s">
        <v>34</v>
      </c>
      <c r="H1" s="24" t="s">
        <v>35</v>
      </c>
      <c r="K1" s="26" t="s">
        <v>36</v>
      </c>
      <c r="O1" s="28" t="s">
        <v>7788</v>
      </c>
      <c r="R1" s="29" t="s">
        <v>38</v>
      </c>
      <c r="U1" s="30" t="s">
        <v>39</v>
      </c>
      <c r="X1" s="32" t="s">
        <v>8051</v>
      </c>
      <c r="AA1" s="33" t="s">
        <v>8122</v>
      </c>
      <c r="AD1" s="34" t="s">
        <v>42</v>
      </c>
      <c r="AG1" s="1325"/>
      <c r="AH1" s="1325"/>
    </row>
    <row r="2" ht="38.25" customHeight="1">
      <c r="A2" s="35" t="s">
        <v>43</v>
      </c>
      <c r="B2" s="36" t="s">
        <v>44</v>
      </c>
      <c r="C2" s="36" t="s">
        <v>45</v>
      </c>
      <c r="F2" s="36" t="s">
        <v>8298</v>
      </c>
      <c r="H2" s="1326" t="s">
        <v>8299</v>
      </c>
      <c r="I2" s="1327"/>
      <c r="J2" s="1327"/>
      <c r="K2" s="1328" t="s">
        <v>8300</v>
      </c>
      <c r="L2" s="1329" t="s">
        <v>8301</v>
      </c>
      <c r="M2" s="1328" t="s">
        <v>8302</v>
      </c>
      <c r="N2" s="1328" t="s">
        <v>8303</v>
      </c>
      <c r="O2" s="1330" t="s">
        <v>8304</v>
      </c>
      <c r="P2" s="1330" t="s">
        <v>8305</v>
      </c>
      <c r="Q2" s="1330"/>
      <c r="R2" s="42" t="s">
        <v>48</v>
      </c>
      <c r="S2" s="42" t="s">
        <v>8306</v>
      </c>
      <c r="T2" s="42"/>
      <c r="U2" s="44" t="s">
        <v>50</v>
      </c>
      <c r="V2" s="44" t="s">
        <v>54</v>
      </c>
      <c r="W2" s="44" t="s">
        <v>62</v>
      </c>
      <c r="X2" s="45" t="s">
        <v>52</v>
      </c>
      <c r="Y2" s="45"/>
      <c r="Z2" s="45"/>
      <c r="AA2" s="47" t="s">
        <v>51</v>
      </c>
      <c r="AB2" s="1331" t="s">
        <v>8307</v>
      </c>
      <c r="AC2" s="47"/>
      <c r="AD2" s="1332" t="s">
        <v>8308</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8044</v>
      </c>
      <c r="V3" s="1344"/>
      <c r="W3" s="1344"/>
      <c r="X3" s="1346" t="s">
        <v>8309</v>
      </c>
      <c r="Y3" s="1344"/>
      <c r="Z3" s="1344"/>
      <c r="AA3" s="1347" t="s">
        <v>8310</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8311</v>
      </c>
      <c r="N4" s="987" t="s">
        <v>1157</v>
      </c>
      <c r="O4" s="988"/>
      <c r="P4" s="988"/>
      <c r="Q4" s="1344"/>
      <c r="R4" s="1350" t="s">
        <v>6108</v>
      </c>
      <c r="S4" s="988"/>
      <c r="T4" s="988"/>
      <c r="U4" s="1351" t="s">
        <v>2117</v>
      </c>
      <c r="V4" s="1344"/>
      <c r="W4" s="1344"/>
      <c r="X4" s="1345" t="s">
        <v>8312</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8313</v>
      </c>
      <c r="Y5" s="1344"/>
      <c r="Z5" s="1344"/>
      <c r="AA5" s="1353" t="s">
        <v>8314</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8315</v>
      </c>
      <c r="T7" s="988"/>
      <c r="U7" s="1344"/>
      <c r="V7" s="1344"/>
      <c r="W7" s="1344"/>
      <c r="X7" s="988"/>
      <c r="Y7" s="1344"/>
      <c r="Z7" s="1344"/>
      <c r="AA7" s="1345" t="s">
        <v>8316</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8317</v>
      </c>
      <c r="L8" s="1350" t="s">
        <v>6279</v>
      </c>
      <c r="M8" s="988"/>
      <c r="N8" s="988"/>
      <c r="O8" s="988"/>
      <c r="P8" s="1351" t="s">
        <v>8318</v>
      </c>
      <c r="Q8" s="1344"/>
      <c r="R8" s="1344"/>
      <c r="S8" s="988"/>
      <c r="T8" s="988"/>
      <c r="U8" s="1344"/>
      <c r="V8" s="1344"/>
      <c r="W8" s="1344"/>
      <c r="X8" s="1345" t="s">
        <v>8312</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7913</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8319</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7953</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8320</v>
      </c>
      <c r="X12" s="988"/>
      <c r="Y12" s="1344"/>
      <c r="Z12" s="1344"/>
      <c r="AA12" s="988"/>
      <c r="AB12" s="1344"/>
      <c r="AC12" s="988"/>
      <c r="AD12" s="1344"/>
      <c r="AE12" s="1344"/>
      <c r="AF12" s="1344"/>
      <c r="AG12" s="1348"/>
      <c r="AH12" s="1348"/>
    </row>
    <row r="13">
      <c r="A13" s="1334" t="s">
        <v>8321</v>
      </c>
      <c r="B13" s="1335" t="s">
        <v>1052</v>
      </c>
      <c r="C13" s="1336" t="s">
        <v>649</v>
      </c>
      <c r="D13" s="1337" t="s">
        <v>1258</v>
      </c>
      <c r="E13" s="1338" t="s">
        <v>1258</v>
      </c>
      <c r="F13" s="1339" t="s">
        <v>649</v>
      </c>
      <c r="G13" s="1335" t="s">
        <v>649</v>
      </c>
      <c r="H13" s="988"/>
      <c r="I13" s="97"/>
      <c r="J13" s="92"/>
      <c r="K13" s="1345" t="s">
        <v>8322</v>
      </c>
      <c r="L13" s="1345" t="s">
        <v>8323</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8324</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8325</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8326</v>
      </c>
      <c r="B18" s="1335" t="s">
        <v>334</v>
      </c>
      <c r="C18" s="1336" t="s">
        <v>546</v>
      </c>
      <c r="D18" s="1337" t="s">
        <v>1258</v>
      </c>
      <c r="E18" s="1338" t="s">
        <v>1258</v>
      </c>
      <c r="F18" s="1339" t="s">
        <v>546</v>
      </c>
      <c r="G18" s="1335" t="s">
        <v>546</v>
      </c>
      <c r="H18" s="988"/>
      <c r="I18" s="97"/>
      <c r="J18" s="92"/>
      <c r="K18" s="988"/>
      <c r="L18" s="1345" t="s">
        <v>8323</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7658</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8327</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8328</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8329</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8330</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8331</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8332</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8333</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8334</v>
      </c>
      <c r="C1" s="23" t="s">
        <v>10</v>
      </c>
      <c r="F1" s="23" t="s">
        <v>34</v>
      </c>
      <c r="H1" s="1370" t="s">
        <v>8335</v>
      </c>
      <c r="W1" s="1371" t="s">
        <v>8336</v>
      </c>
      <c r="AM1" s="1372" t="s">
        <v>8337</v>
      </c>
      <c r="BG1" s="1373" t="s">
        <v>8338</v>
      </c>
      <c r="BQ1" s="1374" t="s">
        <v>8339</v>
      </c>
      <c r="BV1" s="1375" t="s">
        <v>8340</v>
      </c>
      <c r="CE1" s="1370" t="s">
        <v>8341</v>
      </c>
      <c r="CM1" s="1376" t="s">
        <v>8342</v>
      </c>
      <c r="CP1" s="1377" t="s">
        <v>8343</v>
      </c>
      <c r="CT1" s="1378" t="s">
        <v>8344</v>
      </c>
      <c r="CU1" s="1379" t="s">
        <v>8345</v>
      </c>
    </row>
    <row r="2">
      <c r="A2" s="1380" t="s">
        <v>43</v>
      </c>
      <c r="B2" s="36" t="s">
        <v>44</v>
      </c>
      <c r="C2" s="36" t="s">
        <v>45</v>
      </c>
      <c r="F2" s="36" t="s">
        <v>8346</v>
      </c>
      <c r="H2" s="1381" t="s">
        <v>8347</v>
      </c>
      <c r="I2" s="1381" t="s">
        <v>8348</v>
      </c>
      <c r="J2" s="1381" t="s">
        <v>8349</v>
      </c>
      <c r="K2" s="1381" t="s">
        <v>8350</v>
      </c>
      <c r="L2" s="1381" t="s">
        <v>8351</v>
      </c>
      <c r="M2" s="1381" t="s">
        <v>8352</v>
      </c>
      <c r="N2" s="1381" t="s">
        <v>8353</v>
      </c>
      <c r="O2" s="1381" t="s">
        <v>8354</v>
      </c>
      <c r="P2" s="1381" t="s">
        <v>8355</v>
      </c>
      <c r="Q2" s="1381" t="s">
        <v>8356</v>
      </c>
      <c r="R2" s="1381" t="s">
        <v>8357</v>
      </c>
      <c r="S2" s="1381" t="s">
        <v>8358</v>
      </c>
      <c r="T2" s="1381" t="s">
        <v>8359</v>
      </c>
      <c r="U2" s="1381" t="s">
        <v>8360</v>
      </c>
      <c r="V2" s="1381" t="s">
        <v>8361</v>
      </c>
      <c r="W2" s="1382" t="s">
        <v>8362</v>
      </c>
      <c r="X2" s="1382" t="s">
        <v>8363</v>
      </c>
      <c r="Y2" s="1382" t="s">
        <v>8364</v>
      </c>
      <c r="Z2" s="1382" t="s">
        <v>8365</v>
      </c>
      <c r="AA2" s="1382" t="s">
        <v>8366</v>
      </c>
      <c r="AB2" s="1382" t="s">
        <v>8367</v>
      </c>
      <c r="AC2" s="1382" t="s">
        <v>8368</v>
      </c>
      <c r="AD2" s="1382" t="s">
        <v>8369</v>
      </c>
      <c r="AE2" s="1382" t="s">
        <v>8370</v>
      </c>
      <c r="AF2" s="1382" t="s">
        <v>8371</v>
      </c>
      <c r="AG2" s="1382" t="s">
        <v>8372</v>
      </c>
      <c r="AH2" s="1382" t="s">
        <v>8373</v>
      </c>
      <c r="AI2" s="1382" t="s">
        <v>8374</v>
      </c>
      <c r="AJ2" s="1382" t="s">
        <v>8375</v>
      </c>
      <c r="AK2" s="1382" t="s">
        <v>8376</v>
      </c>
      <c r="AL2" s="1382" t="s">
        <v>8377</v>
      </c>
      <c r="AM2" s="1383" t="s">
        <v>8378</v>
      </c>
      <c r="AN2" s="1383" t="s">
        <v>8379</v>
      </c>
      <c r="AO2" s="1383" t="s">
        <v>8380</v>
      </c>
      <c r="AP2" s="1383" t="s">
        <v>8381</v>
      </c>
      <c r="AQ2" s="1383" t="s">
        <v>8382</v>
      </c>
      <c r="AR2" s="1383" t="s">
        <v>8383</v>
      </c>
      <c r="AS2" s="1383" t="s">
        <v>8384</v>
      </c>
      <c r="AT2" s="1383" t="s">
        <v>8385</v>
      </c>
      <c r="AU2" s="1383" t="s">
        <v>8386</v>
      </c>
      <c r="AV2" s="1383" t="s">
        <v>8387</v>
      </c>
      <c r="AW2" s="1383" t="s">
        <v>8388</v>
      </c>
      <c r="AX2" s="1383" t="s">
        <v>8389</v>
      </c>
      <c r="AY2" s="1383" t="s">
        <v>8390</v>
      </c>
      <c r="AZ2" s="1383" t="s">
        <v>8391</v>
      </c>
      <c r="BA2" s="1383" t="s">
        <v>8392</v>
      </c>
      <c r="BB2" s="1383" t="s">
        <v>8393</v>
      </c>
      <c r="BC2" s="1383" t="s">
        <v>8394</v>
      </c>
      <c r="BD2" s="1383" t="s">
        <v>8395</v>
      </c>
      <c r="BE2" s="1383" t="s">
        <v>8396</v>
      </c>
      <c r="BF2" s="1383" t="s">
        <v>8397</v>
      </c>
      <c r="BG2" s="1384" t="s">
        <v>8398</v>
      </c>
      <c r="BH2" s="1384" t="s">
        <v>8399</v>
      </c>
      <c r="BI2" s="1384" t="s">
        <v>8400</v>
      </c>
      <c r="BJ2" s="1384" t="s">
        <v>8401</v>
      </c>
      <c r="BK2" s="1384" t="s">
        <v>8402</v>
      </c>
      <c r="BL2" s="1384" t="s">
        <v>8403</v>
      </c>
      <c r="BM2" s="1384" t="s">
        <v>8404</v>
      </c>
      <c r="BN2" s="1384" t="s">
        <v>8405</v>
      </c>
      <c r="BO2" s="1384" t="s">
        <v>8406</v>
      </c>
      <c r="BP2" s="1384" t="s">
        <v>8407</v>
      </c>
      <c r="BQ2" s="1385" t="s">
        <v>8408</v>
      </c>
      <c r="BR2" s="1385" t="s">
        <v>8409</v>
      </c>
      <c r="BS2" s="1385" t="s">
        <v>8410</v>
      </c>
      <c r="BT2" s="1385" t="s">
        <v>8411</v>
      </c>
      <c r="BU2" s="1385" t="s">
        <v>8412</v>
      </c>
      <c r="BV2" s="1386" t="s">
        <v>8413</v>
      </c>
      <c r="BW2" s="1386" t="s">
        <v>8414</v>
      </c>
      <c r="BX2" s="1386" t="s">
        <v>8415</v>
      </c>
      <c r="BY2" s="1386" t="s">
        <v>8416</v>
      </c>
      <c r="BZ2" s="1386" t="s">
        <v>8417</v>
      </c>
      <c r="CA2" s="1386" t="s">
        <v>8418</v>
      </c>
      <c r="CB2" s="1386" t="s">
        <v>8419</v>
      </c>
      <c r="CC2" s="1386" t="s">
        <v>8420</v>
      </c>
      <c r="CD2" s="1386" t="s">
        <v>8421</v>
      </c>
      <c r="CE2" s="1387" t="s">
        <v>8347</v>
      </c>
      <c r="CF2" s="1387" t="s">
        <v>8350</v>
      </c>
      <c r="CG2" s="1387" t="s">
        <v>8354</v>
      </c>
      <c r="CH2" s="1387" t="s">
        <v>8356</v>
      </c>
      <c r="CI2" s="1387" t="s">
        <v>8357</v>
      </c>
      <c r="CJ2" s="1387" t="s">
        <v>8360</v>
      </c>
      <c r="CK2" s="1387" t="s">
        <v>8422</v>
      </c>
      <c r="CL2" s="1387" t="s">
        <v>8423</v>
      </c>
      <c r="CM2" s="1388" t="s">
        <v>8424</v>
      </c>
      <c r="CN2" s="1388" t="s">
        <v>8425</v>
      </c>
      <c r="CO2" s="1388" t="s">
        <v>8426</v>
      </c>
      <c r="CP2" s="1328" t="s">
        <v>8427</v>
      </c>
      <c r="CQ2" s="1328" t="s">
        <v>8428</v>
      </c>
      <c r="CR2" s="1328" t="s">
        <v>8429</v>
      </c>
      <c r="CS2" s="1328" t="s">
        <v>8430</v>
      </c>
      <c r="CT2" s="1389" t="s">
        <v>8431</v>
      </c>
      <c r="CU2" s="1390" t="s">
        <v>8432</v>
      </c>
    </row>
    <row r="3">
      <c r="A3" s="1391" t="s">
        <v>2460</v>
      </c>
      <c r="B3" s="791" t="s">
        <v>8433</v>
      </c>
      <c r="C3" s="787" t="s">
        <v>6852</v>
      </c>
      <c r="D3" s="788" t="s">
        <v>6284</v>
      </c>
      <c r="E3" s="789" t="s">
        <v>2774</v>
      </c>
      <c r="F3" s="790" t="s">
        <v>1348</v>
      </c>
      <c r="G3" s="791" t="s">
        <v>1348</v>
      </c>
      <c r="H3" s="990" t="s">
        <v>8434</v>
      </c>
      <c r="I3" s="990" t="s">
        <v>8435</v>
      </c>
      <c r="J3" s="1346" t="s">
        <v>8436</v>
      </c>
      <c r="K3" s="990" t="s">
        <v>8437</v>
      </c>
      <c r="L3" s="1067" t="s">
        <v>8438</v>
      </c>
      <c r="M3" s="1351" t="s">
        <v>8439</v>
      </c>
      <c r="N3" s="1351" t="s">
        <v>8440</v>
      </c>
      <c r="O3" s="1350" t="s">
        <v>8441</v>
      </c>
      <c r="P3" s="1350" t="s">
        <v>8442</v>
      </c>
      <c r="Q3" s="990" t="s">
        <v>8443</v>
      </c>
      <c r="R3" s="990" t="s">
        <v>8444</v>
      </c>
      <c r="S3" s="990" t="s">
        <v>8445</v>
      </c>
      <c r="T3" s="990" t="s">
        <v>8446</v>
      </c>
      <c r="U3" s="990" t="s">
        <v>8447</v>
      </c>
      <c r="V3" s="990" t="s">
        <v>8448</v>
      </c>
      <c r="W3" s="1350" t="s">
        <v>2132</v>
      </c>
      <c r="X3" s="990" t="s">
        <v>1821</v>
      </c>
      <c r="Y3" s="990" t="s">
        <v>2740</v>
      </c>
      <c r="Z3" s="1345" t="s">
        <v>8449</v>
      </c>
      <c r="AA3" s="1351" t="s">
        <v>8450</v>
      </c>
      <c r="AB3" s="1345" t="s">
        <v>8451</v>
      </c>
      <c r="AC3" s="990" t="s">
        <v>8452</v>
      </c>
      <c r="AD3" s="990" t="s">
        <v>4481</v>
      </c>
      <c r="AE3" s="1350" t="s">
        <v>8453</v>
      </c>
      <c r="AF3" s="990" t="s">
        <v>8454</v>
      </c>
      <c r="AG3" s="1350" t="s">
        <v>8455</v>
      </c>
      <c r="AH3" s="1351" t="s">
        <v>8456</v>
      </c>
      <c r="AI3" s="990" t="s">
        <v>6707</v>
      </c>
      <c r="AJ3" s="1351" t="s">
        <v>8457</v>
      </c>
      <c r="AK3" s="990" t="s">
        <v>8458</v>
      </c>
      <c r="AL3" s="1345" t="s">
        <v>5331</v>
      </c>
      <c r="AM3" s="1351" t="s">
        <v>8459</v>
      </c>
      <c r="AN3" s="1345" t="s">
        <v>8460</v>
      </c>
      <c r="AO3" s="1345" t="s">
        <v>8461</v>
      </c>
      <c r="AP3" s="1351" t="s">
        <v>8462</v>
      </c>
      <c r="AQ3" s="1351" t="s">
        <v>8463</v>
      </c>
      <c r="AR3" s="1351" t="s">
        <v>8464</v>
      </c>
      <c r="AS3" s="1351" t="s">
        <v>8465</v>
      </c>
      <c r="AT3" s="1351" t="s">
        <v>8466</v>
      </c>
      <c r="AU3" s="990" t="s">
        <v>8467</v>
      </c>
      <c r="AV3" s="1392" t="s">
        <v>8468</v>
      </c>
      <c r="AW3" s="1350" t="s">
        <v>8469</v>
      </c>
      <c r="AX3" s="1351" t="s">
        <v>8470</v>
      </c>
      <c r="AY3" s="1351" t="s">
        <v>8471</v>
      </c>
      <c r="AZ3" s="1351" t="s">
        <v>8472</v>
      </c>
      <c r="BA3" s="1351" t="s">
        <v>8473</v>
      </c>
      <c r="BB3" s="1350" t="s">
        <v>8474</v>
      </c>
      <c r="BC3" s="990" t="s">
        <v>8475</v>
      </c>
      <c r="BD3" s="990" t="s">
        <v>8476</v>
      </c>
      <c r="BE3" s="1350" t="s">
        <v>8477</v>
      </c>
      <c r="BF3" s="1351" t="s">
        <v>8478</v>
      </c>
      <c r="BG3" s="990" t="s">
        <v>8479</v>
      </c>
      <c r="BH3" s="1345" t="s">
        <v>8480</v>
      </c>
      <c r="BI3" s="1345" t="s">
        <v>8481</v>
      </c>
      <c r="BJ3" s="1351" t="s">
        <v>8482</v>
      </c>
      <c r="BK3" s="1351" t="s">
        <v>8483</v>
      </c>
      <c r="BL3" s="1351" t="s">
        <v>8484</v>
      </c>
      <c r="BM3" s="1350" t="s">
        <v>8485</v>
      </c>
      <c r="BN3" s="1351" t="s">
        <v>8486</v>
      </c>
      <c r="BO3" s="1351" t="s">
        <v>8487</v>
      </c>
      <c r="BP3" s="1345" t="s">
        <v>8488</v>
      </c>
      <c r="BQ3" s="1345" t="s">
        <v>8489</v>
      </c>
      <c r="BR3" s="1345" t="s">
        <v>8490</v>
      </c>
      <c r="BS3" s="1345" t="s">
        <v>8491</v>
      </c>
      <c r="BT3" s="1345" t="s">
        <v>8492</v>
      </c>
      <c r="BU3" s="1345" t="s">
        <v>8493</v>
      </c>
      <c r="BV3" s="1393" t="s">
        <v>2468</v>
      </c>
      <c r="BW3" s="1351" t="s">
        <v>2478</v>
      </c>
      <c r="BX3" s="1350" t="s">
        <v>2490</v>
      </c>
      <c r="BY3" s="1345" t="s">
        <v>8494</v>
      </c>
      <c r="BZ3" s="1351" t="s">
        <v>8495</v>
      </c>
      <c r="CA3" s="1345" t="s">
        <v>1279</v>
      </c>
      <c r="CB3" s="1345" t="s">
        <v>8496</v>
      </c>
      <c r="CC3" s="1345" t="s">
        <v>3650</v>
      </c>
      <c r="CD3" s="1394" t="s">
        <v>2520</v>
      </c>
      <c r="CE3" s="1350" t="s">
        <v>8497</v>
      </c>
      <c r="CF3" s="1351" t="s">
        <v>8498</v>
      </c>
      <c r="CG3" s="1351" t="s">
        <v>8499</v>
      </c>
      <c r="CH3" s="1345" t="s">
        <v>8500</v>
      </c>
      <c r="CI3" s="1351" t="s">
        <v>8501</v>
      </c>
      <c r="CJ3" s="1350" t="s">
        <v>8502</v>
      </c>
      <c r="CK3" s="1345" t="s">
        <v>8503</v>
      </c>
      <c r="CL3" s="990" t="s">
        <v>7435</v>
      </c>
      <c r="CM3" s="1345" t="s">
        <v>8504</v>
      </c>
      <c r="CN3" s="1345" t="s">
        <v>8505</v>
      </c>
      <c r="CO3" s="1351" t="s">
        <v>8506</v>
      </c>
      <c r="CP3" s="1350" t="s">
        <v>8507</v>
      </c>
      <c r="CQ3" s="1345" t="s">
        <v>8508</v>
      </c>
      <c r="CR3" s="1345" t="s">
        <v>8509</v>
      </c>
      <c r="CS3" s="1351" t="s">
        <v>8510</v>
      </c>
      <c r="CT3" s="1345" t="s">
        <v>8511</v>
      </c>
      <c r="CU3" s="1345" t="s">
        <v>8512</v>
      </c>
    </row>
    <row r="4">
      <c r="A4" s="1395" t="s">
        <v>7534</v>
      </c>
      <c r="B4" s="791" t="s">
        <v>8513</v>
      </c>
      <c r="C4" s="787" t="s">
        <v>3574</v>
      </c>
      <c r="D4" s="788" t="s">
        <v>3872</v>
      </c>
      <c r="E4" s="789" t="s">
        <v>649</v>
      </c>
      <c r="F4" s="790" t="s">
        <v>4783</v>
      </c>
      <c r="G4" s="791" t="s">
        <v>3846</v>
      </c>
      <c r="H4" s="1350" t="s">
        <v>8514</v>
      </c>
      <c r="I4" s="1345" t="s">
        <v>4267</v>
      </c>
      <c r="J4" s="1345" t="s">
        <v>8515</v>
      </c>
      <c r="K4" s="990" t="s">
        <v>8516</v>
      </c>
      <c r="L4" s="1345" t="s">
        <v>8517</v>
      </c>
      <c r="M4" s="988"/>
      <c r="N4" s="988"/>
      <c r="O4" s="990" t="s">
        <v>8518</v>
      </c>
      <c r="P4" s="988"/>
      <c r="Q4" s="987" t="s">
        <v>8519</v>
      </c>
      <c r="R4" s="1351" t="s">
        <v>8520</v>
      </c>
      <c r="S4" s="988"/>
      <c r="T4" s="1345" t="s">
        <v>8521</v>
      </c>
      <c r="U4" s="1345" t="s">
        <v>8522</v>
      </c>
      <c r="V4" s="987" t="s">
        <v>8523</v>
      </c>
      <c r="W4" s="988"/>
      <c r="X4" s="1350" t="s">
        <v>6275</v>
      </c>
      <c r="Y4" s="1351" t="s">
        <v>2542</v>
      </c>
      <c r="Z4" s="988"/>
      <c r="AA4" s="1345" t="s">
        <v>8524</v>
      </c>
      <c r="AB4" s="988"/>
      <c r="AC4" s="988"/>
      <c r="AD4" s="987" t="s">
        <v>8525</v>
      </c>
      <c r="AE4" s="1340"/>
      <c r="AF4" s="990" t="s">
        <v>464</v>
      </c>
      <c r="AG4" s="1340"/>
      <c r="AH4" s="1345" t="s">
        <v>8526</v>
      </c>
      <c r="AI4" s="988"/>
      <c r="AJ4" s="1345" t="s">
        <v>8527</v>
      </c>
      <c r="AK4" s="1351" t="s">
        <v>6250</v>
      </c>
      <c r="AL4" s="1396" t="s">
        <v>8528</v>
      </c>
      <c r="AM4" s="1345" t="s">
        <v>8529</v>
      </c>
      <c r="AN4" s="988"/>
      <c r="AO4" s="988"/>
      <c r="AP4" s="1345" t="s">
        <v>8530</v>
      </c>
      <c r="AQ4" s="1345" t="s">
        <v>8531</v>
      </c>
      <c r="AR4" s="1345" t="s">
        <v>8532</v>
      </c>
      <c r="AS4" s="1345" t="s">
        <v>8533</v>
      </c>
      <c r="AT4" s="1345" t="s">
        <v>8534</v>
      </c>
      <c r="AU4" s="1345" t="s">
        <v>8535</v>
      </c>
      <c r="AV4" s="1345" t="s">
        <v>8536</v>
      </c>
      <c r="AW4" s="1345" t="s">
        <v>8537</v>
      </c>
      <c r="AX4" s="1345" t="s">
        <v>8532</v>
      </c>
      <c r="AY4" s="988"/>
      <c r="AZ4" s="1345" t="s">
        <v>8538</v>
      </c>
      <c r="BA4" s="1345" t="s">
        <v>8539</v>
      </c>
      <c r="BB4" s="1345" t="s">
        <v>8540</v>
      </c>
      <c r="BC4" s="1345" t="s">
        <v>8541</v>
      </c>
      <c r="BD4" s="1345" t="s">
        <v>8542</v>
      </c>
      <c r="BE4" s="1345" t="s">
        <v>8543</v>
      </c>
      <c r="BF4" s="1345" t="s">
        <v>8544</v>
      </c>
      <c r="BG4" s="913" t="s">
        <v>8545</v>
      </c>
      <c r="BH4" s="923"/>
      <c r="BI4" s="923"/>
      <c r="BJ4" s="923"/>
      <c r="BK4" s="1397" t="s">
        <v>8546</v>
      </c>
      <c r="BL4" s="923"/>
      <c r="BM4" s="856" t="s">
        <v>8547</v>
      </c>
      <c r="BN4" s="913" t="s">
        <v>8548</v>
      </c>
      <c r="BO4" s="923"/>
      <c r="BP4" s="923"/>
      <c r="BQ4" s="1398"/>
      <c r="BR4" s="988"/>
      <c r="BS4" s="1351" t="s">
        <v>8549</v>
      </c>
      <c r="BT4" s="988"/>
      <c r="BU4" s="988"/>
      <c r="BV4" s="988"/>
      <c r="BW4" s="988"/>
      <c r="BX4" s="988"/>
      <c r="BY4" s="988"/>
      <c r="BZ4" s="988"/>
      <c r="CA4" s="988"/>
      <c r="CB4" s="988"/>
      <c r="CC4" s="1351" t="s">
        <v>450</v>
      </c>
      <c r="CD4" s="1340"/>
      <c r="CE4" s="1399" t="s">
        <v>8550</v>
      </c>
      <c r="CF4" s="1399" t="s">
        <v>8551</v>
      </c>
      <c r="CG4" s="1399" t="s">
        <v>8552</v>
      </c>
      <c r="CH4" s="1400"/>
      <c r="CI4" s="1399" t="s">
        <v>8553</v>
      </c>
      <c r="CJ4" s="1399" t="s">
        <v>8512</v>
      </c>
      <c r="CK4" s="1400"/>
      <c r="CL4" s="1399" t="s">
        <v>8554</v>
      </c>
      <c r="CM4" s="1401" t="s">
        <v>2155</v>
      </c>
      <c r="CN4" s="1402" t="s">
        <v>3384</v>
      </c>
      <c r="CO4" s="1403"/>
      <c r="CP4" s="1399" t="s">
        <v>8555</v>
      </c>
      <c r="CQ4" s="1403"/>
      <c r="CR4" s="1403"/>
      <c r="CS4" s="1399" t="s">
        <v>8556</v>
      </c>
      <c r="CT4" s="988"/>
      <c r="CU4" s="988"/>
    </row>
    <row r="5">
      <c r="A5" s="1404" t="s">
        <v>7536</v>
      </c>
      <c r="B5" s="791" t="s">
        <v>8557</v>
      </c>
      <c r="C5" s="787" t="s">
        <v>438</v>
      </c>
      <c r="D5" s="788" t="s">
        <v>1198</v>
      </c>
      <c r="E5" s="789" t="s">
        <v>1053</v>
      </c>
      <c r="F5" s="790" t="s">
        <v>4901</v>
      </c>
      <c r="G5" s="791" t="s">
        <v>4408</v>
      </c>
      <c r="H5" s="987" t="s">
        <v>8558</v>
      </c>
      <c r="I5" s="990" t="s">
        <v>8559</v>
      </c>
      <c r="J5" s="987" t="s">
        <v>6467</v>
      </c>
      <c r="K5" s="1345" t="s">
        <v>8560</v>
      </c>
      <c r="L5" s="1350" t="s">
        <v>8561</v>
      </c>
      <c r="M5" s="1350" t="s">
        <v>3758</v>
      </c>
      <c r="N5" s="987" t="s">
        <v>8562</v>
      </c>
      <c r="O5" s="990" t="s">
        <v>8563</v>
      </c>
      <c r="P5" s="1345" t="s">
        <v>8564</v>
      </c>
      <c r="Q5" s="1351" t="s">
        <v>8565</v>
      </c>
      <c r="R5" s="990" t="s">
        <v>8566</v>
      </c>
      <c r="S5" s="1351" t="s">
        <v>8567</v>
      </c>
      <c r="T5" s="1350" t="s">
        <v>8568</v>
      </c>
      <c r="U5" s="1351" t="s">
        <v>8569</v>
      </c>
      <c r="V5" s="1350" t="s">
        <v>8570</v>
      </c>
      <c r="W5" s="987" t="s">
        <v>2357</v>
      </c>
      <c r="X5" s="1353" t="s">
        <v>1691</v>
      </c>
      <c r="Y5" s="987" t="s">
        <v>2019</v>
      </c>
      <c r="Z5" s="1353" t="s">
        <v>8571</v>
      </c>
      <c r="AA5" s="987" t="s">
        <v>4458</v>
      </c>
      <c r="AB5" s="987"/>
      <c r="AC5" s="987" t="s">
        <v>3457</v>
      </c>
      <c r="AD5" s="987" t="s">
        <v>3884</v>
      </c>
      <c r="AE5" s="987" t="s">
        <v>8572</v>
      </c>
      <c r="AF5" s="1353" t="s">
        <v>8573</v>
      </c>
      <c r="AG5" s="990" t="s">
        <v>8574</v>
      </c>
      <c r="AH5" s="990" t="s">
        <v>8575</v>
      </c>
      <c r="AI5" s="1353" t="s">
        <v>8576</v>
      </c>
      <c r="AJ5" s="988"/>
      <c r="AK5" s="987"/>
      <c r="AL5" s="987"/>
      <c r="AM5" s="990" t="s">
        <v>8577</v>
      </c>
      <c r="AN5" s="990" t="s">
        <v>8578</v>
      </c>
      <c r="AO5" s="1350" t="s">
        <v>8579</v>
      </c>
      <c r="AP5" s="1350" t="s">
        <v>8580</v>
      </c>
      <c r="AQ5" s="1350" t="s">
        <v>8581</v>
      </c>
      <c r="AR5" s="990" t="s">
        <v>8582</v>
      </c>
      <c r="AS5" s="1350" t="s">
        <v>8583</v>
      </c>
      <c r="AT5" s="1350" t="s">
        <v>8584</v>
      </c>
      <c r="AU5" s="1351" t="s">
        <v>8585</v>
      </c>
      <c r="AV5" s="1350" t="s">
        <v>8586</v>
      </c>
      <c r="AW5" s="990" t="s">
        <v>8587</v>
      </c>
      <c r="AX5" s="1350" t="s">
        <v>8588</v>
      </c>
      <c r="AY5" s="1350" t="s">
        <v>8589</v>
      </c>
      <c r="AZ5" s="1353" t="s">
        <v>5169</v>
      </c>
      <c r="BA5" s="1350" t="s">
        <v>8590</v>
      </c>
      <c r="BB5" s="990" t="s">
        <v>8591</v>
      </c>
      <c r="BC5" s="1350" t="s">
        <v>8592</v>
      </c>
      <c r="BD5" s="1351" t="s">
        <v>4676</v>
      </c>
      <c r="BE5" s="987"/>
      <c r="BF5" s="1350" t="s">
        <v>8593</v>
      </c>
      <c r="BG5" s="1351" t="s">
        <v>8594</v>
      </c>
      <c r="BH5" s="1350" t="s">
        <v>8595</v>
      </c>
      <c r="BI5" s="1351" t="s">
        <v>8596</v>
      </c>
      <c r="BJ5" s="1345" t="s">
        <v>8487</v>
      </c>
      <c r="BK5" s="987"/>
      <c r="BL5" s="1345" t="s">
        <v>8597</v>
      </c>
      <c r="BM5" s="1353" t="s">
        <v>8598</v>
      </c>
      <c r="BN5" s="987"/>
      <c r="BO5" s="1345" t="s">
        <v>8599</v>
      </c>
      <c r="BP5" s="987"/>
      <c r="BQ5" s="987" t="s">
        <v>8600</v>
      </c>
      <c r="BR5" s="988"/>
      <c r="BS5" s="987" t="s">
        <v>8601</v>
      </c>
      <c r="BT5" s="988"/>
      <c r="BU5" s="987" t="s">
        <v>8602</v>
      </c>
      <c r="BV5" s="988"/>
      <c r="BW5" s="1344"/>
      <c r="BX5" s="1353" t="s">
        <v>3967</v>
      </c>
      <c r="BY5" s="988"/>
      <c r="BZ5" s="988"/>
      <c r="CA5" s="1353" t="s">
        <v>3490</v>
      </c>
      <c r="CB5" s="1351" t="s">
        <v>257</v>
      </c>
      <c r="CC5" s="990" t="s">
        <v>1606</v>
      </c>
      <c r="CD5" s="1353"/>
      <c r="CE5" s="987" t="s">
        <v>8603</v>
      </c>
      <c r="CF5" s="987" t="s">
        <v>8604</v>
      </c>
      <c r="CG5" s="987"/>
      <c r="CH5" s="987"/>
      <c r="CI5" s="987"/>
      <c r="CJ5" s="987"/>
      <c r="CK5" s="987"/>
      <c r="CL5" s="987"/>
      <c r="CM5" s="987"/>
      <c r="CN5" s="1351" t="s">
        <v>8605</v>
      </c>
      <c r="CO5" s="1345" t="s">
        <v>7712</v>
      </c>
      <c r="CP5" s="1351" t="s">
        <v>8606</v>
      </c>
      <c r="CQ5" s="987" t="s">
        <v>8607</v>
      </c>
      <c r="CR5" s="987"/>
      <c r="CS5" s="987"/>
      <c r="CT5" s="1353" t="s">
        <v>8608</v>
      </c>
      <c r="CU5" s="987"/>
    </row>
    <row r="6">
      <c r="A6" s="1405" t="s">
        <v>7031</v>
      </c>
      <c r="B6" s="791" t="s">
        <v>8609</v>
      </c>
      <c r="C6" s="787" t="s">
        <v>437</v>
      </c>
      <c r="D6" s="788" t="s">
        <v>437</v>
      </c>
      <c r="E6" s="789" t="s">
        <v>437</v>
      </c>
      <c r="F6" s="790" t="s">
        <v>6284</v>
      </c>
      <c r="G6" s="791" t="s">
        <v>3574</v>
      </c>
      <c r="H6" s="1406" t="s">
        <v>8610</v>
      </c>
      <c r="I6" s="1406" t="s">
        <v>8611</v>
      </c>
      <c r="J6" s="988"/>
      <c r="K6" s="987" t="s">
        <v>8612</v>
      </c>
      <c r="L6" s="988"/>
      <c r="M6" s="990" t="s">
        <v>8613</v>
      </c>
      <c r="N6" s="988"/>
      <c r="O6" s="990" t="s">
        <v>8614</v>
      </c>
      <c r="P6" s="990" t="s">
        <v>8615</v>
      </c>
      <c r="Q6" s="988"/>
      <c r="R6" s="990" t="s">
        <v>8616</v>
      </c>
      <c r="S6" s="988"/>
      <c r="T6" s="987" t="s">
        <v>8617</v>
      </c>
      <c r="U6" s="990" t="s">
        <v>7063</v>
      </c>
      <c r="V6" s="1345" t="s">
        <v>8618</v>
      </c>
      <c r="W6" s="990" t="s">
        <v>1294</v>
      </c>
      <c r="X6" s="990" t="s">
        <v>1635</v>
      </c>
      <c r="Y6" s="990" t="s">
        <v>1580</v>
      </c>
      <c r="Z6" s="1351" t="s">
        <v>5433</v>
      </c>
      <c r="AA6" s="1340"/>
      <c r="AB6" s="1407" t="s">
        <v>8619</v>
      </c>
      <c r="AC6" s="990" t="s">
        <v>3416</v>
      </c>
      <c r="AD6" s="990" t="s">
        <v>4728</v>
      </c>
      <c r="AE6" s="1340"/>
      <c r="AF6" s="1350" t="s">
        <v>7388</v>
      </c>
      <c r="AG6" s="988"/>
      <c r="AH6" s="990" t="s">
        <v>8620</v>
      </c>
      <c r="AI6" s="1351" t="s">
        <v>5058</v>
      </c>
      <c r="AJ6" s="988"/>
      <c r="AK6" s="990" t="s">
        <v>8621</v>
      </c>
      <c r="AL6" s="988"/>
      <c r="AM6" s="990" t="s">
        <v>8622</v>
      </c>
      <c r="AN6" s="987" t="s">
        <v>8623</v>
      </c>
      <c r="AO6" s="987" t="s">
        <v>8624</v>
      </c>
      <c r="AP6" s="990" t="s">
        <v>8625</v>
      </c>
      <c r="AQ6" s="988"/>
      <c r="AR6" s="987" t="s">
        <v>8626</v>
      </c>
      <c r="AS6" s="988"/>
      <c r="AT6" s="990" t="s">
        <v>8627</v>
      </c>
      <c r="AU6" s="990" t="s">
        <v>8628</v>
      </c>
      <c r="AV6" s="988"/>
      <c r="AW6" s="990" t="s">
        <v>8629</v>
      </c>
      <c r="AX6" s="988"/>
      <c r="AY6" s="988"/>
      <c r="AZ6" s="990" t="s">
        <v>1573</v>
      </c>
      <c r="BA6" s="990" t="s">
        <v>5376</v>
      </c>
      <c r="BB6" s="990" t="s">
        <v>8630</v>
      </c>
      <c r="BC6" s="990" t="s">
        <v>8631</v>
      </c>
      <c r="BD6" s="990" t="s">
        <v>8632</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8633</v>
      </c>
      <c r="C7" s="787" t="s">
        <v>546</v>
      </c>
      <c r="D7" s="788" t="s">
        <v>332</v>
      </c>
      <c r="E7" s="789" t="s">
        <v>649</v>
      </c>
      <c r="F7" s="790" t="s">
        <v>333</v>
      </c>
      <c r="G7" s="791" t="s">
        <v>5879</v>
      </c>
      <c r="H7" s="987" t="s">
        <v>8634</v>
      </c>
      <c r="I7" s="987" t="s">
        <v>7303</v>
      </c>
      <c r="J7" s="987"/>
      <c r="K7" s="1350" t="s">
        <v>8635</v>
      </c>
      <c r="L7" s="1351" t="s">
        <v>8636</v>
      </c>
      <c r="M7" s="987"/>
      <c r="N7" s="987"/>
      <c r="O7" s="990" t="s">
        <v>8637</v>
      </c>
      <c r="P7" s="987" t="s">
        <v>8638</v>
      </c>
      <c r="Q7" s="987" t="s">
        <v>8639</v>
      </c>
      <c r="R7" s="1345" t="s">
        <v>8640</v>
      </c>
      <c r="S7" s="987"/>
      <c r="T7" s="990" t="s">
        <v>8641</v>
      </c>
      <c r="U7" s="1350" t="s">
        <v>8642</v>
      </c>
      <c r="V7" s="987"/>
      <c r="W7" s="987" t="s">
        <v>7561</v>
      </c>
      <c r="X7" s="987"/>
      <c r="Y7" s="987" t="s">
        <v>8643</v>
      </c>
      <c r="Z7" s="1350" t="s">
        <v>122</v>
      </c>
      <c r="AA7" s="1340"/>
      <c r="AB7" s="1340"/>
      <c r="AC7" s="987" t="s">
        <v>8644</v>
      </c>
      <c r="AD7" s="988"/>
      <c r="AE7" s="1351" t="s">
        <v>8645</v>
      </c>
      <c r="AF7" s="987" t="s">
        <v>8646</v>
      </c>
      <c r="AG7" s="987"/>
      <c r="AH7" s="987" t="s">
        <v>2554</v>
      </c>
      <c r="AI7" s="987" t="s">
        <v>1893</v>
      </c>
      <c r="AJ7" s="988"/>
      <c r="AK7" s="987"/>
      <c r="AL7" s="987"/>
      <c r="AM7" s="987" t="s">
        <v>8647</v>
      </c>
      <c r="AN7" s="988"/>
      <c r="AO7" s="988"/>
      <c r="AP7" s="987" t="s">
        <v>8648</v>
      </c>
      <c r="AQ7" s="990" t="s">
        <v>8649</v>
      </c>
      <c r="AR7" s="987" t="s">
        <v>8650</v>
      </c>
      <c r="AS7" s="987"/>
      <c r="AT7" s="987" t="s">
        <v>8651</v>
      </c>
      <c r="AU7" s="990" t="s">
        <v>8652</v>
      </c>
      <c r="AV7" s="987"/>
      <c r="AW7" s="1392" t="s">
        <v>8653</v>
      </c>
      <c r="AX7" s="113"/>
      <c r="AY7" s="113" t="s">
        <v>8654</v>
      </c>
      <c r="AZ7" s="987" t="s">
        <v>3101</v>
      </c>
      <c r="BA7" s="987"/>
      <c r="BB7" s="987" t="s">
        <v>8632</v>
      </c>
      <c r="BC7" s="1351" t="s">
        <v>8655</v>
      </c>
      <c r="BD7" s="987" t="s">
        <v>8656</v>
      </c>
      <c r="BE7" s="987"/>
      <c r="BF7" s="987"/>
      <c r="BG7" s="987" t="s">
        <v>8657</v>
      </c>
      <c r="BH7" s="987"/>
      <c r="BI7" s="987"/>
      <c r="BJ7" s="987"/>
      <c r="BK7" s="987" t="s">
        <v>8658</v>
      </c>
      <c r="BL7" s="987"/>
      <c r="BM7" s="987"/>
      <c r="BN7" s="987"/>
      <c r="BO7" s="987"/>
      <c r="BP7" s="987" t="s">
        <v>8659</v>
      </c>
      <c r="BQ7" s="988"/>
      <c r="BR7" s="988"/>
      <c r="BS7" s="988"/>
      <c r="BT7" s="988"/>
      <c r="BU7" s="988"/>
      <c r="BV7" s="987"/>
      <c r="BW7" s="987" t="s">
        <v>7854</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8660</v>
      </c>
      <c r="C8" s="787" t="s">
        <v>546</v>
      </c>
      <c r="D8" s="788" t="s">
        <v>332</v>
      </c>
      <c r="E8" s="789" t="s">
        <v>438</v>
      </c>
      <c r="F8" s="790" t="s">
        <v>4116</v>
      </c>
      <c r="G8" s="791" t="s">
        <v>1810</v>
      </c>
      <c r="H8" s="1410"/>
      <c r="I8" s="1406" t="s">
        <v>8661</v>
      </c>
      <c r="J8" s="988"/>
      <c r="K8" s="990" t="s">
        <v>8662</v>
      </c>
      <c r="L8" s="987" t="s">
        <v>8663</v>
      </c>
      <c r="M8" s="1026" t="s">
        <v>8664</v>
      </c>
      <c r="N8" s="988"/>
      <c r="O8" s="990" t="s">
        <v>8665</v>
      </c>
      <c r="P8" s="990" t="s">
        <v>8666</v>
      </c>
      <c r="Q8" s="988"/>
      <c r="R8" s="1350" t="s">
        <v>8667</v>
      </c>
      <c r="S8" s="990" t="s">
        <v>8668</v>
      </c>
      <c r="T8" s="988"/>
      <c r="U8" s="990" t="s">
        <v>8669</v>
      </c>
      <c r="V8" s="1340"/>
      <c r="W8" s="987" t="s">
        <v>5157</v>
      </c>
      <c r="X8" s="990" t="s">
        <v>8670</v>
      </c>
      <c r="Y8" s="990" t="s">
        <v>3040</v>
      </c>
      <c r="Z8" s="988"/>
      <c r="AA8" s="988"/>
      <c r="AB8" s="988"/>
      <c r="AC8" s="990" t="s">
        <v>4157</v>
      </c>
      <c r="AD8" s="1026" t="s">
        <v>4281</v>
      </c>
      <c r="AE8" s="988"/>
      <c r="AF8" s="988"/>
      <c r="AG8" s="1345" t="s">
        <v>8671</v>
      </c>
      <c r="AH8" s="1353" t="s">
        <v>5484</v>
      </c>
      <c r="AI8" s="1350" t="s">
        <v>1296</v>
      </c>
      <c r="AJ8" s="988"/>
      <c r="AK8" s="1353" t="s">
        <v>4836</v>
      </c>
      <c r="AL8" s="987"/>
      <c r="AM8" s="990" t="s">
        <v>8672</v>
      </c>
      <c r="AN8" s="988"/>
      <c r="AO8" s="988"/>
      <c r="AP8" s="990" t="s">
        <v>8673</v>
      </c>
      <c r="AQ8" s="990" t="s">
        <v>8648</v>
      </c>
      <c r="AR8" s="990" t="s">
        <v>8674</v>
      </c>
      <c r="AS8" s="987" t="s">
        <v>8675</v>
      </c>
      <c r="AT8" s="990" t="s">
        <v>8676</v>
      </c>
      <c r="AU8" s="990" t="s">
        <v>8677</v>
      </c>
      <c r="AV8" s="988"/>
      <c r="AW8" s="987" t="s">
        <v>8672</v>
      </c>
      <c r="AX8" s="988"/>
      <c r="AY8" s="988"/>
      <c r="AZ8" s="1350" t="s">
        <v>8678</v>
      </c>
      <c r="BA8" s="1340"/>
      <c r="BB8" s="990" t="s">
        <v>8679</v>
      </c>
      <c r="BC8" s="990" t="s">
        <v>8680</v>
      </c>
      <c r="BD8" s="1350" t="s">
        <v>8681</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8682</v>
      </c>
      <c r="CF8" s="1402" t="s">
        <v>8683</v>
      </c>
      <c r="CG8" s="1402" t="s">
        <v>8684</v>
      </c>
      <c r="CH8" s="1400"/>
      <c r="CI8" s="1400"/>
      <c r="CJ8" s="1401" t="s">
        <v>8685</v>
      </c>
      <c r="CK8" s="1400"/>
      <c r="CL8" s="1401" t="s">
        <v>4116</v>
      </c>
      <c r="CM8" s="1400"/>
      <c r="CN8" s="1411" t="s">
        <v>6253</v>
      </c>
      <c r="CO8" s="1400"/>
      <c r="CP8" s="1400"/>
      <c r="CQ8" s="1400"/>
      <c r="CR8" s="1401" t="s">
        <v>7014</v>
      </c>
      <c r="CS8" s="1400"/>
      <c r="CT8" s="988"/>
      <c r="CU8" s="988"/>
    </row>
    <row r="9">
      <c r="A9" s="1412" t="s">
        <v>8686</v>
      </c>
      <c r="B9" s="791" t="s">
        <v>8687</v>
      </c>
      <c r="C9" s="787" t="s">
        <v>1258</v>
      </c>
      <c r="D9" s="788" t="s">
        <v>437</v>
      </c>
      <c r="E9" s="789" t="s">
        <v>438</v>
      </c>
      <c r="F9" s="790" t="s">
        <v>222</v>
      </c>
      <c r="G9" s="791" t="s">
        <v>7014</v>
      </c>
      <c r="H9" s="990" t="s">
        <v>8688</v>
      </c>
      <c r="I9" s="990" t="s">
        <v>8689</v>
      </c>
      <c r="J9" s="1340"/>
      <c r="K9" s="988"/>
      <c r="L9" s="988"/>
      <c r="M9" s="988"/>
      <c r="N9" s="988"/>
      <c r="O9" s="988"/>
      <c r="P9" s="987" t="s">
        <v>8690</v>
      </c>
      <c r="Q9" s="988"/>
      <c r="R9" s="990" t="s">
        <v>8691</v>
      </c>
      <c r="S9" s="988"/>
      <c r="T9" s="988"/>
      <c r="U9" s="1413" t="s">
        <v>8692</v>
      </c>
      <c r="V9" s="1340"/>
      <c r="W9" s="1414" t="s">
        <v>782</v>
      </c>
      <c r="X9" s="1362" t="s">
        <v>3777</v>
      </c>
      <c r="Y9" s="1082" t="s">
        <v>5055</v>
      </c>
      <c r="Z9" s="1340"/>
      <c r="AA9" s="1340" t="s">
        <v>8693</v>
      </c>
      <c r="AB9" s="1340"/>
      <c r="AC9" s="1350" t="s">
        <v>8694</v>
      </c>
      <c r="AD9" s="990" t="s">
        <v>817</v>
      </c>
      <c r="AE9" s="1340"/>
      <c r="AF9" s="1340"/>
      <c r="AG9" s="1340"/>
      <c r="AH9" s="988"/>
      <c r="AI9" s="988"/>
      <c r="AJ9" s="988"/>
      <c r="AK9" s="1353" t="s">
        <v>325</v>
      </c>
      <c r="AL9" s="987"/>
      <c r="AM9" s="1350" t="s">
        <v>8695</v>
      </c>
      <c r="AN9" s="1353" t="s">
        <v>8672</v>
      </c>
      <c r="AO9" s="988"/>
      <c r="AP9" s="990" t="s">
        <v>8696</v>
      </c>
      <c r="AQ9" s="1340"/>
      <c r="AR9" s="988"/>
      <c r="AS9" s="988"/>
      <c r="AT9" s="990" t="s">
        <v>8697</v>
      </c>
      <c r="AU9" s="987"/>
      <c r="AV9" s="987"/>
      <c r="AW9" s="990" t="s">
        <v>8698</v>
      </c>
      <c r="AX9" s="988"/>
      <c r="AY9" s="988"/>
      <c r="AZ9" s="988"/>
      <c r="BA9" s="988"/>
      <c r="BB9" s="990" t="s">
        <v>8699</v>
      </c>
      <c r="BC9" s="1353" t="s">
        <v>8700</v>
      </c>
      <c r="BD9" s="988"/>
      <c r="BE9" s="988"/>
      <c r="BF9" s="988"/>
      <c r="BG9" s="923"/>
      <c r="BH9" s="860" t="s">
        <v>8701</v>
      </c>
      <c r="BI9" s="923"/>
      <c r="BJ9" s="923"/>
      <c r="BK9" s="923"/>
      <c r="BL9" s="923"/>
      <c r="BM9" s="923"/>
      <c r="BN9" s="923"/>
      <c r="BO9" s="923"/>
      <c r="BP9" s="923"/>
      <c r="BQ9" s="988"/>
      <c r="BR9" s="988"/>
      <c r="BS9" s="1350" t="s">
        <v>8702</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8703</v>
      </c>
      <c r="CR9" s="1400"/>
      <c r="CS9" s="1400"/>
      <c r="CT9" s="1340"/>
      <c r="CU9" s="1340"/>
    </row>
    <row r="10">
      <c r="A10" s="1417" t="s">
        <v>8704</v>
      </c>
      <c r="B10" s="791" t="s">
        <v>8705</v>
      </c>
      <c r="C10" s="787" t="s">
        <v>1258</v>
      </c>
      <c r="D10" s="788" t="s">
        <v>437</v>
      </c>
      <c r="E10" s="789" t="s">
        <v>649</v>
      </c>
      <c r="F10" s="790" t="s">
        <v>4116</v>
      </c>
      <c r="G10" s="791" t="s">
        <v>2996</v>
      </c>
      <c r="H10" s="1406" t="s">
        <v>8706</v>
      </c>
      <c r="I10" s="1406" t="s">
        <v>8707</v>
      </c>
      <c r="J10" s="988"/>
      <c r="K10" s="990" t="s">
        <v>8708</v>
      </c>
      <c r="L10" s="990" t="s">
        <v>8709</v>
      </c>
      <c r="M10" s="988"/>
      <c r="N10" s="988"/>
      <c r="O10" s="990" t="s">
        <v>8710</v>
      </c>
      <c r="P10" s="990" t="s">
        <v>8711</v>
      </c>
      <c r="Q10" s="1350" t="s">
        <v>5143</v>
      </c>
      <c r="R10" s="990" t="s">
        <v>8712</v>
      </c>
      <c r="S10" s="990" t="s">
        <v>8713</v>
      </c>
      <c r="T10" s="990" t="s">
        <v>8714</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8715</v>
      </c>
      <c r="AN10" s="1351" t="s">
        <v>8716</v>
      </c>
      <c r="AO10" s="988"/>
      <c r="AP10" s="1197" t="s">
        <v>8715</v>
      </c>
      <c r="AQ10" s="990" t="s">
        <v>8717</v>
      </c>
      <c r="AR10" s="990" t="s">
        <v>8718</v>
      </c>
      <c r="AS10" s="988"/>
      <c r="AT10" s="990" t="s">
        <v>8719</v>
      </c>
      <c r="AU10" s="990" t="s">
        <v>8720</v>
      </c>
      <c r="AV10" s="990" t="s">
        <v>8721</v>
      </c>
      <c r="AW10" s="990" t="s">
        <v>8722</v>
      </c>
      <c r="AX10" s="990" t="s">
        <v>8723</v>
      </c>
      <c r="AY10" s="988"/>
      <c r="AZ10" s="988"/>
      <c r="BA10" s="988"/>
      <c r="BB10" s="990" t="s">
        <v>8720</v>
      </c>
      <c r="BC10" s="988"/>
      <c r="BD10" s="990" t="s">
        <v>8724</v>
      </c>
      <c r="BE10" s="1351" t="s">
        <v>8725</v>
      </c>
      <c r="BF10" s="988"/>
      <c r="BG10" s="1418" t="s">
        <v>8726</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8727</v>
      </c>
      <c r="CU10" s="988"/>
    </row>
    <row r="11">
      <c r="A11" s="1420" t="s">
        <v>2994</v>
      </c>
      <c r="B11" s="791" t="s">
        <v>8728</v>
      </c>
      <c r="C11" s="787" t="s">
        <v>546</v>
      </c>
      <c r="D11" s="788" t="s">
        <v>437</v>
      </c>
      <c r="E11" s="789" t="s">
        <v>437</v>
      </c>
      <c r="F11" s="790" t="s">
        <v>3063</v>
      </c>
      <c r="G11" s="791" t="s">
        <v>1810</v>
      </c>
      <c r="H11" s="1410"/>
      <c r="I11" s="1410" t="s">
        <v>8729</v>
      </c>
      <c r="J11" s="988"/>
      <c r="K11" s="987" t="s">
        <v>8730</v>
      </c>
      <c r="L11" s="990" t="s">
        <v>8731</v>
      </c>
      <c r="M11" s="987" t="s">
        <v>8662</v>
      </c>
      <c r="N11" s="988"/>
      <c r="O11" s="987" t="s">
        <v>8732</v>
      </c>
      <c r="P11" s="987" t="s">
        <v>8733</v>
      </c>
      <c r="Q11" s="987" t="s">
        <v>8734</v>
      </c>
      <c r="R11" s="987" t="s">
        <v>8735</v>
      </c>
      <c r="S11" s="990" t="s">
        <v>3031</v>
      </c>
      <c r="T11" s="988"/>
      <c r="U11" s="987" t="s">
        <v>4007</v>
      </c>
      <c r="V11" s="988"/>
      <c r="W11" s="987" t="s">
        <v>5012</v>
      </c>
      <c r="X11" s="990" t="s">
        <v>3670</v>
      </c>
      <c r="Y11" s="990" t="s">
        <v>8736</v>
      </c>
      <c r="Z11" s="988"/>
      <c r="AA11" s="990" t="s">
        <v>5774</v>
      </c>
      <c r="AB11" s="988"/>
      <c r="AC11" s="987" t="s">
        <v>5913</v>
      </c>
      <c r="AD11" s="987" t="s">
        <v>2059</v>
      </c>
      <c r="AE11" s="987"/>
      <c r="AF11" s="987" t="s">
        <v>5721</v>
      </c>
      <c r="AG11" s="988"/>
      <c r="AH11" s="988"/>
      <c r="AI11" s="988"/>
      <c r="AJ11" s="988"/>
      <c r="AK11" s="988"/>
      <c r="AL11" s="988"/>
      <c r="AM11" s="990" t="s">
        <v>8737</v>
      </c>
      <c r="AN11" s="1351" t="s">
        <v>8716</v>
      </c>
      <c r="AO11" s="1351" t="s">
        <v>8738</v>
      </c>
      <c r="AP11" s="987" t="s">
        <v>8722</v>
      </c>
      <c r="AQ11" s="987" t="s">
        <v>8722</v>
      </c>
      <c r="AR11" s="1350" t="s">
        <v>8739</v>
      </c>
      <c r="AS11" s="987" t="s">
        <v>8481</v>
      </c>
      <c r="AT11" s="987"/>
      <c r="AU11" s="1350" t="s">
        <v>8740</v>
      </c>
      <c r="AV11" s="987" t="s">
        <v>8697</v>
      </c>
      <c r="AW11" s="987" t="s">
        <v>8741</v>
      </c>
      <c r="AX11" s="988"/>
      <c r="AY11" s="1345" t="s">
        <v>8742</v>
      </c>
      <c r="AZ11" s="987" t="s">
        <v>5169</v>
      </c>
      <c r="BA11" s="987"/>
      <c r="BB11" s="987" t="s">
        <v>8476</v>
      </c>
      <c r="BC11" s="1353" t="s">
        <v>8743</v>
      </c>
      <c r="BD11" s="1353" t="s">
        <v>8744</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8745</v>
      </c>
      <c r="CT11" s="988"/>
      <c r="CU11" s="988"/>
    </row>
    <row r="12">
      <c r="A12" s="1422" t="s">
        <v>3196</v>
      </c>
      <c r="B12" s="791" t="s">
        <v>8746</v>
      </c>
      <c r="C12" s="787" t="s">
        <v>1258</v>
      </c>
      <c r="D12" s="788" t="s">
        <v>1258</v>
      </c>
      <c r="E12" s="789" t="s">
        <v>546</v>
      </c>
      <c r="F12" s="790" t="s">
        <v>6852</v>
      </c>
      <c r="G12" s="791" t="s">
        <v>6284</v>
      </c>
      <c r="H12" s="1410"/>
      <c r="I12" s="1406" t="s">
        <v>8747</v>
      </c>
      <c r="J12" s="988"/>
      <c r="K12" s="990" t="s">
        <v>8748</v>
      </c>
      <c r="L12" s="990" t="s">
        <v>8749</v>
      </c>
      <c r="M12" s="990" t="s">
        <v>8750</v>
      </c>
      <c r="N12" s="988"/>
      <c r="O12" s="1026" t="s">
        <v>8751</v>
      </c>
      <c r="P12" s="990" t="s">
        <v>8752</v>
      </c>
      <c r="Q12" s="988"/>
      <c r="R12" s="990" t="s">
        <v>8753</v>
      </c>
      <c r="S12" s="990" t="s">
        <v>8754</v>
      </c>
      <c r="T12" s="987" t="s">
        <v>8755</v>
      </c>
      <c r="U12" s="990" t="s">
        <v>8756</v>
      </c>
      <c r="V12" s="988"/>
      <c r="W12" s="988"/>
      <c r="X12" s="1026" t="s">
        <v>8757</v>
      </c>
      <c r="Y12" s="990" t="s">
        <v>8758</v>
      </c>
      <c r="Z12" s="988"/>
      <c r="AA12" s="1026" t="s">
        <v>8759</v>
      </c>
      <c r="AB12" s="987" t="s">
        <v>8760</v>
      </c>
      <c r="AC12" s="990" t="s">
        <v>8761</v>
      </c>
      <c r="AD12" s="990" t="s">
        <v>8762</v>
      </c>
      <c r="AE12" s="990" t="s">
        <v>4543</v>
      </c>
      <c r="AF12" s="990" t="s">
        <v>8763</v>
      </c>
      <c r="AG12" s="988"/>
      <c r="AH12" s="988"/>
      <c r="AI12" s="988"/>
      <c r="AJ12" s="988"/>
      <c r="AK12" s="988"/>
      <c r="AL12" s="988"/>
      <c r="AM12" s="990" t="s">
        <v>8764</v>
      </c>
      <c r="AN12" s="990" t="s">
        <v>8765</v>
      </c>
      <c r="AO12" s="990" t="s">
        <v>8766</v>
      </c>
      <c r="AP12" s="988"/>
      <c r="AQ12" s="987" t="s">
        <v>8672</v>
      </c>
      <c r="AR12" s="990" t="s">
        <v>8767</v>
      </c>
      <c r="AS12" s="988"/>
      <c r="AT12" s="990" t="s">
        <v>8768</v>
      </c>
      <c r="AU12" s="990" t="s">
        <v>8769</v>
      </c>
      <c r="AV12" s="988"/>
      <c r="AW12" s="990" t="s">
        <v>8770</v>
      </c>
      <c r="AX12" s="988"/>
      <c r="AY12" s="988"/>
      <c r="AZ12" s="988"/>
      <c r="BA12" s="988"/>
      <c r="BB12" s="990" t="s">
        <v>8771</v>
      </c>
      <c r="BC12" s="990" t="s">
        <v>8772</v>
      </c>
      <c r="BD12" s="988"/>
      <c r="BE12" s="988"/>
      <c r="BF12" s="988"/>
      <c r="BG12" s="1419"/>
      <c r="BH12" s="1419"/>
      <c r="BI12" s="1419"/>
      <c r="BJ12" s="1419"/>
      <c r="BK12" s="1419"/>
      <c r="BL12" s="1418" t="s">
        <v>8773</v>
      </c>
      <c r="BM12" s="1419"/>
      <c r="BN12" s="1419"/>
      <c r="BO12" s="1419"/>
      <c r="BP12" s="1419"/>
      <c r="BQ12" s="988"/>
      <c r="BR12" s="988"/>
      <c r="BS12" s="988"/>
      <c r="BT12" s="988"/>
      <c r="BU12" s="988"/>
      <c r="BV12" s="990" t="s">
        <v>3204</v>
      </c>
      <c r="BW12" s="1344"/>
      <c r="BX12" s="988"/>
      <c r="BY12" s="988"/>
      <c r="BZ12" s="988"/>
      <c r="CA12" s="1344"/>
      <c r="CB12" s="988"/>
      <c r="CC12" s="988"/>
      <c r="CD12" s="1344"/>
      <c r="CE12" s="990" t="s">
        <v>8774</v>
      </c>
      <c r="CF12" s="988"/>
      <c r="CG12" s="988"/>
      <c r="CH12" s="988"/>
      <c r="CI12" s="988"/>
      <c r="CJ12" s="988"/>
      <c r="CK12" s="988"/>
      <c r="CL12" s="988"/>
      <c r="CM12" s="988"/>
      <c r="CN12" s="988"/>
      <c r="CO12" s="988"/>
      <c r="CP12" s="988"/>
      <c r="CQ12" s="988"/>
      <c r="CR12" s="988"/>
      <c r="CS12" s="988"/>
      <c r="CT12" s="988"/>
      <c r="CU12" s="988"/>
    </row>
    <row r="13">
      <c r="A13" s="1408" t="s">
        <v>3905</v>
      </c>
      <c r="B13" s="791" t="s">
        <v>8775</v>
      </c>
      <c r="C13" s="787" t="s">
        <v>1258</v>
      </c>
      <c r="D13" s="788" t="s">
        <v>1258</v>
      </c>
      <c r="E13" s="789" t="s">
        <v>1258</v>
      </c>
      <c r="F13" s="790" t="s">
        <v>546</v>
      </c>
      <c r="G13" s="791" t="s">
        <v>2432</v>
      </c>
      <c r="H13" s="1410"/>
      <c r="I13" s="1410" t="s">
        <v>3914</v>
      </c>
      <c r="J13" s="987" t="s">
        <v>8776</v>
      </c>
      <c r="K13" s="987" t="s">
        <v>8777</v>
      </c>
      <c r="L13" s="987" t="s">
        <v>8778</v>
      </c>
      <c r="M13" s="987" t="s">
        <v>8779</v>
      </c>
      <c r="N13" s="987" t="s">
        <v>8780</v>
      </c>
      <c r="O13" s="987" t="s">
        <v>8781</v>
      </c>
      <c r="P13" s="987" t="s">
        <v>8782</v>
      </c>
      <c r="Q13" s="988"/>
      <c r="R13" s="1353" t="s">
        <v>8783</v>
      </c>
      <c r="S13" s="987" t="s">
        <v>8784</v>
      </c>
      <c r="T13" s="987" t="s">
        <v>8785</v>
      </c>
      <c r="U13" s="987" t="s">
        <v>8786</v>
      </c>
      <c r="V13" s="987" t="s">
        <v>4089</v>
      </c>
      <c r="W13" s="987" t="s">
        <v>5020</v>
      </c>
      <c r="X13" s="987" t="s">
        <v>8787</v>
      </c>
      <c r="Y13" s="987" t="s">
        <v>376</v>
      </c>
      <c r="Z13" s="1353" t="s">
        <v>3228</v>
      </c>
      <c r="AA13" s="987" t="s">
        <v>8788</v>
      </c>
      <c r="AB13" s="987"/>
      <c r="AC13" s="1353" t="s">
        <v>8789</v>
      </c>
      <c r="AD13" s="1353" t="s">
        <v>8790</v>
      </c>
      <c r="AE13" s="987" t="s">
        <v>5210</v>
      </c>
      <c r="AF13" s="987" t="s">
        <v>4096</v>
      </c>
      <c r="AG13" s="1353" t="s">
        <v>8791</v>
      </c>
      <c r="AH13" s="988"/>
      <c r="AI13" s="988"/>
      <c r="AJ13" s="988"/>
      <c r="AK13" s="988"/>
      <c r="AL13" s="987" t="s">
        <v>5630</v>
      </c>
      <c r="AM13" s="1353" t="s">
        <v>8792</v>
      </c>
      <c r="AN13" s="1353" t="s">
        <v>8793</v>
      </c>
      <c r="AO13" s="988"/>
      <c r="AP13" s="987" t="s">
        <v>8794</v>
      </c>
      <c r="AQ13" s="987" t="s">
        <v>8715</v>
      </c>
      <c r="AR13" s="1353" t="s">
        <v>8795</v>
      </c>
      <c r="AS13" s="987" t="s">
        <v>8796</v>
      </c>
      <c r="AT13" s="987" t="s">
        <v>8797</v>
      </c>
      <c r="AU13" s="987" t="s">
        <v>8798</v>
      </c>
      <c r="AV13" s="113" t="s">
        <v>8799</v>
      </c>
      <c r="AW13" s="987" t="s">
        <v>8800</v>
      </c>
      <c r="AX13" s="987" t="s">
        <v>8801</v>
      </c>
      <c r="AY13" s="988"/>
      <c r="AZ13" s="1353" t="s">
        <v>4872</v>
      </c>
      <c r="BA13" s="987"/>
      <c r="BB13" s="1353" t="s">
        <v>8802</v>
      </c>
      <c r="BC13" s="1353" t="s">
        <v>8803</v>
      </c>
      <c r="BD13" s="987" t="s">
        <v>8804</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8743</v>
      </c>
      <c r="CG13" s="988"/>
      <c r="CH13" s="1400"/>
      <c r="CI13" s="1416" t="s">
        <v>8607</v>
      </c>
      <c r="CJ13" s="1403" t="s">
        <v>8683</v>
      </c>
      <c r="CK13" s="1403"/>
      <c r="CL13" s="1411" t="s">
        <v>6284</v>
      </c>
      <c r="CM13" s="1403" t="s">
        <v>8805</v>
      </c>
      <c r="CN13" s="1403" t="s">
        <v>6253</v>
      </c>
      <c r="CO13" s="1403" t="s">
        <v>5879</v>
      </c>
      <c r="CP13" s="1403" t="s">
        <v>8806</v>
      </c>
      <c r="CQ13" s="1403" t="s">
        <v>8807</v>
      </c>
      <c r="CR13" s="1400"/>
      <c r="CS13" s="1400"/>
      <c r="CT13" s="988"/>
      <c r="CU13" s="988"/>
    </row>
    <row r="14">
      <c r="A14" s="1423" t="s">
        <v>2189</v>
      </c>
      <c r="B14" s="791" t="s">
        <v>8808</v>
      </c>
      <c r="C14" s="787" t="s">
        <v>1258</v>
      </c>
      <c r="D14" s="788" t="s">
        <v>1258</v>
      </c>
      <c r="E14" s="789" t="s">
        <v>1258</v>
      </c>
      <c r="F14" s="790" t="s">
        <v>332</v>
      </c>
      <c r="G14" s="791" t="s">
        <v>4637</v>
      </c>
      <c r="H14" s="1410" t="s">
        <v>8809</v>
      </c>
      <c r="I14" s="1406" t="s">
        <v>2201</v>
      </c>
      <c r="J14" s="987" t="s">
        <v>8810</v>
      </c>
      <c r="K14" s="987" t="s">
        <v>8811</v>
      </c>
      <c r="L14" s="987" t="s">
        <v>8812</v>
      </c>
      <c r="M14" s="987" t="s">
        <v>8813</v>
      </c>
      <c r="N14" s="987" t="s">
        <v>8814</v>
      </c>
      <c r="O14" s="987" t="s">
        <v>8815</v>
      </c>
      <c r="P14" s="987" t="s">
        <v>8816</v>
      </c>
      <c r="Q14" s="987" t="s">
        <v>8817</v>
      </c>
      <c r="R14" s="987" t="s">
        <v>8818</v>
      </c>
      <c r="S14" s="990" t="s">
        <v>8819</v>
      </c>
      <c r="T14" s="987" t="s">
        <v>8820</v>
      </c>
      <c r="U14" s="987" t="s">
        <v>8821</v>
      </c>
      <c r="V14" s="990" t="s">
        <v>8822</v>
      </c>
      <c r="W14" s="987" t="s">
        <v>2759</v>
      </c>
      <c r="X14" s="987" t="s">
        <v>8823</v>
      </c>
      <c r="Y14" s="1353" t="s">
        <v>2059</v>
      </c>
      <c r="Z14" s="988"/>
      <c r="AA14" s="988"/>
      <c r="AB14" s="988"/>
      <c r="AC14" s="1353" t="s">
        <v>8824</v>
      </c>
      <c r="AD14" s="1353" t="s">
        <v>5251</v>
      </c>
      <c r="AE14" s="990" t="s">
        <v>2530</v>
      </c>
      <c r="AF14" s="1353" t="s">
        <v>8825</v>
      </c>
      <c r="AG14" s="987" t="s">
        <v>8826</v>
      </c>
      <c r="AH14" s="988"/>
      <c r="AI14" s="988"/>
      <c r="AJ14" s="988"/>
      <c r="AK14" s="987" t="s">
        <v>8827</v>
      </c>
      <c r="AL14" s="987" t="s">
        <v>2927</v>
      </c>
      <c r="AM14" s="988"/>
      <c r="AN14" s="988"/>
      <c r="AO14" s="988"/>
      <c r="AP14" s="988"/>
      <c r="AQ14" s="988"/>
      <c r="AR14" s="988"/>
      <c r="AS14" s="988"/>
      <c r="AT14" s="987" t="s">
        <v>8828</v>
      </c>
      <c r="AU14" s="987" t="s">
        <v>8476</v>
      </c>
      <c r="AV14" s="988"/>
      <c r="AW14" s="987" t="s">
        <v>8829</v>
      </c>
      <c r="AX14" s="987" t="s">
        <v>8830</v>
      </c>
      <c r="AY14" s="988"/>
      <c r="AZ14" s="987"/>
      <c r="BA14" s="987"/>
      <c r="BB14" s="1340"/>
      <c r="BC14" s="987" t="s">
        <v>8743</v>
      </c>
      <c r="BD14" s="987" t="s">
        <v>8718</v>
      </c>
      <c r="BE14" s="987"/>
      <c r="BF14" s="987" t="s">
        <v>8831</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8832</v>
      </c>
      <c r="CU14" s="987"/>
    </row>
    <row r="15">
      <c r="A15" s="1408" t="s">
        <v>1808</v>
      </c>
      <c r="B15" s="791" t="s">
        <v>8833</v>
      </c>
      <c r="C15" s="787" t="s">
        <v>649</v>
      </c>
      <c r="D15" s="788" t="s">
        <v>437</v>
      </c>
      <c r="E15" s="789" t="s">
        <v>546</v>
      </c>
      <c r="F15" s="790" t="s">
        <v>648</v>
      </c>
      <c r="G15" s="791" t="s">
        <v>2682</v>
      </c>
      <c r="H15" s="1410"/>
      <c r="I15" s="1424" t="s">
        <v>8834</v>
      </c>
      <c r="J15" s="988"/>
      <c r="K15" s="987" t="s">
        <v>8835</v>
      </c>
      <c r="L15" s="988"/>
      <c r="M15" s="1345" t="s">
        <v>8836</v>
      </c>
      <c r="N15" s="988"/>
      <c r="O15" s="988"/>
      <c r="P15" s="988"/>
      <c r="Q15" s="1345" t="s">
        <v>8837</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8696</v>
      </c>
      <c r="AQ15" s="987"/>
      <c r="AR15" s="1353" t="s">
        <v>8838</v>
      </c>
      <c r="AS15" s="987"/>
      <c r="AT15" s="988"/>
      <c r="AU15" s="1353" t="s">
        <v>8720</v>
      </c>
      <c r="AV15" s="987"/>
      <c r="AW15" s="1353" t="s">
        <v>8839</v>
      </c>
      <c r="AX15" s="988"/>
      <c r="AY15" s="988"/>
      <c r="AZ15" s="988"/>
      <c r="BA15" s="988"/>
      <c r="BB15" s="1351" t="s">
        <v>8840</v>
      </c>
      <c r="BC15" s="990" t="s">
        <v>8603</v>
      </c>
      <c r="BD15" s="988"/>
      <c r="BE15" s="988"/>
      <c r="BF15" s="988"/>
      <c r="BG15" s="988"/>
      <c r="BH15" s="988"/>
      <c r="BI15" s="988"/>
      <c r="BJ15" s="988"/>
      <c r="BK15" s="988"/>
      <c r="BL15" s="988"/>
      <c r="BM15" s="1345" t="s">
        <v>8841</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8842</v>
      </c>
      <c r="C16" s="787" t="s">
        <v>1258</v>
      </c>
      <c r="D16" s="788" t="s">
        <v>334</v>
      </c>
      <c r="E16" s="789" t="s">
        <v>546</v>
      </c>
      <c r="F16" s="790" t="s">
        <v>222</v>
      </c>
      <c r="G16" s="791" t="s">
        <v>981</v>
      </c>
      <c r="H16" s="1426" t="str">
        <f>HYPERLINK("https://www.twitch.tv/videos/990301696","3:46.19")</f>
        <v>3:46.19</v>
      </c>
      <c r="I16" s="1410" t="s">
        <v>8843</v>
      </c>
      <c r="J16" s="987"/>
      <c r="K16" s="987" t="s">
        <v>8844</v>
      </c>
      <c r="L16" s="988"/>
      <c r="M16" s="1427" t="str">
        <f>HYPERLINK("https://youtu.be/muKa7MrNAp8","2:59.41")</f>
        <v>2:59.41</v>
      </c>
      <c r="N16" s="1414"/>
      <c r="O16" s="113" t="s">
        <v>8845</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8846</v>
      </c>
      <c r="X16" s="987"/>
      <c r="Y16" s="987" t="s">
        <v>8847</v>
      </c>
      <c r="Z16" s="988"/>
      <c r="AA16" s="988"/>
      <c r="AB16" s="988"/>
      <c r="AC16" s="988"/>
      <c r="AD16" s="987" t="s">
        <v>4281</v>
      </c>
      <c r="AE16" s="988"/>
      <c r="AF16" s="988"/>
      <c r="AG16" s="988"/>
      <c r="AH16" s="987" t="s">
        <v>5312</v>
      </c>
      <c r="AI16" s="987"/>
      <c r="AJ16" s="987"/>
      <c r="AK16" s="1350" t="s">
        <v>8848</v>
      </c>
      <c r="AL16" s="1340"/>
      <c r="AM16" s="1353" t="s">
        <v>8722</v>
      </c>
      <c r="AN16" s="988"/>
      <c r="AO16" s="988"/>
      <c r="AP16" s="988"/>
      <c r="AQ16" s="988"/>
      <c r="AR16" s="988"/>
      <c r="AS16" s="988"/>
      <c r="AT16" s="987" t="s">
        <v>8801</v>
      </c>
      <c r="AU16" s="987" t="s">
        <v>8849</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8850</v>
      </c>
      <c r="C17" s="787" t="s">
        <v>1258</v>
      </c>
      <c r="D17" s="788" t="s">
        <v>546</v>
      </c>
      <c r="E17" s="789" t="s">
        <v>649</v>
      </c>
      <c r="F17" s="790" t="s">
        <v>3872</v>
      </c>
      <c r="G17" s="791" t="s">
        <v>2939</v>
      </c>
      <c r="H17" s="1437" t="s">
        <v>8851</v>
      </c>
      <c r="I17" s="1410" t="s">
        <v>8852</v>
      </c>
      <c r="J17" s="987" t="s">
        <v>8853</v>
      </c>
      <c r="K17" s="1410" t="s">
        <v>8854</v>
      </c>
      <c r="L17" s="987" t="s">
        <v>4566</v>
      </c>
      <c r="M17" s="987" t="s">
        <v>8434</v>
      </c>
      <c r="N17" s="987" t="s">
        <v>8855</v>
      </c>
      <c r="O17" s="987" t="s">
        <v>8856</v>
      </c>
      <c r="P17" s="987" t="s">
        <v>8857</v>
      </c>
      <c r="Q17" s="987" t="s">
        <v>7157</v>
      </c>
      <c r="R17" s="987" t="s">
        <v>8858</v>
      </c>
      <c r="S17" s="1346" t="s">
        <v>8859</v>
      </c>
      <c r="T17" s="1350" t="s">
        <v>8568</v>
      </c>
      <c r="U17" s="1438" t="s">
        <v>8860</v>
      </c>
      <c r="V17" s="987" t="s">
        <v>8861</v>
      </c>
      <c r="W17" s="1353" t="s">
        <v>8862</v>
      </c>
      <c r="X17" s="987" t="s">
        <v>8863</v>
      </c>
      <c r="Y17" s="987" t="s">
        <v>248</v>
      </c>
      <c r="Z17" s="988"/>
      <c r="AA17" s="1350" t="s">
        <v>8864</v>
      </c>
      <c r="AB17" s="988"/>
      <c r="AC17" s="1353" t="s">
        <v>8865</v>
      </c>
      <c r="AD17" s="987" t="s">
        <v>6179</v>
      </c>
      <c r="AE17" s="990" t="s">
        <v>891</v>
      </c>
      <c r="AF17" s="988"/>
      <c r="AG17" s="988"/>
      <c r="AH17" s="988"/>
      <c r="AI17" s="988"/>
      <c r="AJ17" s="988"/>
      <c r="AK17" s="988"/>
      <c r="AL17" s="988"/>
      <c r="AM17" s="987"/>
      <c r="AN17" s="988"/>
      <c r="AO17" s="988"/>
      <c r="AP17" s="987" t="s">
        <v>8866</v>
      </c>
      <c r="AQ17" s="987" t="s">
        <v>8716</v>
      </c>
      <c r="AR17" s="988"/>
      <c r="AS17" s="990" t="s">
        <v>8867</v>
      </c>
      <c r="AT17" s="990" t="s">
        <v>8868</v>
      </c>
      <c r="AU17" s="988"/>
      <c r="AV17" s="988"/>
      <c r="AW17" s="988"/>
      <c r="AX17" s="988"/>
      <c r="AY17" s="987" t="s">
        <v>8803</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8869</v>
      </c>
      <c r="I18" s="1437" t="s">
        <v>8870</v>
      </c>
      <c r="J18" s="1351" t="s">
        <v>8871</v>
      </c>
      <c r="K18" s="1351" t="s">
        <v>8872</v>
      </c>
      <c r="L18" s="987" t="s">
        <v>8873</v>
      </c>
      <c r="M18" s="988"/>
      <c r="N18" s="1345" t="s">
        <v>3702</v>
      </c>
      <c r="O18" s="1351" t="s">
        <v>8874</v>
      </c>
      <c r="P18" s="988"/>
      <c r="Q18" s="987" t="s">
        <v>8875</v>
      </c>
      <c r="R18" s="987" t="s">
        <v>8876</v>
      </c>
      <c r="S18" s="1345" t="s">
        <v>8877</v>
      </c>
      <c r="T18" s="1351" t="s">
        <v>8878</v>
      </c>
      <c r="U18" s="987" t="s">
        <v>8879</v>
      </c>
      <c r="V18" s="987" t="s">
        <v>8880</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8325</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8881</v>
      </c>
      <c r="X19" s="1351" t="s">
        <v>1652</v>
      </c>
      <c r="Y19" s="988"/>
      <c r="Z19" s="988"/>
      <c r="AA19" s="988"/>
      <c r="AB19" s="1351" t="s">
        <v>8882</v>
      </c>
      <c r="AC19" s="1351" t="s">
        <v>2462</v>
      </c>
      <c r="AD19" s="990" t="s">
        <v>2721</v>
      </c>
      <c r="AE19" s="1340"/>
      <c r="AF19" s="1345" t="s">
        <v>8883</v>
      </c>
      <c r="AG19" s="988"/>
      <c r="AH19" s="1350" t="s">
        <v>1786</v>
      </c>
      <c r="AI19" s="1345" t="s">
        <v>3152</v>
      </c>
      <c r="AJ19" s="988"/>
      <c r="AK19" s="987" t="s">
        <v>4283</v>
      </c>
      <c r="AL19" s="988"/>
      <c r="AM19" s="988"/>
      <c r="AN19" s="988"/>
      <c r="AO19" s="988"/>
      <c r="AP19" s="990" t="s">
        <v>8884</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8885</v>
      </c>
      <c r="C20" s="787" t="s">
        <v>1258</v>
      </c>
      <c r="D20" s="788" t="s">
        <v>546</v>
      </c>
      <c r="E20" s="789" t="s">
        <v>1258</v>
      </c>
      <c r="F20" s="790" t="s">
        <v>437</v>
      </c>
      <c r="G20" s="791" t="s">
        <v>3101</v>
      </c>
      <c r="H20" s="1410"/>
      <c r="I20" s="1410" t="s">
        <v>8886</v>
      </c>
      <c r="J20" s="987"/>
      <c r="K20" s="1353" t="s">
        <v>8887</v>
      </c>
      <c r="L20" s="987"/>
      <c r="M20" s="1353" t="s">
        <v>8888</v>
      </c>
      <c r="N20" s="988"/>
      <c r="O20" s="1353" t="s">
        <v>8889</v>
      </c>
      <c r="P20" s="988"/>
      <c r="Q20" s="988"/>
      <c r="R20" s="987" t="s">
        <v>8890</v>
      </c>
      <c r="S20" s="1414" t="s">
        <v>8891</v>
      </c>
      <c r="T20" s="1353" t="s">
        <v>8892</v>
      </c>
      <c r="U20" s="987" t="s">
        <v>3788</v>
      </c>
      <c r="V20" s="987"/>
      <c r="W20" s="1353" t="s">
        <v>4448</v>
      </c>
      <c r="X20" s="987" t="s">
        <v>3821</v>
      </c>
      <c r="Y20" s="1353" t="s">
        <v>2834</v>
      </c>
      <c r="Z20" s="988"/>
      <c r="AA20" s="988"/>
      <c r="AB20" s="988"/>
      <c r="AC20" s="1353" t="s">
        <v>8893</v>
      </c>
      <c r="AD20" s="987" t="s">
        <v>5491</v>
      </c>
      <c r="AE20" s="987"/>
      <c r="AF20" s="1353" t="s">
        <v>8894</v>
      </c>
      <c r="AG20" s="1351" t="s">
        <v>8895</v>
      </c>
      <c r="AH20" s="990" t="s">
        <v>1267</v>
      </c>
      <c r="AI20" s="988"/>
      <c r="AJ20" s="988"/>
      <c r="AK20" s="1353" t="s">
        <v>709</v>
      </c>
      <c r="AL20" s="988"/>
      <c r="AM20" s="1353" t="s">
        <v>8724</v>
      </c>
      <c r="AN20" s="988"/>
      <c r="AO20" s="988"/>
      <c r="AP20" s="987" t="s">
        <v>8623</v>
      </c>
      <c r="AQ20" s="987"/>
      <c r="AR20" s="987" t="s">
        <v>8651</v>
      </c>
      <c r="AS20" s="987" t="s">
        <v>8896</v>
      </c>
      <c r="AT20" s="987" t="s">
        <v>8897</v>
      </c>
      <c r="AU20" s="987" t="s">
        <v>8898</v>
      </c>
      <c r="AV20" s="987"/>
      <c r="AW20" s="988"/>
      <c r="AX20" s="988"/>
      <c r="AY20" s="988"/>
      <c r="AZ20" s="1353" t="s">
        <v>1633</v>
      </c>
      <c r="BA20" s="987"/>
      <c r="BB20" s="1353" t="s">
        <v>8720</v>
      </c>
      <c r="BC20" s="1353" t="s">
        <v>8899</v>
      </c>
      <c r="BD20" s="1353" t="s">
        <v>8546</v>
      </c>
      <c r="BE20" s="987"/>
      <c r="BF20" s="987"/>
      <c r="BG20" s="988"/>
      <c r="BH20" s="988"/>
      <c r="BI20" s="988"/>
      <c r="BJ20" s="988"/>
      <c r="BK20" s="988"/>
      <c r="BL20" s="988"/>
      <c r="BM20" s="988"/>
      <c r="BN20" s="1353" t="s">
        <v>8900</v>
      </c>
      <c r="BO20" s="1353" t="s">
        <v>8901</v>
      </c>
      <c r="BP20" s="987"/>
      <c r="BQ20" s="988"/>
      <c r="BR20" s="988"/>
      <c r="BS20" s="988"/>
      <c r="BT20" s="988"/>
      <c r="BU20" s="988"/>
      <c r="BV20" s="1421" t="s">
        <v>4701</v>
      </c>
      <c r="BW20" s="1344"/>
      <c r="BX20" s="988"/>
      <c r="BY20" s="987" t="s">
        <v>2229</v>
      </c>
      <c r="BZ20" s="988"/>
      <c r="CA20" s="1344"/>
      <c r="CB20" s="987" t="s">
        <v>4543</v>
      </c>
      <c r="CC20" s="1353" t="s">
        <v>8902</v>
      </c>
      <c r="CD20" s="1353"/>
      <c r="CE20" s="988"/>
      <c r="CF20" s="988"/>
      <c r="CG20" s="988"/>
      <c r="CH20" s="988"/>
      <c r="CI20" s="988"/>
      <c r="CJ20" s="988"/>
      <c r="CK20" s="988"/>
      <c r="CL20" s="988"/>
      <c r="CM20" s="1353" t="s">
        <v>8903</v>
      </c>
      <c r="CN20" s="1353" t="s">
        <v>1949</v>
      </c>
      <c r="CO20" s="1353" t="s">
        <v>1810</v>
      </c>
      <c r="CP20" s="1353" t="s">
        <v>8904</v>
      </c>
      <c r="CQ20" s="987" t="s">
        <v>8905</v>
      </c>
      <c r="CR20" s="1353" t="s">
        <v>3348</v>
      </c>
      <c r="CS20" s="987" t="s">
        <v>8906</v>
      </c>
      <c r="CT20" s="988"/>
      <c r="CU20" s="988"/>
    </row>
    <row r="21">
      <c r="A21" s="1443" t="s">
        <v>4801</v>
      </c>
      <c r="B21" s="791" t="s">
        <v>6611</v>
      </c>
      <c r="C21" s="787" t="s">
        <v>1258</v>
      </c>
      <c r="D21" s="788" t="s">
        <v>1258</v>
      </c>
      <c r="E21" s="789" t="s">
        <v>1258</v>
      </c>
      <c r="F21" s="790" t="s">
        <v>546</v>
      </c>
      <c r="G21" s="791" t="s">
        <v>3384</v>
      </c>
      <c r="H21" s="1410"/>
      <c r="I21" s="1410" t="s">
        <v>8907</v>
      </c>
      <c r="J21" s="987"/>
      <c r="K21" s="987" t="s">
        <v>8908</v>
      </c>
      <c r="L21" s="987"/>
      <c r="M21" s="988"/>
      <c r="N21" s="988"/>
      <c r="O21" s="988"/>
      <c r="P21" s="988"/>
      <c r="Q21" s="988"/>
      <c r="R21" s="1353" t="s">
        <v>8909</v>
      </c>
      <c r="S21" s="988"/>
      <c r="T21" s="1353" t="s">
        <v>8910</v>
      </c>
      <c r="U21" s="1353" t="s">
        <v>8911</v>
      </c>
      <c r="V21" s="1353" t="s">
        <v>8912</v>
      </c>
      <c r="W21" s="1353" t="s">
        <v>3547</v>
      </c>
      <c r="X21" s="987" t="s">
        <v>2624</v>
      </c>
      <c r="Y21" s="1353" t="s">
        <v>8913</v>
      </c>
      <c r="Z21" s="988"/>
      <c r="AA21" s="988"/>
      <c r="AB21" s="988"/>
      <c r="AC21" s="990" t="s">
        <v>344</v>
      </c>
      <c r="AD21" s="1353" t="s">
        <v>3882</v>
      </c>
      <c r="AE21" s="987"/>
      <c r="AF21" s="1353" t="s">
        <v>8914</v>
      </c>
      <c r="AG21" s="987"/>
      <c r="AH21" s="1353" t="s">
        <v>8915</v>
      </c>
      <c r="AI21" s="988"/>
      <c r="AJ21" s="988"/>
      <c r="AK21" s="988"/>
      <c r="AL21" s="988"/>
      <c r="AM21" s="988"/>
      <c r="AN21" s="988"/>
      <c r="AO21" s="988"/>
      <c r="AP21" s="987" t="s">
        <v>8623</v>
      </c>
      <c r="AQ21" s="988"/>
      <c r="AR21" s="987" t="s">
        <v>8916</v>
      </c>
      <c r="AS21" s="988"/>
      <c r="AT21" s="988"/>
      <c r="AU21" s="987" t="s">
        <v>8917</v>
      </c>
      <c r="AV21" s="987"/>
      <c r="AW21" s="987" t="s">
        <v>8656</v>
      </c>
      <c r="AX21" s="988"/>
      <c r="AY21" s="988"/>
      <c r="AZ21" s="1353" t="s">
        <v>2155</v>
      </c>
      <c r="BA21" s="987"/>
      <c r="BB21" s="988"/>
      <c r="BC21" s="1353" t="s">
        <v>8918</v>
      </c>
      <c r="BD21" s="987" t="s">
        <v>8479</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8919</v>
      </c>
      <c r="C22" s="787" t="s">
        <v>1258</v>
      </c>
      <c r="D22" s="788" t="s">
        <v>1258</v>
      </c>
      <c r="E22" s="789" t="s">
        <v>1258</v>
      </c>
      <c r="F22" s="790" t="s">
        <v>1258</v>
      </c>
      <c r="G22" s="791" t="s">
        <v>222</v>
      </c>
      <c r="H22" s="1410"/>
      <c r="I22" s="1410" t="s">
        <v>8920</v>
      </c>
      <c r="J22" s="987"/>
      <c r="K22" s="1353" t="s">
        <v>8921</v>
      </c>
      <c r="L22" s="987"/>
      <c r="M22" s="987"/>
      <c r="N22" s="987"/>
      <c r="O22" s="1353" t="s">
        <v>8922</v>
      </c>
      <c r="P22" s="987"/>
      <c r="Q22" s="988"/>
      <c r="R22" s="988"/>
      <c r="S22" s="988"/>
      <c r="T22" s="987"/>
      <c r="U22" s="1353" t="s">
        <v>8923</v>
      </c>
      <c r="V22" s="987"/>
      <c r="W22" s="1353" t="s">
        <v>2306</v>
      </c>
      <c r="X22" s="987"/>
      <c r="Y22" s="1353" t="s">
        <v>3243</v>
      </c>
      <c r="Z22" s="987"/>
      <c r="AA22" s="987"/>
      <c r="AB22" s="987"/>
      <c r="AC22" s="1353" t="s">
        <v>8924</v>
      </c>
      <c r="AD22" s="1353" t="s">
        <v>4927</v>
      </c>
      <c r="AE22" s="987"/>
      <c r="AF22" s="987"/>
      <c r="AG22" s="987"/>
      <c r="AH22" s="988"/>
      <c r="AI22" s="988"/>
      <c r="AJ22" s="988"/>
      <c r="AK22" s="988"/>
      <c r="AL22" s="988"/>
      <c r="AM22" s="1353" t="s">
        <v>8925</v>
      </c>
      <c r="AN22" s="988"/>
      <c r="AO22" s="988"/>
      <c r="AP22" s="1353" t="s">
        <v>8926</v>
      </c>
      <c r="AQ22" s="987"/>
      <c r="AR22" s="1353" t="s">
        <v>8927</v>
      </c>
      <c r="AS22" s="987"/>
      <c r="AT22" s="1353" t="s">
        <v>8928</v>
      </c>
      <c r="AU22" s="1353" t="s">
        <v>8929</v>
      </c>
      <c r="AV22" s="987"/>
      <c r="AW22" s="987"/>
      <c r="AX22" s="988"/>
      <c r="AY22" s="988"/>
      <c r="AZ22" s="1353" t="s">
        <v>5169</v>
      </c>
      <c r="BA22" s="987"/>
      <c r="BB22" s="1353" t="s">
        <v>8657</v>
      </c>
      <c r="BC22" s="1353" t="s">
        <v>8717</v>
      </c>
      <c r="BD22" s="1353" t="s">
        <v>8804</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8930</v>
      </c>
      <c r="C23" s="787" t="s">
        <v>1258</v>
      </c>
      <c r="D23" s="788" t="s">
        <v>1258</v>
      </c>
      <c r="E23" s="789" t="s">
        <v>1258</v>
      </c>
      <c r="F23" s="790" t="s">
        <v>437</v>
      </c>
      <c r="G23" s="791" t="s">
        <v>222</v>
      </c>
      <c r="H23" s="1410" t="s">
        <v>8931</v>
      </c>
      <c r="I23" s="1410"/>
      <c r="J23" s="988"/>
      <c r="K23" s="1353" t="s">
        <v>8932</v>
      </c>
      <c r="L23" s="987"/>
      <c r="M23" s="988"/>
      <c r="N23" s="988"/>
      <c r="O23" s="988"/>
      <c r="P23" s="988"/>
      <c r="Q23" s="1353" t="s">
        <v>8933</v>
      </c>
      <c r="R23" s="1353" t="s">
        <v>8934</v>
      </c>
      <c r="S23" s="988"/>
      <c r="T23" s="1353" t="s">
        <v>8935</v>
      </c>
      <c r="U23" s="1445" t="s">
        <v>8936</v>
      </c>
      <c r="V23" s="1446"/>
      <c r="W23" s="1353" t="s">
        <v>368</v>
      </c>
      <c r="X23" s="987"/>
      <c r="Y23" s="1353" t="s">
        <v>5197</v>
      </c>
      <c r="Z23" s="988"/>
      <c r="AA23" s="988"/>
      <c r="AB23" s="988"/>
      <c r="AC23" s="1353" t="s">
        <v>8937</v>
      </c>
      <c r="AD23" s="1353" t="s">
        <v>4118</v>
      </c>
      <c r="AE23" s="1340"/>
      <c r="AF23" s="990" t="s">
        <v>724</v>
      </c>
      <c r="AG23" s="1340"/>
      <c r="AH23" s="1353" t="s">
        <v>7671</v>
      </c>
      <c r="AI23" s="1353" t="s">
        <v>5634</v>
      </c>
      <c r="AJ23" s="988"/>
      <c r="AK23" s="988"/>
      <c r="AL23" s="988"/>
      <c r="AM23" s="988"/>
      <c r="AN23" s="988"/>
      <c r="AO23" s="988"/>
      <c r="AP23" s="988"/>
      <c r="AQ23" s="988"/>
      <c r="AR23" s="988"/>
      <c r="AS23" s="988"/>
      <c r="AT23" s="988"/>
      <c r="AU23" s="988"/>
      <c r="AV23" s="988"/>
      <c r="AW23" s="988"/>
      <c r="AX23" s="987"/>
      <c r="AY23" s="1353" t="s">
        <v>8803</v>
      </c>
      <c r="AZ23" s="988"/>
      <c r="BA23" s="988"/>
      <c r="BB23" s="1353" t="s">
        <v>8725</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8938</v>
      </c>
      <c r="CU23" s="1340"/>
    </row>
    <row r="24">
      <c r="A24" s="1448" t="s">
        <v>5374</v>
      </c>
      <c r="B24" s="791" t="s">
        <v>8939</v>
      </c>
      <c r="C24" s="787" t="s">
        <v>1258</v>
      </c>
      <c r="D24" s="788" t="s">
        <v>1258</v>
      </c>
      <c r="E24" s="789" t="s">
        <v>546</v>
      </c>
      <c r="F24" s="790" t="s">
        <v>438</v>
      </c>
      <c r="G24" s="791" t="s">
        <v>5169</v>
      </c>
      <c r="H24" s="1426" t="s">
        <v>8940</v>
      </c>
      <c r="I24" s="1426" t="s">
        <v>5380</v>
      </c>
      <c r="J24" s="1340"/>
      <c r="K24" s="1353" t="s">
        <v>8941</v>
      </c>
      <c r="L24" s="987"/>
      <c r="M24" s="987"/>
      <c r="N24" s="1353" t="s">
        <v>8942</v>
      </c>
      <c r="O24" s="1353" t="s">
        <v>8943</v>
      </c>
      <c r="P24" s="1353" t="s">
        <v>8944</v>
      </c>
      <c r="Q24" s="1353" t="s">
        <v>8945</v>
      </c>
      <c r="R24" s="1353" t="s">
        <v>8946</v>
      </c>
      <c r="S24" s="1353" t="s">
        <v>5398</v>
      </c>
      <c r="T24" s="1353" t="s">
        <v>8947</v>
      </c>
      <c r="U24" s="1353" t="s">
        <v>8948</v>
      </c>
      <c r="V24" s="987"/>
      <c r="W24" s="1353" t="s">
        <v>6112</v>
      </c>
      <c r="X24" s="987"/>
      <c r="Y24" s="988"/>
      <c r="Z24" s="988"/>
      <c r="AA24" s="988"/>
      <c r="AB24" s="988"/>
      <c r="AC24" s="1353" t="s">
        <v>8949</v>
      </c>
      <c r="AD24" s="1353" t="s">
        <v>5920</v>
      </c>
      <c r="AE24" s="987"/>
      <c r="AF24" s="1353" t="s">
        <v>6992</v>
      </c>
      <c r="AG24" s="987"/>
      <c r="AH24" s="1353" t="s">
        <v>3334</v>
      </c>
      <c r="AI24" s="987"/>
      <c r="AJ24" s="987"/>
      <c r="AK24" s="988"/>
      <c r="AL24" s="988"/>
      <c r="AM24" s="1353" t="s">
        <v>8677</v>
      </c>
      <c r="AN24" s="1353" t="s">
        <v>8849</v>
      </c>
      <c r="AO24" s="1353" t="s">
        <v>8697</v>
      </c>
      <c r="AP24" s="1353" t="s">
        <v>8792</v>
      </c>
      <c r="AQ24" s="987"/>
      <c r="AR24" s="1353" t="s">
        <v>8896</v>
      </c>
      <c r="AS24" s="987"/>
      <c r="AT24" s="1353" t="s">
        <v>8950</v>
      </c>
      <c r="AU24" s="1353" t="s">
        <v>8951</v>
      </c>
      <c r="AV24" s="987"/>
      <c r="AW24" s="1353" t="s">
        <v>8724</v>
      </c>
      <c r="AX24" s="987"/>
      <c r="AY24" s="1353" t="s">
        <v>8884</v>
      </c>
      <c r="AZ24" s="988"/>
      <c r="BA24" s="988"/>
      <c r="BB24" s="1353" t="s">
        <v>8793</v>
      </c>
      <c r="BC24" s="987" t="s">
        <v>8884</v>
      </c>
      <c r="BD24" s="1353" t="s">
        <v>8898</v>
      </c>
      <c r="BE24" s="987"/>
      <c r="BF24" s="987"/>
      <c r="BG24" s="1449" t="s">
        <v>8952</v>
      </c>
      <c r="BH24" s="1449" t="s">
        <v>8953</v>
      </c>
      <c r="BI24" s="923"/>
      <c r="BJ24" s="923"/>
      <c r="BK24" s="923"/>
      <c r="BL24" s="932" t="s">
        <v>8954</v>
      </c>
      <c r="BM24" s="932" t="s">
        <v>8955</v>
      </c>
      <c r="BN24" s="923"/>
      <c r="BO24" s="923"/>
      <c r="BP24" s="923"/>
      <c r="BQ24" s="988"/>
      <c r="BR24" s="987" t="s">
        <v>8956</v>
      </c>
      <c r="BS24" s="988"/>
      <c r="BT24" s="988"/>
      <c r="BU24" s="988"/>
      <c r="BV24" s="1450" t="s">
        <v>162</v>
      </c>
      <c r="BW24" s="1353" t="s">
        <v>1694</v>
      </c>
      <c r="BX24" s="1353" t="s">
        <v>1628</v>
      </c>
      <c r="BY24" s="1350" t="s">
        <v>4972</v>
      </c>
      <c r="BZ24" s="1353" t="s">
        <v>2253</v>
      </c>
      <c r="CA24" s="1353" t="s">
        <v>5534</v>
      </c>
      <c r="CB24" s="1353" t="s">
        <v>2133</v>
      </c>
      <c r="CC24" s="1353" t="s">
        <v>8957</v>
      </c>
      <c r="CD24" s="1353"/>
      <c r="CE24" s="1416" t="s">
        <v>8918</v>
      </c>
      <c r="CF24" s="1416" t="s">
        <v>8958</v>
      </c>
      <c r="CG24" s="1416" t="s">
        <v>8959</v>
      </c>
      <c r="CH24" s="1403"/>
      <c r="CI24" s="1400"/>
      <c r="CJ24" s="1400"/>
      <c r="CK24" s="1400"/>
      <c r="CL24" s="1400"/>
      <c r="CM24" s="1400"/>
      <c r="CN24" s="1400"/>
      <c r="CO24" s="1400"/>
      <c r="CP24" s="1400"/>
      <c r="CQ24" s="1400"/>
      <c r="CR24" s="1400"/>
      <c r="CS24" s="1400"/>
      <c r="CT24" s="990" t="s">
        <v>4923</v>
      </c>
      <c r="CU24" s="1340"/>
    </row>
    <row r="25">
      <c r="A25" s="1451" t="s">
        <v>7487</v>
      </c>
      <c r="B25" s="791" t="s">
        <v>8960</v>
      </c>
      <c r="C25" s="787" t="s">
        <v>1258</v>
      </c>
      <c r="D25" s="788" t="s">
        <v>1258</v>
      </c>
      <c r="E25" s="789" t="s">
        <v>1258</v>
      </c>
      <c r="F25" s="790" t="s">
        <v>1258</v>
      </c>
      <c r="G25" s="791" t="s">
        <v>2874</v>
      </c>
      <c r="H25" s="1410"/>
      <c r="I25" s="1410" t="s">
        <v>8961</v>
      </c>
      <c r="J25" s="987"/>
      <c r="K25" s="987" t="s">
        <v>8962</v>
      </c>
      <c r="L25" s="987"/>
      <c r="M25" s="988"/>
      <c r="N25" s="1344" t="s">
        <v>8963</v>
      </c>
      <c r="O25" s="988"/>
      <c r="P25" s="988"/>
      <c r="Q25" s="988"/>
      <c r="R25" s="1353" t="s">
        <v>8964</v>
      </c>
      <c r="S25" s="988"/>
      <c r="T25" s="1353" t="s">
        <v>8965</v>
      </c>
      <c r="U25" s="1353" t="s">
        <v>8966</v>
      </c>
      <c r="V25" s="987"/>
      <c r="W25" s="1353" t="s">
        <v>2753</v>
      </c>
      <c r="X25" s="987"/>
      <c r="Y25" s="1353" t="s">
        <v>1082</v>
      </c>
      <c r="Z25" s="1344" t="s">
        <v>8967</v>
      </c>
      <c r="AA25" s="988"/>
      <c r="AB25" s="988"/>
      <c r="AC25" s="987"/>
      <c r="AD25" s="1353" t="s">
        <v>1979</v>
      </c>
      <c r="AE25" s="987"/>
      <c r="AF25" s="987"/>
      <c r="AG25" s="987"/>
      <c r="AH25" s="987"/>
      <c r="AI25" s="1344" t="s">
        <v>8968</v>
      </c>
      <c r="AJ25" s="988"/>
      <c r="AK25" s="988"/>
      <c r="AL25" s="988"/>
      <c r="AM25" s="1344" t="s">
        <v>8969</v>
      </c>
      <c r="AN25" s="988"/>
      <c r="AO25" s="988"/>
      <c r="AP25" s="987" t="s">
        <v>8970</v>
      </c>
      <c r="AQ25" s="988"/>
      <c r="AR25" s="1344" t="s">
        <v>8971</v>
      </c>
      <c r="AS25" s="988"/>
      <c r="AT25" s="1344" t="s">
        <v>8972</v>
      </c>
      <c r="AU25" s="987" t="s">
        <v>8973</v>
      </c>
      <c r="AV25" s="987"/>
      <c r="AW25" s="987" t="s">
        <v>8925</v>
      </c>
      <c r="AX25" s="988"/>
      <c r="AY25" s="1344" t="s">
        <v>8974</v>
      </c>
      <c r="AZ25" s="987"/>
      <c r="BA25" s="987"/>
      <c r="BB25" s="1344" t="s">
        <v>8975</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8976</v>
      </c>
      <c r="B26" s="791" t="s">
        <v>8960</v>
      </c>
      <c r="C26" s="787" t="s">
        <v>1258</v>
      </c>
      <c r="D26" s="788" t="s">
        <v>1258</v>
      </c>
      <c r="E26" s="789" t="s">
        <v>1258</v>
      </c>
      <c r="F26" s="790" t="s">
        <v>332</v>
      </c>
      <c r="G26" s="791" t="s">
        <v>3384</v>
      </c>
      <c r="H26" s="1410"/>
      <c r="I26" s="1410" t="s">
        <v>8977</v>
      </c>
      <c r="J26" s="987"/>
      <c r="K26" s="987" t="s">
        <v>8978</v>
      </c>
      <c r="L26" s="990" t="s">
        <v>3766</v>
      </c>
      <c r="M26" s="988"/>
      <c r="N26" s="988"/>
      <c r="O26" s="988"/>
      <c r="P26" s="987" t="s">
        <v>5785</v>
      </c>
      <c r="Q26" s="988"/>
      <c r="R26" s="990" t="s">
        <v>8979</v>
      </c>
      <c r="S26" s="988"/>
      <c r="T26" s="988"/>
      <c r="U26" s="987" t="s">
        <v>752</v>
      </c>
      <c r="V26" s="987"/>
      <c r="W26" s="1353" t="s">
        <v>4333</v>
      </c>
      <c r="X26" s="987" t="s">
        <v>3551</v>
      </c>
      <c r="Y26" s="990" t="s">
        <v>5822</v>
      </c>
      <c r="Z26" s="988"/>
      <c r="AA26" s="988"/>
      <c r="AB26" s="988"/>
      <c r="AC26" s="1353" t="s">
        <v>8980</v>
      </c>
      <c r="AD26" s="1353" t="s">
        <v>5747</v>
      </c>
      <c r="AE26" s="987"/>
      <c r="AF26" s="1353" t="s">
        <v>8981</v>
      </c>
      <c r="AG26" s="987"/>
      <c r="AH26" s="1353" t="s">
        <v>8982</v>
      </c>
      <c r="AI26" s="988"/>
      <c r="AJ26" s="988"/>
      <c r="AK26" s="1358" t="s">
        <v>3811</v>
      </c>
      <c r="AL26" s="1453"/>
      <c r="AM26" s="988"/>
      <c r="AN26" s="988"/>
      <c r="AO26" s="988"/>
      <c r="AP26" s="988"/>
      <c r="AQ26" s="988"/>
      <c r="AR26" s="1353" t="s">
        <v>8983</v>
      </c>
      <c r="AS26" s="987"/>
      <c r="AT26" s="988"/>
      <c r="AU26" s="988"/>
      <c r="AV26" s="988"/>
      <c r="AW26" s="1353" t="s">
        <v>8632</v>
      </c>
      <c r="AX26" s="988"/>
      <c r="AY26" s="988"/>
      <c r="AZ26" s="988"/>
      <c r="BA26" s="988"/>
      <c r="BB26" s="1353" t="s">
        <v>8476</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8984</v>
      </c>
      <c r="C27" s="787" t="s">
        <v>1258</v>
      </c>
      <c r="D27" s="788" t="s">
        <v>1258</v>
      </c>
      <c r="E27" s="789" t="s">
        <v>1258</v>
      </c>
      <c r="F27" s="790" t="s">
        <v>332</v>
      </c>
      <c r="G27" s="791" t="s">
        <v>2774</v>
      </c>
      <c r="H27" s="1410"/>
      <c r="I27" s="1410" t="s">
        <v>8985</v>
      </c>
      <c r="J27" s="988"/>
      <c r="K27" s="987" t="s">
        <v>8986</v>
      </c>
      <c r="L27" s="988"/>
      <c r="M27" s="988"/>
      <c r="N27" s="988"/>
      <c r="O27" s="988"/>
      <c r="P27" s="987" t="s">
        <v>8987</v>
      </c>
      <c r="Q27" s="988"/>
      <c r="R27" s="987" t="s">
        <v>8988</v>
      </c>
      <c r="S27" s="988"/>
      <c r="T27" s="987" t="s">
        <v>8989</v>
      </c>
      <c r="U27" s="990" t="s">
        <v>5475</v>
      </c>
      <c r="V27" s="988"/>
      <c r="W27" s="988"/>
      <c r="X27" s="987" t="s">
        <v>7750</v>
      </c>
      <c r="Y27" s="990" t="s">
        <v>7848</v>
      </c>
      <c r="Z27" s="988"/>
      <c r="AA27" s="987" t="s">
        <v>8990</v>
      </c>
      <c r="AB27" s="988"/>
      <c r="AC27" s="987" t="s">
        <v>8991</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8848</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8992</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8993</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8994</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8995</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8996</v>
      </c>
      <c r="L31" s="988"/>
      <c r="M31" s="988"/>
      <c r="N31" s="988"/>
      <c r="O31" s="988"/>
      <c r="P31" s="987" t="s">
        <v>8997</v>
      </c>
      <c r="Q31" s="988"/>
      <c r="R31" s="988"/>
      <c r="S31" s="988"/>
      <c r="T31" s="987" t="s">
        <v>8998</v>
      </c>
      <c r="U31" s="987" t="s">
        <v>8999</v>
      </c>
      <c r="V31" s="988"/>
      <c r="W31" s="987" t="s">
        <v>249</v>
      </c>
      <c r="X31" s="987" t="s">
        <v>9000</v>
      </c>
      <c r="Y31" s="987" t="s">
        <v>365</v>
      </c>
      <c r="Z31" s="988"/>
      <c r="AA31" s="988"/>
      <c r="AB31" s="988"/>
      <c r="AC31" s="988"/>
      <c r="AD31" s="988"/>
      <c r="AE31" s="988"/>
      <c r="AF31" s="988"/>
      <c r="AG31" s="988"/>
      <c r="AH31" s="988"/>
      <c r="AI31" s="988"/>
      <c r="AJ31" s="988"/>
      <c r="AK31" s="988"/>
      <c r="AL31" s="988"/>
      <c r="AM31" s="988"/>
      <c r="AN31" s="988"/>
      <c r="AO31" s="988"/>
      <c r="AP31" s="1026" t="s">
        <v>8741</v>
      </c>
      <c r="AQ31" s="1026"/>
      <c r="AR31" s="988"/>
      <c r="AS31" s="987" t="s">
        <v>8897</v>
      </c>
      <c r="AT31" s="988"/>
      <c r="AU31" s="987" t="s">
        <v>8983</v>
      </c>
      <c r="AV31" s="988"/>
      <c r="AW31" s="988"/>
      <c r="AX31" s="988"/>
      <c r="AY31" s="988"/>
      <c r="AZ31" s="987" t="s">
        <v>2376</v>
      </c>
      <c r="BA31" s="988"/>
      <c r="BB31" s="1026" t="s">
        <v>9001</v>
      </c>
      <c r="BC31" s="987" t="s">
        <v>8622</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9002</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8849</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9003</v>
      </c>
      <c r="I33" s="1410"/>
      <c r="J33" s="988"/>
      <c r="K33" s="988"/>
      <c r="L33" s="988"/>
      <c r="M33" s="988"/>
      <c r="N33" s="988"/>
      <c r="O33" s="988"/>
      <c r="P33" s="988"/>
      <c r="Q33" s="988"/>
      <c r="R33" s="988"/>
      <c r="S33" s="988"/>
      <c r="T33" s="990" t="s">
        <v>9004</v>
      </c>
      <c r="U33" s="987" t="s">
        <v>9005</v>
      </c>
      <c r="V33" s="987" t="s">
        <v>9006</v>
      </c>
      <c r="W33" s="988"/>
      <c r="X33" s="987" t="s">
        <v>9007</v>
      </c>
      <c r="Y33" s="987" t="s">
        <v>9008</v>
      </c>
      <c r="Z33" s="988"/>
      <c r="AA33" s="988"/>
      <c r="AB33" s="988"/>
      <c r="AC33" s="990" t="s">
        <v>1740</v>
      </c>
      <c r="AD33" s="987" t="s">
        <v>5554</v>
      </c>
      <c r="AE33" s="988"/>
      <c r="AF33" s="988"/>
      <c r="AG33" s="988"/>
      <c r="AH33" s="988"/>
      <c r="AI33" s="988"/>
      <c r="AJ33" s="988"/>
      <c r="AK33" s="988"/>
      <c r="AL33" s="988"/>
      <c r="AM33" s="987" t="s">
        <v>9009</v>
      </c>
      <c r="AN33" s="988"/>
      <c r="AO33" s="988"/>
      <c r="AP33" s="987" t="s">
        <v>8798</v>
      </c>
      <c r="AQ33" s="988"/>
      <c r="AR33" s="988"/>
      <c r="AS33" s="988"/>
      <c r="AT33" s="988"/>
      <c r="AU33" s="987" t="s">
        <v>8481</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9010</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9011</v>
      </c>
      <c r="P34" s="1351" t="s">
        <v>9012</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9013</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9014</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9015</v>
      </c>
      <c r="T38" s="988"/>
      <c r="U38" s="987" t="s">
        <v>9016</v>
      </c>
      <c r="V38" s="988"/>
      <c r="W38" s="988"/>
      <c r="X38" s="987" t="s">
        <v>6438</v>
      </c>
      <c r="Y38" s="987" t="s">
        <v>2006</v>
      </c>
      <c r="Z38" s="988"/>
      <c r="AA38" s="987" t="s">
        <v>3149</v>
      </c>
      <c r="AB38" s="988"/>
      <c r="AC38" s="987" t="s">
        <v>9017</v>
      </c>
      <c r="AD38" s="987" t="s">
        <v>2126</v>
      </c>
      <c r="AE38" s="987" t="s">
        <v>6521</v>
      </c>
      <c r="AF38" s="987" t="s">
        <v>9018</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9019</v>
      </c>
      <c r="CF38" s="988"/>
      <c r="CG38" s="988"/>
      <c r="CH38" s="988"/>
      <c r="CI38" s="988"/>
      <c r="CJ38" s="987" t="s">
        <v>9020</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9021</v>
      </c>
      <c r="Q40" s="988"/>
      <c r="R40" s="987" t="s">
        <v>9022</v>
      </c>
      <c r="S40" s="988"/>
      <c r="T40" s="988"/>
      <c r="U40" s="988"/>
      <c r="V40" s="988"/>
      <c r="W40" s="988"/>
      <c r="X40" s="987" t="s">
        <v>8894</v>
      </c>
      <c r="Y40" s="988"/>
      <c r="Z40" s="988"/>
      <c r="AA40" s="987" t="s">
        <v>9023</v>
      </c>
      <c r="AB40" s="988"/>
      <c r="AC40" s="988"/>
      <c r="AD40" s="988"/>
      <c r="AE40" s="987" t="s">
        <v>3926</v>
      </c>
      <c r="AF40" s="987" t="s">
        <v>9024</v>
      </c>
      <c r="AG40" s="987" t="s">
        <v>568</v>
      </c>
      <c r="AH40" s="1353" t="s">
        <v>9025</v>
      </c>
      <c r="AI40" s="988"/>
      <c r="AJ40" s="988"/>
      <c r="AK40" s="988"/>
      <c r="AL40" s="988"/>
      <c r="AM40" s="988"/>
      <c r="AN40" s="988"/>
      <c r="AO40" s="988"/>
      <c r="AP40" s="987" t="s">
        <v>8720</v>
      </c>
      <c r="AQ40" s="988"/>
      <c r="AR40" s="988"/>
      <c r="AS40" s="988"/>
      <c r="AT40" s="988"/>
      <c r="AU40" s="988"/>
      <c r="AV40" s="988"/>
      <c r="AW40" s="988"/>
      <c r="AX40" s="988"/>
      <c r="AY40" s="988"/>
      <c r="AZ40" s="988"/>
      <c r="BA40" s="988"/>
      <c r="BB40" s="987" t="s">
        <v>8973</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9026</v>
      </c>
      <c r="S42" s="988"/>
      <c r="T42" s="988"/>
      <c r="U42" s="987" t="s">
        <v>9027</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9028</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8648</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9029</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9030</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8651</v>
      </c>
      <c r="AV45" s="987"/>
      <c r="AW45" s="988"/>
      <c r="AX45" s="988"/>
      <c r="AY45" s="988"/>
      <c r="AZ45" s="988"/>
      <c r="BA45" s="988"/>
      <c r="BB45" s="988"/>
      <c r="BC45" s="987" t="s">
        <v>8722</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9031</v>
      </c>
      <c r="J46" s="988"/>
      <c r="K46" s="988"/>
      <c r="L46" s="988"/>
      <c r="M46" s="988"/>
      <c r="N46" s="988"/>
      <c r="O46" s="988"/>
      <c r="P46" s="988"/>
      <c r="Q46" s="988"/>
      <c r="R46" s="988"/>
      <c r="S46" s="988"/>
      <c r="T46" s="988"/>
      <c r="U46" s="987" t="s">
        <v>9032</v>
      </c>
      <c r="V46" s="988"/>
      <c r="W46" s="988"/>
      <c r="X46" s="988"/>
      <c r="Y46" s="988"/>
      <c r="Z46" s="988"/>
      <c r="AA46" s="988"/>
      <c r="AB46" s="988"/>
      <c r="AC46" s="987" t="s">
        <v>9033</v>
      </c>
      <c r="AD46" s="988"/>
      <c r="AE46" s="988"/>
      <c r="AF46" s="988"/>
      <c r="AG46" s="988"/>
      <c r="AH46" s="988"/>
      <c r="AI46" s="988"/>
      <c r="AJ46" s="988"/>
      <c r="AK46" s="988"/>
      <c r="AL46" s="988"/>
      <c r="AM46" s="988"/>
      <c r="AN46" s="988"/>
      <c r="AO46" s="988"/>
      <c r="AP46" s="987" t="s">
        <v>9034</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9035</v>
      </c>
      <c r="CF46" s="988"/>
      <c r="CG46" s="988"/>
      <c r="CH46" s="988"/>
      <c r="CI46" s="988"/>
      <c r="CJ46" s="1466" t="s">
        <v>9036</v>
      </c>
      <c r="CK46" s="988"/>
      <c r="CL46" s="1353" t="s">
        <v>5138</v>
      </c>
      <c r="CM46" s="987" t="s">
        <v>8925</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9037</v>
      </c>
      <c r="V48" s="988"/>
      <c r="W48" s="988"/>
      <c r="X48" s="987" t="s">
        <v>3310</v>
      </c>
      <c r="Y48" s="988"/>
      <c r="Z48" s="988"/>
      <c r="AA48" s="988"/>
      <c r="AB48" s="988"/>
      <c r="AC48" s="988"/>
      <c r="AD48" s="987" t="s">
        <v>8163</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9038</v>
      </c>
      <c r="C51" s="787" t="s">
        <v>1258</v>
      </c>
      <c r="D51" s="788" t="s">
        <v>1258</v>
      </c>
      <c r="E51" s="789" t="s">
        <v>1258</v>
      </c>
      <c r="F51" s="790" t="s">
        <v>546</v>
      </c>
      <c r="G51" s="791" t="s">
        <v>1052</v>
      </c>
      <c r="H51" s="1410"/>
      <c r="I51" s="1410"/>
      <c r="J51" s="988"/>
      <c r="K51" s="988"/>
      <c r="L51" s="988"/>
      <c r="M51" s="988"/>
      <c r="N51" s="988"/>
      <c r="O51" s="988"/>
      <c r="P51" s="988"/>
      <c r="Q51" s="988"/>
      <c r="R51" s="987" t="s">
        <v>9039</v>
      </c>
      <c r="S51" s="988"/>
      <c r="T51" s="988"/>
      <c r="U51" s="988"/>
      <c r="V51" s="988"/>
      <c r="W51" s="987" t="s">
        <v>9040</v>
      </c>
      <c r="X51" s="987" t="s">
        <v>9040</v>
      </c>
      <c r="Y51" s="987" t="s">
        <v>9041</v>
      </c>
      <c r="Z51" s="988"/>
      <c r="AA51" s="987" t="s">
        <v>9042</v>
      </c>
      <c r="AB51" s="988"/>
      <c r="AC51" s="987" t="s">
        <v>8178</v>
      </c>
      <c r="AD51" s="987" t="s">
        <v>9043</v>
      </c>
      <c r="AE51" s="987" t="s">
        <v>9044</v>
      </c>
      <c r="AF51" s="988"/>
      <c r="AG51" s="988"/>
      <c r="AH51" s="990" t="s">
        <v>9045</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9046</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9047</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9048</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9049</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9050</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9051</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9052</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9053</v>
      </c>
      <c r="S57" s="988"/>
      <c r="T57" s="988"/>
      <c r="U57" s="990" t="s">
        <v>9054</v>
      </c>
      <c r="V57" s="988"/>
      <c r="W57" s="987" t="s">
        <v>9055</v>
      </c>
      <c r="X57" s="987" t="s">
        <v>9055</v>
      </c>
      <c r="Y57" s="988"/>
      <c r="Z57" s="988"/>
      <c r="AA57" s="988"/>
      <c r="AB57" s="988"/>
      <c r="AC57" s="988"/>
      <c r="AD57" s="988"/>
      <c r="AE57" s="988"/>
      <c r="AF57" s="988"/>
      <c r="AG57" s="988"/>
      <c r="AH57" s="988"/>
      <c r="AI57" s="988"/>
      <c r="AJ57" s="988"/>
      <c r="AK57" s="988"/>
      <c r="AL57" s="988"/>
      <c r="AM57" s="988"/>
      <c r="AN57" s="988"/>
      <c r="AO57" s="988"/>
      <c r="AP57" s="987" t="s">
        <v>9056</v>
      </c>
      <c r="AQ57" s="990" t="s">
        <v>9057</v>
      </c>
      <c r="AR57" s="990" t="s">
        <v>9058</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9059</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9060</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8625</v>
      </c>
      <c r="BD60" s="1353" t="s">
        <v>8983</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9061</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9062</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8662</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9063</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9064</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9065</v>
      </c>
      <c r="C1" s="1475" t="s">
        <v>9066</v>
      </c>
      <c r="D1" s="1476" t="s">
        <v>9067</v>
      </c>
      <c r="E1" s="1476" t="s">
        <v>8348</v>
      </c>
      <c r="F1" s="1476" t="s">
        <v>8349</v>
      </c>
      <c r="G1" s="1476" t="s">
        <v>9068</v>
      </c>
      <c r="H1" s="1477" t="s">
        <v>9069</v>
      </c>
      <c r="I1" s="1477" t="s">
        <v>9070</v>
      </c>
      <c r="J1" s="1478" t="s">
        <v>8360</v>
      </c>
      <c r="K1" s="1478" t="s">
        <v>9071</v>
      </c>
      <c r="L1" s="1478" t="s">
        <v>9072</v>
      </c>
      <c r="M1" s="1478" t="s">
        <v>9073</v>
      </c>
      <c r="N1" s="1478" t="s">
        <v>8423</v>
      </c>
      <c r="O1" s="1478" t="s">
        <v>9074</v>
      </c>
      <c r="P1" s="1478" t="s">
        <v>9075</v>
      </c>
      <c r="Q1" s="1479" t="s">
        <v>9076</v>
      </c>
      <c r="R1" s="1479" t="s">
        <v>8356</v>
      </c>
      <c r="S1" s="1479" t="s">
        <v>9077</v>
      </c>
      <c r="T1" s="1479" t="s">
        <v>9078</v>
      </c>
      <c r="U1" s="1479" t="s">
        <v>9079</v>
      </c>
      <c r="V1" s="1479" t="s">
        <v>9080</v>
      </c>
      <c r="W1" s="1480" t="s">
        <v>8350</v>
      </c>
      <c r="X1" s="1480" t="s">
        <v>8351</v>
      </c>
      <c r="Y1" s="1480" t="s">
        <v>9081</v>
      </c>
      <c r="Z1" s="1480" t="s">
        <v>9082</v>
      </c>
      <c r="AA1" s="1480" t="s">
        <v>8353</v>
      </c>
      <c r="AB1" s="1480" t="s">
        <v>9083</v>
      </c>
      <c r="AC1" s="1480" t="s">
        <v>9084</v>
      </c>
      <c r="AD1" s="1476" t="s">
        <v>9085</v>
      </c>
      <c r="AE1" s="1476" t="s">
        <v>9086</v>
      </c>
      <c r="AF1" s="1481" t="s">
        <v>8357</v>
      </c>
      <c r="AG1" s="1481" t="s">
        <v>9087</v>
      </c>
      <c r="AH1" s="1481" t="s">
        <v>9088</v>
      </c>
      <c r="AI1" s="1481" t="s">
        <v>8358</v>
      </c>
      <c r="AJ1" s="1481" t="s">
        <v>9089</v>
      </c>
      <c r="AK1" s="1481" t="s">
        <v>9090</v>
      </c>
      <c r="AL1" s="1481" t="s">
        <v>9091</v>
      </c>
      <c r="AM1" s="1482" t="s">
        <v>8359</v>
      </c>
      <c r="AN1" s="1482" t="s">
        <v>9092</v>
      </c>
      <c r="AO1" s="1482" t="s">
        <v>9093</v>
      </c>
      <c r="AP1" s="1482" t="s">
        <v>9094</v>
      </c>
      <c r="AQ1" s="1482" t="s">
        <v>9095</v>
      </c>
      <c r="AR1" s="1482" t="s">
        <v>9096</v>
      </c>
      <c r="AS1" s="1482" t="s">
        <v>9097</v>
      </c>
      <c r="AT1" s="1483" t="s">
        <v>9098</v>
      </c>
      <c r="AU1" s="1484" t="s">
        <v>9099</v>
      </c>
      <c r="AV1" s="1485" t="s">
        <v>9100</v>
      </c>
      <c r="AW1" s="1486" t="s">
        <v>9101</v>
      </c>
    </row>
    <row r="2" ht="15.75" customHeight="1">
      <c r="A2" s="1487" t="s">
        <v>9102</v>
      </c>
      <c r="B2" s="1488" t="s">
        <v>9103</v>
      </c>
      <c r="C2" s="1489">
        <v>0.04880543981481481</v>
      </c>
      <c r="D2" s="1490" t="s">
        <v>9104</v>
      </c>
      <c r="E2" s="1490" t="s">
        <v>9105</v>
      </c>
      <c r="F2" s="1491" t="s">
        <v>9106</v>
      </c>
      <c r="G2" s="1490" t="s">
        <v>9107</v>
      </c>
      <c r="H2" s="1492" t="s">
        <v>6325</v>
      </c>
      <c r="I2" s="1492" t="s">
        <v>9108</v>
      </c>
      <c r="J2" s="1493" t="s">
        <v>5266</v>
      </c>
      <c r="K2" s="1494" t="s">
        <v>9109</v>
      </c>
      <c r="L2" s="1494" t="s">
        <v>234</v>
      </c>
      <c r="M2" s="1494" t="s">
        <v>6299</v>
      </c>
      <c r="N2" s="1494" t="s">
        <v>4072</v>
      </c>
      <c r="O2" s="1494" t="s">
        <v>9110</v>
      </c>
      <c r="P2" s="1494" t="s">
        <v>9111</v>
      </c>
      <c r="Q2" s="1495" t="s">
        <v>4273</v>
      </c>
      <c r="R2" s="1496" t="s">
        <v>9112</v>
      </c>
      <c r="S2" s="1495" t="s">
        <v>6738</v>
      </c>
      <c r="T2" s="1496" t="s">
        <v>3277</v>
      </c>
      <c r="U2" s="1495" t="s">
        <v>6859</v>
      </c>
      <c r="V2" s="1495" t="s">
        <v>3776</v>
      </c>
      <c r="W2" s="1497" t="s">
        <v>6519</v>
      </c>
      <c r="X2" s="1498" t="s">
        <v>9113</v>
      </c>
      <c r="Y2" s="1498" t="s">
        <v>5855</v>
      </c>
      <c r="Z2" s="1499" t="s">
        <v>6879</v>
      </c>
      <c r="AA2" s="1498" t="s">
        <v>9114</v>
      </c>
      <c r="AB2" s="1498" t="s">
        <v>9115</v>
      </c>
      <c r="AC2" s="1499" t="s">
        <v>4098</v>
      </c>
      <c r="AD2" s="1500" t="s">
        <v>9116</v>
      </c>
      <c r="AE2" s="1501" t="s">
        <v>4804</v>
      </c>
      <c r="AF2" s="1502" t="s">
        <v>9117</v>
      </c>
      <c r="AG2" s="1502" t="s">
        <v>9118</v>
      </c>
      <c r="AH2" s="1502" t="s">
        <v>3852</v>
      </c>
      <c r="AI2" s="1503" t="s">
        <v>9119</v>
      </c>
      <c r="AJ2" s="1503" t="s">
        <v>9120</v>
      </c>
      <c r="AK2" s="1503" t="s">
        <v>9121</v>
      </c>
      <c r="AL2" s="1503" t="s">
        <v>5669</v>
      </c>
      <c r="AM2" s="1504" t="s">
        <v>9122</v>
      </c>
      <c r="AN2" s="1505" t="s">
        <v>9123</v>
      </c>
      <c r="AO2" s="1505" t="s">
        <v>7106</v>
      </c>
      <c r="AP2" s="1506" t="s">
        <v>9124</v>
      </c>
      <c r="AQ2" s="1504" t="s">
        <v>9125</v>
      </c>
      <c r="AR2" s="1505" t="s">
        <v>9126</v>
      </c>
      <c r="AS2" s="1504" t="s">
        <v>1332</v>
      </c>
      <c r="AT2" s="1507" t="s">
        <v>9127</v>
      </c>
      <c r="AU2" s="1508" t="s">
        <v>9128</v>
      </c>
      <c r="AV2" s="1508" t="str">
        <f t="shared" ref="AV2:AV101" si="1">TEXT(AU2-C2,"m:ss")</f>
        <v>2:24</v>
      </c>
      <c r="AW2" s="1509"/>
    </row>
    <row r="3" ht="15.75" customHeight="1">
      <c r="A3" s="1510" t="s">
        <v>9129</v>
      </c>
      <c r="B3" s="1511" t="s">
        <v>9130</v>
      </c>
      <c r="C3" s="1512">
        <v>0.04932685185185185</v>
      </c>
      <c r="D3" s="1513" t="s">
        <v>9131</v>
      </c>
      <c r="E3" s="1513" t="s">
        <v>6708</v>
      </c>
      <c r="F3" s="1513" t="s">
        <v>9132</v>
      </c>
      <c r="G3" s="1513" t="s">
        <v>9133</v>
      </c>
      <c r="H3" s="1514" t="s">
        <v>9134</v>
      </c>
      <c r="I3" s="1514" t="s">
        <v>5083</v>
      </c>
      <c r="J3" s="1515" t="s">
        <v>1351</v>
      </c>
      <c r="K3" s="1515" t="s">
        <v>9135</v>
      </c>
      <c r="L3" s="1515" t="s">
        <v>2950</v>
      </c>
      <c r="M3" s="1515" t="s">
        <v>9136</v>
      </c>
      <c r="N3" s="1515" t="s">
        <v>2501</v>
      </c>
      <c r="O3" s="1515" t="s">
        <v>9137</v>
      </c>
      <c r="P3" s="1515" t="s">
        <v>5607</v>
      </c>
      <c r="Q3" s="1516" t="s">
        <v>5815</v>
      </c>
      <c r="R3" s="1516" t="s">
        <v>9138</v>
      </c>
      <c r="S3" s="1516" t="s">
        <v>9139</v>
      </c>
      <c r="T3" s="1516" t="s">
        <v>9140</v>
      </c>
      <c r="U3" s="1517" t="s">
        <v>7369</v>
      </c>
      <c r="V3" s="1516" t="s">
        <v>9141</v>
      </c>
      <c r="W3" s="1518" t="s">
        <v>4154</v>
      </c>
      <c r="X3" s="1518" t="s">
        <v>6024</v>
      </c>
      <c r="Y3" s="1519" t="s">
        <v>9142</v>
      </c>
      <c r="Z3" s="1519" t="s">
        <v>1338</v>
      </c>
      <c r="AA3" s="1519" t="s">
        <v>5841</v>
      </c>
      <c r="AB3" s="1518" t="s">
        <v>6842</v>
      </c>
      <c r="AC3" s="1519" t="s">
        <v>9143</v>
      </c>
      <c r="AD3" s="1513" t="s">
        <v>9144</v>
      </c>
      <c r="AE3" s="1513" t="s">
        <v>9145</v>
      </c>
      <c r="AF3" s="1520" t="s">
        <v>9146</v>
      </c>
      <c r="AG3" s="1521" t="s">
        <v>4618</v>
      </c>
      <c r="AH3" s="1521" t="s">
        <v>9147</v>
      </c>
      <c r="AI3" s="1521" t="s">
        <v>9148</v>
      </c>
      <c r="AJ3" s="1520" t="s">
        <v>9149</v>
      </c>
      <c r="AK3" s="1521" t="s">
        <v>3381</v>
      </c>
      <c r="AL3" s="1521" t="s">
        <v>9150</v>
      </c>
      <c r="AM3" s="1522" t="s">
        <v>9151</v>
      </c>
      <c r="AN3" s="1522" t="s">
        <v>4758</v>
      </c>
      <c r="AO3" s="1523" t="s">
        <v>7296</v>
      </c>
      <c r="AP3" s="1523" t="s">
        <v>9152</v>
      </c>
      <c r="AQ3" s="1523" t="s">
        <v>9153</v>
      </c>
      <c r="AR3" s="1523" t="s">
        <v>4079</v>
      </c>
      <c r="AS3" s="1522" t="s">
        <v>4881</v>
      </c>
      <c r="AT3" s="1515" t="s">
        <v>5075</v>
      </c>
      <c r="AU3" s="1524" t="s">
        <v>9154</v>
      </c>
      <c r="AV3" s="1524" t="str">
        <f t="shared" si="1"/>
        <v>3:56</v>
      </c>
      <c r="AW3" s="1525"/>
    </row>
    <row r="4" ht="15.75" customHeight="1">
      <c r="A4" s="1526" t="s">
        <v>9155</v>
      </c>
      <c r="B4" s="1527" t="s">
        <v>9156</v>
      </c>
      <c r="C4" s="1528">
        <v>0.050637731481481485</v>
      </c>
      <c r="D4" s="1529" t="s">
        <v>9157</v>
      </c>
      <c r="E4" s="1529" t="s">
        <v>9158</v>
      </c>
      <c r="F4" s="1529" t="s">
        <v>9159</v>
      </c>
      <c r="G4" s="1529" t="s">
        <v>9160</v>
      </c>
      <c r="H4" s="1530" t="s">
        <v>9161</v>
      </c>
      <c r="I4" s="1530" t="s">
        <v>350</v>
      </c>
      <c r="J4" s="1531" t="s">
        <v>9162</v>
      </c>
      <c r="K4" s="1531" t="s">
        <v>6347</v>
      </c>
      <c r="L4" s="1531" t="s">
        <v>3810</v>
      </c>
      <c r="M4" s="1531" t="s">
        <v>9163</v>
      </c>
      <c r="N4" s="1531" t="s">
        <v>9122</v>
      </c>
      <c r="O4" s="1531" t="s">
        <v>9164</v>
      </c>
      <c r="P4" s="1531" t="s">
        <v>9165</v>
      </c>
      <c r="Q4" s="1532" t="s">
        <v>9166</v>
      </c>
      <c r="R4" s="1532" t="s">
        <v>9167</v>
      </c>
      <c r="S4" s="1532" t="s">
        <v>2267</v>
      </c>
      <c r="T4" s="1532" t="s">
        <v>9168</v>
      </c>
      <c r="U4" s="1532" t="s">
        <v>9169</v>
      </c>
      <c r="V4" s="1532" t="s">
        <v>4294</v>
      </c>
      <c r="W4" s="1533" t="s">
        <v>9170</v>
      </c>
      <c r="X4" s="1533" t="s">
        <v>9171</v>
      </c>
      <c r="Y4" s="1533">
        <v>47.93</v>
      </c>
      <c r="Z4" s="1533" t="s">
        <v>9172</v>
      </c>
      <c r="AA4" s="1533" t="s">
        <v>9173</v>
      </c>
      <c r="AB4" s="1533" t="s">
        <v>9174</v>
      </c>
      <c r="AC4" s="1533">
        <v>49.24</v>
      </c>
      <c r="AD4" s="1534" t="s">
        <v>9175</v>
      </c>
      <c r="AE4" s="1535" t="s">
        <v>5587</v>
      </c>
      <c r="AF4" s="1536" t="s">
        <v>2806</v>
      </c>
      <c r="AG4" s="1536" t="s">
        <v>4613</v>
      </c>
      <c r="AH4" s="1536" t="s">
        <v>5295</v>
      </c>
      <c r="AI4" s="1536" t="s">
        <v>9176</v>
      </c>
      <c r="AJ4" s="1536" t="s">
        <v>9177</v>
      </c>
      <c r="AK4" s="1536" t="s">
        <v>884</v>
      </c>
      <c r="AL4" s="1536" t="s">
        <v>9178</v>
      </c>
      <c r="AM4" s="1537" t="s">
        <v>9179</v>
      </c>
      <c r="AN4" s="1538" t="s">
        <v>9180</v>
      </c>
      <c r="AO4" s="1537" t="s">
        <v>9181</v>
      </c>
      <c r="AP4" s="1538" t="s">
        <v>9182</v>
      </c>
      <c r="AQ4" s="1537" t="s">
        <v>9183</v>
      </c>
      <c r="AR4" s="1537" t="s">
        <v>7546</v>
      </c>
      <c r="AS4" s="1537" t="s">
        <v>755</v>
      </c>
      <c r="AT4" s="1539" t="s">
        <v>9184</v>
      </c>
      <c r="AU4" s="1540" t="s">
        <v>9185</v>
      </c>
      <c r="AV4" s="1541" t="str">
        <f t="shared" si="1"/>
        <v>2:49</v>
      </c>
      <c r="AW4" s="1509"/>
    </row>
    <row r="5" ht="15.75" customHeight="1">
      <c r="A5" s="1542" t="s">
        <v>979</v>
      </c>
      <c r="B5" s="1543" t="s">
        <v>9103</v>
      </c>
      <c r="C5" s="1544">
        <v>0.04898148148148148</v>
      </c>
      <c r="D5" s="1545" t="s">
        <v>9104</v>
      </c>
      <c r="E5" s="1545" t="s">
        <v>9105</v>
      </c>
      <c r="F5" s="1546" t="s">
        <v>9186</v>
      </c>
      <c r="G5" s="1547" t="s">
        <v>9107</v>
      </c>
      <c r="H5" s="1545" t="s">
        <v>6325</v>
      </c>
      <c r="I5" s="1545" t="s">
        <v>9108</v>
      </c>
      <c r="J5" s="1547" t="s">
        <v>5266</v>
      </c>
      <c r="K5" s="1548" t="s">
        <v>9187</v>
      </c>
      <c r="L5" s="1546" t="s">
        <v>2309</v>
      </c>
      <c r="M5" s="1548" t="s">
        <v>2573</v>
      </c>
      <c r="N5" s="1549" t="s">
        <v>4072</v>
      </c>
      <c r="O5" s="1550" t="s">
        <v>9188</v>
      </c>
      <c r="P5" s="1549" t="s">
        <v>9111</v>
      </c>
      <c r="Q5" s="1549" t="s">
        <v>4273</v>
      </c>
      <c r="R5" s="1547" t="s">
        <v>9112</v>
      </c>
      <c r="S5" s="1549" t="s">
        <v>6738</v>
      </c>
      <c r="T5" s="1547" t="s">
        <v>3277</v>
      </c>
      <c r="U5" s="1549" t="s">
        <v>6859</v>
      </c>
      <c r="V5" s="1551" t="s">
        <v>3776</v>
      </c>
      <c r="W5" s="1545" t="s">
        <v>6519</v>
      </c>
      <c r="X5" s="1547" t="s">
        <v>9113</v>
      </c>
      <c r="Y5" s="1547" t="s">
        <v>5855</v>
      </c>
      <c r="Z5" s="1550" t="s">
        <v>5092</v>
      </c>
      <c r="AA5" s="1547" t="s">
        <v>9114</v>
      </c>
      <c r="AB5" s="1546" t="s">
        <v>3297</v>
      </c>
      <c r="AC5" s="1549" t="s">
        <v>4098</v>
      </c>
      <c r="AD5" s="1547" t="s">
        <v>9116</v>
      </c>
      <c r="AE5" s="1548" t="s">
        <v>8163</v>
      </c>
      <c r="AF5" s="1462" t="s">
        <v>9189</v>
      </c>
      <c r="AG5" s="1340" t="s">
        <v>9190</v>
      </c>
      <c r="AH5" s="1546" t="s">
        <v>5659</v>
      </c>
      <c r="AI5" s="1549" t="s">
        <v>9119</v>
      </c>
      <c r="AJ5" s="1340" t="s">
        <v>9191</v>
      </c>
      <c r="AK5" s="1549" t="s">
        <v>9121</v>
      </c>
      <c r="AL5" s="1547" t="s">
        <v>5669</v>
      </c>
      <c r="AM5" s="1547" t="s">
        <v>9122</v>
      </c>
      <c r="AN5" s="1546" t="s">
        <v>6463</v>
      </c>
      <c r="AO5" s="1548" t="s">
        <v>381</v>
      </c>
      <c r="AP5" s="1547" t="s">
        <v>9124</v>
      </c>
      <c r="AQ5" s="1547" t="s">
        <v>9125</v>
      </c>
      <c r="AR5" s="1340" t="s">
        <v>7106</v>
      </c>
      <c r="AS5" s="1550" t="s">
        <v>4507</v>
      </c>
      <c r="AT5" s="1546" t="s">
        <v>9192</v>
      </c>
      <c r="AU5" s="1552" t="s">
        <v>9193</v>
      </c>
      <c r="AV5" s="1462" t="str">
        <f t="shared" si="1"/>
        <v>1:56</v>
      </c>
      <c r="AW5" s="1553" t="s">
        <v>9194</v>
      </c>
    </row>
    <row r="6">
      <c r="A6" s="1554" t="s">
        <v>2544</v>
      </c>
      <c r="B6" s="1555" t="s">
        <v>9103</v>
      </c>
      <c r="C6" s="1556">
        <v>0.04926921296296296</v>
      </c>
      <c r="D6" s="1557" t="s">
        <v>9195</v>
      </c>
      <c r="E6" s="1557" t="s">
        <v>9196</v>
      </c>
      <c r="F6" s="1557" t="s">
        <v>9197</v>
      </c>
      <c r="G6" s="1557" t="s">
        <v>9198</v>
      </c>
      <c r="H6" s="1558" t="s">
        <v>9199</v>
      </c>
      <c r="I6" s="1558" t="s">
        <v>4299</v>
      </c>
      <c r="J6" s="1559" t="s">
        <v>9200</v>
      </c>
      <c r="K6" s="1559" t="s">
        <v>7549</v>
      </c>
      <c r="L6" s="1559" t="s">
        <v>9201</v>
      </c>
      <c r="M6" s="1559" t="s">
        <v>9202</v>
      </c>
      <c r="N6" s="1559" t="s">
        <v>102</v>
      </c>
      <c r="O6" s="1559" t="s">
        <v>9203</v>
      </c>
      <c r="P6" s="1559" t="s">
        <v>1014</v>
      </c>
      <c r="Q6" s="1560" t="s">
        <v>9204</v>
      </c>
      <c r="R6" s="1561" t="s">
        <v>3643</v>
      </c>
      <c r="S6" s="1561" t="s">
        <v>9205</v>
      </c>
      <c r="T6" s="1561" t="s">
        <v>3023</v>
      </c>
      <c r="U6" s="1561" t="s">
        <v>9206</v>
      </c>
      <c r="V6" s="1561" t="s">
        <v>9207</v>
      </c>
      <c r="W6" s="1562" t="s">
        <v>9208</v>
      </c>
      <c r="X6" s="1562" t="s">
        <v>4791</v>
      </c>
      <c r="Y6" s="1562" t="s">
        <v>9209</v>
      </c>
      <c r="Z6" s="1562" t="s">
        <v>7060</v>
      </c>
      <c r="AA6" s="1562" t="s">
        <v>9210</v>
      </c>
      <c r="AB6" s="1562" t="s">
        <v>9211</v>
      </c>
      <c r="AC6" s="1562" t="s">
        <v>8620</v>
      </c>
      <c r="AD6" s="1557" t="s">
        <v>9212</v>
      </c>
      <c r="AE6" s="1557" t="s">
        <v>9213</v>
      </c>
      <c r="AF6" s="1563" t="s">
        <v>9214</v>
      </c>
      <c r="AG6" s="1563" t="s">
        <v>6047</v>
      </c>
      <c r="AH6" s="1563" t="s">
        <v>3271</v>
      </c>
      <c r="AI6" s="1564" t="s">
        <v>9215</v>
      </c>
      <c r="AJ6" s="1564" t="s">
        <v>9216</v>
      </c>
      <c r="AK6" s="1564" t="s">
        <v>9122</v>
      </c>
      <c r="AL6" s="1563" t="s">
        <v>1737</v>
      </c>
      <c r="AM6" s="1565" t="s">
        <v>5036</v>
      </c>
      <c r="AN6" s="1566" t="s">
        <v>6312</v>
      </c>
      <c r="AO6" s="1566" t="s">
        <v>9217</v>
      </c>
      <c r="AP6" s="1565" t="s">
        <v>9218</v>
      </c>
      <c r="AQ6" s="1565" t="s">
        <v>4777</v>
      </c>
      <c r="AR6" s="1566" t="s">
        <v>6898</v>
      </c>
      <c r="AS6" s="1565" t="s">
        <v>2071</v>
      </c>
      <c r="AT6" s="1567" t="s">
        <v>9219</v>
      </c>
      <c r="AU6" s="1568" t="s">
        <v>9220</v>
      </c>
      <c r="AV6" s="1568" t="str">
        <f t="shared" si="1"/>
        <v>2:02</v>
      </c>
      <c r="AW6" s="1569"/>
    </row>
    <row r="7" ht="15.75" customHeight="1">
      <c r="A7" s="1570" t="s">
        <v>435</v>
      </c>
      <c r="B7" s="1543" t="s">
        <v>9103</v>
      </c>
      <c r="C7" s="1544">
        <v>0.0493287037037037</v>
      </c>
      <c r="D7" s="1571" t="s">
        <v>9221</v>
      </c>
      <c r="E7" s="1572" t="s">
        <v>9222</v>
      </c>
      <c r="F7" s="1572" t="s">
        <v>9223</v>
      </c>
      <c r="G7" s="1572" t="s">
        <v>9224</v>
      </c>
      <c r="H7" s="1572" t="s">
        <v>9225</v>
      </c>
      <c r="I7" s="1573" t="s">
        <v>9226</v>
      </c>
      <c r="J7" s="1572" t="s">
        <v>9227</v>
      </c>
      <c r="K7" s="1572" t="s">
        <v>780</v>
      </c>
      <c r="L7" s="1572" t="s">
        <v>9228</v>
      </c>
      <c r="M7" s="1572" t="s">
        <v>2573</v>
      </c>
      <c r="N7" s="1572" t="s">
        <v>9229</v>
      </c>
      <c r="O7" s="1572" t="s">
        <v>9230</v>
      </c>
      <c r="P7" s="1572" t="s">
        <v>1284</v>
      </c>
      <c r="Q7" s="1574" t="s">
        <v>1564</v>
      </c>
      <c r="R7" s="1572" t="s">
        <v>4457</v>
      </c>
      <c r="S7" s="1572" t="s">
        <v>9227</v>
      </c>
      <c r="T7" s="1572" t="s">
        <v>5228</v>
      </c>
      <c r="U7" s="1574" t="s">
        <v>9231</v>
      </c>
      <c r="V7" s="1575" t="s">
        <v>8937</v>
      </c>
      <c r="W7" s="1572" t="s">
        <v>9232</v>
      </c>
      <c r="X7" s="1572" t="s">
        <v>6628</v>
      </c>
      <c r="Y7" s="1576">
        <v>46.72</v>
      </c>
      <c r="Z7" s="1576" t="s">
        <v>3704</v>
      </c>
      <c r="AA7" s="1572" t="s">
        <v>3716</v>
      </c>
      <c r="AB7" s="1577" t="s">
        <v>9115</v>
      </c>
      <c r="AC7" s="1572" t="s">
        <v>5558</v>
      </c>
      <c r="AD7" s="1572" t="s">
        <v>7024</v>
      </c>
      <c r="AE7" s="1578" t="s">
        <v>4804</v>
      </c>
      <c r="AF7" s="1576" t="s">
        <v>9233</v>
      </c>
      <c r="AG7" s="1575" t="s">
        <v>6187</v>
      </c>
      <c r="AH7" s="1577" t="s">
        <v>3852</v>
      </c>
      <c r="AI7" s="1572" t="s">
        <v>6083</v>
      </c>
      <c r="AJ7" s="1576" t="s">
        <v>9234</v>
      </c>
      <c r="AK7" s="1576" t="s">
        <v>5995</v>
      </c>
      <c r="AL7" s="1575" t="s">
        <v>6312</v>
      </c>
      <c r="AM7" s="1572" t="s">
        <v>9235</v>
      </c>
      <c r="AN7" s="1575" t="s">
        <v>4259</v>
      </c>
      <c r="AO7" s="1575" t="s">
        <v>2847</v>
      </c>
      <c r="AP7" s="1575" t="s">
        <v>9236</v>
      </c>
      <c r="AQ7" s="1462" t="s">
        <v>9237</v>
      </c>
      <c r="AR7" s="1575" t="s">
        <v>9238</v>
      </c>
      <c r="AS7" s="1575" t="s">
        <v>9239</v>
      </c>
      <c r="AT7" s="1575" t="s">
        <v>9240</v>
      </c>
      <c r="AU7" s="1579" t="s">
        <v>9241</v>
      </c>
      <c r="AV7" s="1462" t="str">
        <f t="shared" si="1"/>
        <v>2:15</v>
      </c>
      <c r="AW7" s="1553"/>
    </row>
    <row r="8" ht="15.75" customHeight="1">
      <c r="A8" s="1542" t="s">
        <v>6771</v>
      </c>
      <c r="B8" s="1543" t="s">
        <v>9103</v>
      </c>
      <c r="C8" s="1544">
        <v>0.049444444444444444</v>
      </c>
      <c r="D8" s="1550" t="s">
        <v>9242</v>
      </c>
      <c r="E8" s="1550" t="s">
        <v>9243</v>
      </c>
      <c r="F8" s="1573" t="s">
        <v>9244</v>
      </c>
      <c r="G8" s="1548" t="s">
        <v>9245</v>
      </c>
      <c r="H8" s="1573" t="s">
        <v>9246</v>
      </c>
      <c r="I8" s="1573" t="s">
        <v>2956</v>
      </c>
      <c r="J8" s="1550" t="s">
        <v>9247</v>
      </c>
      <c r="K8" s="1573" t="s">
        <v>3534</v>
      </c>
      <c r="L8" s="1573" t="s">
        <v>4194</v>
      </c>
      <c r="M8" s="1573" t="s">
        <v>6617</v>
      </c>
      <c r="N8" s="1550" t="s">
        <v>9248</v>
      </c>
      <c r="O8" s="1573" t="s">
        <v>9249</v>
      </c>
      <c r="P8" s="1462" t="s">
        <v>8153</v>
      </c>
      <c r="Q8" s="1550" t="s">
        <v>9250</v>
      </c>
      <c r="R8" s="1573" t="s">
        <v>6850</v>
      </c>
      <c r="S8" s="1573" t="s">
        <v>3441</v>
      </c>
      <c r="T8" s="1462" t="s">
        <v>4081</v>
      </c>
      <c r="U8" s="1573" t="s">
        <v>9251</v>
      </c>
      <c r="V8" s="1573" t="s">
        <v>5274</v>
      </c>
      <c r="W8" s="1580" t="s">
        <v>9252</v>
      </c>
      <c r="X8" s="1462" t="s">
        <v>2572</v>
      </c>
      <c r="Y8" s="1581" t="s">
        <v>7780</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9253</v>
      </c>
      <c r="AF8" s="1462" t="s">
        <v>9254</v>
      </c>
      <c r="AG8" s="1582" t="str">
        <f>HYPERLINK("https://www.twitch.tv/videos/566334947","1:28.73")</f>
        <v>1:28.73</v>
      </c>
      <c r="AH8" s="1573" t="s">
        <v>9255</v>
      </c>
      <c r="AI8" s="1583" t="str">
        <f>HYPERLINK("https://www.twitch.tv/videos/584107631","1:27.68")</f>
        <v>1:27.68</v>
      </c>
      <c r="AJ8" s="1462" t="s">
        <v>9256</v>
      </c>
      <c r="AK8" s="1573" t="s">
        <v>6728</v>
      </c>
      <c r="AL8" s="1573" t="s">
        <v>9257</v>
      </c>
      <c r="AM8" s="1550" t="s">
        <v>4551</v>
      </c>
      <c r="AN8" s="1550" t="s">
        <v>2785</v>
      </c>
      <c r="AO8" s="1550" t="s">
        <v>6010</v>
      </c>
      <c r="AP8" s="1573" t="s">
        <v>9258</v>
      </c>
      <c r="AQ8" s="1462" t="s">
        <v>9259</v>
      </c>
      <c r="AR8" s="1550" t="s">
        <v>9260</v>
      </c>
      <c r="AS8" s="1067" t="str">
        <f>HYPERLINK("https://www.twitch.tv/videos/571767101","42.91")</f>
        <v>42.91</v>
      </c>
      <c r="AT8" s="1546" t="s">
        <v>9261</v>
      </c>
      <c r="AU8" s="1579" t="s">
        <v>9262</v>
      </c>
      <c r="AV8" s="1462" t="str">
        <f t="shared" si="1"/>
        <v>2:32</v>
      </c>
      <c r="AW8" s="1584" t="s">
        <v>9263</v>
      </c>
    </row>
    <row r="9" ht="15.75" customHeight="1">
      <c r="A9" s="1542" t="s">
        <v>1808</v>
      </c>
      <c r="B9" s="1543" t="s">
        <v>9103</v>
      </c>
      <c r="C9" s="1544">
        <v>0.04949074074074074</v>
      </c>
      <c r="D9" s="1585" t="s">
        <v>9264</v>
      </c>
      <c r="E9" s="1581" t="s">
        <v>9265</v>
      </c>
      <c r="F9" s="1581" t="s">
        <v>2135</v>
      </c>
      <c r="G9" s="1581" t="s">
        <v>9266</v>
      </c>
      <c r="H9" s="1550" t="s">
        <v>9267</v>
      </c>
      <c r="I9" s="1572">
        <v>47.34</v>
      </c>
      <c r="J9" s="1581" t="s">
        <v>1636</v>
      </c>
      <c r="K9" s="1581" t="s">
        <v>7396</v>
      </c>
      <c r="L9" s="1581">
        <v>55.97</v>
      </c>
      <c r="M9" s="1581" t="s">
        <v>2050</v>
      </c>
      <c r="N9" s="1581" t="s">
        <v>9268</v>
      </c>
      <c r="O9" s="1586" t="s">
        <v>9110</v>
      </c>
      <c r="P9" s="1581">
        <v>47.49</v>
      </c>
      <c r="Q9" s="1581" t="s">
        <v>9269</v>
      </c>
      <c r="R9" s="1581" t="s">
        <v>1227</v>
      </c>
      <c r="S9" s="1587" t="s">
        <v>1831</v>
      </c>
      <c r="T9" s="1581" t="s">
        <v>7932</v>
      </c>
      <c r="U9" s="1550" t="s">
        <v>9270</v>
      </c>
      <c r="V9" s="1581">
        <v>59.32</v>
      </c>
      <c r="W9" s="1585" t="s">
        <v>9271</v>
      </c>
      <c r="X9" s="1588" t="s">
        <v>9272</v>
      </c>
      <c r="Y9" s="1581">
        <v>46.65</v>
      </c>
      <c r="Z9" s="1581" t="s">
        <v>9273</v>
      </c>
      <c r="AA9" s="1581" t="s">
        <v>2498</v>
      </c>
      <c r="AB9" s="1581" t="s">
        <v>9274</v>
      </c>
      <c r="AC9" s="1581">
        <v>47.89</v>
      </c>
      <c r="AD9" s="1581" t="s">
        <v>1830</v>
      </c>
      <c r="AE9" s="1581">
        <v>47.98</v>
      </c>
      <c r="AF9" s="1588" t="s">
        <v>9275</v>
      </c>
      <c r="AG9" s="1581" t="s">
        <v>9276</v>
      </c>
      <c r="AH9" s="1581">
        <v>57.45</v>
      </c>
      <c r="AI9" s="1576" t="s">
        <v>6776</v>
      </c>
      <c r="AJ9" s="1589" t="s">
        <v>9191</v>
      </c>
      <c r="AK9" s="1581" t="s">
        <v>5526</v>
      </c>
      <c r="AL9" s="1581">
        <v>56.23</v>
      </c>
      <c r="AM9" s="1585" t="s">
        <v>4026</v>
      </c>
      <c r="AN9" s="1585" t="s">
        <v>9277</v>
      </c>
      <c r="AO9" s="1581" t="s">
        <v>9278</v>
      </c>
      <c r="AP9" s="1581" t="s">
        <v>9279</v>
      </c>
      <c r="AQ9" s="1581" t="s">
        <v>9280</v>
      </c>
      <c r="AR9" s="1588" t="s">
        <v>3926</v>
      </c>
      <c r="AS9" s="1581">
        <v>46.19</v>
      </c>
      <c r="AT9" s="1590" t="s">
        <v>9127</v>
      </c>
      <c r="AU9" s="1462" t="s">
        <v>9281</v>
      </c>
      <c r="AV9" s="1462" t="str">
        <f t="shared" si="1"/>
        <v>1:33</v>
      </c>
      <c r="AW9" s="1584" t="s">
        <v>9282</v>
      </c>
    </row>
    <row r="10">
      <c r="A10" s="1591" t="s">
        <v>825</v>
      </c>
      <c r="B10" s="1592" t="s">
        <v>9103</v>
      </c>
      <c r="C10" s="1544">
        <v>0.04951388888888889</v>
      </c>
      <c r="D10" s="1575" t="s">
        <v>9242</v>
      </c>
      <c r="E10" s="1575" t="s">
        <v>253</v>
      </c>
      <c r="F10" s="1575" t="s">
        <v>9283</v>
      </c>
      <c r="G10" s="1576" t="s">
        <v>9284</v>
      </c>
      <c r="H10" s="1575" t="s">
        <v>9285</v>
      </c>
      <c r="I10" s="1575" t="s">
        <v>4559</v>
      </c>
      <c r="J10" s="1572" t="s">
        <v>1488</v>
      </c>
      <c r="K10" s="1575" t="s">
        <v>9286</v>
      </c>
      <c r="L10" s="1575" t="s">
        <v>9287</v>
      </c>
      <c r="M10" s="1578" t="s">
        <v>6299</v>
      </c>
      <c r="N10" s="1575" t="s">
        <v>5959</v>
      </c>
      <c r="O10" s="1575" t="s">
        <v>9288</v>
      </c>
      <c r="P10" s="1575" t="s">
        <v>6216</v>
      </c>
      <c r="Q10" s="1575" t="s">
        <v>4799</v>
      </c>
      <c r="R10" s="1575" t="s">
        <v>5844</v>
      </c>
      <c r="S10" s="1550" t="s">
        <v>2905</v>
      </c>
      <c r="T10" s="1575" t="s">
        <v>9289</v>
      </c>
      <c r="U10" s="1575" t="s">
        <v>9290</v>
      </c>
      <c r="V10" s="1575" t="s">
        <v>9291</v>
      </c>
      <c r="W10" s="1575" t="s">
        <v>9292</v>
      </c>
      <c r="X10" s="1550" t="s">
        <v>9293</v>
      </c>
      <c r="Y10" s="1575" t="s">
        <v>6216</v>
      </c>
      <c r="Z10" s="1586" t="s">
        <v>6879</v>
      </c>
      <c r="AA10" s="1550" t="s">
        <v>9148</v>
      </c>
      <c r="AB10" s="1575" t="s">
        <v>415</v>
      </c>
      <c r="AC10" s="1575" t="s">
        <v>3798</v>
      </c>
      <c r="AD10" s="1593" t="s">
        <v>3729</v>
      </c>
      <c r="AE10" s="1576">
        <v>47.81</v>
      </c>
      <c r="AF10" s="1575" t="s">
        <v>9294</v>
      </c>
      <c r="AG10" s="1575" t="s">
        <v>9295</v>
      </c>
      <c r="AH10" s="1575" t="s">
        <v>750</v>
      </c>
      <c r="AI10" s="1575" t="s">
        <v>9296</v>
      </c>
      <c r="AJ10" s="1575" t="s">
        <v>9297</v>
      </c>
      <c r="AK10" s="1575" t="s">
        <v>9298</v>
      </c>
      <c r="AL10" s="1575" t="s">
        <v>8742</v>
      </c>
      <c r="AM10" s="1575" t="s">
        <v>4551</v>
      </c>
      <c r="AN10" s="1586" t="s">
        <v>9123</v>
      </c>
      <c r="AO10" s="1586" t="s">
        <v>7106</v>
      </c>
      <c r="AP10" s="1575" t="s">
        <v>9299</v>
      </c>
      <c r="AQ10" s="1575" t="s">
        <v>9300</v>
      </c>
      <c r="AR10" s="1586" t="s">
        <v>9126</v>
      </c>
      <c r="AS10" s="1578" t="s">
        <v>1332</v>
      </c>
      <c r="AT10" s="1575" t="s">
        <v>9301</v>
      </c>
      <c r="AU10" s="1594" t="s">
        <v>9302</v>
      </c>
      <c r="AV10" s="1462" t="str">
        <f t="shared" si="1"/>
        <v>2:15</v>
      </c>
      <c r="AW10" s="1595" t="s">
        <v>9303</v>
      </c>
    </row>
    <row r="11" ht="15.75" customHeight="1">
      <c r="A11" s="1570" t="s">
        <v>330</v>
      </c>
      <c r="B11" s="1543" t="s">
        <v>9103</v>
      </c>
      <c r="C11" s="1544">
        <v>0.04957175925925926</v>
      </c>
      <c r="D11" s="1596" t="s">
        <v>9304</v>
      </c>
      <c r="E11" s="1572" t="s">
        <v>9305</v>
      </c>
      <c r="F11" s="1597" t="s">
        <v>9106</v>
      </c>
      <c r="G11" s="1575" t="s">
        <v>9306</v>
      </c>
      <c r="H11" s="1598" t="s">
        <v>5496</v>
      </c>
      <c r="I11" s="1575" t="s">
        <v>1385</v>
      </c>
      <c r="J11" s="1123" t="s">
        <v>9307</v>
      </c>
      <c r="K11" s="1575" t="s">
        <v>7878</v>
      </c>
      <c r="L11" s="1577" t="s">
        <v>234</v>
      </c>
      <c r="M11" s="1123" t="s">
        <v>9308</v>
      </c>
      <c r="N11" s="1572" t="s">
        <v>9309</v>
      </c>
      <c r="O11" s="1123" t="s">
        <v>9310</v>
      </c>
      <c r="P11" s="1575" t="s">
        <v>6606</v>
      </c>
      <c r="Q11" s="1575" t="s">
        <v>9269</v>
      </c>
      <c r="R11" s="1575" t="s">
        <v>5716</v>
      </c>
      <c r="S11" s="1575" t="s">
        <v>9311</v>
      </c>
      <c r="T11" s="1575" t="s">
        <v>9312</v>
      </c>
      <c r="U11" s="1575" t="s">
        <v>6296</v>
      </c>
      <c r="V11" s="987" t="s">
        <v>5573</v>
      </c>
      <c r="W11" s="1599" t="s">
        <v>9313</v>
      </c>
      <c r="X11" s="1575" t="s">
        <v>9314</v>
      </c>
      <c r="Y11" s="1572">
        <v>46.63</v>
      </c>
      <c r="Z11" s="1074" t="s">
        <v>306</v>
      </c>
      <c r="AA11" s="1572" t="s">
        <v>9315</v>
      </c>
      <c r="AB11" s="1577" t="s">
        <v>9115</v>
      </c>
      <c r="AC11" s="1575" t="s">
        <v>5556</v>
      </c>
      <c r="AD11" s="1575" t="s">
        <v>9316</v>
      </c>
      <c r="AE11" s="1576" t="s">
        <v>9317</v>
      </c>
      <c r="AF11" s="1572" t="s">
        <v>9318</v>
      </c>
      <c r="AG11" s="1581" t="s">
        <v>9319</v>
      </c>
      <c r="AH11" s="1575" t="s">
        <v>9320</v>
      </c>
      <c r="AI11" s="987" t="s">
        <v>9321</v>
      </c>
      <c r="AJ11" s="1576" t="s">
        <v>9322</v>
      </c>
      <c r="AK11" s="1575" t="s">
        <v>1297</v>
      </c>
      <c r="AL11" s="1575" t="s">
        <v>5210</v>
      </c>
      <c r="AM11" s="1575" t="s">
        <v>9312</v>
      </c>
      <c r="AN11" s="1123" t="s">
        <v>9323</v>
      </c>
      <c r="AO11" s="1575" t="s">
        <v>9238</v>
      </c>
      <c r="AP11" s="1575" t="s">
        <v>9324</v>
      </c>
      <c r="AQ11" s="1575" t="s">
        <v>9325</v>
      </c>
      <c r="AR11" s="1575" t="s">
        <v>4638</v>
      </c>
      <c r="AS11" s="1575" t="s">
        <v>9326</v>
      </c>
      <c r="AT11" s="1600" t="s">
        <v>9327</v>
      </c>
      <c r="AU11" s="1594" t="s">
        <v>9328</v>
      </c>
      <c r="AV11" s="1462" t="str">
        <f t="shared" si="1"/>
        <v>2:59</v>
      </c>
      <c r="AW11" s="1601"/>
    </row>
    <row r="12">
      <c r="A12" s="1570" t="s">
        <v>6612</v>
      </c>
      <c r="B12" s="1602" t="s">
        <v>9103</v>
      </c>
      <c r="C12" s="1544">
        <v>0.04958333333333333</v>
      </c>
      <c r="D12" s="987" t="s">
        <v>9329</v>
      </c>
      <c r="E12" s="1581" t="s">
        <v>6570</v>
      </c>
      <c r="F12" s="1581" t="s">
        <v>9330</v>
      </c>
      <c r="G12" s="1581" t="s">
        <v>9331</v>
      </c>
      <c r="H12" s="1585" t="s">
        <v>9332</v>
      </c>
      <c r="I12" s="1585" t="s">
        <v>5830</v>
      </c>
      <c r="J12" s="1585" t="s">
        <v>151</v>
      </c>
      <c r="K12" s="1585" t="s">
        <v>7015</v>
      </c>
      <c r="L12" s="1581">
        <v>56.42</v>
      </c>
      <c r="M12" s="1581" t="s">
        <v>1043</v>
      </c>
      <c r="N12" s="1581" t="s">
        <v>9333</v>
      </c>
      <c r="O12" s="1585" t="s">
        <v>9334</v>
      </c>
      <c r="P12" s="1585" t="s">
        <v>280</v>
      </c>
      <c r="Q12" s="1585" t="s">
        <v>9335</v>
      </c>
      <c r="R12" s="1581" t="s">
        <v>9336</v>
      </c>
      <c r="S12" s="1585" t="s">
        <v>9337</v>
      </c>
      <c r="T12" s="1585" t="s">
        <v>5036</v>
      </c>
      <c r="U12" s="1585" t="s">
        <v>9338</v>
      </c>
      <c r="V12" s="1581">
        <v>59.45</v>
      </c>
      <c r="W12" s="1585" t="s">
        <v>9339</v>
      </c>
      <c r="X12" s="1585" t="s">
        <v>9340</v>
      </c>
      <c r="Y12" s="1585" t="s">
        <v>5162</v>
      </c>
      <c r="Z12" s="1581" t="s">
        <v>4188</v>
      </c>
      <c r="AA12" s="1581" t="s">
        <v>3220</v>
      </c>
      <c r="AB12" s="1581" t="s">
        <v>4606</v>
      </c>
      <c r="AC12" s="1585" t="s">
        <v>4926</v>
      </c>
      <c r="AD12" s="1585" t="s">
        <v>9341</v>
      </c>
      <c r="AE12" s="1581">
        <v>47.89</v>
      </c>
      <c r="AF12" s="1581" t="s">
        <v>9342</v>
      </c>
      <c r="AG12" s="1578" t="s">
        <v>9118</v>
      </c>
      <c r="AH12" s="1581">
        <v>57.71</v>
      </c>
      <c r="AI12" s="1585" t="s">
        <v>2228</v>
      </c>
      <c r="AJ12" s="1581" t="s">
        <v>9343</v>
      </c>
      <c r="AK12" s="1585" t="s">
        <v>6743</v>
      </c>
      <c r="AL12" s="1581">
        <v>56.69</v>
      </c>
      <c r="AM12" s="1585" t="s">
        <v>9344</v>
      </c>
      <c r="AN12" s="1585" t="s">
        <v>4149</v>
      </c>
      <c r="AO12" s="1585" t="s">
        <v>2940</v>
      </c>
      <c r="AP12" s="1581" t="s">
        <v>9345</v>
      </c>
      <c r="AQ12" s="1585" t="s">
        <v>9346</v>
      </c>
      <c r="AR12" s="1585" t="s">
        <v>9347</v>
      </c>
      <c r="AS12" s="1581">
        <v>43.65</v>
      </c>
      <c r="AT12" s="1585" t="s">
        <v>9348</v>
      </c>
      <c r="AU12" s="1579" t="s">
        <v>9349</v>
      </c>
      <c r="AV12" s="1462" t="str">
        <f t="shared" si="1"/>
        <v>1:34</v>
      </c>
      <c r="AW12" s="1603" t="s">
        <v>9350</v>
      </c>
    </row>
    <row r="13" ht="15.75" customHeight="1">
      <c r="A13" s="1604" t="s">
        <v>2153</v>
      </c>
      <c r="B13" s="1605" t="s">
        <v>9130</v>
      </c>
      <c r="C13" s="1544">
        <v>0.04962962962962963</v>
      </c>
      <c r="D13" s="1606" t="s">
        <v>9351</v>
      </c>
      <c r="E13" s="987" t="s">
        <v>3300</v>
      </c>
      <c r="F13" s="987" t="s">
        <v>9352</v>
      </c>
      <c r="G13" s="1606" t="s">
        <v>9353</v>
      </c>
      <c r="H13" s="1607" t="s">
        <v>9134</v>
      </c>
      <c r="I13" s="987" t="s">
        <v>9354</v>
      </c>
      <c r="J13" s="987" t="s">
        <v>9355</v>
      </c>
      <c r="K13" s="1608" t="s">
        <v>9135</v>
      </c>
      <c r="L13" s="1609" t="s">
        <v>4735</v>
      </c>
      <c r="M13" s="987" t="s">
        <v>6593</v>
      </c>
      <c r="N13" s="1610" t="s">
        <v>5346</v>
      </c>
      <c r="O13" s="987" t="s">
        <v>6945</v>
      </c>
      <c r="P13" s="1610" t="s">
        <v>5556</v>
      </c>
      <c r="Q13" s="987" t="s">
        <v>9356</v>
      </c>
      <c r="R13" s="1608" t="s">
        <v>9138</v>
      </c>
      <c r="S13" s="1611" t="s">
        <v>9139</v>
      </c>
      <c r="T13" s="1612" t="s">
        <v>4026</v>
      </c>
      <c r="U13" s="1613" t="s">
        <v>9357</v>
      </c>
      <c r="V13" s="1614" t="s">
        <v>9141</v>
      </c>
      <c r="W13" s="1615" t="s">
        <v>4154</v>
      </c>
      <c r="X13" s="1615" t="s">
        <v>6024</v>
      </c>
      <c r="Y13" s="1608" t="s">
        <v>9142</v>
      </c>
      <c r="Z13" s="1615" t="s">
        <v>1338</v>
      </c>
      <c r="AA13" s="1616" t="s">
        <v>5841</v>
      </c>
      <c r="AB13" s="1608" t="s">
        <v>6842</v>
      </c>
      <c r="AC13" s="1617" t="s">
        <v>9143</v>
      </c>
      <c r="AD13" s="987" t="s">
        <v>9358</v>
      </c>
      <c r="AE13" s="1618" t="s">
        <v>9145</v>
      </c>
      <c r="AF13" s="1340" t="s">
        <v>9359</v>
      </c>
      <c r="AG13" s="1615" t="s">
        <v>4618</v>
      </c>
      <c r="AH13" s="1619" t="s">
        <v>9147</v>
      </c>
      <c r="AI13" s="1619" t="s">
        <v>9148</v>
      </c>
      <c r="AJ13" s="987" t="s">
        <v>9360</v>
      </c>
      <c r="AK13" s="1609" t="s">
        <v>6908</v>
      </c>
      <c r="AL13" s="1615" t="s">
        <v>9150</v>
      </c>
      <c r="AM13" s="987" t="s">
        <v>885</v>
      </c>
      <c r="AN13" s="1620" t="s">
        <v>4758</v>
      </c>
      <c r="AO13" s="1608" t="s">
        <v>7296</v>
      </c>
      <c r="AP13" s="1621" t="s">
        <v>9152</v>
      </c>
      <c r="AQ13" s="1622" t="s">
        <v>9153</v>
      </c>
      <c r="AR13" s="1622" t="s">
        <v>4079</v>
      </c>
      <c r="AS13" s="1623" t="s">
        <v>4881</v>
      </c>
      <c r="AT13" s="1608" t="s">
        <v>5075</v>
      </c>
      <c r="AU13" s="1594" t="s">
        <v>9361</v>
      </c>
      <c r="AV13" s="1462" t="str">
        <f t="shared" si="1"/>
        <v>3:54</v>
      </c>
      <c r="AW13" s="1595" t="s">
        <v>9362</v>
      </c>
    </row>
    <row r="14" ht="15.75" customHeight="1">
      <c r="A14" s="1604" t="s">
        <v>7147</v>
      </c>
      <c r="B14" s="1543" t="s">
        <v>9103</v>
      </c>
      <c r="C14" s="1544">
        <v>0.04967592592592593</v>
      </c>
      <c r="D14" s="987" t="s">
        <v>9363</v>
      </c>
      <c r="E14" s="1573" t="s">
        <v>954</v>
      </c>
      <c r="F14" s="1573" t="s">
        <v>9364</v>
      </c>
      <c r="G14" s="1573" t="s">
        <v>9365</v>
      </c>
      <c r="H14" s="987" t="s">
        <v>9366</v>
      </c>
      <c r="I14" s="1573" t="s">
        <v>9367</v>
      </c>
      <c r="J14" s="1573" t="s">
        <v>9368</v>
      </c>
      <c r="K14" s="1573" t="s">
        <v>6534</v>
      </c>
      <c r="L14" s="1573" t="s">
        <v>4512</v>
      </c>
      <c r="M14" s="1573" t="s">
        <v>8914</v>
      </c>
      <c r="N14" s="1573" t="s">
        <v>2224</v>
      </c>
      <c r="O14" s="1573" t="s">
        <v>3337</v>
      </c>
      <c r="P14" s="1573" t="s">
        <v>9367</v>
      </c>
      <c r="Q14" s="1573" t="s">
        <v>9369</v>
      </c>
      <c r="R14" s="1573" t="s">
        <v>1227</v>
      </c>
      <c r="S14" s="1624" t="s">
        <v>9370</v>
      </c>
      <c r="T14" s="1573" t="s">
        <v>4892</v>
      </c>
      <c r="U14" s="1573" t="s">
        <v>9371</v>
      </c>
      <c r="V14" s="1573" t="s">
        <v>9372</v>
      </c>
      <c r="W14" s="1573" t="s">
        <v>9373</v>
      </c>
      <c r="X14" s="1573" t="s">
        <v>1117</v>
      </c>
      <c r="Y14" s="1573" t="s">
        <v>4398</v>
      </c>
      <c r="Z14" s="1573" t="s">
        <v>9374</v>
      </c>
      <c r="AA14" s="1573" t="s">
        <v>9375</v>
      </c>
      <c r="AB14" s="1573" t="s">
        <v>1839</v>
      </c>
      <c r="AC14" s="1573" t="s">
        <v>759</v>
      </c>
      <c r="AD14" s="1573" t="s">
        <v>9376</v>
      </c>
      <c r="AE14" s="1573" t="s">
        <v>5072</v>
      </c>
      <c r="AF14" s="1550" t="s">
        <v>9377</v>
      </c>
      <c r="AG14" s="1573" t="s">
        <v>9378</v>
      </c>
      <c r="AH14" s="1573" t="s">
        <v>4824</v>
      </c>
      <c r="AI14" s="1573" t="s">
        <v>3021</v>
      </c>
      <c r="AJ14" s="1573" t="s">
        <v>9379</v>
      </c>
      <c r="AK14" s="1573" t="s">
        <v>4196</v>
      </c>
      <c r="AL14" s="1573" t="s">
        <v>9380</v>
      </c>
      <c r="AM14" s="1573" t="s">
        <v>9381</v>
      </c>
      <c r="AN14" s="987" t="s">
        <v>9228</v>
      </c>
      <c r="AO14" s="1573" t="s">
        <v>9382</v>
      </c>
      <c r="AP14" s="1573" t="s">
        <v>9383</v>
      </c>
      <c r="AQ14" s="1550" t="s">
        <v>9384</v>
      </c>
      <c r="AR14" s="1573" t="s">
        <v>1843</v>
      </c>
      <c r="AS14" s="1573" t="s">
        <v>1570</v>
      </c>
      <c r="AT14" s="1573" t="s">
        <v>9385</v>
      </c>
      <c r="AU14" s="1573" t="s">
        <v>9386</v>
      </c>
      <c r="AV14" s="1462" t="str">
        <f t="shared" si="1"/>
        <v>2:47</v>
      </c>
      <c r="AW14" s="1553" t="s">
        <v>9387</v>
      </c>
    </row>
    <row r="15" ht="15.75" customHeight="1">
      <c r="A15" s="1625" t="s">
        <v>2772</v>
      </c>
      <c r="B15" s="1543" t="s">
        <v>9103</v>
      </c>
      <c r="C15" s="1626">
        <v>0.04971064814814815</v>
      </c>
      <c r="D15" s="1414" t="s">
        <v>9388</v>
      </c>
      <c r="E15" s="1627" t="s">
        <v>511</v>
      </c>
      <c r="F15" s="1627" t="s">
        <v>9389</v>
      </c>
      <c r="G15" s="1627" t="s">
        <v>9390</v>
      </c>
      <c r="H15" s="1550" t="s">
        <v>9391</v>
      </c>
      <c r="I15" s="922" t="s">
        <v>5842</v>
      </c>
      <c r="J15" s="1610" t="s">
        <v>2547</v>
      </c>
      <c r="K15" s="1610" t="s">
        <v>4352</v>
      </c>
      <c r="L15" s="1610" t="s">
        <v>4735</v>
      </c>
      <c r="M15" s="1628" t="s">
        <v>6299</v>
      </c>
      <c r="N15" s="1610" t="s">
        <v>2699</v>
      </c>
      <c r="O15" s="1610" t="s">
        <v>9392</v>
      </c>
      <c r="P15" s="1610" t="s">
        <v>9393</v>
      </c>
      <c r="Q15" s="1550" t="s">
        <v>9394</v>
      </c>
      <c r="R15" s="1613" t="s">
        <v>9395</v>
      </c>
      <c r="S15" s="1550" t="s">
        <v>1831</v>
      </c>
      <c r="T15" s="1613" t="s">
        <v>9396</v>
      </c>
      <c r="U15" s="1550" t="s">
        <v>9397</v>
      </c>
      <c r="V15" s="1613" t="s">
        <v>3457</v>
      </c>
      <c r="W15" s="1629" t="s">
        <v>9398</v>
      </c>
      <c r="X15" s="1629" t="s">
        <v>4110</v>
      </c>
      <c r="Y15" s="1629" t="s">
        <v>8164</v>
      </c>
      <c r="Z15" s="1629" t="s">
        <v>9399</v>
      </c>
      <c r="AA15" s="1629" t="s">
        <v>6187</v>
      </c>
      <c r="AB15" s="1629" t="s">
        <v>4437</v>
      </c>
      <c r="AC15" s="1629" t="s">
        <v>1145</v>
      </c>
      <c r="AD15" s="1627" t="s">
        <v>9400</v>
      </c>
      <c r="AE15" s="1627" t="s">
        <v>5454</v>
      </c>
      <c r="AF15" s="1630" t="s">
        <v>9401</v>
      </c>
      <c r="AG15" s="1630" t="s">
        <v>7444</v>
      </c>
      <c r="AH15" s="1630" t="s">
        <v>5464</v>
      </c>
      <c r="AI15" s="1630" t="s">
        <v>9402</v>
      </c>
      <c r="AJ15" s="1630" t="s">
        <v>9403</v>
      </c>
      <c r="AK15" s="1630" t="s">
        <v>9404</v>
      </c>
      <c r="AL15" s="1630" t="s">
        <v>3582</v>
      </c>
      <c r="AM15" s="1631" t="s">
        <v>9405</v>
      </c>
      <c r="AN15" s="1632" t="s">
        <v>4735</v>
      </c>
      <c r="AO15" s="1632" t="s">
        <v>9406</v>
      </c>
      <c r="AP15" s="1631" t="s">
        <v>9407</v>
      </c>
      <c r="AQ15" s="1631" t="s">
        <v>9408</v>
      </c>
      <c r="AR15" s="1632" t="s">
        <v>9409</v>
      </c>
      <c r="AS15" s="1631" t="s">
        <v>273</v>
      </c>
      <c r="AT15" s="1579" t="s">
        <v>9410</v>
      </c>
      <c r="AU15" s="1594" t="s">
        <v>9411</v>
      </c>
      <c r="AV15" s="1462" t="str">
        <f t="shared" si="1"/>
        <v>2:35</v>
      </c>
      <c r="AW15" s="1633" t="s">
        <v>9412</v>
      </c>
    </row>
    <row r="16">
      <c r="A16" s="1604" t="s">
        <v>1879</v>
      </c>
      <c r="B16" s="1602" t="s">
        <v>9103</v>
      </c>
      <c r="C16" s="1634">
        <v>0.04976851851851852</v>
      </c>
      <c r="D16" s="1585" t="s">
        <v>9413</v>
      </c>
      <c r="E16" s="1585" t="s">
        <v>9414</v>
      </c>
      <c r="F16" s="1585" t="s">
        <v>7007</v>
      </c>
      <c r="G16" s="1588" t="s">
        <v>9415</v>
      </c>
      <c r="H16" s="1585" t="s">
        <v>9416</v>
      </c>
      <c r="I16" s="1585" t="s">
        <v>3757</v>
      </c>
      <c r="J16" s="1585" t="s">
        <v>9417</v>
      </c>
      <c r="K16" s="1590" t="s">
        <v>9109</v>
      </c>
      <c r="L16" s="1585" t="s">
        <v>8787</v>
      </c>
      <c r="M16" s="1585" t="s">
        <v>9418</v>
      </c>
      <c r="N16" s="1585" t="s">
        <v>690</v>
      </c>
      <c r="O16" s="1585" t="s">
        <v>9419</v>
      </c>
      <c r="P16" s="1585" t="s">
        <v>6606</v>
      </c>
      <c r="Q16" s="1585" t="s">
        <v>9420</v>
      </c>
      <c r="R16" s="1585" t="s">
        <v>6970</v>
      </c>
      <c r="S16" s="1585" t="s">
        <v>9421</v>
      </c>
      <c r="T16" s="1585" t="s">
        <v>5901</v>
      </c>
      <c r="U16" s="1585" t="s">
        <v>9422</v>
      </c>
      <c r="V16" s="1585" t="s">
        <v>9423</v>
      </c>
      <c r="W16" s="1585" t="s">
        <v>9424</v>
      </c>
      <c r="X16" s="1585" t="s">
        <v>9425</v>
      </c>
      <c r="Y16" s="1585" t="s">
        <v>7780</v>
      </c>
      <c r="Z16" s="1585" t="s">
        <v>9426</v>
      </c>
      <c r="AA16" s="1585" t="s">
        <v>9427</v>
      </c>
      <c r="AB16" s="1585" t="s">
        <v>9428</v>
      </c>
      <c r="AC16" s="1585" t="s">
        <v>597</v>
      </c>
      <c r="AD16" s="1585" t="s">
        <v>3240</v>
      </c>
      <c r="AE16" s="1585" t="s">
        <v>5633</v>
      </c>
      <c r="AF16" s="1585" t="s">
        <v>9429</v>
      </c>
      <c r="AG16" s="1585" t="s">
        <v>309</v>
      </c>
      <c r="AH16" s="1585" t="s">
        <v>9430</v>
      </c>
      <c r="AI16" s="1585" t="s">
        <v>3220</v>
      </c>
      <c r="AJ16" s="1585" t="s">
        <v>9431</v>
      </c>
      <c r="AK16" s="1585" t="s">
        <v>9432</v>
      </c>
      <c r="AL16" s="1585" t="s">
        <v>344</v>
      </c>
      <c r="AM16" s="1585" t="s">
        <v>2226</v>
      </c>
      <c r="AN16" s="1585" t="s">
        <v>234</v>
      </c>
      <c r="AO16" s="1585" t="s">
        <v>9433</v>
      </c>
      <c r="AP16" s="1585" t="s">
        <v>9434</v>
      </c>
      <c r="AQ16" s="1635" t="s">
        <v>9435</v>
      </c>
      <c r="AR16" s="1585" t="s">
        <v>9436</v>
      </c>
      <c r="AS16" s="1585" t="s">
        <v>837</v>
      </c>
      <c r="AT16" s="1585" t="s">
        <v>2410</v>
      </c>
      <c r="AU16" s="1573" t="s">
        <v>9437</v>
      </c>
      <c r="AV16" s="1462" t="str">
        <f t="shared" si="1"/>
        <v>2:14</v>
      </c>
      <c r="AW16" s="1636"/>
    </row>
    <row r="17" ht="15.75" customHeight="1">
      <c r="A17" s="1542" t="s">
        <v>6411</v>
      </c>
      <c r="B17" s="1637" t="s">
        <v>9103</v>
      </c>
      <c r="C17" s="1544">
        <v>0.04982638888888889</v>
      </c>
      <c r="D17" s="1414" t="s">
        <v>9438</v>
      </c>
      <c r="E17" s="1414" t="s">
        <v>4848</v>
      </c>
      <c r="F17" s="1414" t="s">
        <v>9439</v>
      </c>
      <c r="G17" s="1414" t="s">
        <v>9440</v>
      </c>
      <c r="H17" s="1414" t="s">
        <v>9441</v>
      </c>
      <c r="I17" s="1414" t="s">
        <v>5311</v>
      </c>
      <c r="J17" s="1414" t="s">
        <v>9442</v>
      </c>
      <c r="K17" s="987" t="s">
        <v>9443</v>
      </c>
      <c r="L17" s="1414" t="s">
        <v>9444</v>
      </c>
      <c r="M17" s="1414" t="s">
        <v>9445</v>
      </c>
      <c r="N17" s="1414" t="s">
        <v>2099</v>
      </c>
      <c r="O17" s="1414" t="s">
        <v>9446</v>
      </c>
      <c r="P17" s="987" t="s">
        <v>4486</v>
      </c>
      <c r="Q17" s="1414" t="s">
        <v>9447</v>
      </c>
      <c r="R17" s="1414" t="s">
        <v>1871</v>
      </c>
      <c r="S17" s="1414" t="s">
        <v>3441</v>
      </c>
      <c r="T17" s="1414" t="s">
        <v>9448</v>
      </c>
      <c r="U17" s="1414" t="s">
        <v>9449</v>
      </c>
      <c r="V17" s="1414" t="s">
        <v>7748</v>
      </c>
      <c r="W17" s="1414" t="s">
        <v>5544</v>
      </c>
      <c r="X17" s="1414" t="s">
        <v>9118</v>
      </c>
      <c r="Y17" s="1414" t="s">
        <v>9226</v>
      </c>
      <c r="Z17" s="1414" t="s">
        <v>7886</v>
      </c>
      <c r="AA17" s="1638" t="s">
        <v>9450</v>
      </c>
      <c r="AB17" s="1414" t="s">
        <v>5959</v>
      </c>
      <c r="AC17" s="1414" t="s">
        <v>1095</v>
      </c>
      <c r="AD17" s="1414" t="s">
        <v>7053</v>
      </c>
      <c r="AE17" s="1414" t="s">
        <v>4974</v>
      </c>
      <c r="AF17" s="1414" t="s">
        <v>9451</v>
      </c>
      <c r="AG17" s="1414" t="s">
        <v>1528</v>
      </c>
      <c r="AH17" s="987" t="s">
        <v>9452</v>
      </c>
      <c r="AI17" s="1414" t="s">
        <v>8832</v>
      </c>
      <c r="AJ17" s="1414" t="s">
        <v>9453</v>
      </c>
      <c r="AK17" s="1414" t="s">
        <v>9454</v>
      </c>
      <c r="AL17" s="1414" t="s">
        <v>4429</v>
      </c>
      <c r="AM17" s="1414" t="s">
        <v>3464</v>
      </c>
      <c r="AN17" s="1414" t="s">
        <v>9455</v>
      </c>
      <c r="AO17" s="1414" t="s">
        <v>9260</v>
      </c>
      <c r="AP17" s="1579" t="s">
        <v>9231</v>
      </c>
      <c r="AQ17" s="1414" t="s">
        <v>9456</v>
      </c>
      <c r="AR17" s="1414" t="s">
        <v>9457</v>
      </c>
      <c r="AS17" s="1414" t="s">
        <v>8645</v>
      </c>
      <c r="AT17" s="1414" t="s">
        <v>9458</v>
      </c>
      <c r="AU17" s="1396" t="s">
        <v>9459</v>
      </c>
      <c r="AV17" s="1462" t="str">
        <f t="shared" si="1"/>
        <v>2:18</v>
      </c>
      <c r="AW17" s="1639" t="s">
        <v>9460</v>
      </c>
    </row>
    <row r="18">
      <c r="A18" s="1640" t="s">
        <v>2649</v>
      </c>
      <c r="B18" s="1592" t="s">
        <v>9130</v>
      </c>
      <c r="C18" s="1641">
        <v>0.04985763888888889</v>
      </c>
      <c r="D18" s="1340" t="s">
        <v>9461</v>
      </c>
      <c r="E18" s="1642" t="s">
        <v>9462</v>
      </c>
      <c r="F18" s="1627" t="s">
        <v>1147</v>
      </c>
      <c r="G18" s="1642" t="s">
        <v>9463</v>
      </c>
      <c r="H18" s="1084" t="s">
        <v>9464</v>
      </c>
      <c r="I18" s="807" t="s">
        <v>239</v>
      </c>
      <c r="J18" s="1643" t="s">
        <v>9465</v>
      </c>
      <c r="K18" s="1644" t="s">
        <v>1618</v>
      </c>
      <c r="L18" s="1643" t="s">
        <v>9466</v>
      </c>
      <c r="M18" s="1643" t="s">
        <v>9467</v>
      </c>
      <c r="N18" s="1644" t="s">
        <v>9468</v>
      </c>
      <c r="O18" s="1643" t="s">
        <v>9469</v>
      </c>
      <c r="P18" s="1643" t="s">
        <v>4557</v>
      </c>
      <c r="Q18" s="1645" t="s">
        <v>9470</v>
      </c>
      <c r="R18" s="1646" t="s">
        <v>5570</v>
      </c>
      <c r="S18" s="1645" t="s">
        <v>9471</v>
      </c>
      <c r="T18" s="1187" t="s">
        <v>9472</v>
      </c>
      <c r="U18" s="1187" t="s">
        <v>9473</v>
      </c>
      <c r="V18" s="1646" t="s">
        <v>6428</v>
      </c>
      <c r="W18" s="1647" t="s">
        <v>9474</v>
      </c>
      <c r="X18" s="1648" t="s">
        <v>6876</v>
      </c>
      <c r="Y18" s="1629" t="s">
        <v>8620</v>
      </c>
      <c r="Z18" s="1648" t="s">
        <v>9475</v>
      </c>
      <c r="AA18" s="1649" t="s">
        <v>1925</v>
      </c>
      <c r="AB18" s="1647" t="s">
        <v>9476</v>
      </c>
      <c r="AC18" s="1647" t="s">
        <v>4974</v>
      </c>
      <c r="AD18" s="1642" t="s">
        <v>9477</v>
      </c>
      <c r="AE18" s="1642" t="s">
        <v>5421</v>
      </c>
      <c r="AF18" s="1650" t="s">
        <v>9478</v>
      </c>
      <c r="AG18" s="1651" t="s">
        <v>156</v>
      </c>
      <c r="AH18" s="1651" t="s">
        <v>9479</v>
      </c>
      <c r="AI18" s="1650" t="s">
        <v>9480</v>
      </c>
      <c r="AJ18" s="1651" t="s">
        <v>9481</v>
      </c>
      <c r="AK18" s="1651" t="s">
        <v>2334</v>
      </c>
      <c r="AL18" s="1650" t="s">
        <v>4142</v>
      </c>
      <c r="AM18" s="1622" t="s">
        <v>9151</v>
      </c>
      <c r="AN18" s="1652" t="s">
        <v>4631</v>
      </c>
      <c r="AO18" s="1652" t="s">
        <v>9482</v>
      </c>
      <c r="AP18" s="1652" t="s">
        <v>9483</v>
      </c>
      <c r="AQ18" s="1652" t="s">
        <v>4575</v>
      </c>
      <c r="AR18" s="1652" t="s">
        <v>9484</v>
      </c>
      <c r="AS18" s="1652" t="s">
        <v>929</v>
      </c>
      <c r="AT18" s="1643" t="s">
        <v>9485</v>
      </c>
      <c r="AU18" s="1653" t="s">
        <v>9459</v>
      </c>
      <c r="AV18" s="1654" t="str">
        <f t="shared" si="1"/>
        <v>2:15</v>
      </c>
      <c r="AW18" s="1655"/>
    </row>
    <row r="19" ht="15.75" customHeight="1">
      <c r="A19" s="1542" t="s">
        <v>2088</v>
      </c>
      <c r="B19" s="1543" t="s">
        <v>9103</v>
      </c>
      <c r="C19" s="1544">
        <v>0.049895833333333334</v>
      </c>
      <c r="D19" s="987" t="s">
        <v>9486</v>
      </c>
      <c r="E19" s="1656" t="s">
        <v>954</v>
      </c>
      <c r="F19" s="1627" t="s">
        <v>9487</v>
      </c>
      <c r="G19" s="1656" t="s">
        <v>9488</v>
      </c>
      <c r="H19" s="807" t="s">
        <v>9489</v>
      </c>
      <c r="I19" s="922" t="s">
        <v>5635</v>
      </c>
      <c r="J19" s="1610" t="s">
        <v>9490</v>
      </c>
      <c r="K19" s="1657" t="s">
        <v>9491</v>
      </c>
      <c r="L19" s="1610" t="s">
        <v>9201</v>
      </c>
      <c r="M19" s="1610" t="s">
        <v>5094</v>
      </c>
      <c r="N19" s="1610" t="s">
        <v>9492</v>
      </c>
      <c r="O19" s="1657" t="s">
        <v>9493</v>
      </c>
      <c r="P19" s="987" t="s">
        <v>990</v>
      </c>
      <c r="Q19" s="1613" t="s">
        <v>3517</v>
      </c>
      <c r="R19" s="1658" t="s">
        <v>7883</v>
      </c>
      <c r="S19" s="1658" t="s">
        <v>9494</v>
      </c>
      <c r="T19" s="1658" t="s">
        <v>9495</v>
      </c>
      <c r="U19" s="1658" t="s">
        <v>1828</v>
      </c>
      <c r="V19" s="1613" t="s">
        <v>4465</v>
      </c>
      <c r="W19" s="1629" t="s">
        <v>9496</v>
      </c>
      <c r="X19" s="1659" t="s">
        <v>9497</v>
      </c>
      <c r="Y19" s="1629" t="s">
        <v>9498</v>
      </c>
      <c r="Z19" s="1629" t="s">
        <v>9499</v>
      </c>
      <c r="AA19" s="1629" t="s">
        <v>3324</v>
      </c>
      <c r="AB19" s="1659" t="s">
        <v>7376</v>
      </c>
      <c r="AC19" s="1659" t="s">
        <v>1220</v>
      </c>
      <c r="AD19" s="1656" t="s">
        <v>9500</v>
      </c>
      <c r="AE19" s="1656" t="s">
        <v>9501</v>
      </c>
      <c r="AF19" s="1660" t="s">
        <v>9502</v>
      </c>
      <c r="AG19" s="1630" t="s">
        <v>9503</v>
      </c>
      <c r="AH19" s="1630" t="s">
        <v>9504</v>
      </c>
      <c r="AI19" s="1630" t="s">
        <v>9505</v>
      </c>
      <c r="AJ19" s="1660" t="s">
        <v>9506</v>
      </c>
      <c r="AK19" s="1660" t="s">
        <v>960</v>
      </c>
      <c r="AL19" s="1630" t="s">
        <v>9507</v>
      </c>
      <c r="AM19" s="1632" t="s">
        <v>9508</v>
      </c>
      <c r="AN19" s="1631" t="s">
        <v>3165</v>
      </c>
      <c r="AO19" s="1632" t="s">
        <v>6853</v>
      </c>
      <c r="AP19" s="1631" t="s">
        <v>5723</v>
      </c>
      <c r="AQ19" s="1632" t="s">
        <v>9509</v>
      </c>
      <c r="AR19" s="1631" t="s">
        <v>1161</v>
      </c>
      <c r="AS19" s="1631" t="s">
        <v>3952</v>
      </c>
      <c r="AT19" s="1657" t="s">
        <v>6590</v>
      </c>
      <c r="AU19" s="1654" t="s">
        <v>9510</v>
      </c>
      <c r="AV19" s="1462" t="str">
        <f t="shared" si="1"/>
        <v>2:22</v>
      </c>
      <c r="AW19" s="1601" t="s">
        <v>9511</v>
      </c>
    </row>
    <row r="20">
      <c r="A20" s="1604" t="s">
        <v>1549</v>
      </c>
      <c r="B20" s="1592" t="s">
        <v>9103</v>
      </c>
      <c r="C20" s="1544">
        <v>0.04991898148148148</v>
      </c>
      <c r="D20" s="1661" t="s">
        <v>9512</v>
      </c>
      <c r="E20" s="1662" t="s">
        <v>9513</v>
      </c>
      <c r="F20" s="1662" t="s">
        <v>9514</v>
      </c>
      <c r="G20" s="1662" t="s">
        <v>9515</v>
      </c>
      <c r="H20" s="1662" t="s">
        <v>9516</v>
      </c>
      <c r="I20" s="1662">
        <v>48.07</v>
      </c>
      <c r="J20" s="1662" t="s">
        <v>9475</v>
      </c>
      <c r="K20" s="1662" t="s">
        <v>1789</v>
      </c>
      <c r="L20" s="1662">
        <v>56.32</v>
      </c>
      <c r="M20" s="1662" t="s">
        <v>175</v>
      </c>
      <c r="N20" s="1662" t="s">
        <v>9517</v>
      </c>
      <c r="O20" s="1662" t="s">
        <v>9518</v>
      </c>
      <c r="P20" s="1662">
        <v>47.77</v>
      </c>
      <c r="Q20" s="1662" t="s">
        <v>9519</v>
      </c>
      <c r="R20" s="1662" t="s">
        <v>6900</v>
      </c>
      <c r="S20" s="1662" t="s">
        <v>9520</v>
      </c>
      <c r="T20" s="1662" t="s">
        <v>2666</v>
      </c>
      <c r="U20" s="1662" t="s">
        <v>9521</v>
      </c>
      <c r="V20" s="1662">
        <v>59.79</v>
      </c>
      <c r="W20" s="1662" t="s">
        <v>9522</v>
      </c>
      <c r="X20" s="1662" t="s">
        <v>1925</v>
      </c>
      <c r="Y20" s="1662">
        <v>47.0</v>
      </c>
      <c r="Z20" s="1662" t="s">
        <v>9523</v>
      </c>
      <c r="AA20" s="1662" t="s">
        <v>9524</v>
      </c>
      <c r="AB20" s="1662" t="s">
        <v>6842</v>
      </c>
      <c r="AC20" s="1662">
        <v>47.56</v>
      </c>
      <c r="AD20" s="1662" t="s">
        <v>9144</v>
      </c>
      <c r="AE20" s="1662">
        <v>47.95</v>
      </c>
      <c r="AF20" s="1662" t="s">
        <v>9525</v>
      </c>
      <c r="AG20" s="1662" t="s">
        <v>9526</v>
      </c>
      <c r="AH20" s="1662">
        <v>57.67</v>
      </c>
      <c r="AI20" s="1662" t="s">
        <v>1117</v>
      </c>
      <c r="AJ20" s="1662" t="s">
        <v>9527</v>
      </c>
      <c r="AK20" s="1662" t="s">
        <v>7409</v>
      </c>
      <c r="AL20" s="1662">
        <v>56.37</v>
      </c>
      <c r="AM20" s="1662" t="s">
        <v>9528</v>
      </c>
      <c r="AN20" s="1662">
        <v>55.92</v>
      </c>
      <c r="AO20" s="1662" t="s">
        <v>4517</v>
      </c>
      <c r="AP20" s="1662" t="s">
        <v>8995</v>
      </c>
      <c r="AQ20" s="1662" t="s">
        <v>9529</v>
      </c>
      <c r="AR20" s="1662" t="s">
        <v>7545</v>
      </c>
      <c r="AS20" s="1662">
        <v>46.83</v>
      </c>
      <c r="AT20" s="1663" t="s">
        <v>9530</v>
      </c>
      <c r="AU20" s="1585" t="s">
        <v>9531</v>
      </c>
      <c r="AV20" s="1462" t="str">
        <f t="shared" si="1"/>
        <v>1:53</v>
      </c>
      <c r="AW20" s="1595" t="s">
        <v>9532</v>
      </c>
    </row>
    <row r="21">
      <c r="A21" s="1604" t="s">
        <v>2106</v>
      </c>
      <c r="B21" s="1592" t="s">
        <v>9103</v>
      </c>
      <c r="C21" s="1664">
        <v>0.049930555555555554</v>
      </c>
      <c r="D21" s="1665" t="s">
        <v>9533</v>
      </c>
      <c r="E21" s="1585" t="s">
        <v>6465</v>
      </c>
      <c r="F21" s="1585" t="s">
        <v>4238</v>
      </c>
      <c r="G21" s="1585" t="s">
        <v>9534</v>
      </c>
      <c r="H21" s="1585" t="s">
        <v>9535</v>
      </c>
      <c r="I21" s="1585" t="s">
        <v>5830</v>
      </c>
      <c r="J21" s="1585" t="s">
        <v>6438</v>
      </c>
      <c r="K21" s="1585" t="s">
        <v>9536</v>
      </c>
      <c r="L21" s="1585" t="s">
        <v>3582</v>
      </c>
      <c r="M21" s="1585" t="s">
        <v>1010</v>
      </c>
      <c r="N21" s="1585" t="s">
        <v>9537</v>
      </c>
      <c r="O21" s="1585" t="s">
        <v>798</v>
      </c>
      <c r="P21" s="1581">
        <v>47.54</v>
      </c>
      <c r="Q21" s="1666" t="s">
        <v>5837</v>
      </c>
      <c r="R21" s="1581" t="s">
        <v>9538</v>
      </c>
      <c r="S21" s="1666" t="s">
        <v>9370</v>
      </c>
      <c r="T21" s="1581" t="s">
        <v>9539</v>
      </c>
      <c r="U21" s="1666" t="s">
        <v>9540</v>
      </c>
      <c r="V21" s="1581">
        <v>58.55</v>
      </c>
      <c r="W21" s="1666" t="s">
        <v>9541</v>
      </c>
      <c r="X21" s="1666" t="s">
        <v>9542</v>
      </c>
      <c r="Y21" s="1550" t="s">
        <v>7780</v>
      </c>
      <c r="Z21" s="1666" t="s">
        <v>9543</v>
      </c>
      <c r="AA21" s="1585" t="s">
        <v>9544</v>
      </c>
      <c r="AB21" s="1666" t="s">
        <v>9428</v>
      </c>
      <c r="AC21" s="1462">
        <v>47.2</v>
      </c>
      <c r="AD21" s="1666" t="s">
        <v>9545</v>
      </c>
      <c r="AE21" s="1581">
        <v>47.88</v>
      </c>
      <c r="AF21" s="1666" t="s">
        <v>9546</v>
      </c>
      <c r="AG21" s="1666" t="s">
        <v>9547</v>
      </c>
      <c r="AH21" s="1666">
        <v>57.68</v>
      </c>
      <c r="AI21" s="1666" t="s">
        <v>2927</v>
      </c>
      <c r="AJ21" s="1581" t="s">
        <v>9548</v>
      </c>
      <c r="AK21" s="1550" t="s">
        <v>9549</v>
      </c>
      <c r="AL21" s="1666">
        <v>55.92</v>
      </c>
      <c r="AM21" s="1666" t="s">
        <v>2968</v>
      </c>
      <c r="AN21" s="1550" t="s">
        <v>5846</v>
      </c>
      <c r="AO21" s="1666" t="s">
        <v>7874</v>
      </c>
      <c r="AP21" s="1666" t="s">
        <v>9550</v>
      </c>
      <c r="AQ21" s="1666" t="s">
        <v>7023</v>
      </c>
      <c r="AR21" s="1666" t="s">
        <v>6537</v>
      </c>
      <c r="AS21" s="1667">
        <v>42.83</v>
      </c>
      <c r="AT21" s="1581" t="s">
        <v>9551</v>
      </c>
      <c r="AU21" s="1594" t="s">
        <v>9552</v>
      </c>
      <c r="AV21" s="1462" t="str">
        <f t="shared" si="1"/>
        <v>4:29</v>
      </c>
      <c r="AW21" s="1595" t="s">
        <v>9553</v>
      </c>
    </row>
    <row r="22" ht="15.75" customHeight="1">
      <c r="A22" s="1604" t="s">
        <v>2264</v>
      </c>
      <c r="B22" s="1543" t="s">
        <v>9103</v>
      </c>
      <c r="C22" s="1544">
        <v>0.0499537037037037</v>
      </c>
      <c r="D22" s="1573" t="s">
        <v>9554</v>
      </c>
      <c r="E22" s="1573" t="s">
        <v>2882</v>
      </c>
      <c r="F22" s="1573" t="s">
        <v>9555</v>
      </c>
      <c r="G22" s="1550" t="s">
        <v>9556</v>
      </c>
      <c r="H22" s="1573" t="s">
        <v>9557</v>
      </c>
      <c r="I22" s="1668" t="s">
        <v>9501</v>
      </c>
      <c r="J22" s="1573" t="s">
        <v>1417</v>
      </c>
      <c r="K22" s="1573" t="s">
        <v>5264</v>
      </c>
      <c r="L22" s="1573" t="s">
        <v>9558</v>
      </c>
      <c r="M22" s="1573" t="s">
        <v>9559</v>
      </c>
      <c r="N22" s="1573" t="s">
        <v>9560</v>
      </c>
      <c r="O22" s="1573" t="s">
        <v>9561</v>
      </c>
      <c r="P22" s="1573" t="s">
        <v>7765</v>
      </c>
      <c r="Q22" s="1573" t="s">
        <v>4632</v>
      </c>
      <c r="R22" s="1613" t="s">
        <v>5570</v>
      </c>
      <c r="S22" s="1573" t="s">
        <v>4072</v>
      </c>
      <c r="T22" s="1573" t="s">
        <v>9293</v>
      </c>
      <c r="U22" s="1573" t="s">
        <v>9562</v>
      </c>
      <c r="V22" s="1573" t="s">
        <v>9563</v>
      </c>
      <c r="W22" s="1573" t="s">
        <v>9564</v>
      </c>
      <c r="X22" s="1573" t="s">
        <v>7377</v>
      </c>
      <c r="Y22" s="1573" t="s">
        <v>4357</v>
      </c>
      <c r="Z22" s="1573" t="s">
        <v>9565</v>
      </c>
      <c r="AA22" s="1573" t="s">
        <v>7377</v>
      </c>
      <c r="AB22" s="1573" t="s">
        <v>9566</v>
      </c>
      <c r="AC22" s="1573" t="s">
        <v>5685</v>
      </c>
      <c r="AD22" s="1573" t="s">
        <v>7456</v>
      </c>
      <c r="AE22" s="1573" t="s">
        <v>5948</v>
      </c>
      <c r="AF22" s="1573" t="s">
        <v>9567</v>
      </c>
      <c r="AG22" s="1573" t="s">
        <v>5099</v>
      </c>
      <c r="AH22" s="1573" t="s">
        <v>5282</v>
      </c>
      <c r="AI22" s="1573" t="s">
        <v>9568</v>
      </c>
      <c r="AJ22" s="1549" t="s">
        <v>9120</v>
      </c>
      <c r="AK22" s="1573" t="s">
        <v>2531</v>
      </c>
      <c r="AL22" s="1573" t="s">
        <v>9569</v>
      </c>
      <c r="AM22" s="1573" t="s">
        <v>9272</v>
      </c>
      <c r="AN22" s="1573" t="s">
        <v>557</v>
      </c>
      <c r="AO22" s="1573" t="s">
        <v>9570</v>
      </c>
      <c r="AP22" s="1573" t="s">
        <v>9571</v>
      </c>
      <c r="AQ22" s="1573" t="s">
        <v>4834</v>
      </c>
      <c r="AR22" s="1573" t="s">
        <v>7546</v>
      </c>
      <c r="AS22" s="1573" t="s">
        <v>9572</v>
      </c>
      <c r="AT22" s="1573" t="s">
        <v>3124</v>
      </c>
      <c r="AU22" s="1573" t="s">
        <v>9573</v>
      </c>
      <c r="AV22" s="1462" t="str">
        <f t="shared" si="1"/>
        <v>3:21</v>
      </c>
      <c r="AW22" s="1639" t="s">
        <v>9574</v>
      </c>
    </row>
    <row r="23" ht="15.75" customHeight="1">
      <c r="A23" s="1542" t="s">
        <v>9575</v>
      </c>
      <c r="B23" s="1543" t="s">
        <v>9103</v>
      </c>
      <c r="C23" s="1544">
        <v>0.049965277777777775</v>
      </c>
      <c r="D23" s="987" t="s">
        <v>9576</v>
      </c>
      <c r="E23" s="1573" t="s">
        <v>4380</v>
      </c>
      <c r="F23" s="1573" t="s">
        <v>9577</v>
      </c>
      <c r="G23" s="1573" t="s">
        <v>9578</v>
      </c>
      <c r="H23" s="1462" t="s">
        <v>2288</v>
      </c>
      <c r="I23" s="1573" t="s">
        <v>1385</v>
      </c>
      <c r="J23" s="1573" t="s">
        <v>381</v>
      </c>
      <c r="K23" s="1573" t="s">
        <v>9579</v>
      </c>
      <c r="L23" s="1573" t="s">
        <v>5501</v>
      </c>
      <c r="M23" s="1573" t="s">
        <v>6617</v>
      </c>
      <c r="N23" s="1573" t="s">
        <v>9580</v>
      </c>
      <c r="O23" s="1573" t="s">
        <v>2615</v>
      </c>
      <c r="P23" s="1462" t="s">
        <v>5349</v>
      </c>
      <c r="Q23" s="1573" t="s">
        <v>9581</v>
      </c>
      <c r="R23" s="1573" t="s">
        <v>3302</v>
      </c>
      <c r="S23" s="1573" t="s">
        <v>7268</v>
      </c>
      <c r="T23" s="1573" t="s">
        <v>8882</v>
      </c>
      <c r="U23" s="1573" t="s">
        <v>9582</v>
      </c>
      <c r="V23" s="1573" t="s">
        <v>5049</v>
      </c>
      <c r="W23" s="1573" t="s">
        <v>9583</v>
      </c>
      <c r="X23" s="1462" t="s">
        <v>6876</v>
      </c>
      <c r="Y23" s="1462" t="s">
        <v>5619</v>
      </c>
      <c r="Z23" s="1573" t="s">
        <v>9584</v>
      </c>
      <c r="AA23" s="1573" t="s">
        <v>2331</v>
      </c>
      <c r="AB23" s="1573" t="s">
        <v>9585</v>
      </c>
      <c r="AC23" s="1573" t="s">
        <v>784</v>
      </c>
      <c r="AD23" s="1573" t="s">
        <v>5361</v>
      </c>
      <c r="AE23" s="1573" t="s">
        <v>9586</v>
      </c>
      <c r="AF23" s="1573" t="s">
        <v>943</v>
      </c>
      <c r="AG23" s="1573" t="s">
        <v>9587</v>
      </c>
      <c r="AH23" s="1573" t="s">
        <v>6177</v>
      </c>
      <c r="AI23" s="1573" t="s">
        <v>692</v>
      </c>
      <c r="AJ23" s="1462" t="s">
        <v>9588</v>
      </c>
      <c r="AK23" s="1630" t="s">
        <v>7200</v>
      </c>
      <c r="AL23" s="1573" t="s">
        <v>4624</v>
      </c>
      <c r="AM23" s="1573" t="s">
        <v>3716</v>
      </c>
      <c r="AN23" s="1462" t="s">
        <v>6312</v>
      </c>
      <c r="AO23" s="1462" t="s">
        <v>7546</v>
      </c>
      <c r="AP23" s="1462" t="s">
        <v>9589</v>
      </c>
      <c r="AQ23" s="1462" t="s">
        <v>9237</v>
      </c>
      <c r="AR23" s="1462" t="s">
        <v>490</v>
      </c>
      <c r="AS23" s="1462" t="s">
        <v>5855</v>
      </c>
      <c r="AT23" s="1462" t="s">
        <v>9451</v>
      </c>
      <c r="AU23" s="1573" t="s">
        <v>9590</v>
      </c>
      <c r="AV23" s="1462" t="str">
        <f t="shared" si="1"/>
        <v>3:46</v>
      </c>
      <c r="AW23" s="1636" t="s">
        <v>8654</v>
      </c>
    </row>
    <row r="24" ht="15.75" customHeight="1">
      <c r="A24" s="1669" t="s">
        <v>6365</v>
      </c>
      <c r="B24" s="1543" t="s">
        <v>9103</v>
      </c>
      <c r="C24" s="1544">
        <v>0.05</v>
      </c>
      <c r="D24" s="987" t="s">
        <v>9591</v>
      </c>
      <c r="E24" s="1573" t="s">
        <v>8914</v>
      </c>
      <c r="F24" s="1573" t="s">
        <v>9555</v>
      </c>
      <c r="G24" s="1462" t="s">
        <v>9592</v>
      </c>
      <c r="H24" s="1573" t="s">
        <v>9593</v>
      </c>
      <c r="I24" s="1462" t="s">
        <v>1848</v>
      </c>
      <c r="J24" s="1573" t="s">
        <v>2870</v>
      </c>
      <c r="K24" s="1573" t="s">
        <v>9594</v>
      </c>
      <c r="L24" s="1573" t="s">
        <v>3322</v>
      </c>
      <c r="M24" s="1573" t="s">
        <v>9595</v>
      </c>
      <c r="N24" s="1573" t="s">
        <v>9596</v>
      </c>
      <c r="O24" s="1573" t="s">
        <v>9541</v>
      </c>
      <c r="P24" s="1462" t="s">
        <v>4020</v>
      </c>
      <c r="Q24" s="1573" t="s">
        <v>1852</v>
      </c>
      <c r="R24" s="1573" t="s">
        <v>6738</v>
      </c>
      <c r="S24" s="1573" t="s">
        <v>8073</v>
      </c>
      <c r="T24" s="1573" t="s">
        <v>6902</v>
      </c>
      <c r="U24" s="1573" t="s">
        <v>9597</v>
      </c>
      <c r="V24" s="1573" t="s">
        <v>9598</v>
      </c>
      <c r="W24" s="1573" t="s">
        <v>9599</v>
      </c>
      <c r="X24" s="1573" t="s">
        <v>9427</v>
      </c>
      <c r="Y24" s="1573" t="s">
        <v>9600</v>
      </c>
      <c r="Z24" s="1573" t="s">
        <v>9601</v>
      </c>
      <c r="AA24" s="1573" t="s">
        <v>9425</v>
      </c>
      <c r="AB24" s="1573" t="s">
        <v>9602</v>
      </c>
      <c r="AC24" s="1462" t="s">
        <v>1889</v>
      </c>
      <c r="AD24" s="1573" t="s">
        <v>9603</v>
      </c>
      <c r="AE24" s="1462" t="s">
        <v>5607</v>
      </c>
      <c r="AF24" s="1670" t="s">
        <v>9117</v>
      </c>
      <c r="AG24" s="1573" t="s">
        <v>608</v>
      </c>
      <c r="AH24" s="1573" t="s">
        <v>8056</v>
      </c>
      <c r="AI24" s="1573" t="s">
        <v>309</v>
      </c>
      <c r="AJ24" s="1462" t="s">
        <v>9604</v>
      </c>
      <c r="AK24" s="1573" t="s">
        <v>9605</v>
      </c>
      <c r="AL24" s="1462" t="s">
        <v>3271</v>
      </c>
      <c r="AM24" s="1573" t="s">
        <v>2058</v>
      </c>
      <c r="AN24" s="1462" t="s">
        <v>2633</v>
      </c>
      <c r="AO24" s="1573" t="s">
        <v>3491</v>
      </c>
      <c r="AP24" s="1573" t="s">
        <v>9606</v>
      </c>
      <c r="AQ24" s="1462" t="s">
        <v>9607</v>
      </c>
      <c r="AR24" s="1573" t="s">
        <v>1756</v>
      </c>
      <c r="AS24" s="1462" t="s">
        <v>8645</v>
      </c>
      <c r="AT24" s="1573" t="s">
        <v>9608</v>
      </c>
      <c r="AU24" s="1573" t="s">
        <v>9609</v>
      </c>
      <c r="AV24" s="1462" t="str">
        <f t="shared" si="1"/>
        <v>1:53</v>
      </c>
      <c r="AW24" s="1636"/>
    </row>
    <row r="25" ht="15.75" customHeight="1">
      <c r="A25" s="1604" t="s">
        <v>2680</v>
      </c>
      <c r="B25" s="1592" t="s">
        <v>9130</v>
      </c>
      <c r="C25" s="1544">
        <v>0.05008101851851852</v>
      </c>
      <c r="D25" s="987" t="s">
        <v>9610</v>
      </c>
      <c r="E25" s="987" t="s">
        <v>9611</v>
      </c>
      <c r="F25" s="987" t="s">
        <v>9521</v>
      </c>
      <c r="G25" s="987" t="s">
        <v>9612</v>
      </c>
      <c r="H25" s="987" t="s">
        <v>9613</v>
      </c>
      <c r="I25" s="987" t="s">
        <v>9614</v>
      </c>
      <c r="J25" s="1608" t="s">
        <v>1351</v>
      </c>
      <c r="K25" s="987" t="s">
        <v>1013</v>
      </c>
      <c r="L25" s="987" t="s">
        <v>9466</v>
      </c>
      <c r="M25" s="1610" t="s">
        <v>9445</v>
      </c>
      <c r="N25" s="1608" t="s">
        <v>2501</v>
      </c>
      <c r="O25" s="987" t="s">
        <v>9615</v>
      </c>
      <c r="P25" s="1608" t="s">
        <v>5607</v>
      </c>
      <c r="Q25" s="1608" t="s">
        <v>5815</v>
      </c>
      <c r="R25" s="987" t="s">
        <v>6816</v>
      </c>
      <c r="S25" s="987" t="s">
        <v>336</v>
      </c>
      <c r="T25" s="1608" t="s">
        <v>9140</v>
      </c>
      <c r="U25" s="987" t="s">
        <v>9616</v>
      </c>
      <c r="V25" s="987" t="s">
        <v>9617</v>
      </c>
      <c r="W25" s="987" t="s">
        <v>6782</v>
      </c>
      <c r="X25" s="987" t="s">
        <v>5901</v>
      </c>
      <c r="Y25" s="987" t="s">
        <v>5162</v>
      </c>
      <c r="Z25" s="987" t="s">
        <v>1130</v>
      </c>
      <c r="AA25" s="987" t="s">
        <v>9480</v>
      </c>
      <c r="AB25" s="987" t="s">
        <v>2519</v>
      </c>
      <c r="AC25" s="987" t="s">
        <v>1832</v>
      </c>
      <c r="AD25" s="987" t="s">
        <v>6325</v>
      </c>
      <c r="AE25" s="987" t="s">
        <v>3316</v>
      </c>
      <c r="AF25" s="987" t="s">
        <v>9149</v>
      </c>
      <c r="AG25" s="987" t="s">
        <v>9618</v>
      </c>
      <c r="AH25" s="987" t="s">
        <v>5015</v>
      </c>
      <c r="AI25" s="987" t="s">
        <v>3426</v>
      </c>
      <c r="AJ25" s="987" t="s">
        <v>9619</v>
      </c>
      <c r="AK25" s="987" t="s">
        <v>9620</v>
      </c>
      <c r="AL25" s="987" t="s">
        <v>5315</v>
      </c>
      <c r="AM25" s="987" t="s">
        <v>9215</v>
      </c>
      <c r="AN25" s="987" t="s">
        <v>4421</v>
      </c>
      <c r="AO25" s="987" t="s">
        <v>6957</v>
      </c>
      <c r="AP25" s="987" t="s">
        <v>9621</v>
      </c>
      <c r="AQ25" s="987" t="s">
        <v>9622</v>
      </c>
      <c r="AR25" s="987" t="s">
        <v>9623</v>
      </c>
      <c r="AS25" s="987" t="s">
        <v>4675</v>
      </c>
      <c r="AT25" s="987" t="s">
        <v>9624</v>
      </c>
      <c r="AU25" s="1630" t="s">
        <v>9154</v>
      </c>
      <c r="AV25" s="1462" t="str">
        <f t="shared" si="1"/>
        <v>2:51</v>
      </c>
      <c r="AW25" s="1671"/>
    </row>
    <row r="26">
      <c r="A26" s="1604" t="s">
        <v>7525</v>
      </c>
      <c r="B26" s="1602" t="s">
        <v>9130</v>
      </c>
      <c r="C26" s="1544">
        <v>0.05016203703703704</v>
      </c>
      <c r="D26" s="1581" t="s">
        <v>9625</v>
      </c>
      <c r="E26" s="1672" t="s">
        <v>6708</v>
      </c>
      <c r="F26" s="1581" t="s">
        <v>9626</v>
      </c>
      <c r="G26" s="1581" t="s">
        <v>9627</v>
      </c>
      <c r="H26" s="1581" t="s">
        <v>9628</v>
      </c>
      <c r="I26" s="1581" t="s">
        <v>5421</v>
      </c>
      <c r="J26" s="1581" t="s">
        <v>9629</v>
      </c>
      <c r="K26" s="1581" t="s">
        <v>5240</v>
      </c>
      <c r="L26" s="987" t="s">
        <v>5157</v>
      </c>
      <c r="M26" s="1608" t="s">
        <v>9136</v>
      </c>
      <c r="N26" s="1581" t="s">
        <v>9630</v>
      </c>
      <c r="O26" s="1581" t="s">
        <v>9631</v>
      </c>
      <c r="P26" s="1581" t="s">
        <v>5974</v>
      </c>
      <c r="Q26" s="1581" t="s">
        <v>2808</v>
      </c>
      <c r="R26" s="1581" t="s">
        <v>967</v>
      </c>
      <c r="S26" s="1581" t="s">
        <v>9632</v>
      </c>
      <c r="T26" s="1581" t="s">
        <v>1390</v>
      </c>
      <c r="U26" s="1581" t="s">
        <v>9473</v>
      </c>
      <c r="V26" s="1581" t="s">
        <v>9633</v>
      </c>
      <c r="W26" s="1581" t="s">
        <v>9634</v>
      </c>
      <c r="X26" s="1581" t="s">
        <v>1300</v>
      </c>
      <c r="Y26" s="1581" t="s">
        <v>1014</v>
      </c>
      <c r="Z26" s="1581" t="s">
        <v>9543</v>
      </c>
      <c r="AA26" s="1581" t="s">
        <v>9635</v>
      </c>
      <c r="AB26" s="1581" t="s">
        <v>9636</v>
      </c>
      <c r="AC26" s="1581" t="s">
        <v>4804</v>
      </c>
      <c r="AD26" s="1581" t="s">
        <v>9637</v>
      </c>
      <c r="AE26" s="1581" t="s">
        <v>2656</v>
      </c>
      <c r="AF26" s="1581" t="s">
        <v>5863</v>
      </c>
      <c r="AG26" s="1581" t="s">
        <v>9638</v>
      </c>
      <c r="AH26" s="1581" t="s">
        <v>4300</v>
      </c>
      <c r="AI26" s="1573" t="s">
        <v>4166</v>
      </c>
      <c r="AJ26" s="1581" t="s">
        <v>9639</v>
      </c>
      <c r="AK26" s="1581" t="s">
        <v>9465</v>
      </c>
      <c r="AL26" s="1581" t="s">
        <v>2513</v>
      </c>
      <c r="AM26" s="1581" t="s">
        <v>4077</v>
      </c>
      <c r="AN26" s="1581" t="s">
        <v>6087</v>
      </c>
      <c r="AO26" s="1581" t="s">
        <v>9640</v>
      </c>
      <c r="AP26" s="1581" t="s">
        <v>9641</v>
      </c>
      <c r="AQ26" s="1581" t="s">
        <v>4062</v>
      </c>
      <c r="AR26" s="1581" t="s">
        <v>2743</v>
      </c>
      <c r="AS26" s="1581" t="s">
        <v>755</v>
      </c>
      <c r="AT26" s="1581" t="s">
        <v>9642</v>
      </c>
      <c r="AU26" s="1573" t="s">
        <v>9643</v>
      </c>
      <c r="AV26" s="1462" t="str">
        <f t="shared" si="1"/>
        <v>3:20</v>
      </c>
      <c r="AW26" s="1059"/>
    </row>
    <row r="27" ht="15.75" customHeight="1">
      <c r="A27" s="1570" t="s">
        <v>1413</v>
      </c>
      <c r="B27" s="1543" t="s">
        <v>9103</v>
      </c>
      <c r="C27" s="1544">
        <v>0.05025462962962963</v>
      </c>
      <c r="D27" s="987" t="s">
        <v>9644</v>
      </c>
      <c r="E27" s="1627" t="s">
        <v>9645</v>
      </c>
      <c r="F27" s="1656" t="s">
        <v>7304</v>
      </c>
      <c r="G27" s="1550" t="s">
        <v>9646</v>
      </c>
      <c r="H27" s="922" t="s">
        <v>9647</v>
      </c>
      <c r="I27" s="922" t="s">
        <v>1112</v>
      </c>
      <c r="J27" s="1610" t="s">
        <v>7396</v>
      </c>
      <c r="K27" s="1657" t="s">
        <v>8193</v>
      </c>
      <c r="L27" s="1657" t="s">
        <v>5206</v>
      </c>
      <c r="M27" s="1673" t="str">
        <f>HYPERLINK("https://youtu.be/teAIifUZjFw","1:14.18")</f>
        <v>1:14.18</v>
      </c>
      <c r="N27" s="1657" t="s">
        <v>3779</v>
      </c>
      <c r="O27" s="1657" t="s">
        <v>9648</v>
      </c>
      <c r="P27" s="1657" t="s">
        <v>2097</v>
      </c>
      <c r="Q27" s="1658" t="s">
        <v>9649</v>
      </c>
      <c r="R27" s="1613" t="s">
        <v>9650</v>
      </c>
      <c r="S27" s="1613" t="s">
        <v>5535</v>
      </c>
      <c r="T27" s="1674" t="str">
        <f>HYPERLINK("https://youtu.be/AiXricVH5ss","1:24.99")</f>
        <v>1:24.99</v>
      </c>
      <c r="U27" s="1675" t="str">
        <f>HYPERLINK("https://www.twitch.tv/videos/450151935","2:00.31")</f>
        <v>2:00.31</v>
      </c>
      <c r="V27" s="1613" t="s">
        <v>9141</v>
      </c>
      <c r="W27" s="1676" t="str">
        <f>HYPERLINK("https://youtu.be/eafNhBoXVWA","1:46.09")</f>
        <v>1:46.09</v>
      </c>
      <c r="X27" s="1659" t="s">
        <v>4483</v>
      </c>
      <c r="Y27" s="1659" t="s">
        <v>9367</v>
      </c>
      <c r="Z27" s="1659" t="s">
        <v>9651</v>
      </c>
      <c r="AA27" s="1629" t="s">
        <v>9319</v>
      </c>
      <c r="AB27" s="1659" t="s">
        <v>7182</v>
      </c>
      <c r="AC27" s="1659" t="s">
        <v>7226</v>
      </c>
      <c r="AD27" s="1677" t="str">
        <f>HYPERLINK("https://youtu.be/8FEcTKESSh0","1:49.80")</f>
        <v>1:49.80</v>
      </c>
      <c r="AE27" s="1627" t="s">
        <v>5072</v>
      </c>
      <c r="AF27" s="1660" t="s">
        <v>9652</v>
      </c>
      <c r="AG27" s="1660" t="s">
        <v>9653</v>
      </c>
      <c r="AH27" s="1660" t="s">
        <v>9654</v>
      </c>
      <c r="AI27" s="1660" t="s">
        <v>4078</v>
      </c>
      <c r="AJ27" s="1660" t="s">
        <v>9655</v>
      </c>
      <c r="AK27" s="1630" t="s">
        <v>9539</v>
      </c>
      <c r="AL27" s="1660" t="s">
        <v>9656</v>
      </c>
      <c r="AM27" s="1632" t="s">
        <v>9508</v>
      </c>
      <c r="AN27" s="1632" t="s">
        <v>8883</v>
      </c>
      <c r="AO27" s="1632" t="s">
        <v>9623</v>
      </c>
      <c r="AP27" s="1631" t="s">
        <v>9657</v>
      </c>
      <c r="AQ27" s="1631" t="s">
        <v>9658</v>
      </c>
      <c r="AR27" s="1632" t="s">
        <v>9659</v>
      </c>
      <c r="AS27" s="1631" t="s">
        <v>5663</v>
      </c>
      <c r="AT27" s="1673" t="str">
        <f>HYPERLINK("https://youtu.be/xDirVtS1AZ4?t=4416","2:27.45")</f>
        <v>2:27.45</v>
      </c>
      <c r="AU27" s="1654" t="s">
        <v>9660</v>
      </c>
      <c r="AV27" s="1462" t="str">
        <f t="shared" si="1"/>
        <v>2:34</v>
      </c>
      <c r="AW27" s="1601" t="s">
        <v>9661</v>
      </c>
    </row>
    <row r="28">
      <c r="A28" s="1604" t="s">
        <v>7031</v>
      </c>
      <c r="B28" s="1602" t="s">
        <v>9103</v>
      </c>
      <c r="C28" s="1544">
        <v>0.0502662037037037</v>
      </c>
      <c r="D28" s="987" t="s">
        <v>9662</v>
      </c>
      <c r="E28" s="1573" t="s">
        <v>9308</v>
      </c>
      <c r="F28" s="1573" t="s">
        <v>9663</v>
      </c>
      <c r="G28" s="1573" t="s">
        <v>9664</v>
      </c>
      <c r="H28" s="1573" t="s">
        <v>9665</v>
      </c>
      <c r="I28" s="987" t="s">
        <v>263</v>
      </c>
      <c r="J28" s="987" t="s">
        <v>6191</v>
      </c>
      <c r="K28" s="1573" t="s">
        <v>9594</v>
      </c>
      <c r="L28" s="1573" t="s">
        <v>3582</v>
      </c>
      <c r="M28" s="987" t="s">
        <v>2790</v>
      </c>
      <c r="N28" s="1573" t="s">
        <v>9666</v>
      </c>
      <c r="O28" s="1573" t="s">
        <v>9667</v>
      </c>
      <c r="P28" s="987" t="s">
        <v>9668</v>
      </c>
      <c r="Q28" s="1573" t="s">
        <v>9669</v>
      </c>
      <c r="R28" s="987" t="s">
        <v>9670</v>
      </c>
      <c r="S28" s="1573" t="s">
        <v>9671</v>
      </c>
      <c r="T28" s="987" t="s">
        <v>9672</v>
      </c>
      <c r="U28" s="1573" t="s">
        <v>1097</v>
      </c>
      <c r="V28" s="987" t="s">
        <v>5049</v>
      </c>
      <c r="W28" s="987" t="s">
        <v>6784</v>
      </c>
      <c r="X28" s="987" t="s">
        <v>6876</v>
      </c>
      <c r="Y28" s="987" t="s">
        <v>881</v>
      </c>
      <c r="Z28" s="987" t="s">
        <v>9673</v>
      </c>
      <c r="AA28" s="1573" t="s">
        <v>9674</v>
      </c>
      <c r="AB28" s="987" t="s">
        <v>7225</v>
      </c>
      <c r="AC28" s="1573" t="s">
        <v>9614</v>
      </c>
      <c r="AD28" s="987" t="s">
        <v>6351</v>
      </c>
      <c r="AE28" s="1573" t="s">
        <v>9213</v>
      </c>
      <c r="AF28" s="1573" t="s">
        <v>9675</v>
      </c>
      <c r="AG28" s="987" t="s">
        <v>1913</v>
      </c>
      <c r="AH28" s="987" t="s">
        <v>2640</v>
      </c>
      <c r="AI28" s="1573" t="s">
        <v>9676</v>
      </c>
      <c r="AJ28" s="987" t="s">
        <v>9677</v>
      </c>
      <c r="AK28" s="987" t="s">
        <v>6628</v>
      </c>
      <c r="AL28" s="987" t="s">
        <v>4624</v>
      </c>
      <c r="AM28" s="987" t="s">
        <v>9678</v>
      </c>
      <c r="AN28" s="987" t="s">
        <v>4624</v>
      </c>
      <c r="AO28" s="987" t="s">
        <v>1844</v>
      </c>
      <c r="AP28" s="1573" t="s">
        <v>9679</v>
      </c>
      <c r="AQ28" s="987" t="s">
        <v>2227</v>
      </c>
      <c r="AR28" s="1573" t="s">
        <v>8992</v>
      </c>
      <c r="AS28" s="987" t="s">
        <v>1971</v>
      </c>
      <c r="AT28" s="1573" t="s">
        <v>9680</v>
      </c>
      <c r="AU28" s="1573" t="s">
        <v>9681</v>
      </c>
      <c r="AV28" s="1462" t="str">
        <f t="shared" si="1"/>
        <v>2:28</v>
      </c>
      <c r="AW28" s="1603" t="s">
        <v>9682</v>
      </c>
    </row>
    <row r="29">
      <c r="A29" s="1604" t="s">
        <v>9683</v>
      </c>
      <c r="B29" s="1678" t="s">
        <v>9103</v>
      </c>
      <c r="C29" s="1544">
        <v>0.0503125</v>
      </c>
      <c r="D29" s="987" t="s">
        <v>9684</v>
      </c>
      <c r="E29" s="1627" t="s">
        <v>9685</v>
      </c>
      <c r="F29" s="1627" t="s">
        <v>6997</v>
      </c>
      <c r="G29" s="1627" t="s">
        <v>9686</v>
      </c>
      <c r="H29" s="848" t="s">
        <v>9687</v>
      </c>
      <c r="I29" s="848" t="s">
        <v>8163</v>
      </c>
      <c r="J29" s="1610" t="s">
        <v>1840</v>
      </c>
      <c r="K29" s="1610" t="s">
        <v>6107</v>
      </c>
      <c r="L29" s="1610" t="s">
        <v>3521</v>
      </c>
      <c r="M29" s="1610" t="s">
        <v>9688</v>
      </c>
      <c r="N29" s="1610" t="s">
        <v>7121</v>
      </c>
      <c r="O29" s="1610" t="s">
        <v>4154</v>
      </c>
      <c r="P29" s="1610" t="s">
        <v>4716</v>
      </c>
      <c r="Q29" s="1613" t="s">
        <v>9689</v>
      </c>
      <c r="R29" s="1613" t="s">
        <v>9690</v>
      </c>
      <c r="S29" s="1613" t="s">
        <v>549</v>
      </c>
      <c r="T29" s="1613" t="s">
        <v>9691</v>
      </c>
      <c r="U29" s="1613" t="s">
        <v>9692</v>
      </c>
      <c r="V29" s="1613" t="s">
        <v>9693</v>
      </c>
      <c r="W29" s="1629" t="s">
        <v>9694</v>
      </c>
      <c r="X29" s="1629" t="s">
        <v>4483</v>
      </c>
      <c r="Y29" s="1629" t="s">
        <v>1545</v>
      </c>
      <c r="Z29" s="1629" t="s">
        <v>2403</v>
      </c>
      <c r="AA29" s="1629" t="s">
        <v>9695</v>
      </c>
      <c r="AB29" s="1629" t="s">
        <v>3808</v>
      </c>
      <c r="AC29" s="1629" t="s">
        <v>9696</v>
      </c>
      <c r="AD29" s="1627" t="s">
        <v>9697</v>
      </c>
      <c r="AE29" s="1627" t="s">
        <v>5948</v>
      </c>
      <c r="AF29" s="1630" t="s">
        <v>9698</v>
      </c>
      <c r="AG29" s="1630" t="s">
        <v>7475</v>
      </c>
      <c r="AH29" s="1630" t="s">
        <v>9699</v>
      </c>
      <c r="AI29" s="1630" t="s">
        <v>5177</v>
      </c>
      <c r="AJ29" s="1630" t="s">
        <v>9700</v>
      </c>
      <c r="AK29" s="1630" t="s">
        <v>9701</v>
      </c>
      <c r="AL29" s="1630" t="s">
        <v>9702</v>
      </c>
      <c r="AM29" s="1632" t="s">
        <v>9402</v>
      </c>
      <c r="AN29" s="1632" t="s">
        <v>9703</v>
      </c>
      <c r="AO29" s="1632" t="s">
        <v>3219</v>
      </c>
      <c r="AP29" s="1632" t="s">
        <v>9704</v>
      </c>
      <c r="AQ29" s="1632" t="s">
        <v>9705</v>
      </c>
      <c r="AR29" s="1632" t="s">
        <v>3019</v>
      </c>
      <c r="AS29" s="1632" t="s">
        <v>302</v>
      </c>
      <c r="AT29" s="1610" t="s">
        <v>9706</v>
      </c>
      <c r="AU29" s="1594" t="s">
        <v>9707</v>
      </c>
      <c r="AV29" s="1462" t="str">
        <f t="shared" si="1"/>
        <v>2:59</v>
      </c>
      <c r="AW29" s="1595" t="s">
        <v>9708</v>
      </c>
    </row>
    <row r="30" ht="15.75" customHeight="1">
      <c r="A30" s="1542" t="s">
        <v>9709</v>
      </c>
      <c r="B30" s="1637" t="s">
        <v>9130</v>
      </c>
      <c r="C30" s="1544">
        <v>0.05042824074074074</v>
      </c>
      <c r="D30" s="987" t="s">
        <v>9438</v>
      </c>
      <c r="E30" s="1627" t="s">
        <v>6383</v>
      </c>
      <c r="F30" s="1627" t="s">
        <v>9710</v>
      </c>
      <c r="G30" s="1656" t="s">
        <v>9711</v>
      </c>
      <c r="H30" s="922" t="s">
        <v>9712</v>
      </c>
      <c r="I30" s="848" t="s">
        <v>3369</v>
      </c>
      <c r="J30" s="1610" t="s">
        <v>4867</v>
      </c>
      <c r="K30" s="1610" t="s">
        <v>5240</v>
      </c>
      <c r="L30" s="1610" t="s">
        <v>2474</v>
      </c>
      <c r="M30" s="1610" t="s">
        <v>1901</v>
      </c>
      <c r="N30" s="1610" t="s">
        <v>4197</v>
      </c>
      <c r="O30" s="1610" t="s">
        <v>9713</v>
      </c>
      <c r="P30" s="1657" t="s">
        <v>759</v>
      </c>
      <c r="Q30" s="1613" t="s">
        <v>9714</v>
      </c>
      <c r="R30" s="1613" t="s">
        <v>3441</v>
      </c>
      <c r="S30" s="1613" t="s">
        <v>7211</v>
      </c>
      <c r="T30" s="1658" t="s">
        <v>3220</v>
      </c>
      <c r="U30" s="1613" t="s">
        <v>9270</v>
      </c>
      <c r="V30" s="1658" t="s">
        <v>5030</v>
      </c>
      <c r="W30" s="1659" t="s">
        <v>6936</v>
      </c>
      <c r="X30" s="1629" t="s">
        <v>2612</v>
      </c>
      <c r="Y30" s="1659" t="s">
        <v>9715</v>
      </c>
      <c r="Z30" s="1629" t="s">
        <v>9716</v>
      </c>
      <c r="AA30" s="1659" t="s">
        <v>9717</v>
      </c>
      <c r="AB30" s="987" t="s">
        <v>9718</v>
      </c>
      <c r="AC30" s="1659" t="s">
        <v>3692</v>
      </c>
      <c r="AD30" s="1618" t="s">
        <v>9144</v>
      </c>
      <c r="AE30" s="1627" t="s">
        <v>3316</v>
      </c>
      <c r="AF30" s="1630" t="s">
        <v>9719</v>
      </c>
      <c r="AG30" s="1660" t="s">
        <v>4001</v>
      </c>
      <c r="AH30" s="1660" t="s">
        <v>6173</v>
      </c>
      <c r="AI30" s="1462" t="s">
        <v>9674</v>
      </c>
      <c r="AJ30" s="1660" t="s">
        <v>9720</v>
      </c>
      <c r="AK30" s="1630" t="s">
        <v>9721</v>
      </c>
      <c r="AL30" s="1660" t="s">
        <v>3698</v>
      </c>
      <c r="AM30" s="1632" t="s">
        <v>9722</v>
      </c>
      <c r="AN30" s="1632" t="s">
        <v>5145</v>
      </c>
      <c r="AO30" s="1632" t="s">
        <v>1938</v>
      </c>
      <c r="AP30" s="1632" t="s">
        <v>9723</v>
      </c>
      <c r="AQ30" s="1631" t="s">
        <v>9724</v>
      </c>
      <c r="AR30" s="1631" t="s">
        <v>3743</v>
      </c>
      <c r="AS30" s="1631" t="s">
        <v>5280</v>
      </c>
      <c r="AT30" s="1610" t="s">
        <v>9725</v>
      </c>
      <c r="AU30" s="1594" t="s">
        <v>9726</v>
      </c>
      <c r="AV30" s="1462" t="str">
        <f t="shared" si="1"/>
        <v>2:55</v>
      </c>
      <c r="AW30" s="1655"/>
    </row>
    <row r="31" ht="15.75" customHeight="1">
      <c r="A31" s="1542" t="s">
        <v>4350</v>
      </c>
      <c r="B31" s="1543" t="s">
        <v>9103</v>
      </c>
      <c r="C31" s="1679">
        <v>0.05043981481481481</v>
      </c>
      <c r="D31" s="987" t="s">
        <v>9727</v>
      </c>
      <c r="E31" s="1462" t="s">
        <v>6962</v>
      </c>
      <c r="F31" s="1462" t="s">
        <v>1572</v>
      </c>
      <c r="G31" s="1462" t="s">
        <v>9728</v>
      </c>
      <c r="H31" s="1462" t="s">
        <v>9332</v>
      </c>
      <c r="I31" s="1462" t="s">
        <v>4756</v>
      </c>
      <c r="J31" s="1462" t="s">
        <v>4493</v>
      </c>
      <c r="K31" s="1462" t="s">
        <v>9579</v>
      </c>
      <c r="L31" s="1462" t="s">
        <v>3880</v>
      </c>
      <c r="M31" s="1462" t="s">
        <v>9729</v>
      </c>
      <c r="N31" s="1462" t="s">
        <v>9140</v>
      </c>
      <c r="O31" s="1462" t="s">
        <v>9730</v>
      </c>
      <c r="P31" s="1462" t="s">
        <v>5454</v>
      </c>
      <c r="Q31" s="1462" t="s">
        <v>9731</v>
      </c>
      <c r="R31" s="1462" t="s">
        <v>9732</v>
      </c>
      <c r="S31" s="1462" t="s">
        <v>9733</v>
      </c>
      <c r="T31" s="1462" t="s">
        <v>9734</v>
      </c>
      <c r="U31" s="1462" t="s">
        <v>9735</v>
      </c>
      <c r="V31" s="1462" t="s">
        <v>2284</v>
      </c>
      <c r="W31" s="1462" t="s">
        <v>9736</v>
      </c>
      <c r="X31" s="1462" t="s">
        <v>9737</v>
      </c>
      <c r="Y31" s="1462" t="s">
        <v>9600</v>
      </c>
      <c r="Z31" s="1462" t="s">
        <v>1130</v>
      </c>
      <c r="AA31" s="1462" t="s">
        <v>3426</v>
      </c>
      <c r="AB31" s="1462" t="s">
        <v>4867</v>
      </c>
      <c r="AC31" s="1462" t="s">
        <v>7226</v>
      </c>
      <c r="AD31" s="1462" t="s">
        <v>6325</v>
      </c>
      <c r="AE31" s="1462" t="s">
        <v>5633</v>
      </c>
      <c r="AF31" s="1462" t="s">
        <v>9738</v>
      </c>
      <c r="AG31" s="1462" t="s">
        <v>5938</v>
      </c>
      <c r="AH31" s="1462" t="s">
        <v>4106</v>
      </c>
      <c r="AI31" s="1462" t="s">
        <v>5177</v>
      </c>
      <c r="AJ31" s="1462" t="s">
        <v>9739</v>
      </c>
      <c r="AK31" s="1462" t="s">
        <v>9740</v>
      </c>
      <c r="AL31" s="1462" t="s">
        <v>6045</v>
      </c>
      <c r="AM31" s="1462" t="s">
        <v>1232</v>
      </c>
      <c r="AN31" s="1462" t="s">
        <v>4200</v>
      </c>
      <c r="AO31" s="1462" t="s">
        <v>9741</v>
      </c>
      <c r="AP31" s="1583" t="str">
        <f>HYPERLINK("https://www.twitch.tv/videos/511415405","2:00.79")</f>
        <v>2:00.79</v>
      </c>
      <c r="AQ31" s="1462" t="s">
        <v>3607</v>
      </c>
      <c r="AR31" s="1462" t="s">
        <v>6957</v>
      </c>
      <c r="AS31" s="1462" t="s">
        <v>9209</v>
      </c>
      <c r="AT31" s="1462" t="s">
        <v>9742</v>
      </c>
      <c r="AU31" s="1462" t="s">
        <v>9743</v>
      </c>
      <c r="AV31" s="1462" t="str">
        <f t="shared" si="1"/>
        <v>2:36</v>
      </c>
      <c r="AW31" s="1584" t="s">
        <v>7600</v>
      </c>
    </row>
    <row r="32">
      <c r="A32" s="1604" t="s">
        <v>1196</v>
      </c>
      <c r="B32" s="1592" t="s">
        <v>9103</v>
      </c>
      <c r="C32" s="1544">
        <v>0.050486111111111114</v>
      </c>
      <c r="D32" s="1627" t="s">
        <v>9744</v>
      </c>
      <c r="E32" s="1627" t="s">
        <v>4275</v>
      </c>
      <c r="F32" s="1627" t="s">
        <v>9745</v>
      </c>
      <c r="G32" s="1627" t="s">
        <v>9746</v>
      </c>
      <c r="H32" s="987" t="s">
        <v>9747</v>
      </c>
      <c r="I32" s="848" t="s">
        <v>925</v>
      </c>
      <c r="J32" s="1610" t="s">
        <v>5930</v>
      </c>
      <c r="K32" s="1610" t="s">
        <v>7488</v>
      </c>
      <c r="L32" s="1610" t="s">
        <v>6576</v>
      </c>
      <c r="M32" s="1610" t="s">
        <v>5040</v>
      </c>
      <c r="N32" s="1610" t="s">
        <v>9748</v>
      </c>
      <c r="O32" s="1610" t="s">
        <v>9749</v>
      </c>
      <c r="P32" s="1610" t="s">
        <v>9501</v>
      </c>
      <c r="Q32" s="1613" t="s">
        <v>170</v>
      </c>
      <c r="R32" s="1613" t="s">
        <v>4814</v>
      </c>
      <c r="S32" s="1613" t="s">
        <v>9465</v>
      </c>
      <c r="T32" s="1613" t="s">
        <v>9750</v>
      </c>
      <c r="U32" s="1613" t="s">
        <v>9751</v>
      </c>
      <c r="V32" s="1613" t="s">
        <v>9752</v>
      </c>
      <c r="W32" s="1629" t="s">
        <v>9753</v>
      </c>
      <c r="X32" s="1629" t="s">
        <v>9754</v>
      </c>
      <c r="Y32" s="1629" t="s">
        <v>8126</v>
      </c>
      <c r="Z32" s="1629" t="s">
        <v>9755</v>
      </c>
      <c r="AA32" s="1573" t="s">
        <v>9756</v>
      </c>
      <c r="AB32" s="1629" t="s">
        <v>3409</v>
      </c>
      <c r="AC32" s="1629" t="s">
        <v>1112</v>
      </c>
      <c r="AD32" s="1627" t="s">
        <v>9757</v>
      </c>
      <c r="AE32" s="1627" t="s">
        <v>2223</v>
      </c>
      <c r="AF32" s="1630" t="s">
        <v>9758</v>
      </c>
      <c r="AG32" s="1630" t="s">
        <v>528</v>
      </c>
      <c r="AH32" s="1630" t="s">
        <v>9759</v>
      </c>
      <c r="AI32" s="1630" t="s">
        <v>2709</v>
      </c>
      <c r="AJ32" s="1630" t="s">
        <v>9760</v>
      </c>
      <c r="AK32" s="1630" t="s">
        <v>7041</v>
      </c>
      <c r="AL32" s="1630" t="s">
        <v>2891</v>
      </c>
      <c r="AM32" s="1632" t="s">
        <v>9761</v>
      </c>
      <c r="AN32" s="1632" t="s">
        <v>9466</v>
      </c>
      <c r="AO32" s="1632" t="s">
        <v>9762</v>
      </c>
      <c r="AP32" s="1632" t="s">
        <v>9763</v>
      </c>
      <c r="AQ32" s="1632" t="s">
        <v>9764</v>
      </c>
      <c r="AR32" s="1632" t="s">
        <v>1158</v>
      </c>
      <c r="AS32" s="1632" t="s">
        <v>1545</v>
      </c>
      <c r="AT32" s="1610" t="s">
        <v>9765</v>
      </c>
      <c r="AU32" s="1594" t="s">
        <v>9766</v>
      </c>
      <c r="AV32" s="1462" t="str">
        <f t="shared" si="1"/>
        <v>3:47</v>
      </c>
      <c r="AW32" s="1595"/>
    </row>
    <row r="33" ht="15.75" customHeight="1">
      <c r="A33" s="1604" t="s">
        <v>1721</v>
      </c>
      <c r="B33" s="1543" t="s">
        <v>9103</v>
      </c>
      <c r="C33" s="1544">
        <v>0.05049768518518519</v>
      </c>
      <c r="D33" s="987" t="s">
        <v>9767</v>
      </c>
      <c r="E33" s="1656" t="s">
        <v>9768</v>
      </c>
      <c r="F33" s="1677" t="str">
        <f>HYPERLINK("https://www.youtube.com/watch?v=rtR6KkKhM6I","1:59.91")</f>
        <v>1:59.91</v>
      </c>
      <c r="G33" s="1656" t="s">
        <v>9769</v>
      </c>
      <c r="H33" s="1680" t="str">
        <f>HYPERLINK("https://www.youtube.com/watch?v=cg-eipYsN1s","1:54.47")</f>
        <v>1:54.47</v>
      </c>
      <c r="I33" s="922" t="s">
        <v>9715</v>
      </c>
      <c r="J33" s="1657" t="s">
        <v>6537</v>
      </c>
      <c r="K33" s="1610" t="s">
        <v>7544</v>
      </c>
      <c r="L33" s="1673" t="str">
        <f>HYPERLINK("https://www.youtube.com/watch?v=tJdjPKdAbw4","57.01")</f>
        <v>57.01</v>
      </c>
      <c r="M33" s="1657" t="s">
        <v>6850</v>
      </c>
      <c r="N33" s="1610" t="s">
        <v>2303</v>
      </c>
      <c r="O33" s="1657" t="s">
        <v>9474</v>
      </c>
      <c r="P33" s="1657" t="s">
        <v>280</v>
      </c>
      <c r="Q33" s="1658" t="s">
        <v>238</v>
      </c>
      <c r="R33" s="1658" t="s">
        <v>9770</v>
      </c>
      <c r="S33" s="1675" t="str">
        <f>HYPERLINK("https://www.youtube.com/watch?v=_3ms_ZhYFzo","1:18.01")</f>
        <v>1:18.01</v>
      </c>
      <c r="T33" s="1658" t="s">
        <v>9771</v>
      </c>
      <c r="U33" s="1675" t="str">
        <f>HYPERLINK("https://www.youtube.com/watch?v=ZOy_TI3Zw14","2:02.38")</f>
        <v>2:02.38</v>
      </c>
      <c r="V33" s="1658" t="s">
        <v>9752</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9501</v>
      </c>
      <c r="AF33" s="1660" t="s">
        <v>9772</v>
      </c>
      <c r="AG33" s="1681" t="str">
        <f>HYPERLINK("https://www.youtube.com/watch?v=KXwTRrVVluY","1:30.62")</f>
        <v>1:30.62</v>
      </c>
      <c r="AH33" s="1660" t="s">
        <v>3056</v>
      </c>
      <c r="AI33" s="1660" t="s">
        <v>9653</v>
      </c>
      <c r="AJ33" s="1660" t="s">
        <v>9773</v>
      </c>
      <c r="AK33" s="1630" t="s">
        <v>9774</v>
      </c>
      <c r="AL33" s="1660" t="s">
        <v>9775</v>
      </c>
      <c r="AM33" s="1682" t="str">
        <f>HYPERLINK("https://www.youtube.com/watch?v=BAoEwuQ0LoI","1:25.68")</f>
        <v>1:25.68</v>
      </c>
      <c r="AN33" s="1682" t="str">
        <f>HYPERLINK("https://www.youtube.com/watch?v=F-LtZeEZXek","56.36")</f>
        <v>56.36</v>
      </c>
      <c r="AO33" s="1631" t="s">
        <v>9776</v>
      </c>
      <c r="AP33" s="1631" t="s">
        <v>9777</v>
      </c>
      <c r="AQ33" s="1631" t="s">
        <v>9778</v>
      </c>
      <c r="AR33" s="1682" t="str">
        <f>HYPERLINK("https://www.youtube.com/watch?v=WSIIkWWbKgE","1:21.74")</f>
        <v>1:21.74</v>
      </c>
      <c r="AS33" s="1631" t="s">
        <v>5655</v>
      </c>
      <c r="AT33" s="1673" t="str">
        <f>HYPERLINK("https://www.youtube.com/watch?v=H67SXBLcISI","2:29.09")</f>
        <v>2:29.09</v>
      </c>
      <c r="AU33" s="1654" t="s">
        <v>9779</v>
      </c>
      <c r="AV33" s="1462" t="str">
        <f t="shared" si="1"/>
        <v>2:03</v>
      </c>
      <c r="AW33" s="1683" t="s">
        <v>9780</v>
      </c>
    </row>
    <row r="34">
      <c r="A34" s="1604" t="s">
        <v>3099</v>
      </c>
      <c r="B34" s="1592" t="s">
        <v>9130</v>
      </c>
      <c r="C34" s="1544">
        <v>0.050520833333333334</v>
      </c>
      <c r="D34" s="1627" t="s">
        <v>9781</v>
      </c>
      <c r="E34" s="1665" t="s">
        <v>4610</v>
      </c>
      <c r="F34" s="1665" t="s">
        <v>9152</v>
      </c>
      <c r="G34" s="1627" t="s">
        <v>9782</v>
      </c>
      <c r="H34" s="1665" t="s">
        <v>9464</v>
      </c>
      <c r="I34" s="1665" t="s">
        <v>3123</v>
      </c>
      <c r="J34" s="1610" t="s">
        <v>9783</v>
      </c>
      <c r="K34" s="1684" t="s">
        <v>9784</v>
      </c>
      <c r="L34" s="1610" t="s">
        <v>9785</v>
      </c>
      <c r="M34" s="1550" t="s">
        <v>5881</v>
      </c>
      <c r="N34" s="1610" t="s">
        <v>885</v>
      </c>
      <c r="O34" s="1610" t="s">
        <v>9648</v>
      </c>
      <c r="P34" s="1610" t="s">
        <v>411</v>
      </c>
      <c r="Q34" s="1067" t="str">
        <f>HYPERLINK("https://www.twitch.tv/planktonsecretformula/v/1588460220?sr=a", "2:12.43")</f>
        <v>2:12.43</v>
      </c>
      <c r="R34" s="1613" t="s">
        <v>9732</v>
      </c>
      <c r="S34" s="1613" t="s">
        <v>9786</v>
      </c>
      <c r="T34" s="1645" t="s">
        <v>9787</v>
      </c>
      <c r="U34" s="1665" t="s">
        <v>9788</v>
      </c>
      <c r="V34" s="1665" t="s">
        <v>9789</v>
      </c>
      <c r="W34" s="1638" t="s">
        <v>9790</v>
      </c>
      <c r="X34" s="1629" t="s">
        <v>856</v>
      </c>
      <c r="Y34" s="1629" t="s">
        <v>7765</v>
      </c>
      <c r="Z34" s="1629" t="s">
        <v>9268</v>
      </c>
      <c r="AA34" s="1573" t="s">
        <v>9791</v>
      </c>
      <c r="AB34" s="1629" t="s">
        <v>4150</v>
      </c>
      <c r="AC34" s="1629" t="s">
        <v>940</v>
      </c>
      <c r="AD34" s="1627" t="s">
        <v>3959</v>
      </c>
      <c r="AE34" s="1627" t="s">
        <v>5974</v>
      </c>
      <c r="AF34" s="1630" t="s">
        <v>9792</v>
      </c>
      <c r="AG34" s="1665" t="s">
        <v>4645</v>
      </c>
      <c r="AH34" s="1630" t="s">
        <v>9793</v>
      </c>
      <c r="AI34" s="1630" t="s">
        <v>7875</v>
      </c>
      <c r="AJ34" s="1630" t="s">
        <v>9794</v>
      </c>
      <c r="AK34" s="1630" t="s">
        <v>9795</v>
      </c>
      <c r="AL34" s="1630" t="s">
        <v>9796</v>
      </c>
      <c r="AM34" s="1632" t="s">
        <v>3220</v>
      </c>
      <c r="AN34" s="1632" t="s">
        <v>9504</v>
      </c>
      <c r="AO34" s="1632" t="s">
        <v>3019</v>
      </c>
      <c r="AP34" s="1632" t="s">
        <v>9797</v>
      </c>
      <c r="AQ34" s="1067" t="str">
        <f>HYPERLINK("https://www.twitch.tv/planktonsecretformula/v/1678454360?sr=a&amp;t=0s", "1:37.46")</f>
        <v>1:37.46</v>
      </c>
      <c r="AR34" s="1632" t="s">
        <v>9798</v>
      </c>
      <c r="AS34" s="1632" t="s">
        <v>719</v>
      </c>
      <c r="AT34" s="1610" t="s">
        <v>9799</v>
      </c>
      <c r="AU34" s="1594" t="s">
        <v>9800</v>
      </c>
      <c r="AV34" s="1462" t="str">
        <f t="shared" si="1"/>
        <v>4:40</v>
      </c>
      <c r="AW34" s="1595" t="s">
        <v>9801</v>
      </c>
    </row>
    <row r="35" ht="15.75" customHeight="1">
      <c r="A35" s="1669" t="s">
        <v>9802</v>
      </c>
      <c r="B35" s="1543" t="s">
        <v>9103</v>
      </c>
      <c r="C35" s="1544">
        <v>0.050555555555555555</v>
      </c>
      <c r="D35" s="987" t="s">
        <v>9803</v>
      </c>
      <c r="E35" s="1627" t="s">
        <v>9804</v>
      </c>
      <c r="F35" s="1627" t="s">
        <v>9805</v>
      </c>
      <c r="G35" s="1627" t="s">
        <v>9806</v>
      </c>
      <c r="H35" s="848" t="s">
        <v>9807</v>
      </c>
      <c r="I35" s="848" t="s">
        <v>9808</v>
      </c>
      <c r="J35" s="1610" t="s">
        <v>9809</v>
      </c>
      <c r="K35" s="1610" t="s">
        <v>9810</v>
      </c>
      <c r="L35" s="1610" t="s">
        <v>9811</v>
      </c>
      <c r="M35" s="1610" t="s">
        <v>3213</v>
      </c>
      <c r="N35" s="1610" t="s">
        <v>9812</v>
      </c>
      <c r="O35" s="1610" t="s">
        <v>9713</v>
      </c>
      <c r="P35" s="1610" t="s">
        <v>4926</v>
      </c>
      <c r="Q35" s="1613" t="s">
        <v>9813</v>
      </c>
      <c r="R35" s="1613" t="s">
        <v>2714</v>
      </c>
      <c r="S35" s="1613" t="s">
        <v>6986</v>
      </c>
      <c r="T35" s="1613" t="s">
        <v>9814</v>
      </c>
      <c r="U35" s="1613" t="s">
        <v>9815</v>
      </c>
      <c r="V35" s="1613" t="s">
        <v>9141</v>
      </c>
      <c r="W35" s="1629" t="s">
        <v>9816</v>
      </c>
      <c r="X35" s="1629" t="s">
        <v>9817</v>
      </c>
      <c r="Y35" s="1629" t="s">
        <v>9818</v>
      </c>
      <c r="Z35" s="1629" t="s">
        <v>1381</v>
      </c>
      <c r="AA35" s="1629" t="s">
        <v>9819</v>
      </c>
      <c r="AB35" s="1629" t="s">
        <v>7083</v>
      </c>
      <c r="AC35" s="1659" t="s">
        <v>2175</v>
      </c>
      <c r="AD35" s="1627" t="s">
        <v>9820</v>
      </c>
      <c r="AE35" s="1627" t="s">
        <v>9501</v>
      </c>
      <c r="AF35" s="1630" t="s">
        <v>9821</v>
      </c>
      <c r="AG35" s="1630" t="s">
        <v>9822</v>
      </c>
      <c r="AH35" s="1630" t="s">
        <v>5686</v>
      </c>
      <c r="AI35" s="1630" t="s">
        <v>9823</v>
      </c>
      <c r="AJ35" s="1630" t="s">
        <v>9824</v>
      </c>
      <c r="AK35" s="1630" t="s">
        <v>4483</v>
      </c>
      <c r="AL35" s="1630" t="s">
        <v>5773</v>
      </c>
      <c r="AM35" s="1632" t="s">
        <v>1925</v>
      </c>
      <c r="AN35" s="1632" t="s">
        <v>4631</v>
      </c>
      <c r="AO35" s="1632" t="s">
        <v>9825</v>
      </c>
      <c r="AP35" s="1632" t="s">
        <v>9826</v>
      </c>
      <c r="AQ35" s="1632" t="s">
        <v>9827</v>
      </c>
      <c r="AR35" s="1632" t="s">
        <v>9517</v>
      </c>
      <c r="AS35" s="1632" t="s">
        <v>881</v>
      </c>
      <c r="AT35" s="1610" t="s">
        <v>9828</v>
      </c>
      <c r="AU35" s="1594" t="s">
        <v>9829</v>
      </c>
      <c r="AV35" s="1462" t="str">
        <f t="shared" si="1"/>
        <v>2:07</v>
      </c>
      <c r="AW35" s="1655"/>
    </row>
    <row r="36">
      <c r="A36" s="1604" t="s">
        <v>646</v>
      </c>
      <c r="B36" s="1592" t="s">
        <v>9103</v>
      </c>
      <c r="C36" s="1544">
        <v>0.050555555555555555</v>
      </c>
      <c r="D36" s="987" t="s">
        <v>9830</v>
      </c>
      <c r="E36" s="987" t="s">
        <v>9831</v>
      </c>
      <c r="F36" s="987" t="s">
        <v>9832</v>
      </c>
      <c r="G36" s="987" t="s">
        <v>9833</v>
      </c>
      <c r="H36" s="987" t="s">
        <v>9834</v>
      </c>
      <c r="I36" s="987" t="s">
        <v>2557</v>
      </c>
      <c r="J36" s="987" t="s">
        <v>1301</v>
      </c>
      <c r="K36" s="987" t="s">
        <v>9835</v>
      </c>
      <c r="L36" s="987" t="s">
        <v>4268</v>
      </c>
      <c r="M36" s="987" t="s">
        <v>4177</v>
      </c>
      <c r="N36" s="987" t="s">
        <v>9836</v>
      </c>
      <c r="O36" s="987" t="s">
        <v>9837</v>
      </c>
      <c r="P36" s="987" t="s">
        <v>9838</v>
      </c>
      <c r="Q36" s="987" t="s">
        <v>9839</v>
      </c>
      <c r="R36" s="987" t="s">
        <v>1939</v>
      </c>
      <c r="S36" s="987" t="s">
        <v>9840</v>
      </c>
      <c r="T36" s="987" t="s">
        <v>9701</v>
      </c>
      <c r="U36" s="987" t="s">
        <v>9841</v>
      </c>
      <c r="V36" s="987" t="s">
        <v>9842</v>
      </c>
      <c r="W36" s="987" t="s">
        <v>4765</v>
      </c>
      <c r="X36" s="987" t="s">
        <v>9843</v>
      </c>
      <c r="Y36" s="987" t="s">
        <v>5162</v>
      </c>
      <c r="Z36" s="987" t="s">
        <v>9844</v>
      </c>
      <c r="AA36" s="987" t="s">
        <v>9845</v>
      </c>
      <c r="AB36" s="987" t="s">
        <v>9846</v>
      </c>
      <c r="AC36" s="987" t="s">
        <v>7226</v>
      </c>
      <c r="AD36" s="987" t="s">
        <v>9847</v>
      </c>
      <c r="AE36" s="987" t="s">
        <v>9317</v>
      </c>
      <c r="AF36" s="987" t="s">
        <v>9848</v>
      </c>
      <c r="AG36" s="987" t="s">
        <v>5158</v>
      </c>
      <c r="AH36" s="987" t="s">
        <v>4452</v>
      </c>
      <c r="AI36" s="987" t="s">
        <v>9849</v>
      </c>
      <c r="AJ36" s="987" t="s">
        <v>9850</v>
      </c>
      <c r="AK36" s="987" t="s">
        <v>1672</v>
      </c>
      <c r="AL36" s="987" t="s">
        <v>9851</v>
      </c>
      <c r="AM36" s="987" t="s">
        <v>4047</v>
      </c>
      <c r="AN36" s="987" t="s">
        <v>4084</v>
      </c>
      <c r="AO36" s="987" t="s">
        <v>6387</v>
      </c>
      <c r="AP36" s="987" t="s">
        <v>9852</v>
      </c>
      <c r="AQ36" s="987" t="s">
        <v>9853</v>
      </c>
      <c r="AR36" s="987" t="s">
        <v>9406</v>
      </c>
      <c r="AS36" s="987" t="s">
        <v>837</v>
      </c>
      <c r="AT36" s="987" t="s">
        <v>9854</v>
      </c>
      <c r="AU36" s="1594" t="s">
        <v>9743</v>
      </c>
      <c r="AV36" s="1462" t="str">
        <f t="shared" si="1"/>
        <v>2:26</v>
      </c>
      <c r="AW36" s="1595" t="s">
        <v>9855</v>
      </c>
    </row>
    <row r="37" ht="15.75" customHeight="1">
      <c r="A37" s="1542" t="s">
        <v>740</v>
      </c>
      <c r="B37" s="1637" t="s">
        <v>9130</v>
      </c>
      <c r="C37" s="1544">
        <v>0.05056712962962963</v>
      </c>
      <c r="D37" s="1608" t="s">
        <v>9131</v>
      </c>
      <c r="E37" s="1656" t="s">
        <v>9645</v>
      </c>
      <c r="F37" s="1672" t="s">
        <v>9132</v>
      </c>
      <c r="G37" s="1573" t="s">
        <v>9856</v>
      </c>
      <c r="H37" s="1573" t="s">
        <v>9206</v>
      </c>
      <c r="I37" s="1672" t="s">
        <v>5083</v>
      </c>
      <c r="J37" s="1573" t="s">
        <v>1025</v>
      </c>
      <c r="K37" s="1573" t="s">
        <v>4892</v>
      </c>
      <c r="L37" s="1573" t="s">
        <v>2290</v>
      </c>
      <c r="M37" s="1573" t="s">
        <v>2243</v>
      </c>
      <c r="N37" s="1573" t="s">
        <v>9605</v>
      </c>
      <c r="O37" s="1573" t="s">
        <v>9857</v>
      </c>
      <c r="P37" s="1573" t="s">
        <v>4020</v>
      </c>
      <c r="Q37" s="1573" t="s">
        <v>9858</v>
      </c>
      <c r="R37" s="1573" t="s">
        <v>3120</v>
      </c>
      <c r="S37" s="1573" t="s">
        <v>9217</v>
      </c>
      <c r="T37" s="1573" t="s">
        <v>2359</v>
      </c>
      <c r="U37" s="1573" t="s">
        <v>9364</v>
      </c>
      <c r="V37" s="1573" t="s">
        <v>2885</v>
      </c>
      <c r="W37" s="1573" t="s">
        <v>9859</v>
      </c>
      <c r="X37" s="1573" t="s">
        <v>9860</v>
      </c>
      <c r="Y37" s="1573" t="s">
        <v>861</v>
      </c>
      <c r="Z37" s="1573" t="s">
        <v>9523</v>
      </c>
      <c r="AA37" s="1573" t="s">
        <v>7041</v>
      </c>
      <c r="AB37" s="1573" t="s">
        <v>6186</v>
      </c>
      <c r="AC37" s="1462" t="s">
        <v>536</v>
      </c>
      <c r="AD37" s="1573" t="s">
        <v>9861</v>
      </c>
      <c r="AE37" s="1573" t="s">
        <v>2656</v>
      </c>
      <c r="AF37" s="1573" t="s">
        <v>9862</v>
      </c>
      <c r="AG37" s="1573" t="s">
        <v>9701</v>
      </c>
      <c r="AH37" s="1573" t="s">
        <v>2964</v>
      </c>
      <c r="AI37" s="1573" t="s">
        <v>9863</v>
      </c>
      <c r="AJ37" s="1573" t="s">
        <v>3230</v>
      </c>
      <c r="AK37" s="1573" t="s">
        <v>5235</v>
      </c>
      <c r="AL37" s="1573" t="s">
        <v>4200</v>
      </c>
      <c r="AM37" s="1573" t="s">
        <v>3324</v>
      </c>
      <c r="AN37" s="1573" t="s">
        <v>344</v>
      </c>
      <c r="AO37" s="1573" t="s">
        <v>9864</v>
      </c>
      <c r="AP37" s="1573" t="s">
        <v>9865</v>
      </c>
      <c r="AQ37" s="1573" t="s">
        <v>6974</v>
      </c>
      <c r="AR37" s="1573" t="s">
        <v>2699</v>
      </c>
      <c r="AS37" s="1573" t="s">
        <v>4098</v>
      </c>
      <c r="AT37" s="1573" t="s">
        <v>5569</v>
      </c>
      <c r="AU37" s="1573" t="s">
        <v>9552</v>
      </c>
      <c r="AV37" s="1462" t="str">
        <f t="shared" si="1"/>
        <v>3:34</v>
      </c>
      <c r="AW37" s="1603" t="s">
        <v>9866</v>
      </c>
    </row>
    <row r="38" ht="15.75" customHeight="1">
      <c r="A38" s="1604" t="s">
        <v>646</v>
      </c>
      <c r="B38" s="1637" t="s">
        <v>9130</v>
      </c>
      <c r="C38" s="1679">
        <v>0.05056712962962963</v>
      </c>
      <c r="D38" s="987" t="s">
        <v>9867</v>
      </c>
      <c r="E38" s="1462" t="s">
        <v>9868</v>
      </c>
      <c r="F38" s="1462" t="s">
        <v>9582</v>
      </c>
      <c r="G38" s="1462" t="s">
        <v>9869</v>
      </c>
      <c r="H38" s="1462" t="s">
        <v>4456</v>
      </c>
      <c r="I38" s="1462" t="s">
        <v>1181</v>
      </c>
      <c r="J38" s="1573" t="s">
        <v>3478</v>
      </c>
      <c r="K38" s="1573" t="s">
        <v>3478</v>
      </c>
      <c r="L38" s="1462" t="s">
        <v>9870</v>
      </c>
      <c r="M38" s="1462" t="s">
        <v>9871</v>
      </c>
      <c r="N38" s="1462" t="s">
        <v>9528</v>
      </c>
      <c r="O38" s="1672" t="s">
        <v>9137</v>
      </c>
      <c r="P38" s="1462" t="s">
        <v>8160</v>
      </c>
      <c r="Q38" s="1462" t="s">
        <v>785</v>
      </c>
      <c r="R38" s="1573" t="s">
        <v>3478</v>
      </c>
      <c r="S38" s="1462" t="s">
        <v>9872</v>
      </c>
      <c r="T38" s="1462" t="s">
        <v>156</v>
      </c>
      <c r="U38" s="1462" t="s">
        <v>9873</v>
      </c>
      <c r="V38" s="1462" t="s">
        <v>9874</v>
      </c>
      <c r="W38" s="1462" t="s">
        <v>9875</v>
      </c>
      <c r="X38" s="1462" t="s">
        <v>9695</v>
      </c>
      <c r="Y38" s="1462" t="s">
        <v>9696</v>
      </c>
      <c r="Z38" s="1462" t="s">
        <v>151</v>
      </c>
      <c r="AA38" s="1462" t="s">
        <v>9876</v>
      </c>
      <c r="AB38" s="1462" t="s">
        <v>9382</v>
      </c>
      <c r="AC38" s="1462" t="s">
        <v>4486</v>
      </c>
      <c r="AD38" s="1462" t="s">
        <v>2323</v>
      </c>
      <c r="AE38" s="1462" t="s">
        <v>9818</v>
      </c>
      <c r="AF38" s="1462" t="s">
        <v>9877</v>
      </c>
      <c r="AG38" s="1462" t="s">
        <v>9878</v>
      </c>
      <c r="AH38" s="1462" t="s">
        <v>4473</v>
      </c>
      <c r="AI38" s="1462" t="s">
        <v>3805</v>
      </c>
      <c r="AJ38" s="1462" t="s">
        <v>9879</v>
      </c>
      <c r="AK38" s="1462" t="s">
        <v>1161</v>
      </c>
      <c r="AL38" s="1462" t="s">
        <v>9699</v>
      </c>
      <c r="AM38" s="1462" t="s">
        <v>872</v>
      </c>
      <c r="AN38" s="1573" t="s">
        <v>9880</v>
      </c>
      <c r="AO38" s="1573" t="s">
        <v>3478</v>
      </c>
      <c r="AP38" s="1462" t="s">
        <v>5475</v>
      </c>
      <c r="AQ38" s="1462" t="s">
        <v>252</v>
      </c>
      <c r="AR38" s="1462" t="s">
        <v>9881</v>
      </c>
      <c r="AS38" s="1462" t="s">
        <v>9882</v>
      </c>
      <c r="AT38" s="1462" t="s">
        <v>9883</v>
      </c>
      <c r="AU38" s="1573" t="s">
        <v>9884</v>
      </c>
      <c r="AV38" s="1462" t="str">
        <f t="shared" si="1"/>
        <v>3:07</v>
      </c>
      <c r="AW38" s="1636" t="s">
        <v>9885</v>
      </c>
    </row>
    <row r="39" ht="15.75" customHeight="1">
      <c r="A39" s="1542" t="s">
        <v>4264</v>
      </c>
      <c r="B39" s="1543" t="s">
        <v>9103</v>
      </c>
      <c r="C39" s="1679">
        <v>0.05060185185185185</v>
      </c>
      <c r="D39" s="987" t="s">
        <v>9886</v>
      </c>
      <c r="E39" s="1656" t="s">
        <v>3300</v>
      </c>
      <c r="F39" s="1656" t="s">
        <v>6124</v>
      </c>
      <c r="G39" s="1656" t="s">
        <v>9887</v>
      </c>
      <c r="H39" s="922" t="s">
        <v>9888</v>
      </c>
      <c r="I39" s="922" t="s">
        <v>4788</v>
      </c>
      <c r="J39" s="1657" t="s">
        <v>9333</v>
      </c>
      <c r="K39" s="1657" t="s">
        <v>7488</v>
      </c>
      <c r="L39" s="1657" t="s">
        <v>5634</v>
      </c>
      <c r="M39" s="1657" t="s">
        <v>9889</v>
      </c>
      <c r="N39" s="1657" t="s">
        <v>5391</v>
      </c>
      <c r="O39" s="1657" t="s">
        <v>9890</v>
      </c>
      <c r="P39" s="1657" t="s">
        <v>5948</v>
      </c>
      <c r="Q39" s="1658" t="s">
        <v>9891</v>
      </c>
      <c r="R39" s="1658" t="s">
        <v>5553</v>
      </c>
      <c r="S39" s="1658" t="s">
        <v>7083</v>
      </c>
      <c r="T39" s="1658" t="s">
        <v>9892</v>
      </c>
      <c r="U39" s="1658" t="s">
        <v>6260</v>
      </c>
      <c r="V39" s="1658" t="s">
        <v>3924</v>
      </c>
      <c r="W39" s="1659" t="s">
        <v>9893</v>
      </c>
      <c r="X39" s="1659" t="s">
        <v>7478</v>
      </c>
      <c r="Y39" s="1659" t="s">
        <v>1916</v>
      </c>
      <c r="Z39" s="1659" t="s">
        <v>1840</v>
      </c>
      <c r="AA39" s="1659" t="s">
        <v>9894</v>
      </c>
      <c r="AB39" s="1659" t="s">
        <v>9382</v>
      </c>
      <c r="AC39" s="1659" t="s">
        <v>5635</v>
      </c>
      <c r="AD39" s="1656" t="s">
        <v>6601</v>
      </c>
      <c r="AE39" s="1656" t="s">
        <v>7765</v>
      </c>
      <c r="AF39" s="1660" t="s">
        <v>9895</v>
      </c>
      <c r="AG39" s="1660" t="s">
        <v>9822</v>
      </c>
      <c r="AH39" s="1660" t="s">
        <v>8244</v>
      </c>
      <c r="AI39" s="1660" t="s">
        <v>5630</v>
      </c>
      <c r="AJ39" s="1660" t="s">
        <v>9896</v>
      </c>
      <c r="AK39" s="1660" t="s">
        <v>9897</v>
      </c>
      <c r="AL39" s="1660" t="s">
        <v>9898</v>
      </c>
      <c r="AM39" s="1631" t="s">
        <v>9899</v>
      </c>
      <c r="AN39" s="1631" t="s">
        <v>9900</v>
      </c>
      <c r="AO39" s="1631" t="s">
        <v>9901</v>
      </c>
      <c r="AP39" s="1631" t="s">
        <v>9902</v>
      </c>
      <c r="AQ39" s="1631" t="s">
        <v>9764</v>
      </c>
      <c r="AR39" s="1631" t="s">
        <v>9903</v>
      </c>
      <c r="AS39" s="1631" t="s">
        <v>4398</v>
      </c>
      <c r="AT39" s="1657" t="s">
        <v>9904</v>
      </c>
      <c r="AU39" s="1654" t="s">
        <v>9905</v>
      </c>
      <c r="AV39" s="1462" t="str">
        <f t="shared" si="1"/>
        <v>1:56</v>
      </c>
      <c r="AW39" s="1655"/>
    </row>
    <row r="40" ht="15.75" customHeight="1">
      <c r="A40" s="1570" t="s">
        <v>897</v>
      </c>
      <c r="B40" s="1543" t="s">
        <v>9103</v>
      </c>
      <c r="C40" s="1544">
        <v>0.05061342592592592</v>
      </c>
      <c r="D40" s="987" t="s">
        <v>9906</v>
      </c>
      <c r="E40" s="1573" t="s">
        <v>9308</v>
      </c>
      <c r="F40" s="1573" t="s">
        <v>5513</v>
      </c>
      <c r="G40" s="1462" t="s">
        <v>9907</v>
      </c>
      <c r="H40" s="1573" t="s">
        <v>9908</v>
      </c>
      <c r="I40" s="1573" t="s">
        <v>388</v>
      </c>
      <c r="J40" s="1573" t="s">
        <v>7877</v>
      </c>
      <c r="K40" s="1462" t="s">
        <v>9579</v>
      </c>
      <c r="L40" s="1573" t="s">
        <v>9909</v>
      </c>
      <c r="M40" s="1573" t="s">
        <v>9910</v>
      </c>
      <c r="N40" s="1573" t="s">
        <v>4405</v>
      </c>
      <c r="O40" s="1573" t="s">
        <v>9911</v>
      </c>
      <c r="P40" s="1573" t="s">
        <v>1584</v>
      </c>
      <c r="Q40" s="1548" t="s">
        <v>9912</v>
      </c>
      <c r="R40" s="1573" t="s">
        <v>9913</v>
      </c>
      <c r="S40" s="1462" t="s">
        <v>9914</v>
      </c>
      <c r="T40" s="1573" t="s">
        <v>9678</v>
      </c>
      <c r="U40" s="1573" t="s">
        <v>6711</v>
      </c>
      <c r="V40" s="1573" t="s">
        <v>2479</v>
      </c>
      <c r="W40" s="1582" t="str">
        <f>HYPERLINK("https://www.youtube.com/watch?v=nn1ub1z3NYM","1:45.96")</f>
        <v>1:45.96</v>
      </c>
      <c r="X40" s="1573" t="s">
        <v>5771</v>
      </c>
      <c r="Y40" s="1462" t="s">
        <v>5619</v>
      </c>
      <c r="Z40" s="1573" t="s">
        <v>1499</v>
      </c>
      <c r="AA40" s="1573" t="s">
        <v>9915</v>
      </c>
      <c r="AB40" s="1573" t="s">
        <v>9916</v>
      </c>
      <c r="AC40" s="1573" t="s">
        <v>1112</v>
      </c>
      <c r="AD40" s="1573" t="s">
        <v>9917</v>
      </c>
      <c r="AE40" s="1548" t="s">
        <v>4629</v>
      </c>
      <c r="AF40" s="1462" t="s">
        <v>9918</v>
      </c>
      <c r="AG40" s="1573" t="s">
        <v>1937</v>
      </c>
      <c r="AH40" s="1573" t="s">
        <v>3056</v>
      </c>
      <c r="AI40" s="1573" t="s">
        <v>9919</v>
      </c>
      <c r="AJ40" s="1462" t="s">
        <v>8516</v>
      </c>
      <c r="AK40" s="1573" t="s">
        <v>9920</v>
      </c>
      <c r="AL40" s="1462" t="s">
        <v>4358</v>
      </c>
      <c r="AM40" s="1462" t="s">
        <v>9921</v>
      </c>
      <c r="AN40" s="1462" t="s">
        <v>2513</v>
      </c>
      <c r="AO40" s="1573" t="s">
        <v>3608</v>
      </c>
      <c r="AP40" s="1573" t="s">
        <v>9922</v>
      </c>
      <c r="AQ40" s="1573" t="s">
        <v>9923</v>
      </c>
      <c r="AR40" s="1573" t="s">
        <v>1301</v>
      </c>
      <c r="AS40" s="1573" t="s">
        <v>4712</v>
      </c>
      <c r="AT40" s="1573" t="s">
        <v>9924</v>
      </c>
      <c r="AU40" s="1573" t="s">
        <v>9925</v>
      </c>
      <c r="AV40" s="1462" t="str">
        <f t="shared" si="1"/>
        <v>2:25</v>
      </c>
      <c r="AW40" s="1603"/>
    </row>
    <row r="41">
      <c r="A41" s="1570" t="s">
        <v>9926</v>
      </c>
      <c r="B41" s="1602" t="s">
        <v>9103</v>
      </c>
      <c r="C41" s="1544">
        <v>0.050625</v>
      </c>
      <c r="D41" s="1685" t="s">
        <v>9927</v>
      </c>
      <c r="E41" s="1573" t="s">
        <v>4741</v>
      </c>
      <c r="F41" s="1573" t="s">
        <v>9928</v>
      </c>
      <c r="G41" s="1573" t="s">
        <v>9929</v>
      </c>
      <c r="H41" s="1573" t="s">
        <v>1744</v>
      </c>
      <c r="I41" s="1573" t="s">
        <v>1832</v>
      </c>
      <c r="J41" s="1573" t="s">
        <v>9930</v>
      </c>
      <c r="K41" s="1573" t="s">
        <v>3629</v>
      </c>
      <c r="L41" s="1573" t="s">
        <v>9931</v>
      </c>
      <c r="M41" s="1573" t="s">
        <v>9932</v>
      </c>
      <c r="N41" s="1573" t="s">
        <v>9933</v>
      </c>
      <c r="O41" s="1573" t="s">
        <v>9934</v>
      </c>
      <c r="P41" s="1573" t="s">
        <v>9818</v>
      </c>
      <c r="Q41" s="1573" t="s">
        <v>4649</v>
      </c>
      <c r="R41" s="1573" t="s">
        <v>4017</v>
      </c>
      <c r="S41" s="1573" t="s">
        <v>2684</v>
      </c>
      <c r="T41" s="1573" t="s">
        <v>2359</v>
      </c>
      <c r="U41" s="1573" t="s">
        <v>9935</v>
      </c>
      <c r="V41" s="1573" t="s">
        <v>2214</v>
      </c>
      <c r="W41" s="1573" t="s">
        <v>7140</v>
      </c>
      <c r="X41" s="1573" t="s">
        <v>9936</v>
      </c>
      <c r="Y41" s="1573" t="s">
        <v>9937</v>
      </c>
      <c r="Z41" s="1573" t="s">
        <v>9938</v>
      </c>
      <c r="AA41" s="1573" t="s">
        <v>9939</v>
      </c>
      <c r="AB41" s="1573"/>
      <c r="AC41" s="1573" t="s">
        <v>9940</v>
      </c>
      <c r="AD41" s="1573" t="s">
        <v>9941</v>
      </c>
      <c r="AE41" s="1573" t="s">
        <v>4974</v>
      </c>
      <c r="AF41" s="1573" t="s">
        <v>9942</v>
      </c>
      <c r="AG41" s="1573" t="s">
        <v>9943</v>
      </c>
      <c r="AH41" s="1573" t="s">
        <v>9944</v>
      </c>
      <c r="AI41" s="1573" t="s">
        <v>728</v>
      </c>
      <c r="AJ41" s="1573" t="s">
        <v>9945</v>
      </c>
      <c r="AK41" s="1573" t="s">
        <v>9113</v>
      </c>
      <c r="AL41" s="1573" t="s">
        <v>9946</v>
      </c>
      <c r="AM41" s="1573" t="s">
        <v>9947</v>
      </c>
      <c r="AN41" s="1573" t="s">
        <v>9180</v>
      </c>
      <c r="AO41" s="1573" t="s">
        <v>5066</v>
      </c>
      <c r="AP41" s="1573" t="s">
        <v>9948</v>
      </c>
      <c r="AQ41" s="1573" t="s">
        <v>9949</v>
      </c>
      <c r="AR41" s="1573" t="s">
        <v>7548</v>
      </c>
      <c r="AS41" s="1573" t="s">
        <v>5823</v>
      </c>
      <c r="AT41" s="1573" t="s">
        <v>8822</v>
      </c>
      <c r="AU41" s="1573" t="s">
        <v>9950</v>
      </c>
      <c r="AV41" s="1462" t="str">
        <f t="shared" si="1"/>
        <v>2:05</v>
      </c>
      <c r="AW41" s="1636"/>
    </row>
    <row r="42">
      <c r="A42" s="1570" t="s">
        <v>9951</v>
      </c>
      <c r="B42" s="1592" t="s">
        <v>9103</v>
      </c>
      <c r="C42" s="1544">
        <v>0.0506712962962963</v>
      </c>
      <c r="D42" s="1685" t="s">
        <v>9952</v>
      </c>
      <c r="E42" s="1627" t="s">
        <v>3300</v>
      </c>
      <c r="F42" s="1627" t="s">
        <v>9449</v>
      </c>
      <c r="G42" s="1627" t="s">
        <v>9953</v>
      </c>
      <c r="H42" s="848" t="s">
        <v>9954</v>
      </c>
      <c r="I42" s="848" t="s">
        <v>9955</v>
      </c>
      <c r="J42" s="1610" t="s">
        <v>9956</v>
      </c>
      <c r="K42" s="1610" t="s">
        <v>8200</v>
      </c>
      <c r="L42" s="1610" t="s">
        <v>4332</v>
      </c>
      <c r="M42" s="1610" t="s">
        <v>8201</v>
      </c>
      <c r="N42" s="1610" t="s">
        <v>9957</v>
      </c>
      <c r="O42" s="1610" t="s">
        <v>2247</v>
      </c>
      <c r="P42" s="1610" t="s">
        <v>8163</v>
      </c>
      <c r="Q42" s="1613" t="s">
        <v>7390</v>
      </c>
      <c r="R42" s="1613" t="s">
        <v>9958</v>
      </c>
      <c r="S42" s="1613" t="s">
        <v>9959</v>
      </c>
      <c r="T42" s="1613" t="s">
        <v>9960</v>
      </c>
      <c r="U42" s="1613" t="s">
        <v>9961</v>
      </c>
      <c r="V42" s="1613" t="s">
        <v>9962</v>
      </c>
      <c r="W42" s="1629" t="s">
        <v>9963</v>
      </c>
      <c r="X42" s="1629" t="s">
        <v>9964</v>
      </c>
      <c r="Y42" s="1629" t="s">
        <v>6316</v>
      </c>
      <c r="Z42" s="1629" t="s">
        <v>9965</v>
      </c>
      <c r="AA42" s="1573" t="s">
        <v>1677</v>
      </c>
      <c r="AB42" s="1629" t="s">
        <v>9966</v>
      </c>
      <c r="AC42" s="1629" t="s">
        <v>7226</v>
      </c>
      <c r="AD42" s="1627" t="s">
        <v>9967</v>
      </c>
      <c r="AE42" s="1627" t="s">
        <v>536</v>
      </c>
      <c r="AF42" s="1630" t="s">
        <v>9968</v>
      </c>
      <c r="AG42" s="1630" t="s">
        <v>4001</v>
      </c>
      <c r="AH42" s="1630" t="s">
        <v>5282</v>
      </c>
      <c r="AI42" s="1630" t="s">
        <v>9969</v>
      </c>
      <c r="AJ42" s="1630" t="s">
        <v>9970</v>
      </c>
      <c r="AK42" s="1630" t="s">
        <v>174</v>
      </c>
      <c r="AL42" s="1630" t="s">
        <v>2624</v>
      </c>
      <c r="AM42" s="1632" t="s">
        <v>9450</v>
      </c>
      <c r="AN42" s="1632" t="s">
        <v>9702</v>
      </c>
      <c r="AO42" s="1632" t="s">
        <v>9640</v>
      </c>
      <c r="AP42" s="1632" t="s">
        <v>9971</v>
      </c>
      <c r="AQ42" s="1632" t="s">
        <v>9972</v>
      </c>
      <c r="AR42" s="1632" t="s">
        <v>4873</v>
      </c>
      <c r="AS42" s="1632" t="s">
        <v>9973</v>
      </c>
      <c r="AT42" s="1610" t="s">
        <v>9974</v>
      </c>
      <c r="AU42" s="1594" t="s">
        <v>9766</v>
      </c>
      <c r="AV42" s="1462" t="str">
        <f t="shared" si="1"/>
        <v>3:31</v>
      </c>
      <c r="AW42" s="1655"/>
    </row>
    <row r="43" ht="15.75" customHeight="1">
      <c r="A43" s="1669" t="s">
        <v>9975</v>
      </c>
      <c r="B43" s="1543" t="s">
        <v>9103</v>
      </c>
      <c r="C43" s="1544">
        <v>0.05070601851851852</v>
      </c>
      <c r="D43" s="987" t="s">
        <v>9976</v>
      </c>
      <c r="E43" s="1656" t="s">
        <v>3200</v>
      </c>
      <c r="F43" s="1656" t="s">
        <v>9299</v>
      </c>
      <c r="G43" s="1656" t="s">
        <v>9977</v>
      </c>
      <c r="H43" s="922" t="s">
        <v>9978</v>
      </c>
      <c r="I43" s="922" t="s">
        <v>388</v>
      </c>
      <c r="J43" s="1657" t="s">
        <v>9979</v>
      </c>
      <c r="K43" s="1657" t="s">
        <v>3552</v>
      </c>
      <c r="L43" s="1657" t="s">
        <v>5522</v>
      </c>
      <c r="M43" s="1657" t="s">
        <v>9980</v>
      </c>
      <c r="N43" s="1657" t="s">
        <v>9814</v>
      </c>
      <c r="O43" s="1657" t="s">
        <v>9981</v>
      </c>
      <c r="P43" s="1657" t="s">
        <v>5082</v>
      </c>
      <c r="Q43" s="1658" t="s">
        <v>9982</v>
      </c>
      <c r="R43" s="1658" t="s">
        <v>731</v>
      </c>
      <c r="S43" s="1658" t="s">
        <v>5066</v>
      </c>
      <c r="T43" s="1658" t="s">
        <v>9817</v>
      </c>
      <c r="U43" s="1658" t="s">
        <v>9983</v>
      </c>
      <c r="V43" s="1658" t="s">
        <v>2479</v>
      </c>
      <c r="W43" s="1659" t="s">
        <v>9984</v>
      </c>
      <c r="X43" s="1659" t="s">
        <v>6187</v>
      </c>
      <c r="Y43" s="1659" t="s">
        <v>8318</v>
      </c>
      <c r="Z43" s="1659" t="s">
        <v>9985</v>
      </c>
      <c r="AA43" s="1659" t="s">
        <v>9986</v>
      </c>
      <c r="AB43" s="1659" t="s">
        <v>2643</v>
      </c>
      <c r="AC43" s="1659" t="s">
        <v>3116</v>
      </c>
      <c r="AD43" s="1656" t="s">
        <v>9987</v>
      </c>
      <c r="AE43" s="1656" t="s">
        <v>6318</v>
      </c>
      <c r="AF43" s="1660" t="s">
        <v>9254</v>
      </c>
      <c r="AG43" s="1660" t="s">
        <v>9988</v>
      </c>
      <c r="AH43" s="1660" t="s">
        <v>2256</v>
      </c>
      <c r="AI43" s="1660" t="s">
        <v>9989</v>
      </c>
      <c r="AJ43" s="1660" t="s">
        <v>9990</v>
      </c>
      <c r="AK43" s="1660" t="s">
        <v>9991</v>
      </c>
      <c r="AL43" s="1660" t="s">
        <v>5492</v>
      </c>
      <c r="AM43" s="1631" t="s">
        <v>9843</v>
      </c>
      <c r="AN43" s="1631" t="s">
        <v>5492</v>
      </c>
      <c r="AO43" s="1631" t="s">
        <v>2303</v>
      </c>
      <c r="AP43" s="1631" t="s">
        <v>9992</v>
      </c>
      <c r="AQ43" s="1631" t="s">
        <v>9993</v>
      </c>
      <c r="AR43" s="1631" t="s">
        <v>4696</v>
      </c>
      <c r="AS43" s="1631" t="s">
        <v>4401</v>
      </c>
      <c r="AT43" s="1657" t="s">
        <v>9994</v>
      </c>
      <c r="AU43" s="1654" t="s">
        <v>9995</v>
      </c>
      <c r="AV43" s="1462" t="str">
        <f t="shared" si="1"/>
        <v>2:54</v>
      </c>
      <c r="AW43" s="1655"/>
    </row>
    <row r="44">
      <c r="A44" s="1604" t="s">
        <v>2826</v>
      </c>
      <c r="B44" s="1602" t="s">
        <v>9103</v>
      </c>
      <c r="C44" s="1544">
        <v>0.050826388888888886</v>
      </c>
      <c r="D44" s="1573" t="s">
        <v>9996</v>
      </c>
      <c r="E44" s="1573" t="s">
        <v>6856</v>
      </c>
      <c r="F44" s="1627" t="s">
        <v>9997</v>
      </c>
      <c r="G44" s="1573" t="s">
        <v>9998</v>
      </c>
      <c r="H44" s="1573" t="s">
        <v>6586</v>
      </c>
      <c r="I44" s="1573" t="s">
        <v>1291</v>
      </c>
      <c r="J44" s="1573" t="s">
        <v>9999</v>
      </c>
      <c r="K44" s="1573" t="s">
        <v>3975</v>
      </c>
      <c r="L44" s="1573" t="s">
        <v>5936</v>
      </c>
      <c r="M44" s="1573" t="s">
        <v>10000</v>
      </c>
      <c r="N44" s="1573" t="s">
        <v>6762</v>
      </c>
      <c r="O44" s="1573" t="s">
        <v>10001</v>
      </c>
      <c r="P44" s="1573" t="s">
        <v>9586</v>
      </c>
      <c r="Q44" s="1573" t="s">
        <v>10002</v>
      </c>
      <c r="R44" s="1573" t="s">
        <v>10003</v>
      </c>
      <c r="S44" s="1573" t="s">
        <v>10004</v>
      </c>
      <c r="T44" s="1573" t="s">
        <v>1707</v>
      </c>
      <c r="U44" s="1573" t="s">
        <v>10005</v>
      </c>
      <c r="V44" s="1573" t="s">
        <v>8246</v>
      </c>
      <c r="W44" s="1573" t="s">
        <v>5552</v>
      </c>
      <c r="X44" s="1573" t="s">
        <v>10006</v>
      </c>
      <c r="Y44" s="1573" t="s">
        <v>8154</v>
      </c>
      <c r="Z44" s="1573" t="s">
        <v>10007</v>
      </c>
      <c r="AA44" s="1629" t="s">
        <v>10008</v>
      </c>
      <c r="AB44" s="1573" t="s">
        <v>1840</v>
      </c>
      <c r="AC44" s="1573" t="s">
        <v>7226</v>
      </c>
      <c r="AD44" s="1573" t="s">
        <v>10009</v>
      </c>
      <c r="AE44" s="1573" t="s">
        <v>4974</v>
      </c>
      <c r="AF44" s="1573" t="s">
        <v>10010</v>
      </c>
      <c r="AG44" s="1573" t="s">
        <v>1175</v>
      </c>
      <c r="AH44" s="1573" t="s">
        <v>3899</v>
      </c>
      <c r="AI44" s="1573" t="s">
        <v>10011</v>
      </c>
      <c r="AJ44" s="1573" t="s">
        <v>10012</v>
      </c>
      <c r="AK44" s="1573" t="s">
        <v>9920</v>
      </c>
      <c r="AL44" s="1573" t="s">
        <v>4363</v>
      </c>
      <c r="AM44" s="1573" t="s">
        <v>9920</v>
      </c>
      <c r="AN44" s="1573" t="s">
        <v>9180</v>
      </c>
      <c r="AO44" s="1573" t="s">
        <v>6957</v>
      </c>
      <c r="AP44" s="1573" t="s">
        <v>10013</v>
      </c>
      <c r="AQ44" s="1573" t="s">
        <v>10014</v>
      </c>
      <c r="AR44" s="1573" t="s">
        <v>5184</v>
      </c>
      <c r="AS44" s="1573" t="s">
        <v>6154</v>
      </c>
      <c r="AT44" s="1573" t="s">
        <v>10015</v>
      </c>
      <c r="AU44" s="1573" t="s">
        <v>10016</v>
      </c>
      <c r="AV44" s="1462" t="str">
        <f t="shared" si="1"/>
        <v>2:25</v>
      </c>
      <c r="AW44" s="1636"/>
    </row>
    <row r="45" ht="15.75" customHeight="1">
      <c r="A45" s="1604" t="s">
        <v>4650</v>
      </c>
      <c r="B45" s="1543" t="s">
        <v>9103</v>
      </c>
      <c r="C45" s="1679">
        <v>0.050868055555555555</v>
      </c>
      <c r="D45" s="987" t="s">
        <v>10017</v>
      </c>
      <c r="E45" s="1462" t="s">
        <v>7203</v>
      </c>
      <c r="F45" s="1462" t="s">
        <v>10018</v>
      </c>
      <c r="G45" s="1462" t="s">
        <v>10019</v>
      </c>
      <c r="H45" s="1462" t="s">
        <v>9206</v>
      </c>
      <c r="I45" s="1462" t="s">
        <v>1291</v>
      </c>
      <c r="J45" s="1462" t="s">
        <v>4873</v>
      </c>
      <c r="K45" s="1462" t="s">
        <v>9594</v>
      </c>
      <c r="L45" s="1462" t="s">
        <v>9452</v>
      </c>
      <c r="M45" s="1462" t="s">
        <v>5452</v>
      </c>
      <c r="N45" s="1462" t="s">
        <v>8619</v>
      </c>
      <c r="O45" s="1462" t="s">
        <v>10020</v>
      </c>
      <c r="P45" s="1462" t="s">
        <v>4299</v>
      </c>
      <c r="Q45" s="1462" t="s">
        <v>10021</v>
      </c>
      <c r="R45" s="1462" t="s">
        <v>6908</v>
      </c>
      <c r="S45" s="1462" t="s">
        <v>9409</v>
      </c>
      <c r="T45" s="1462" t="s">
        <v>4618</v>
      </c>
      <c r="U45" s="1462" t="s">
        <v>10022</v>
      </c>
      <c r="V45" s="1462" t="s">
        <v>9633</v>
      </c>
      <c r="W45" s="1462" t="s">
        <v>10023</v>
      </c>
      <c r="X45" s="1462" t="s">
        <v>9638</v>
      </c>
      <c r="Y45" s="1462" t="s">
        <v>3636</v>
      </c>
      <c r="Z45" s="1462" t="s">
        <v>10024</v>
      </c>
      <c r="AA45" s="1462" t="s">
        <v>10025</v>
      </c>
      <c r="AB45" s="1462" t="s">
        <v>194</v>
      </c>
      <c r="AC45" s="1462" t="s">
        <v>3018</v>
      </c>
      <c r="AD45" s="1462" t="s">
        <v>10026</v>
      </c>
      <c r="AE45" s="1462" t="s">
        <v>619</v>
      </c>
      <c r="AF45" s="1462" t="s">
        <v>10027</v>
      </c>
      <c r="AG45" s="1462" t="s">
        <v>6053</v>
      </c>
      <c r="AH45" s="1462" t="s">
        <v>9207</v>
      </c>
      <c r="AI45" s="1462" t="s">
        <v>6982</v>
      </c>
      <c r="AJ45" s="1462" t="s">
        <v>10028</v>
      </c>
      <c r="AK45" s="1462" t="s">
        <v>5480</v>
      </c>
      <c r="AL45" s="1462" t="s">
        <v>3209</v>
      </c>
      <c r="AM45" s="1462" t="s">
        <v>10029</v>
      </c>
      <c r="AN45" s="1462" t="s">
        <v>3344</v>
      </c>
      <c r="AO45" s="1462" t="s">
        <v>9579</v>
      </c>
      <c r="AP45" s="1462" t="s">
        <v>10030</v>
      </c>
      <c r="AQ45" s="1462" t="s">
        <v>10031</v>
      </c>
      <c r="AR45" s="1462" t="s">
        <v>9443</v>
      </c>
      <c r="AS45" s="1462" t="s">
        <v>5147</v>
      </c>
      <c r="AT45" s="1462" t="s">
        <v>10032</v>
      </c>
      <c r="AU45" s="1462" t="s">
        <v>10033</v>
      </c>
      <c r="AV45" s="1462" t="str">
        <f t="shared" si="1"/>
        <v>2:44</v>
      </c>
      <c r="AW45" s="1584"/>
    </row>
    <row r="46" ht="15.75" customHeight="1">
      <c r="A46" s="1604" t="s">
        <v>1808</v>
      </c>
      <c r="B46" s="1686" t="s">
        <v>9156</v>
      </c>
      <c r="C46" s="1687">
        <v>0.05092592592592592</v>
      </c>
      <c r="D46" s="1688" t="s">
        <v>9157</v>
      </c>
      <c r="E46" s="1689" t="s">
        <v>9158</v>
      </c>
      <c r="F46" s="1688" t="s">
        <v>9159</v>
      </c>
      <c r="G46" s="1573" t="s">
        <v>10034</v>
      </c>
      <c r="H46" s="1688" t="s">
        <v>9161</v>
      </c>
      <c r="I46" s="1462" t="s">
        <v>1408</v>
      </c>
      <c r="J46" s="1656" t="s">
        <v>10035</v>
      </c>
      <c r="K46" s="1462" t="s">
        <v>9814</v>
      </c>
      <c r="L46" s="1656" t="s">
        <v>2329</v>
      </c>
      <c r="M46" s="1462" t="s">
        <v>2714</v>
      </c>
      <c r="N46" s="1688" t="s">
        <v>9122</v>
      </c>
      <c r="O46" s="1462" t="s">
        <v>10036</v>
      </c>
      <c r="P46" s="1656" t="s">
        <v>638</v>
      </c>
      <c r="Q46" s="1689" t="s">
        <v>9166</v>
      </c>
      <c r="R46" s="1688" t="s">
        <v>9167</v>
      </c>
      <c r="S46" s="1462" t="s">
        <v>1161</v>
      </c>
      <c r="T46" s="1656" t="s">
        <v>7278</v>
      </c>
      <c r="U46" s="1689" t="s">
        <v>9169</v>
      </c>
      <c r="V46" s="1688" t="s">
        <v>4294</v>
      </c>
      <c r="W46" s="1462" t="s">
        <v>10037</v>
      </c>
      <c r="X46" s="1688" t="s">
        <v>9171</v>
      </c>
      <c r="Y46" s="1462" t="s">
        <v>5720</v>
      </c>
      <c r="Z46" s="1627" t="s">
        <v>10038</v>
      </c>
      <c r="AA46" s="1462" t="s">
        <v>2305</v>
      </c>
      <c r="AB46" s="1656" t="s">
        <v>9482</v>
      </c>
      <c r="AC46" s="1573" t="s">
        <v>10039</v>
      </c>
      <c r="AD46" s="1656" t="s">
        <v>10040</v>
      </c>
      <c r="AE46" s="1573" t="s">
        <v>10041</v>
      </c>
      <c r="AF46" s="1656" t="s">
        <v>10042</v>
      </c>
      <c r="AG46" s="1462" t="s">
        <v>8062</v>
      </c>
      <c r="AH46" s="1627" t="s">
        <v>9931</v>
      </c>
      <c r="AI46" s="1689" t="s">
        <v>9176</v>
      </c>
      <c r="AJ46" s="1656" t="s">
        <v>10043</v>
      </c>
      <c r="AK46" s="1462" t="s">
        <v>5959</v>
      </c>
      <c r="AL46" s="1688" t="s">
        <v>9178</v>
      </c>
      <c r="AM46" s="1462" t="s">
        <v>9544</v>
      </c>
      <c r="AN46" s="1656" t="s">
        <v>3919</v>
      </c>
      <c r="AO46" s="1573" t="s">
        <v>4902</v>
      </c>
      <c r="AP46" s="1627" t="s">
        <v>10044</v>
      </c>
      <c r="AQ46" s="1573" t="s">
        <v>10045</v>
      </c>
      <c r="AR46" s="1627" t="s">
        <v>10046</v>
      </c>
      <c r="AS46" s="1462" t="s">
        <v>971</v>
      </c>
      <c r="AT46" s="1688" t="s">
        <v>9184</v>
      </c>
      <c r="AU46" s="1689" t="s">
        <v>9185</v>
      </c>
      <c r="AV46" s="1462" t="str">
        <f t="shared" si="1"/>
        <v>2:24</v>
      </c>
      <c r="AW46" s="1603"/>
    </row>
    <row r="47">
      <c r="A47" s="1604" t="s">
        <v>2581</v>
      </c>
      <c r="B47" s="1605" t="s">
        <v>9130</v>
      </c>
      <c r="C47" s="1544">
        <v>0.05092592592592592</v>
      </c>
      <c r="D47" s="987" t="s">
        <v>10047</v>
      </c>
      <c r="E47" s="1627" t="s">
        <v>10048</v>
      </c>
      <c r="F47" s="1627" t="s">
        <v>10049</v>
      </c>
      <c r="G47" s="1627" t="s">
        <v>10050</v>
      </c>
      <c r="H47" s="848" t="s">
        <v>10051</v>
      </c>
      <c r="I47" s="848" t="s">
        <v>2962</v>
      </c>
      <c r="J47" s="1610" t="s">
        <v>7932</v>
      </c>
      <c r="K47" s="1610" t="s">
        <v>3594</v>
      </c>
      <c r="L47" s="1610" t="s">
        <v>5873</v>
      </c>
      <c r="M47" s="1610" t="s">
        <v>3134</v>
      </c>
      <c r="N47" s="1610" t="s">
        <v>872</v>
      </c>
      <c r="O47" s="1610" t="s">
        <v>10052</v>
      </c>
      <c r="P47" s="1610" t="s">
        <v>772</v>
      </c>
      <c r="Q47" s="1613" t="s">
        <v>7260</v>
      </c>
      <c r="R47" s="1613" t="s">
        <v>6929</v>
      </c>
      <c r="S47" s="1613" t="s">
        <v>7544</v>
      </c>
      <c r="T47" s="1613" t="s">
        <v>10053</v>
      </c>
      <c r="U47" s="1690" t="s">
        <v>7369</v>
      </c>
      <c r="V47" s="1613" t="s">
        <v>10054</v>
      </c>
      <c r="W47" s="1629" t="s">
        <v>6878</v>
      </c>
      <c r="X47" s="1629" t="s">
        <v>10055</v>
      </c>
      <c r="Y47" s="1629" t="s">
        <v>10056</v>
      </c>
      <c r="Z47" s="1629" t="s">
        <v>7211</v>
      </c>
      <c r="AA47" s="1629" t="s">
        <v>1868</v>
      </c>
      <c r="AB47" s="1629" t="s">
        <v>10057</v>
      </c>
      <c r="AC47" s="1629" t="s">
        <v>2448</v>
      </c>
      <c r="AD47" s="1627" t="s">
        <v>10058</v>
      </c>
      <c r="AE47" s="1627" t="s">
        <v>5288</v>
      </c>
      <c r="AF47" s="1630" t="s">
        <v>10059</v>
      </c>
      <c r="AG47" s="1630" t="s">
        <v>5234</v>
      </c>
      <c r="AH47" s="1630" t="s">
        <v>4473</v>
      </c>
      <c r="AI47" s="1630" t="s">
        <v>10060</v>
      </c>
      <c r="AJ47" s="1619" t="s">
        <v>9149</v>
      </c>
      <c r="AK47" s="1630" t="s">
        <v>194</v>
      </c>
      <c r="AL47" s="1630" t="s">
        <v>5960</v>
      </c>
      <c r="AM47" s="1632" t="s">
        <v>4078</v>
      </c>
      <c r="AN47" s="1632" t="s">
        <v>3734</v>
      </c>
      <c r="AO47" s="1632" t="s">
        <v>2401</v>
      </c>
      <c r="AP47" s="1632" t="s">
        <v>10061</v>
      </c>
      <c r="AQ47" s="1632" t="s">
        <v>4315</v>
      </c>
      <c r="AR47" s="1632" t="s">
        <v>7249</v>
      </c>
      <c r="AS47" s="1632" t="s">
        <v>6606</v>
      </c>
      <c r="AT47" s="1610" t="s">
        <v>10062</v>
      </c>
      <c r="AU47" s="1026" t="s">
        <v>10063</v>
      </c>
      <c r="AV47" s="1462" t="str">
        <f t="shared" si="1"/>
        <v>4:25</v>
      </c>
      <c r="AW47" s="1601"/>
    </row>
    <row r="48" ht="15.75" customHeight="1">
      <c r="A48" s="1542" t="s">
        <v>4503</v>
      </c>
      <c r="B48" s="1637" t="s">
        <v>9130</v>
      </c>
      <c r="C48" s="1544">
        <v>0.05100810185185185</v>
      </c>
      <c r="D48" s="987" t="s">
        <v>10064</v>
      </c>
      <c r="E48" s="1627" t="s">
        <v>10065</v>
      </c>
      <c r="F48" s="1627" t="s">
        <v>10066</v>
      </c>
      <c r="G48" s="1656" t="s">
        <v>10067</v>
      </c>
      <c r="H48" s="848" t="s">
        <v>10068</v>
      </c>
      <c r="I48" s="848" t="s">
        <v>1408</v>
      </c>
      <c r="J48" s="1610" t="s">
        <v>5184</v>
      </c>
      <c r="K48" s="1610" t="s">
        <v>9812</v>
      </c>
      <c r="L48" s="1610" t="s">
        <v>4417</v>
      </c>
      <c r="M48" s="1610" t="s">
        <v>1451</v>
      </c>
      <c r="N48" s="1610" t="s">
        <v>9119</v>
      </c>
      <c r="O48" s="1610" t="s">
        <v>9313</v>
      </c>
      <c r="P48" s="1610" t="s">
        <v>10069</v>
      </c>
      <c r="Q48" s="1613" t="s">
        <v>10070</v>
      </c>
      <c r="R48" s="1613" t="s">
        <v>3441</v>
      </c>
      <c r="S48" s="1613" t="s">
        <v>7182</v>
      </c>
      <c r="T48" s="1613" t="s">
        <v>10071</v>
      </c>
      <c r="U48" s="1613" t="s">
        <v>10072</v>
      </c>
      <c r="V48" s="1658" t="s">
        <v>1362</v>
      </c>
      <c r="W48" s="1629" t="s">
        <v>10073</v>
      </c>
      <c r="X48" s="1629" t="s">
        <v>9863</v>
      </c>
      <c r="Y48" s="1629" t="s">
        <v>4020</v>
      </c>
      <c r="Z48" s="1629" t="s">
        <v>7139</v>
      </c>
      <c r="AA48" s="1629" t="s">
        <v>1090</v>
      </c>
      <c r="AB48" s="1629" t="s">
        <v>3947</v>
      </c>
      <c r="AC48" s="1659" t="s">
        <v>7727</v>
      </c>
      <c r="AD48" s="1627" t="s">
        <v>10074</v>
      </c>
      <c r="AE48" s="1656" t="s">
        <v>4962</v>
      </c>
      <c r="AF48" s="1630" t="s">
        <v>10075</v>
      </c>
      <c r="AG48" s="1630" t="s">
        <v>10076</v>
      </c>
      <c r="AH48" s="1630" t="s">
        <v>10077</v>
      </c>
      <c r="AI48" s="1630" t="s">
        <v>9526</v>
      </c>
      <c r="AJ48" s="1630" t="s">
        <v>10078</v>
      </c>
      <c r="AK48" s="1630" t="s">
        <v>10079</v>
      </c>
      <c r="AL48" s="1630" t="s">
        <v>4537</v>
      </c>
      <c r="AM48" s="1632" t="s">
        <v>10080</v>
      </c>
      <c r="AN48" s="1632" t="s">
        <v>3416</v>
      </c>
      <c r="AO48" s="1632" t="s">
        <v>10081</v>
      </c>
      <c r="AP48" s="1632" t="s">
        <v>10082</v>
      </c>
      <c r="AQ48" s="1632" t="s">
        <v>4315</v>
      </c>
      <c r="AR48" s="1632" t="s">
        <v>10083</v>
      </c>
      <c r="AS48" s="1632" t="s">
        <v>4559</v>
      </c>
      <c r="AT48" s="1610" t="s">
        <v>10084</v>
      </c>
      <c r="AU48" s="1594" t="s">
        <v>10085</v>
      </c>
      <c r="AV48" s="1462" t="str">
        <f t="shared" si="1"/>
        <v>3:17</v>
      </c>
      <c r="AW48" s="1595" t="s">
        <v>10086</v>
      </c>
    </row>
    <row r="49" ht="15.75" customHeight="1">
      <c r="A49" s="1604" t="s">
        <v>1050</v>
      </c>
      <c r="B49" s="1592" t="s">
        <v>9130</v>
      </c>
      <c r="C49" s="1544">
        <v>0.05112268518518519</v>
      </c>
      <c r="D49" s="1627" t="s">
        <v>10087</v>
      </c>
      <c r="E49" s="1627" t="s">
        <v>4662</v>
      </c>
      <c r="F49" s="1627" t="s">
        <v>10088</v>
      </c>
      <c r="G49" s="1627" t="s">
        <v>10089</v>
      </c>
      <c r="H49" s="987" t="s">
        <v>10090</v>
      </c>
      <c r="I49" s="848" t="s">
        <v>5421</v>
      </c>
      <c r="J49" s="1610" t="s">
        <v>9312</v>
      </c>
      <c r="K49" s="1610" t="s">
        <v>10091</v>
      </c>
      <c r="L49" s="1550" t="s">
        <v>3651</v>
      </c>
      <c r="M49" s="1610" t="s">
        <v>4457</v>
      </c>
      <c r="N49" s="1610" t="s">
        <v>9843</v>
      </c>
      <c r="O49" s="1610" t="s">
        <v>10092</v>
      </c>
      <c r="P49" s="1610" t="s">
        <v>1523</v>
      </c>
      <c r="Q49" s="1613" t="s">
        <v>10093</v>
      </c>
      <c r="R49" s="1691" t="s">
        <v>10094</v>
      </c>
      <c r="S49" s="1613" t="s">
        <v>415</v>
      </c>
      <c r="T49" s="1613" t="s">
        <v>10095</v>
      </c>
      <c r="U49" s="1613" t="s">
        <v>10096</v>
      </c>
      <c r="V49" s="1613" t="s">
        <v>10097</v>
      </c>
      <c r="W49" s="1629" t="s">
        <v>10098</v>
      </c>
      <c r="X49" s="1629" t="s">
        <v>10099</v>
      </c>
      <c r="Y49" s="1647" t="s">
        <v>971</v>
      </c>
      <c r="Z49" s="1629" t="s">
        <v>10100</v>
      </c>
      <c r="AA49" s="1573" t="s">
        <v>10101</v>
      </c>
      <c r="AB49" s="1629" t="s">
        <v>2847</v>
      </c>
      <c r="AC49" s="1629" t="s">
        <v>5090</v>
      </c>
      <c r="AD49" s="1627" t="s">
        <v>10102</v>
      </c>
      <c r="AE49" s="1627" t="s">
        <v>5587</v>
      </c>
      <c r="AF49" s="1630" t="s">
        <v>9331</v>
      </c>
      <c r="AG49" s="1630" t="s">
        <v>274</v>
      </c>
      <c r="AH49" s="1630" t="s">
        <v>463</v>
      </c>
      <c r="AI49" s="1630" t="s">
        <v>10103</v>
      </c>
      <c r="AJ49" s="1630" t="s">
        <v>10104</v>
      </c>
      <c r="AK49" s="1630" t="s">
        <v>4153</v>
      </c>
      <c r="AL49" s="1630" t="s">
        <v>10105</v>
      </c>
      <c r="AM49" s="1632" t="s">
        <v>10106</v>
      </c>
      <c r="AN49" s="1692" t="s">
        <v>3221</v>
      </c>
      <c r="AO49" s="1632" t="s">
        <v>8200</v>
      </c>
      <c r="AP49" s="1632" t="s">
        <v>10107</v>
      </c>
      <c r="AQ49" s="1632" t="s">
        <v>10108</v>
      </c>
      <c r="AR49" s="1632" t="s">
        <v>10109</v>
      </c>
      <c r="AS49" s="1632" t="s">
        <v>9061</v>
      </c>
      <c r="AT49" s="1610" t="s">
        <v>10110</v>
      </c>
      <c r="AU49" s="1594" t="s">
        <v>10111</v>
      </c>
      <c r="AV49" s="1462" t="str">
        <f t="shared" si="1"/>
        <v>4:57</v>
      </c>
      <c r="AW49" s="1655"/>
    </row>
    <row r="50">
      <c r="A50" s="1604" t="s">
        <v>2374</v>
      </c>
      <c r="B50" s="1602" t="s">
        <v>9130</v>
      </c>
      <c r="C50" s="1544">
        <v>0.05112268518518519</v>
      </c>
      <c r="D50" s="1573" t="s">
        <v>10112</v>
      </c>
      <c r="E50" s="1573" t="s">
        <v>4523</v>
      </c>
      <c r="F50" s="1573" t="s">
        <v>6166</v>
      </c>
      <c r="G50" s="1672" t="s">
        <v>9133</v>
      </c>
      <c r="H50" s="987" t="s">
        <v>10113</v>
      </c>
      <c r="I50" s="1573" t="s">
        <v>765</v>
      </c>
      <c r="J50" s="1573" t="s">
        <v>7547</v>
      </c>
      <c r="K50" s="1573" t="s">
        <v>2502</v>
      </c>
      <c r="L50" s="1573" t="s">
        <v>1362</v>
      </c>
      <c r="M50" s="1573" t="s">
        <v>10114</v>
      </c>
      <c r="N50" s="1573" t="s">
        <v>9215</v>
      </c>
      <c r="O50" s="1573" t="s">
        <v>10115</v>
      </c>
      <c r="P50" s="1573" t="s">
        <v>3636</v>
      </c>
      <c r="Q50" s="1573" t="s">
        <v>10116</v>
      </c>
      <c r="R50" s="1573" t="s">
        <v>10117</v>
      </c>
      <c r="S50" s="1573" t="s">
        <v>3782</v>
      </c>
      <c r="T50" s="1573" t="s">
        <v>7478</v>
      </c>
      <c r="U50" s="1613" t="s">
        <v>9550</v>
      </c>
      <c r="V50" s="1573" t="s">
        <v>10118</v>
      </c>
      <c r="W50" s="1573" t="s">
        <v>10119</v>
      </c>
      <c r="X50" s="1573" t="s">
        <v>1484</v>
      </c>
      <c r="Y50" s="1573" t="s">
        <v>8160</v>
      </c>
      <c r="Z50" s="1573" t="s">
        <v>9368</v>
      </c>
      <c r="AA50" s="1629" t="s">
        <v>614</v>
      </c>
      <c r="AB50" s="1573" t="s">
        <v>10120</v>
      </c>
      <c r="AC50" s="1573" t="s">
        <v>5288</v>
      </c>
      <c r="AD50" s="1573" t="s">
        <v>10121</v>
      </c>
      <c r="AE50" s="1573" t="s">
        <v>3636</v>
      </c>
      <c r="AF50" s="1573" t="s">
        <v>10122</v>
      </c>
      <c r="AG50" s="1573" t="s">
        <v>10123</v>
      </c>
      <c r="AH50" s="1573" t="s">
        <v>2526</v>
      </c>
      <c r="AI50" s="1573" t="s">
        <v>6199</v>
      </c>
      <c r="AJ50" s="1573" t="s">
        <v>10124</v>
      </c>
      <c r="AK50" s="1573" t="s">
        <v>9640</v>
      </c>
      <c r="AL50" s="1573" t="s">
        <v>10125</v>
      </c>
      <c r="AM50" s="1573" t="s">
        <v>2709</v>
      </c>
      <c r="AN50" s="1573" t="s">
        <v>10126</v>
      </c>
      <c r="AO50" s="1573" t="s">
        <v>7396</v>
      </c>
      <c r="AP50" s="1573" t="s">
        <v>10127</v>
      </c>
      <c r="AQ50" s="1573" t="s">
        <v>10128</v>
      </c>
      <c r="AR50" s="1573" t="s">
        <v>2255</v>
      </c>
      <c r="AS50" s="1573" t="s">
        <v>8154</v>
      </c>
      <c r="AT50" s="1573" t="s">
        <v>10129</v>
      </c>
      <c r="AU50" s="1573" t="s">
        <v>10130</v>
      </c>
      <c r="AV50" s="1462" t="str">
        <f t="shared" si="1"/>
        <v>3:15</v>
      </c>
      <c r="AW50" s="1039"/>
    </row>
    <row r="51">
      <c r="A51" s="1604" t="s">
        <v>2715</v>
      </c>
      <c r="B51" s="1602" t="s">
        <v>9103</v>
      </c>
      <c r="C51" s="1544">
        <v>0.051145833333333335</v>
      </c>
      <c r="D51" s="987" t="s">
        <v>10131</v>
      </c>
      <c r="E51" s="1668" t="s">
        <v>4138</v>
      </c>
      <c r="F51" s="1668" t="s">
        <v>1682</v>
      </c>
      <c r="G51" s="1668" t="s">
        <v>10132</v>
      </c>
      <c r="H51" s="987" t="s">
        <v>10133</v>
      </c>
      <c r="I51" s="1668" t="s">
        <v>10039</v>
      </c>
      <c r="J51" s="1668" t="s">
        <v>10134</v>
      </c>
      <c r="K51" s="1668" t="s">
        <v>10134</v>
      </c>
      <c r="L51" s="1668" t="s">
        <v>4142</v>
      </c>
      <c r="M51" s="1668" t="s">
        <v>3466</v>
      </c>
      <c r="N51" s="1668" t="s">
        <v>10135</v>
      </c>
      <c r="O51" s="1668" t="s">
        <v>10136</v>
      </c>
      <c r="P51" s="1668" t="s">
        <v>9145</v>
      </c>
      <c r="Q51" s="1668" t="s">
        <v>10137</v>
      </c>
      <c r="R51" s="1668" t="s">
        <v>10138</v>
      </c>
      <c r="S51" s="1546" t="s">
        <v>6823</v>
      </c>
      <c r="T51" s="1668" t="s">
        <v>10139</v>
      </c>
      <c r="U51" s="1668" t="s">
        <v>230</v>
      </c>
      <c r="V51" s="1668" t="s">
        <v>10140</v>
      </c>
      <c r="W51" s="1668" t="s">
        <v>10141</v>
      </c>
      <c r="X51" s="1668" t="s">
        <v>10142</v>
      </c>
      <c r="Y51" s="1668" t="s">
        <v>597</v>
      </c>
      <c r="Z51" s="1668" t="s">
        <v>10143</v>
      </c>
      <c r="AA51" s="1668" t="s">
        <v>9876</v>
      </c>
      <c r="AB51" s="1668" t="s">
        <v>5930</v>
      </c>
      <c r="AC51" s="1668" t="s">
        <v>1234</v>
      </c>
      <c r="AD51" s="1668" t="s">
        <v>10144</v>
      </c>
      <c r="AE51" s="1668" t="s">
        <v>9586</v>
      </c>
      <c r="AF51" s="1668" t="s">
        <v>10145</v>
      </c>
      <c r="AG51" s="1668" t="s">
        <v>10146</v>
      </c>
      <c r="AH51" s="1668" t="s">
        <v>3762</v>
      </c>
      <c r="AI51" s="1668" t="s">
        <v>10147</v>
      </c>
      <c r="AJ51" s="1668" t="s">
        <v>10148</v>
      </c>
      <c r="AK51" s="1668" t="s">
        <v>10149</v>
      </c>
      <c r="AL51" s="1668" t="s">
        <v>4983</v>
      </c>
      <c r="AM51" s="1668" t="s">
        <v>3619</v>
      </c>
      <c r="AN51" s="1668" t="s">
        <v>5659</v>
      </c>
      <c r="AO51" s="1668" t="s">
        <v>5184</v>
      </c>
      <c r="AP51" s="1668" t="s">
        <v>10150</v>
      </c>
      <c r="AQ51" s="1668" t="s">
        <v>3373</v>
      </c>
      <c r="AR51" s="1668" t="s">
        <v>10151</v>
      </c>
      <c r="AS51" s="1668" t="s">
        <v>1396</v>
      </c>
      <c r="AT51" s="1668" t="s">
        <v>701</v>
      </c>
      <c r="AU51" s="1668" t="s">
        <v>10152</v>
      </c>
      <c r="AV51" s="1462" t="str">
        <f t="shared" si="1"/>
        <v>3:47</v>
      </c>
      <c r="AW51" s="1693" t="s">
        <v>10153</v>
      </c>
    </row>
    <row r="52" ht="15.75" customHeight="1">
      <c r="A52" s="1542" t="s">
        <v>10154</v>
      </c>
      <c r="B52" s="1694" t="s">
        <v>9103</v>
      </c>
      <c r="C52" s="1544">
        <v>0.051180555555555556</v>
      </c>
      <c r="D52" s="987" t="s">
        <v>10155</v>
      </c>
      <c r="E52" s="1573" t="s">
        <v>10156</v>
      </c>
      <c r="F52" s="1573" t="s">
        <v>4155</v>
      </c>
      <c r="G52" s="1573" t="s">
        <v>10157</v>
      </c>
      <c r="H52" s="1573" t="s">
        <v>10158</v>
      </c>
      <c r="I52" s="1573" t="s">
        <v>161</v>
      </c>
      <c r="J52" s="1573" t="s">
        <v>885</v>
      </c>
      <c r="K52" s="1573" t="s">
        <v>7121</v>
      </c>
      <c r="L52" s="1573" t="s">
        <v>9320</v>
      </c>
      <c r="M52" s="1573" t="s">
        <v>5950</v>
      </c>
      <c r="N52" s="1573" t="s">
        <v>10159</v>
      </c>
      <c r="O52" s="1573" t="s">
        <v>10160</v>
      </c>
      <c r="P52" s="1573" t="s">
        <v>5618</v>
      </c>
      <c r="Q52" s="1573" t="s">
        <v>6748</v>
      </c>
      <c r="R52" s="1573" t="s">
        <v>10161</v>
      </c>
      <c r="S52" s="1573" t="s">
        <v>8992</v>
      </c>
      <c r="T52" s="1462" t="s">
        <v>4198</v>
      </c>
      <c r="U52" s="1462" t="s">
        <v>10162</v>
      </c>
      <c r="V52" s="1573" t="s">
        <v>1965</v>
      </c>
      <c r="W52" s="1573" t="s">
        <v>10163</v>
      </c>
      <c r="X52" s="1573" t="s">
        <v>10164</v>
      </c>
      <c r="Y52" s="1573" t="s">
        <v>9586</v>
      </c>
      <c r="Z52" s="1573" t="s">
        <v>10165</v>
      </c>
      <c r="AA52" s="1573" t="s">
        <v>10166</v>
      </c>
      <c r="AB52" s="1573" t="s">
        <v>10167</v>
      </c>
      <c r="AC52" s="1573" t="s">
        <v>847</v>
      </c>
      <c r="AD52" s="1573" t="s">
        <v>10074</v>
      </c>
      <c r="AE52" s="1573" t="s">
        <v>3218</v>
      </c>
      <c r="AF52" s="1462" t="s">
        <v>10168</v>
      </c>
      <c r="AG52" s="1573" t="s">
        <v>387</v>
      </c>
      <c r="AH52" s="1573" t="s">
        <v>10169</v>
      </c>
      <c r="AI52" s="1573" t="s">
        <v>10170</v>
      </c>
      <c r="AJ52" s="1573" t="s">
        <v>10171</v>
      </c>
      <c r="AK52" s="1573" t="s">
        <v>10172</v>
      </c>
      <c r="AL52" s="1573" t="s">
        <v>4882</v>
      </c>
      <c r="AM52" s="1573" t="s">
        <v>6954</v>
      </c>
      <c r="AN52" s="1573" t="s">
        <v>9775</v>
      </c>
      <c r="AO52" s="1582" t="str">
        <f>HYPERLINK("https://clips.twitch.tv/AltruisticEmpathicManateeDoritosChip","1:20.90")</f>
        <v>1:20.90</v>
      </c>
      <c r="AP52" s="1573" t="s">
        <v>10173</v>
      </c>
      <c r="AQ52" s="1573" t="s">
        <v>10174</v>
      </c>
      <c r="AR52" s="1573" t="s">
        <v>10175</v>
      </c>
      <c r="AS52" s="1573" t="s">
        <v>9209</v>
      </c>
      <c r="AT52" s="1573" t="s">
        <v>10176</v>
      </c>
      <c r="AU52" s="1573" t="s">
        <v>10177</v>
      </c>
      <c r="AV52" s="1462" t="str">
        <f t="shared" si="1"/>
        <v>2:40</v>
      </c>
      <c r="AW52" s="1636" t="s">
        <v>10178</v>
      </c>
    </row>
    <row r="53" ht="15.75" customHeight="1">
      <c r="A53" s="1604" t="s">
        <v>3750</v>
      </c>
      <c r="B53" s="1686" t="s">
        <v>9103</v>
      </c>
      <c r="C53" s="1695">
        <v>0.05123738425925926</v>
      </c>
      <c r="D53" s="1627" t="s">
        <v>10179</v>
      </c>
      <c r="E53" s="1627" t="s">
        <v>3910</v>
      </c>
      <c r="F53" s="1627" t="s">
        <v>10180</v>
      </c>
      <c r="G53" s="1627" t="s">
        <v>9604</v>
      </c>
      <c r="H53" s="848" t="s">
        <v>10181</v>
      </c>
      <c r="I53" s="848" t="s">
        <v>2557</v>
      </c>
      <c r="J53" s="1610" t="s">
        <v>9812</v>
      </c>
      <c r="K53" s="1610" t="s">
        <v>6768</v>
      </c>
      <c r="L53" s="1610" t="s">
        <v>10182</v>
      </c>
      <c r="M53" s="1610" t="s">
        <v>5570</v>
      </c>
      <c r="N53" s="1696" t="s">
        <v>1160</v>
      </c>
      <c r="O53" s="1610" t="s">
        <v>3459</v>
      </c>
      <c r="P53" s="1610" t="s">
        <v>9253</v>
      </c>
      <c r="Q53" s="1613" t="s">
        <v>10183</v>
      </c>
      <c r="R53" s="1613" t="s">
        <v>9770</v>
      </c>
      <c r="S53" s="1613" t="s">
        <v>10184</v>
      </c>
      <c r="T53" s="1613" t="s">
        <v>10185</v>
      </c>
      <c r="U53" s="1613" t="s">
        <v>10186</v>
      </c>
      <c r="V53" s="1613" t="s">
        <v>4225</v>
      </c>
      <c r="W53" s="1629" t="s">
        <v>10187</v>
      </c>
      <c r="X53" s="1629" t="s">
        <v>10188</v>
      </c>
      <c r="Y53" s="1629" t="s">
        <v>10189</v>
      </c>
      <c r="Z53" s="1629" t="s">
        <v>1351</v>
      </c>
      <c r="AA53" s="1629" t="s">
        <v>9526</v>
      </c>
      <c r="AB53" s="1629" t="s">
        <v>9914</v>
      </c>
      <c r="AC53" s="1629" t="s">
        <v>482</v>
      </c>
      <c r="AD53" s="1627" t="s">
        <v>10190</v>
      </c>
      <c r="AE53" s="1627" t="s">
        <v>5072</v>
      </c>
      <c r="AF53" s="1630" t="s">
        <v>10191</v>
      </c>
      <c r="AG53" s="1630" t="s">
        <v>10192</v>
      </c>
      <c r="AH53" s="1630" t="s">
        <v>10193</v>
      </c>
      <c r="AI53" s="1630" t="s">
        <v>312</v>
      </c>
      <c r="AJ53" s="1630" t="s">
        <v>10194</v>
      </c>
      <c r="AK53" s="1600" t="s">
        <v>9676</v>
      </c>
      <c r="AL53" s="1630" t="s">
        <v>9466</v>
      </c>
      <c r="AM53" s="1632" t="s">
        <v>10195</v>
      </c>
      <c r="AN53" s="1632" t="s">
        <v>570</v>
      </c>
      <c r="AO53" s="1632" t="s">
        <v>10196</v>
      </c>
      <c r="AP53" s="1632" t="s">
        <v>10197</v>
      </c>
      <c r="AQ53" s="987" t="s">
        <v>10198</v>
      </c>
      <c r="AR53" s="1697" t="s">
        <v>10199</v>
      </c>
      <c r="AS53" s="1632" t="s">
        <v>10200</v>
      </c>
      <c r="AT53" s="1610" t="s">
        <v>10201</v>
      </c>
      <c r="AU53" s="1594" t="s">
        <v>10202</v>
      </c>
      <c r="AV53" s="1462" t="str">
        <f t="shared" si="1"/>
        <v>4:25</v>
      </c>
      <c r="AW53" s="1595" t="s">
        <v>10203</v>
      </c>
    </row>
    <row r="54" ht="15.75" customHeight="1">
      <c r="A54" s="1604" t="s">
        <v>1721</v>
      </c>
      <c r="B54" s="1698" t="s">
        <v>9156</v>
      </c>
      <c r="C54" s="1679">
        <v>0.051319444444444445</v>
      </c>
      <c r="D54" s="987" t="s">
        <v>10204</v>
      </c>
      <c r="E54" s="1462" t="s">
        <v>10205</v>
      </c>
      <c r="F54" s="1462" t="s">
        <v>10206</v>
      </c>
      <c r="G54" s="1462" t="s">
        <v>10207</v>
      </c>
      <c r="H54" s="1462" t="s">
        <v>5103</v>
      </c>
      <c r="I54" s="1462" t="s">
        <v>6620</v>
      </c>
      <c r="J54" s="1462" t="s">
        <v>10208</v>
      </c>
      <c r="K54" s="1462" t="s">
        <v>9272</v>
      </c>
      <c r="L54" s="1462" t="s">
        <v>3900</v>
      </c>
      <c r="M54" s="1462" t="s">
        <v>9958</v>
      </c>
      <c r="N54" s="1462" t="s">
        <v>9754</v>
      </c>
      <c r="O54" s="1462" t="s">
        <v>10209</v>
      </c>
      <c r="P54" s="1699" t="s">
        <v>9165</v>
      </c>
      <c r="Q54" s="1462" t="s">
        <v>10210</v>
      </c>
      <c r="R54" s="1462" t="s">
        <v>5939</v>
      </c>
      <c r="S54" s="1462" t="s">
        <v>1158</v>
      </c>
      <c r="T54" s="1462" t="s">
        <v>10211</v>
      </c>
      <c r="U54" s="1462" t="s">
        <v>1073</v>
      </c>
      <c r="V54" s="1462" t="s">
        <v>451</v>
      </c>
      <c r="W54" s="1462" t="s">
        <v>10212</v>
      </c>
      <c r="X54" s="1462" t="s">
        <v>309</v>
      </c>
      <c r="Y54" s="1462" t="s">
        <v>10213</v>
      </c>
      <c r="Z54" s="1462" t="s">
        <v>6959</v>
      </c>
      <c r="AA54" s="1462" t="s">
        <v>9989</v>
      </c>
      <c r="AB54" s="1462" t="s">
        <v>4517</v>
      </c>
      <c r="AC54" s="1462" t="s">
        <v>6155</v>
      </c>
      <c r="AD54" s="1462" t="s">
        <v>10214</v>
      </c>
      <c r="AE54" s="1699" t="s">
        <v>5587</v>
      </c>
      <c r="AF54" s="1699" t="s">
        <v>2806</v>
      </c>
      <c r="AG54" s="1462" t="s">
        <v>4600</v>
      </c>
      <c r="AH54" s="1462" t="s">
        <v>10215</v>
      </c>
      <c r="AI54" s="1462" t="s">
        <v>10216</v>
      </c>
      <c r="AJ54" s="1462" t="s">
        <v>10217</v>
      </c>
      <c r="AK54" s="1462" t="s">
        <v>6107</v>
      </c>
      <c r="AL54" s="1462" t="s">
        <v>6338</v>
      </c>
      <c r="AM54" s="1699" t="s">
        <v>9179</v>
      </c>
      <c r="AN54" s="1573" t="s">
        <v>2474</v>
      </c>
      <c r="AO54" s="1462" t="s">
        <v>4959</v>
      </c>
      <c r="AP54" s="1462" t="s">
        <v>10218</v>
      </c>
      <c r="AQ54" s="1462" t="s">
        <v>10219</v>
      </c>
      <c r="AR54" s="1462" t="s">
        <v>8193</v>
      </c>
      <c r="AS54" s="1462" t="s">
        <v>4445</v>
      </c>
      <c r="AT54" s="1462" t="s">
        <v>10220</v>
      </c>
      <c r="AU54" s="1462" t="s">
        <v>10221</v>
      </c>
      <c r="AV54" s="1462" t="str">
        <f t="shared" si="1"/>
        <v>3:15</v>
      </c>
      <c r="AW54" s="1636" t="s">
        <v>10222</v>
      </c>
    </row>
    <row r="55">
      <c r="A55" s="1604" t="s">
        <v>1947</v>
      </c>
      <c r="B55" s="1592" t="s">
        <v>9103</v>
      </c>
      <c r="C55" s="1544">
        <v>0.05133101851851852</v>
      </c>
      <c r="D55" s="1685" t="s">
        <v>10223</v>
      </c>
      <c r="E55" s="1627" t="s">
        <v>10224</v>
      </c>
      <c r="F55" s="1627" t="s">
        <v>10225</v>
      </c>
      <c r="G55" s="1627" t="s">
        <v>10226</v>
      </c>
      <c r="H55" s="848" t="s">
        <v>10227</v>
      </c>
      <c r="I55" s="848" t="s">
        <v>3116</v>
      </c>
      <c r="J55" s="1610" t="s">
        <v>1866</v>
      </c>
      <c r="K55" s="1610" t="s">
        <v>10228</v>
      </c>
      <c r="L55" s="1610" t="s">
        <v>4186</v>
      </c>
      <c r="M55" s="1610" t="s">
        <v>10229</v>
      </c>
      <c r="N55" s="1610" t="s">
        <v>9375</v>
      </c>
      <c r="O55" s="1610" t="s">
        <v>10230</v>
      </c>
      <c r="P55" s="1610" t="s">
        <v>9317</v>
      </c>
      <c r="Q55" s="1613" t="s">
        <v>10231</v>
      </c>
      <c r="R55" s="1613" t="s">
        <v>10003</v>
      </c>
      <c r="S55" s="1613" t="s">
        <v>7497</v>
      </c>
      <c r="T55" s="1613" t="s">
        <v>10008</v>
      </c>
      <c r="U55" s="1613" t="s">
        <v>10232</v>
      </c>
      <c r="V55" s="1613" t="s">
        <v>9789</v>
      </c>
      <c r="W55" s="1629" t="s">
        <v>10233</v>
      </c>
      <c r="X55" s="1629" t="s">
        <v>10234</v>
      </c>
      <c r="Y55" s="1629" t="s">
        <v>5556</v>
      </c>
      <c r="Z55" s="1629" t="s">
        <v>1499</v>
      </c>
      <c r="AA55" s="1629" t="s">
        <v>10235</v>
      </c>
      <c r="AB55" s="1629" t="s">
        <v>6404</v>
      </c>
      <c r="AC55" s="1629" t="s">
        <v>263</v>
      </c>
      <c r="AD55" s="1627" t="s">
        <v>9593</v>
      </c>
      <c r="AE55" s="1627" t="s">
        <v>5556</v>
      </c>
      <c r="AF55" s="1630" t="s">
        <v>10236</v>
      </c>
      <c r="AG55" s="1630" t="s">
        <v>5899</v>
      </c>
      <c r="AH55" s="1630" t="s">
        <v>4068</v>
      </c>
      <c r="AI55" s="1630" t="s">
        <v>10237</v>
      </c>
      <c r="AJ55" s="1630" t="s">
        <v>10238</v>
      </c>
      <c r="AK55" s="1630" t="s">
        <v>10164</v>
      </c>
      <c r="AL55" s="1630" t="s">
        <v>3235</v>
      </c>
      <c r="AM55" s="1632" t="s">
        <v>9618</v>
      </c>
      <c r="AN55" s="1632" t="s">
        <v>4076</v>
      </c>
      <c r="AO55" s="1632" t="s">
        <v>10239</v>
      </c>
      <c r="AP55" s="1632" t="s">
        <v>10240</v>
      </c>
      <c r="AQ55" s="1632" t="s">
        <v>9827</v>
      </c>
      <c r="AR55" s="1632" t="s">
        <v>10241</v>
      </c>
      <c r="AS55" s="1632" t="s">
        <v>9111</v>
      </c>
      <c r="AT55" s="1610" t="s">
        <v>10242</v>
      </c>
      <c r="AU55" s="1594" t="s">
        <v>10243</v>
      </c>
      <c r="AV55" s="1462" t="str">
        <f t="shared" si="1"/>
        <v>1:34</v>
      </c>
      <c r="AW55" s="1655"/>
    </row>
    <row r="56">
      <c r="A56" s="1604" t="s">
        <v>2994</v>
      </c>
      <c r="B56" s="1592" t="s">
        <v>9103</v>
      </c>
      <c r="C56" s="1544">
        <v>0.05134259259259259</v>
      </c>
      <c r="D56" s="1627" t="s">
        <v>10244</v>
      </c>
      <c r="E56" s="1627" t="s">
        <v>6617</v>
      </c>
      <c r="F56" s="1627" t="s">
        <v>10245</v>
      </c>
      <c r="G56" s="1627" t="s">
        <v>10246</v>
      </c>
      <c r="H56" s="1627" t="s">
        <v>10247</v>
      </c>
      <c r="I56" s="1627" t="s">
        <v>1291</v>
      </c>
      <c r="J56" s="1610" t="s">
        <v>5036</v>
      </c>
      <c r="K56" s="1610" t="s">
        <v>6743</v>
      </c>
      <c r="L56" s="1610" t="s">
        <v>4907</v>
      </c>
      <c r="M56" s="1610" t="s">
        <v>3643</v>
      </c>
      <c r="N56" s="1610" t="s">
        <v>2076</v>
      </c>
      <c r="O56" s="1610" t="s">
        <v>10248</v>
      </c>
      <c r="P56" s="1610" t="s">
        <v>4557</v>
      </c>
      <c r="Q56" s="1613" t="s">
        <v>10249</v>
      </c>
      <c r="R56" s="1613" t="s">
        <v>2599</v>
      </c>
      <c r="S56" s="1613" t="s">
        <v>10250</v>
      </c>
      <c r="T56" s="1613" t="s">
        <v>10251</v>
      </c>
      <c r="U56" s="1613" t="s">
        <v>10096</v>
      </c>
      <c r="V56" s="1613" t="s">
        <v>10252</v>
      </c>
      <c r="W56" s="1629" t="s">
        <v>10253</v>
      </c>
      <c r="X56" s="1629" t="s">
        <v>9176</v>
      </c>
      <c r="Y56" s="1629" t="s">
        <v>9838</v>
      </c>
      <c r="Z56" s="1629" t="s">
        <v>3039</v>
      </c>
      <c r="AA56" s="1573" t="s">
        <v>592</v>
      </c>
      <c r="AB56" s="1629" t="s">
        <v>9433</v>
      </c>
      <c r="AC56" s="1629" t="s">
        <v>9715</v>
      </c>
      <c r="AD56" s="1627" t="s">
        <v>10254</v>
      </c>
      <c r="AE56" s="1627" t="s">
        <v>10255</v>
      </c>
      <c r="AF56" s="1630" t="s">
        <v>10256</v>
      </c>
      <c r="AG56" s="1630" t="s">
        <v>10257</v>
      </c>
      <c r="AH56" s="1630" t="s">
        <v>1972</v>
      </c>
      <c r="AI56" s="1630" t="s">
        <v>419</v>
      </c>
      <c r="AJ56" s="1630" t="s">
        <v>10258</v>
      </c>
      <c r="AK56" s="1630" t="s">
        <v>10259</v>
      </c>
      <c r="AL56" s="1630" t="s">
        <v>5757</v>
      </c>
      <c r="AM56" s="1632" t="s">
        <v>10260</v>
      </c>
      <c r="AN56" s="1632" t="s">
        <v>6576</v>
      </c>
      <c r="AO56" s="1632" t="s">
        <v>10261</v>
      </c>
      <c r="AP56" s="1632" t="s">
        <v>10262</v>
      </c>
      <c r="AQ56" s="1632" t="s">
        <v>9827</v>
      </c>
      <c r="AR56" s="1632" t="s">
        <v>9468</v>
      </c>
      <c r="AS56" s="1632" t="s">
        <v>1971</v>
      </c>
      <c r="AT56" s="1610" t="s">
        <v>10263</v>
      </c>
      <c r="AU56" s="1594" t="s">
        <v>10130</v>
      </c>
      <c r="AV56" s="1462" t="str">
        <f t="shared" si="1"/>
        <v>2:56</v>
      </c>
      <c r="AW56" s="1595" t="s">
        <v>10264</v>
      </c>
    </row>
    <row r="57" ht="15.75" customHeight="1">
      <c r="A57" s="1570" t="s">
        <v>1413</v>
      </c>
      <c r="B57" s="1698" t="s">
        <v>9156</v>
      </c>
      <c r="C57" s="1679">
        <v>0.05134259259259259</v>
      </c>
      <c r="D57" s="987" t="s">
        <v>10265</v>
      </c>
      <c r="E57" s="1656" t="s">
        <v>6034</v>
      </c>
      <c r="F57" s="1656" t="s">
        <v>10245</v>
      </c>
      <c r="G57" s="1656" t="s">
        <v>10266</v>
      </c>
      <c r="H57" s="922" t="s">
        <v>10267</v>
      </c>
      <c r="I57" s="1700" t="s">
        <v>350</v>
      </c>
      <c r="J57" s="1657" t="s">
        <v>10268</v>
      </c>
      <c r="K57" s="1657" t="s">
        <v>4047</v>
      </c>
      <c r="L57" s="1701" t="s">
        <v>3810</v>
      </c>
      <c r="M57" s="1657" t="s">
        <v>5716</v>
      </c>
      <c r="N57" s="1657" t="s">
        <v>7397</v>
      </c>
      <c r="O57" s="1701" t="s">
        <v>9164</v>
      </c>
      <c r="P57" s="1657" t="s">
        <v>388</v>
      </c>
      <c r="Q57" s="1658" t="s">
        <v>10269</v>
      </c>
      <c r="R57" s="1658" t="s">
        <v>1622</v>
      </c>
      <c r="S57" s="1658" t="s">
        <v>10270</v>
      </c>
      <c r="T57" s="1702" t="s">
        <v>9168</v>
      </c>
      <c r="U57" s="1658" t="s">
        <v>10271</v>
      </c>
      <c r="V57" s="1658" t="s">
        <v>4070</v>
      </c>
      <c r="W57" s="1703" t="s">
        <v>9170</v>
      </c>
      <c r="X57" s="1659" t="s">
        <v>4372</v>
      </c>
      <c r="Y57" s="1659" t="s">
        <v>6620</v>
      </c>
      <c r="Z57" s="1659" t="s">
        <v>7237</v>
      </c>
      <c r="AA57" s="1659" t="s">
        <v>9676</v>
      </c>
      <c r="AB57" s="1703" t="s">
        <v>9174</v>
      </c>
      <c r="AC57" s="1659" t="s">
        <v>7563</v>
      </c>
      <c r="AD57" s="1632" t="s">
        <v>10272</v>
      </c>
      <c r="AE57" s="1656" t="s">
        <v>10273</v>
      </c>
      <c r="AF57" s="1660" t="s">
        <v>10274</v>
      </c>
      <c r="AG57" s="1660" t="s">
        <v>10275</v>
      </c>
      <c r="AH57" s="1660" t="s">
        <v>10276</v>
      </c>
      <c r="AI57" s="1660" t="s">
        <v>10277</v>
      </c>
      <c r="AJ57" s="1660" t="s">
        <v>10278</v>
      </c>
      <c r="AK57" s="1704" t="s">
        <v>884</v>
      </c>
      <c r="AL57" s="1660" t="s">
        <v>1562</v>
      </c>
      <c r="AM57" s="1631" t="s">
        <v>10123</v>
      </c>
      <c r="AN57" s="1632" t="s">
        <v>4689</v>
      </c>
      <c r="AO57" s="1631" t="s">
        <v>10279</v>
      </c>
      <c r="AP57" s="1631" t="s">
        <v>10280</v>
      </c>
      <c r="AQ57" s="1631" t="s">
        <v>10281</v>
      </c>
      <c r="AR57" s="1631" t="s">
        <v>10282</v>
      </c>
      <c r="AS57" s="1631" t="s">
        <v>4629</v>
      </c>
      <c r="AT57" s="1657" t="s">
        <v>10283</v>
      </c>
      <c r="AU57" s="1654" t="s">
        <v>10284</v>
      </c>
      <c r="AV57" s="1462" t="str">
        <f t="shared" si="1"/>
        <v>1:58</v>
      </c>
      <c r="AW57" s="1655"/>
    </row>
    <row r="58" ht="15.75" customHeight="1">
      <c r="A58" s="1542" t="s">
        <v>3382</v>
      </c>
      <c r="B58" s="1543" t="s">
        <v>9103</v>
      </c>
      <c r="C58" s="1679">
        <v>0.05134259259259259</v>
      </c>
      <c r="D58" s="987" t="s">
        <v>10285</v>
      </c>
      <c r="E58" s="1462" t="s">
        <v>10286</v>
      </c>
      <c r="F58" s="1462" t="s">
        <v>10287</v>
      </c>
      <c r="G58" s="1462" t="s">
        <v>7273</v>
      </c>
      <c r="H58" s="1462" t="s">
        <v>9364</v>
      </c>
      <c r="I58" s="1462" t="s">
        <v>6341</v>
      </c>
      <c r="J58" s="1462" t="s">
        <v>10288</v>
      </c>
      <c r="K58" s="1462" t="s">
        <v>3975</v>
      </c>
      <c r="L58" s="1462" t="s">
        <v>10289</v>
      </c>
      <c r="M58" s="1462" t="s">
        <v>10290</v>
      </c>
      <c r="N58" s="1462" t="s">
        <v>2927</v>
      </c>
      <c r="O58" s="1462" t="s">
        <v>10291</v>
      </c>
      <c r="P58" s="1462" t="s">
        <v>1003</v>
      </c>
      <c r="Q58" s="1462" t="s">
        <v>2465</v>
      </c>
      <c r="R58" s="1462" t="s">
        <v>10003</v>
      </c>
      <c r="S58" s="1462" t="s">
        <v>9872</v>
      </c>
      <c r="T58" s="1462" t="s">
        <v>10292</v>
      </c>
      <c r="U58" s="1462" t="s">
        <v>10293</v>
      </c>
      <c r="V58" s="1462" t="s">
        <v>9617</v>
      </c>
      <c r="W58" s="1462" t="s">
        <v>10294</v>
      </c>
      <c r="X58" s="1462" t="s">
        <v>10295</v>
      </c>
      <c r="Y58" s="1462" t="s">
        <v>388</v>
      </c>
      <c r="Z58" s="1462" t="s">
        <v>7182</v>
      </c>
      <c r="AA58" s="1462" t="s">
        <v>9822</v>
      </c>
      <c r="AB58" s="1462" t="s">
        <v>9238</v>
      </c>
      <c r="AC58" s="1462" t="s">
        <v>847</v>
      </c>
      <c r="AD58" s="1462" t="s">
        <v>10296</v>
      </c>
      <c r="AE58" s="1462" t="s">
        <v>388</v>
      </c>
      <c r="AF58" s="1462" t="s">
        <v>10297</v>
      </c>
      <c r="AG58" s="1462" t="s">
        <v>10298</v>
      </c>
      <c r="AH58" s="1462" t="s">
        <v>5275</v>
      </c>
      <c r="AI58" s="1462" t="s">
        <v>10299</v>
      </c>
      <c r="AJ58" s="1462" t="s">
        <v>10238</v>
      </c>
      <c r="AK58" s="1462" t="s">
        <v>6926</v>
      </c>
      <c r="AL58" s="1462" t="s">
        <v>3318</v>
      </c>
      <c r="AM58" s="1462" t="s">
        <v>4151</v>
      </c>
      <c r="AN58" s="1462" t="s">
        <v>5786</v>
      </c>
      <c r="AO58" s="1462" t="s">
        <v>6534</v>
      </c>
      <c r="AP58" s="1462" t="s">
        <v>10300</v>
      </c>
      <c r="AQ58" s="1462" t="s">
        <v>10301</v>
      </c>
      <c r="AR58" s="1462" t="s">
        <v>10302</v>
      </c>
      <c r="AS58" s="1631" t="s">
        <v>4433</v>
      </c>
      <c r="AT58" s="1462" t="s">
        <v>10303</v>
      </c>
      <c r="AU58" s="1462" t="s">
        <v>9552</v>
      </c>
      <c r="AV58" s="1462" t="str">
        <f t="shared" si="1"/>
        <v>2:27</v>
      </c>
      <c r="AW58" s="1636"/>
    </row>
    <row r="59" ht="15.75" customHeight="1">
      <c r="A59" s="1604" t="s">
        <v>1346</v>
      </c>
      <c r="B59" s="1602" t="s">
        <v>9156</v>
      </c>
      <c r="C59" s="1544">
        <v>0.05140046296296296</v>
      </c>
      <c r="D59" s="1573" t="s">
        <v>10304</v>
      </c>
      <c r="E59" s="1573" t="s">
        <v>1745</v>
      </c>
      <c r="F59" s="1573" t="s">
        <v>10305</v>
      </c>
      <c r="G59" s="1689" t="s">
        <v>9160</v>
      </c>
      <c r="H59" s="987" t="s">
        <v>10306</v>
      </c>
      <c r="I59" s="1573" t="s">
        <v>1668</v>
      </c>
      <c r="J59" s="1689" t="s">
        <v>9162</v>
      </c>
      <c r="K59" s="1573" t="s">
        <v>7144</v>
      </c>
      <c r="L59" s="1573" t="s">
        <v>10307</v>
      </c>
      <c r="M59" s="1689" t="s">
        <v>9163</v>
      </c>
      <c r="N59" s="1573" t="s">
        <v>10308</v>
      </c>
      <c r="O59" s="1573" t="s">
        <v>10309</v>
      </c>
      <c r="P59" s="1573" t="s">
        <v>1112</v>
      </c>
      <c r="Q59" s="1573" t="s">
        <v>10093</v>
      </c>
      <c r="R59" s="1573" t="s">
        <v>10310</v>
      </c>
      <c r="S59" s="1573" t="s">
        <v>9151</v>
      </c>
      <c r="T59" s="1573" t="s">
        <v>10311</v>
      </c>
      <c r="U59" s="1573" t="s">
        <v>10018</v>
      </c>
      <c r="V59" s="1573" t="s">
        <v>5990</v>
      </c>
      <c r="W59" s="1573" t="s">
        <v>10312</v>
      </c>
      <c r="X59" s="1573" t="s">
        <v>629</v>
      </c>
      <c r="Y59" s="1573" t="s">
        <v>10313</v>
      </c>
      <c r="Z59" s="1573" t="s">
        <v>10314</v>
      </c>
      <c r="AA59" s="1705" t="s">
        <v>9173</v>
      </c>
      <c r="AB59" s="1573" t="s">
        <v>6082</v>
      </c>
      <c r="AC59" s="1573" t="s">
        <v>10315</v>
      </c>
      <c r="AD59" s="1573" t="s">
        <v>9535</v>
      </c>
      <c r="AE59" s="1573" t="s">
        <v>2605</v>
      </c>
      <c r="AF59" s="1573" t="s">
        <v>10316</v>
      </c>
      <c r="AG59" s="1689" t="s">
        <v>4613</v>
      </c>
      <c r="AH59" s="1689" t="s">
        <v>5295</v>
      </c>
      <c r="AI59" s="1573" t="s">
        <v>10317</v>
      </c>
      <c r="AJ59" s="1573" t="s">
        <v>10318</v>
      </c>
      <c r="AK59" s="1573" t="s">
        <v>7200</v>
      </c>
      <c r="AL59" s="1573" t="s">
        <v>3899</v>
      </c>
      <c r="AM59" s="1573" t="s">
        <v>10319</v>
      </c>
      <c r="AN59" s="1573" t="s">
        <v>3821</v>
      </c>
      <c r="AO59" s="1689" t="s">
        <v>9181</v>
      </c>
      <c r="AP59" s="1706" t="s">
        <v>9182</v>
      </c>
      <c r="AQ59" s="1573" t="s">
        <v>3246</v>
      </c>
      <c r="AR59" s="1573" t="s">
        <v>1618</v>
      </c>
      <c r="AS59" s="1573" t="s">
        <v>4716</v>
      </c>
      <c r="AT59" s="1573" t="s">
        <v>10320</v>
      </c>
      <c r="AU59" s="1573" t="s">
        <v>9552</v>
      </c>
      <c r="AV59" s="1462" t="str">
        <f t="shared" si="1"/>
        <v>2:22</v>
      </c>
      <c r="AW59" s="1603" t="s">
        <v>10321</v>
      </c>
    </row>
    <row r="60" ht="15.75" customHeight="1">
      <c r="A60" s="1604" t="s">
        <v>4053</v>
      </c>
      <c r="B60" s="1592" t="s">
        <v>9103</v>
      </c>
      <c r="C60" s="1544">
        <v>0.05153935185185185</v>
      </c>
      <c r="D60" s="1668" t="s">
        <v>10322</v>
      </c>
      <c r="E60" s="1668" t="s">
        <v>7796</v>
      </c>
      <c r="F60" s="1668" t="s">
        <v>10323</v>
      </c>
      <c r="G60" s="1668" t="s">
        <v>4967</v>
      </c>
      <c r="H60" s="987" t="s">
        <v>10324</v>
      </c>
      <c r="I60" s="1668" t="s">
        <v>1291</v>
      </c>
      <c r="J60" s="1668" t="s">
        <v>10325</v>
      </c>
      <c r="K60" s="1668" t="s">
        <v>3678</v>
      </c>
      <c r="L60" s="1668" t="s">
        <v>4225</v>
      </c>
      <c r="M60" s="1668" t="s">
        <v>6774</v>
      </c>
      <c r="N60" s="1668" t="s">
        <v>10326</v>
      </c>
      <c r="O60" s="1668" t="s">
        <v>3803</v>
      </c>
      <c r="P60" s="1668" t="s">
        <v>8160</v>
      </c>
      <c r="Q60" s="1668" t="s">
        <v>10327</v>
      </c>
      <c r="R60" s="1668" t="s">
        <v>3441</v>
      </c>
      <c r="S60" s="1707" t="s">
        <v>9956</v>
      </c>
      <c r="T60" s="1668" t="s">
        <v>9774</v>
      </c>
      <c r="U60" s="1668" t="s">
        <v>10328</v>
      </c>
      <c r="V60" s="1668" t="s">
        <v>1703</v>
      </c>
      <c r="W60" s="1668" t="s">
        <v>10329</v>
      </c>
      <c r="X60" s="1668" t="s">
        <v>1761</v>
      </c>
      <c r="Y60" s="1668" t="s">
        <v>3692</v>
      </c>
      <c r="Z60" s="1668" t="s">
        <v>6950</v>
      </c>
      <c r="AA60" s="1668" t="s">
        <v>962</v>
      </c>
      <c r="AB60" s="1668" t="s">
        <v>10330</v>
      </c>
      <c r="AC60" s="1668" t="s">
        <v>10315</v>
      </c>
      <c r="AD60" s="1668" t="s">
        <v>10331</v>
      </c>
      <c r="AE60" s="1668" t="s">
        <v>4974</v>
      </c>
      <c r="AF60" s="1550" t="s">
        <v>10332</v>
      </c>
      <c r="AG60" s="1668" t="s">
        <v>10333</v>
      </c>
      <c r="AH60" s="1668" t="s">
        <v>10334</v>
      </c>
      <c r="AI60" s="1668" t="s">
        <v>10335</v>
      </c>
      <c r="AJ60" s="1668" t="s">
        <v>10336</v>
      </c>
      <c r="AK60" s="1668" t="s">
        <v>5158</v>
      </c>
      <c r="AL60" s="1668" t="s">
        <v>10125</v>
      </c>
      <c r="AM60" s="1668" t="s">
        <v>10317</v>
      </c>
      <c r="AN60" s="1668" t="s">
        <v>2594</v>
      </c>
      <c r="AO60" s="1668" t="s">
        <v>5829</v>
      </c>
      <c r="AP60" s="1707" t="s">
        <v>10061</v>
      </c>
      <c r="AQ60" s="1668" t="s">
        <v>10337</v>
      </c>
      <c r="AR60" s="1668" t="s">
        <v>5036</v>
      </c>
      <c r="AS60" s="1668" t="s">
        <v>9209</v>
      </c>
      <c r="AT60" s="1668" t="s">
        <v>10338</v>
      </c>
      <c r="AU60" s="1668" t="s">
        <v>10339</v>
      </c>
      <c r="AV60" s="1462" t="str">
        <f t="shared" si="1"/>
        <v>2:41</v>
      </c>
      <c r="AW60" s="1708" t="s">
        <v>10340</v>
      </c>
    </row>
    <row r="61" ht="15.75" customHeight="1">
      <c r="A61" s="1542" t="s">
        <v>2027</v>
      </c>
      <c r="B61" s="1543" t="s">
        <v>9103</v>
      </c>
      <c r="C61" s="1544">
        <v>0.05157407407407407</v>
      </c>
      <c r="D61" s="987" t="s">
        <v>10341</v>
      </c>
      <c r="E61" s="1627" t="s">
        <v>10342</v>
      </c>
      <c r="F61" s="1627" t="s">
        <v>10343</v>
      </c>
      <c r="G61" s="1656" t="s">
        <v>9833</v>
      </c>
      <c r="H61" s="922" t="s">
        <v>10344</v>
      </c>
      <c r="I61" s="922" t="s">
        <v>2100</v>
      </c>
      <c r="J61" s="1657" t="s">
        <v>5526</v>
      </c>
      <c r="K61" s="1657" t="s">
        <v>3552</v>
      </c>
      <c r="L61" s="1657" t="s">
        <v>10345</v>
      </c>
      <c r="M61" s="1657" t="s">
        <v>10000</v>
      </c>
      <c r="N61" s="1657" t="s">
        <v>1230</v>
      </c>
      <c r="O61" s="1657" t="s">
        <v>10312</v>
      </c>
      <c r="P61" s="1657" t="s">
        <v>10346</v>
      </c>
      <c r="Q61" s="1658" t="s">
        <v>10347</v>
      </c>
      <c r="R61" s="1658" t="s">
        <v>10348</v>
      </c>
      <c r="S61" s="1658" t="s">
        <v>10349</v>
      </c>
      <c r="T61" s="1658" t="s">
        <v>6954</v>
      </c>
      <c r="U61" s="1658" t="s">
        <v>2750</v>
      </c>
      <c r="V61" s="1658" t="s">
        <v>5129</v>
      </c>
      <c r="W61" s="1659" t="s">
        <v>10350</v>
      </c>
      <c r="X61" s="1659" t="s">
        <v>10351</v>
      </c>
      <c r="Y61" s="1659" t="s">
        <v>10213</v>
      </c>
      <c r="Z61" s="1659" t="s">
        <v>9174</v>
      </c>
      <c r="AA61" s="1659" t="s">
        <v>6199</v>
      </c>
      <c r="AB61" s="1659" t="s">
        <v>5930</v>
      </c>
      <c r="AC61" s="1659" t="s">
        <v>6484</v>
      </c>
      <c r="AD61" s="1627" t="s">
        <v>10352</v>
      </c>
      <c r="AE61" s="1656" t="s">
        <v>5607</v>
      </c>
      <c r="AF61" s="1660" t="s">
        <v>10353</v>
      </c>
      <c r="AG61" s="1660" t="s">
        <v>10354</v>
      </c>
      <c r="AH61" s="1660" t="s">
        <v>10355</v>
      </c>
      <c r="AI61" s="1660" t="s">
        <v>1103</v>
      </c>
      <c r="AJ61" s="1660" t="s">
        <v>10356</v>
      </c>
      <c r="AK61" s="1630" t="s">
        <v>629</v>
      </c>
      <c r="AL61" s="1630" t="s">
        <v>10357</v>
      </c>
      <c r="AM61" s="1631" t="s">
        <v>3733</v>
      </c>
      <c r="AN61" s="1631" t="s">
        <v>10358</v>
      </c>
      <c r="AO61" s="1631" t="s">
        <v>10359</v>
      </c>
      <c r="AP61" s="1631" t="s">
        <v>10360</v>
      </c>
      <c r="AQ61" s="1631" t="s">
        <v>10361</v>
      </c>
      <c r="AR61" s="1632" t="s">
        <v>7488</v>
      </c>
      <c r="AS61" s="1631" t="s">
        <v>4433</v>
      </c>
      <c r="AT61" s="1657" t="s">
        <v>10362</v>
      </c>
      <c r="AU61" s="1654" t="s">
        <v>10363</v>
      </c>
      <c r="AV61" s="1462" t="str">
        <f t="shared" si="1"/>
        <v>4:40</v>
      </c>
      <c r="AW61" s="1655" t="s">
        <v>10364</v>
      </c>
    </row>
    <row r="62" ht="15.75" customHeight="1">
      <c r="A62" s="1604" t="s">
        <v>10365</v>
      </c>
      <c r="B62" s="1592" t="s">
        <v>9103</v>
      </c>
      <c r="C62" s="1544">
        <v>0.051631944444444446</v>
      </c>
      <c r="D62" s="1627" t="s">
        <v>10366</v>
      </c>
      <c r="E62" s="1627" t="s">
        <v>7620</v>
      </c>
      <c r="F62" s="1627" t="s">
        <v>9299</v>
      </c>
      <c r="G62" s="1627" t="s">
        <v>10367</v>
      </c>
      <c r="H62" s="848" t="s">
        <v>10368</v>
      </c>
      <c r="I62" s="848" t="s">
        <v>10369</v>
      </c>
      <c r="J62" s="1610" t="s">
        <v>10370</v>
      </c>
      <c r="K62" s="1610" t="s">
        <v>7200</v>
      </c>
      <c r="L62" s="1610" t="s">
        <v>4465</v>
      </c>
      <c r="M62" s="1610" t="s">
        <v>10371</v>
      </c>
      <c r="N62" s="1610" t="s">
        <v>9771</v>
      </c>
      <c r="O62" s="1610" t="s">
        <v>10372</v>
      </c>
      <c r="P62" s="1610" t="s">
        <v>2175</v>
      </c>
      <c r="Q62" s="1613" t="s">
        <v>10373</v>
      </c>
      <c r="R62" s="1613" t="s">
        <v>5939</v>
      </c>
      <c r="S62" s="1613" t="s">
        <v>5679</v>
      </c>
      <c r="T62" s="1613" t="s">
        <v>6322</v>
      </c>
      <c r="U62" s="1613" t="s">
        <v>10374</v>
      </c>
      <c r="V62" s="1613" t="s">
        <v>10375</v>
      </c>
      <c r="W62" s="1629" t="s">
        <v>10376</v>
      </c>
      <c r="X62" s="1629" t="s">
        <v>629</v>
      </c>
      <c r="Y62" s="1629" t="s">
        <v>5121</v>
      </c>
      <c r="Z62" s="1629" t="s">
        <v>10377</v>
      </c>
      <c r="AA62" s="1573" t="s">
        <v>10378</v>
      </c>
      <c r="AB62" s="1629" t="s">
        <v>9966</v>
      </c>
      <c r="AC62" s="1629" t="s">
        <v>4756</v>
      </c>
      <c r="AD62" s="1627" t="s">
        <v>10379</v>
      </c>
      <c r="AE62" s="1627" t="s">
        <v>9668</v>
      </c>
      <c r="AF62" s="1709" t="s">
        <v>10380</v>
      </c>
      <c r="AG62" s="1630" t="s">
        <v>7762</v>
      </c>
      <c r="AH62" s="1630" t="s">
        <v>10355</v>
      </c>
      <c r="AI62" s="1630" t="s">
        <v>4124</v>
      </c>
      <c r="AJ62" s="1630" t="s">
        <v>10381</v>
      </c>
      <c r="AK62" s="1630" t="s">
        <v>1520</v>
      </c>
      <c r="AL62" s="1630" t="s">
        <v>3487</v>
      </c>
      <c r="AM62" s="1632" t="s">
        <v>6199</v>
      </c>
      <c r="AN62" s="1632" t="s">
        <v>5757</v>
      </c>
      <c r="AO62" s="1632" t="s">
        <v>7546</v>
      </c>
      <c r="AP62" s="1632" t="s">
        <v>10382</v>
      </c>
      <c r="AQ62" s="1632" t="s">
        <v>3560</v>
      </c>
      <c r="AR62" s="1632" t="s">
        <v>9933</v>
      </c>
      <c r="AS62" s="1632" t="s">
        <v>4098</v>
      </c>
      <c r="AT62" s="1610" t="s">
        <v>10383</v>
      </c>
      <c r="AU62" s="1594" t="s">
        <v>10384</v>
      </c>
      <c r="AV62" s="1462" t="str">
        <f t="shared" si="1"/>
        <v>2:25</v>
      </c>
      <c r="AW62" s="1671" t="s">
        <v>10385</v>
      </c>
    </row>
    <row r="63" ht="15.75" customHeight="1">
      <c r="A63" s="1669" t="s">
        <v>10386</v>
      </c>
      <c r="B63" s="1543" t="s">
        <v>9103</v>
      </c>
      <c r="C63" s="1679">
        <v>0.051631944444444446</v>
      </c>
      <c r="D63" s="987" t="s">
        <v>10387</v>
      </c>
      <c r="E63" s="337" t="s">
        <v>8759</v>
      </c>
      <c r="F63" s="337" t="s">
        <v>9182</v>
      </c>
      <c r="G63" s="337" t="s">
        <v>10388</v>
      </c>
      <c r="H63" s="337" t="s">
        <v>10389</v>
      </c>
      <c r="I63" s="337" t="s">
        <v>10315</v>
      </c>
      <c r="J63" s="337" t="s">
        <v>3553</v>
      </c>
      <c r="K63" s="337" t="s">
        <v>10390</v>
      </c>
      <c r="L63" s="337" t="s">
        <v>5233</v>
      </c>
      <c r="M63" s="337" t="s">
        <v>714</v>
      </c>
      <c r="N63" s="337" t="s">
        <v>10391</v>
      </c>
      <c r="O63" s="337" t="s">
        <v>4765</v>
      </c>
      <c r="P63" s="337" t="s">
        <v>5083</v>
      </c>
      <c r="Q63" s="337" t="s">
        <v>10392</v>
      </c>
      <c r="R63" s="337" t="s">
        <v>10393</v>
      </c>
      <c r="S63" s="337" t="s">
        <v>10175</v>
      </c>
      <c r="T63" s="337" t="s">
        <v>9618</v>
      </c>
      <c r="U63" s="337" t="s">
        <v>10394</v>
      </c>
      <c r="V63" s="337" t="s">
        <v>10395</v>
      </c>
      <c r="W63" s="337" t="s">
        <v>10396</v>
      </c>
      <c r="X63" s="337" t="s">
        <v>10317</v>
      </c>
      <c r="Y63" s="337" t="s">
        <v>4756</v>
      </c>
      <c r="Z63" s="337" t="s">
        <v>6824</v>
      </c>
      <c r="AA63" s="337" t="s">
        <v>5938</v>
      </c>
      <c r="AB63" s="337" t="s">
        <v>10397</v>
      </c>
      <c r="AC63" s="337" t="s">
        <v>388</v>
      </c>
      <c r="AD63" s="337" t="s">
        <v>6145</v>
      </c>
      <c r="AE63" s="337" t="s">
        <v>3116</v>
      </c>
      <c r="AF63" s="337" t="s">
        <v>10067</v>
      </c>
      <c r="AG63" s="337" t="s">
        <v>10398</v>
      </c>
      <c r="AH63" s="337" t="s">
        <v>5494</v>
      </c>
      <c r="AI63" s="337" t="s">
        <v>3583</v>
      </c>
      <c r="AJ63" s="337" t="s">
        <v>10399</v>
      </c>
      <c r="AK63" s="337" t="s">
        <v>10235</v>
      </c>
      <c r="AL63" s="337" t="s">
        <v>5268</v>
      </c>
      <c r="AM63" s="337" t="s">
        <v>10400</v>
      </c>
      <c r="AN63" s="337" t="s">
        <v>8968</v>
      </c>
      <c r="AO63" s="337" t="s">
        <v>5170</v>
      </c>
      <c r="AP63" s="337" t="s">
        <v>10401</v>
      </c>
      <c r="AQ63" s="337" t="s">
        <v>3699</v>
      </c>
      <c r="AR63" s="337" t="s">
        <v>9756</v>
      </c>
      <c r="AS63" s="337" t="s">
        <v>4742</v>
      </c>
      <c r="AT63" s="337" t="s">
        <v>10402</v>
      </c>
      <c r="AU63" s="1710" t="str">
        <f>HYPERLINK("https://splits.io/pc9","1:16:48")</f>
        <v>1:16:48</v>
      </c>
      <c r="AV63" s="1462" t="str">
        <f t="shared" si="1"/>
        <v>2:27</v>
      </c>
      <c r="AW63" s="1711" t="s">
        <v>10403</v>
      </c>
    </row>
    <row r="64" ht="15.75" customHeight="1">
      <c r="A64" s="1542" t="s">
        <v>5927</v>
      </c>
      <c r="B64" s="1543" t="s">
        <v>9103</v>
      </c>
      <c r="C64" s="1679">
        <v>0.051631944444444446</v>
      </c>
      <c r="D64" s="987" t="s">
        <v>10404</v>
      </c>
      <c r="E64" s="337" t="s">
        <v>7796</v>
      </c>
      <c r="F64" s="337" t="s">
        <v>10405</v>
      </c>
      <c r="G64" s="337" t="s">
        <v>5425</v>
      </c>
      <c r="H64" s="337" t="s">
        <v>9978</v>
      </c>
      <c r="I64" s="337" t="s">
        <v>4756</v>
      </c>
      <c r="J64" s="337" t="s">
        <v>9289</v>
      </c>
      <c r="K64" s="337" t="s">
        <v>8981</v>
      </c>
      <c r="L64" s="337" t="s">
        <v>5913</v>
      </c>
      <c r="M64" s="337" t="s">
        <v>935</v>
      </c>
      <c r="N64" s="337" t="s">
        <v>10406</v>
      </c>
      <c r="O64" s="337" t="s">
        <v>10209</v>
      </c>
      <c r="P64" s="337" t="s">
        <v>10069</v>
      </c>
      <c r="Q64" s="337" t="s">
        <v>10407</v>
      </c>
      <c r="R64" s="337" t="s">
        <v>10348</v>
      </c>
      <c r="S64" s="337" t="s">
        <v>6728</v>
      </c>
      <c r="T64" s="337" t="s">
        <v>10408</v>
      </c>
      <c r="U64" s="337" t="s">
        <v>10409</v>
      </c>
      <c r="V64" s="337" t="s">
        <v>10410</v>
      </c>
      <c r="W64" s="337" t="s">
        <v>10411</v>
      </c>
      <c r="X64" s="337" t="s">
        <v>10412</v>
      </c>
      <c r="Y64" s="337" t="s">
        <v>1163</v>
      </c>
      <c r="Z64" s="337" t="s">
        <v>4867</v>
      </c>
      <c r="AA64" s="337" t="s">
        <v>10413</v>
      </c>
      <c r="AB64" s="337" t="s">
        <v>6873</v>
      </c>
      <c r="AC64" s="337" t="s">
        <v>10414</v>
      </c>
      <c r="AD64" s="337" t="s">
        <v>10415</v>
      </c>
      <c r="AE64" s="1668" t="s">
        <v>5556</v>
      </c>
      <c r="AF64" s="337" t="s">
        <v>10416</v>
      </c>
      <c r="AG64" s="337" t="s">
        <v>10417</v>
      </c>
      <c r="AH64" s="337" t="s">
        <v>2253</v>
      </c>
      <c r="AI64" s="337" t="s">
        <v>5296</v>
      </c>
      <c r="AJ64" s="337" t="s">
        <v>8817</v>
      </c>
      <c r="AK64" s="337" t="s">
        <v>1792</v>
      </c>
      <c r="AL64" s="337" t="s">
        <v>5757</v>
      </c>
      <c r="AM64" s="337" t="s">
        <v>10418</v>
      </c>
      <c r="AN64" s="337" t="s">
        <v>10419</v>
      </c>
      <c r="AO64" s="337" t="s">
        <v>9396</v>
      </c>
      <c r="AP64" s="337" t="s">
        <v>10420</v>
      </c>
      <c r="AQ64" s="337" t="s">
        <v>10421</v>
      </c>
      <c r="AR64" s="337" t="s">
        <v>4855</v>
      </c>
      <c r="AS64" s="337" t="s">
        <v>3043</v>
      </c>
      <c r="AT64" s="337" t="s">
        <v>10422</v>
      </c>
      <c r="AU64" s="337" t="s">
        <v>10423</v>
      </c>
      <c r="AV64" s="1462" t="str">
        <f t="shared" si="1"/>
        <v>3:33</v>
      </c>
      <c r="AW64" s="1711"/>
    </row>
    <row r="65" ht="15.75" customHeight="1">
      <c r="A65" s="1542" t="s">
        <v>4243</v>
      </c>
      <c r="B65" s="1543" t="s">
        <v>9103</v>
      </c>
      <c r="C65" s="1679">
        <v>0.05164351851851852</v>
      </c>
      <c r="D65" s="987" t="s">
        <v>10424</v>
      </c>
      <c r="E65" s="337" t="s">
        <v>9308</v>
      </c>
      <c r="F65" s="337" t="s">
        <v>10425</v>
      </c>
      <c r="G65" s="337" t="s">
        <v>9160</v>
      </c>
      <c r="H65" s="337" t="s">
        <v>10426</v>
      </c>
      <c r="I65" s="337" t="s">
        <v>1291</v>
      </c>
      <c r="J65" s="337" t="s">
        <v>804</v>
      </c>
      <c r="K65" s="337" t="s">
        <v>6801</v>
      </c>
      <c r="L65" s="337" t="s">
        <v>3734</v>
      </c>
      <c r="M65" s="337" t="s">
        <v>10371</v>
      </c>
      <c r="N65" s="337" t="s">
        <v>9497</v>
      </c>
      <c r="O65" s="337" t="s">
        <v>10073</v>
      </c>
      <c r="P65" s="337" t="s">
        <v>5216</v>
      </c>
      <c r="Q65" s="337" t="s">
        <v>10427</v>
      </c>
      <c r="R65" s="337" t="s">
        <v>9024</v>
      </c>
      <c r="S65" s="337" t="s">
        <v>10428</v>
      </c>
      <c r="T65" s="337" t="s">
        <v>10429</v>
      </c>
      <c r="U65" s="337" t="s">
        <v>10430</v>
      </c>
      <c r="V65" s="337" t="s">
        <v>10431</v>
      </c>
      <c r="W65" s="337" t="s">
        <v>10432</v>
      </c>
      <c r="X65" s="337" t="s">
        <v>608</v>
      </c>
      <c r="Y65" s="337" t="s">
        <v>10433</v>
      </c>
      <c r="Z65" s="337" t="s">
        <v>7237</v>
      </c>
      <c r="AA65" s="337" t="s">
        <v>5683</v>
      </c>
      <c r="AB65" s="337" t="s">
        <v>7547</v>
      </c>
      <c r="AC65" s="337" t="s">
        <v>7727</v>
      </c>
      <c r="AD65" s="337" t="s">
        <v>10434</v>
      </c>
      <c r="AE65" s="337" t="s">
        <v>1848</v>
      </c>
      <c r="AF65" s="337" t="s">
        <v>10435</v>
      </c>
      <c r="AG65" s="337" t="s">
        <v>527</v>
      </c>
      <c r="AH65" s="337" t="s">
        <v>5494</v>
      </c>
      <c r="AI65" s="337" t="s">
        <v>10436</v>
      </c>
      <c r="AJ65" s="337" t="s">
        <v>10437</v>
      </c>
      <c r="AK65" s="337" t="s">
        <v>10438</v>
      </c>
      <c r="AL65" s="337" t="s">
        <v>5213</v>
      </c>
      <c r="AM65" s="337" t="s">
        <v>9876</v>
      </c>
      <c r="AN65" s="337" t="s">
        <v>9558</v>
      </c>
      <c r="AO65" s="337" t="s">
        <v>10282</v>
      </c>
      <c r="AP65" s="337" t="s">
        <v>10439</v>
      </c>
      <c r="AQ65" s="337" t="s">
        <v>10440</v>
      </c>
      <c r="AR65" s="337" t="s">
        <v>3629</v>
      </c>
      <c r="AS65" s="337" t="s">
        <v>10441</v>
      </c>
      <c r="AT65" s="337" t="s">
        <v>10236</v>
      </c>
      <c r="AU65" s="337" t="s">
        <v>10442</v>
      </c>
      <c r="AV65" s="1462" t="str">
        <f t="shared" si="1"/>
        <v>3:13</v>
      </c>
      <c r="AW65" s="1711" t="s">
        <v>10443</v>
      </c>
    </row>
    <row r="66" ht="15.75" customHeight="1">
      <c r="A66" s="1570" t="s">
        <v>897</v>
      </c>
      <c r="B66" s="1698" t="s">
        <v>9156</v>
      </c>
      <c r="C66" s="1679">
        <v>0.05167824074074074</v>
      </c>
      <c r="D66" s="987" t="s">
        <v>10444</v>
      </c>
      <c r="E66" s="337" t="s">
        <v>10445</v>
      </c>
      <c r="F66" s="337" t="s">
        <v>5944</v>
      </c>
      <c r="G66" s="337" t="s">
        <v>10446</v>
      </c>
      <c r="H66" s="337" t="s">
        <v>10447</v>
      </c>
      <c r="I66" s="337" t="s">
        <v>1836</v>
      </c>
      <c r="J66" s="337" t="s">
        <v>10308</v>
      </c>
      <c r="K66" s="337" t="s">
        <v>9454</v>
      </c>
      <c r="L66" s="337" t="s">
        <v>1965</v>
      </c>
      <c r="M66" s="337" t="s">
        <v>6908</v>
      </c>
      <c r="N66" s="337" t="s">
        <v>10448</v>
      </c>
      <c r="O66" s="337" t="s">
        <v>10449</v>
      </c>
      <c r="P66" s="337" t="s">
        <v>2384</v>
      </c>
      <c r="Q66" s="337" t="s">
        <v>721</v>
      </c>
      <c r="R66" s="337" t="s">
        <v>10450</v>
      </c>
      <c r="S66" s="337" t="s">
        <v>10451</v>
      </c>
      <c r="T66" s="337" t="s">
        <v>10452</v>
      </c>
      <c r="U66" s="337" t="s">
        <v>10030</v>
      </c>
      <c r="V66" s="337" t="s">
        <v>487</v>
      </c>
      <c r="W66" s="337" t="s">
        <v>6006</v>
      </c>
      <c r="X66" s="337" t="s">
        <v>10453</v>
      </c>
      <c r="Y66" s="337" t="s">
        <v>940</v>
      </c>
      <c r="Z66" s="337" t="s">
        <v>3947</v>
      </c>
      <c r="AA66" s="337" t="s">
        <v>1619</v>
      </c>
      <c r="AB66" s="337" t="s">
        <v>10454</v>
      </c>
      <c r="AC66" s="337" t="s">
        <v>9354</v>
      </c>
      <c r="AD66" s="1668" t="s">
        <v>10455</v>
      </c>
      <c r="AE66" s="337" t="s">
        <v>1862</v>
      </c>
      <c r="AF66" s="337" t="s">
        <v>9918</v>
      </c>
      <c r="AG66" s="337" t="s">
        <v>7881</v>
      </c>
      <c r="AH66" s="337" t="s">
        <v>4465</v>
      </c>
      <c r="AI66" s="337" t="s">
        <v>1706</v>
      </c>
      <c r="AJ66" s="337" t="s">
        <v>10456</v>
      </c>
      <c r="AK66" s="337" t="s">
        <v>4081</v>
      </c>
      <c r="AL66" s="337" t="s">
        <v>5295</v>
      </c>
      <c r="AM66" s="337" t="s">
        <v>10457</v>
      </c>
      <c r="AN66" s="337" t="s">
        <v>10458</v>
      </c>
      <c r="AO66" s="337" t="s">
        <v>10459</v>
      </c>
      <c r="AP66" s="337" t="s">
        <v>10460</v>
      </c>
      <c r="AQ66" s="337" t="s">
        <v>10461</v>
      </c>
      <c r="AR66" s="337" t="s">
        <v>10462</v>
      </c>
      <c r="AS66" s="337" t="s">
        <v>2576</v>
      </c>
      <c r="AT66" s="337" t="s">
        <v>10463</v>
      </c>
      <c r="AU66" s="337" t="s">
        <v>10464</v>
      </c>
      <c r="AV66" s="1462" t="str">
        <f t="shared" si="1"/>
        <v>2:51</v>
      </c>
      <c r="AW66" s="1712"/>
    </row>
    <row r="67" ht="15.75" customHeight="1">
      <c r="A67" s="1604" t="s">
        <v>4650</v>
      </c>
      <c r="B67" s="1637" t="s">
        <v>9130</v>
      </c>
      <c r="C67" s="1679">
        <v>0.05170138888888889</v>
      </c>
      <c r="D67" s="987" t="s">
        <v>10465</v>
      </c>
      <c r="E67" s="337" t="s">
        <v>4280</v>
      </c>
      <c r="F67" s="337" t="s">
        <v>10022</v>
      </c>
      <c r="G67" s="337" t="s">
        <v>9929</v>
      </c>
      <c r="H67" s="337" t="s">
        <v>10466</v>
      </c>
      <c r="I67" s="337" t="s">
        <v>10467</v>
      </c>
      <c r="J67" s="337" t="s">
        <v>10035</v>
      </c>
      <c r="K67" s="337" t="s">
        <v>9396</v>
      </c>
      <c r="L67" s="337" t="s">
        <v>4101</v>
      </c>
      <c r="M67" s="337" t="s">
        <v>7112</v>
      </c>
      <c r="N67" s="337" t="s">
        <v>6215</v>
      </c>
      <c r="O67" s="337" t="s">
        <v>10160</v>
      </c>
      <c r="P67" s="337" t="s">
        <v>482</v>
      </c>
      <c r="Q67" s="337" t="s">
        <v>2831</v>
      </c>
      <c r="R67" s="337" t="s">
        <v>9200</v>
      </c>
      <c r="S67" s="337" t="s">
        <v>10359</v>
      </c>
      <c r="T67" s="337" t="s">
        <v>2927</v>
      </c>
      <c r="U67" s="337" t="s">
        <v>10468</v>
      </c>
      <c r="V67" s="337" t="s">
        <v>10469</v>
      </c>
      <c r="W67" s="337" t="s">
        <v>10396</v>
      </c>
      <c r="X67" s="337" t="s">
        <v>3733</v>
      </c>
      <c r="Y67" s="337" t="s">
        <v>2448</v>
      </c>
      <c r="Z67" s="337" t="s">
        <v>490</v>
      </c>
      <c r="AA67" s="337" t="s">
        <v>629</v>
      </c>
      <c r="AB67" s="337" t="s">
        <v>10470</v>
      </c>
      <c r="AC67" s="337" t="s">
        <v>5865</v>
      </c>
      <c r="AD67" s="337" t="s">
        <v>10090</v>
      </c>
      <c r="AE67" s="337" t="s">
        <v>143</v>
      </c>
      <c r="AF67" s="337" t="s">
        <v>10471</v>
      </c>
      <c r="AG67" s="337" t="s">
        <v>10472</v>
      </c>
      <c r="AH67" s="337" t="s">
        <v>10473</v>
      </c>
      <c r="AI67" s="337" t="s">
        <v>10474</v>
      </c>
      <c r="AJ67" s="337" t="s">
        <v>10475</v>
      </c>
      <c r="AK67" s="337" t="s">
        <v>9482</v>
      </c>
      <c r="AL67" s="337" t="s">
        <v>4540</v>
      </c>
      <c r="AM67" s="337" t="s">
        <v>10335</v>
      </c>
      <c r="AN67" s="337" t="s">
        <v>10476</v>
      </c>
      <c r="AO67" s="337" t="s">
        <v>10081</v>
      </c>
      <c r="AP67" s="337" t="s">
        <v>3331</v>
      </c>
      <c r="AQ67" s="337" t="s">
        <v>10477</v>
      </c>
      <c r="AR67" s="337" t="s">
        <v>10478</v>
      </c>
      <c r="AS67" s="337" t="s">
        <v>6606</v>
      </c>
      <c r="AT67" s="337" t="s">
        <v>10479</v>
      </c>
      <c r="AU67" s="337" t="s">
        <v>10480</v>
      </c>
      <c r="AV67" s="1462" t="str">
        <f t="shared" si="1"/>
        <v>2:37</v>
      </c>
      <c r="AW67" s="1712" t="s">
        <v>10481</v>
      </c>
    </row>
    <row r="68" ht="15.75" customHeight="1">
      <c r="A68" s="1604" t="s">
        <v>5134</v>
      </c>
      <c r="B68" s="1602" t="s">
        <v>9130</v>
      </c>
      <c r="C68" s="1544">
        <v>0.05171296296296296</v>
      </c>
      <c r="D68" s="1685" t="s">
        <v>10482</v>
      </c>
      <c r="E68" s="1668" t="s">
        <v>10483</v>
      </c>
      <c r="F68" s="1668" t="s">
        <v>1466</v>
      </c>
      <c r="G68" s="1668" t="s">
        <v>10484</v>
      </c>
      <c r="H68" s="1668" t="s">
        <v>10485</v>
      </c>
      <c r="I68" s="1668" t="s">
        <v>10486</v>
      </c>
      <c r="J68" s="1668" t="s">
        <v>885</v>
      </c>
      <c r="K68" s="1668" t="s">
        <v>4892</v>
      </c>
      <c r="L68" s="1668" t="s">
        <v>1956</v>
      </c>
      <c r="M68" s="1713" t="s">
        <v>10487</v>
      </c>
      <c r="N68" s="1668" t="s">
        <v>10488</v>
      </c>
      <c r="O68" s="1668" t="s">
        <v>1696</v>
      </c>
      <c r="P68" s="1668" t="s">
        <v>5121</v>
      </c>
      <c r="Q68" s="1668" t="s">
        <v>2677</v>
      </c>
      <c r="R68" s="1668" t="s">
        <v>10489</v>
      </c>
      <c r="S68" s="1668" t="s">
        <v>9235</v>
      </c>
      <c r="T68" s="1668" t="s">
        <v>10490</v>
      </c>
      <c r="U68" s="1668" t="s">
        <v>10287</v>
      </c>
      <c r="V68" s="1713" t="s">
        <v>10491</v>
      </c>
      <c r="W68" s="1713" t="s">
        <v>10492</v>
      </c>
      <c r="X68" s="1668" t="s">
        <v>10166</v>
      </c>
      <c r="Y68" s="987" t="s">
        <v>2557</v>
      </c>
      <c r="Z68" s="1668" t="s">
        <v>1518</v>
      </c>
      <c r="AA68" s="1668" t="s">
        <v>200</v>
      </c>
      <c r="AB68" s="1713" t="s">
        <v>10493</v>
      </c>
      <c r="AC68" s="1668" t="s">
        <v>1848</v>
      </c>
      <c r="AD68" s="1668" t="s">
        <v>10494</v>
      </c>
      <c r="AE68" s="1668" t="s">
        <v>3855</v>
      </c>
      <c r="AF68" s="1668" t="s">
        <v>10495</v>
      </c>
      <c r="AG68" s="1668" t="s">
        <v>527</v>
      </c>
      <c r="AH68" s="1668" t="s">
        <v>10496</v>
      </c>
      <c r="AI68" s="1668" t="s">
        <v>5519</v>
      </c>
      <c r="AJ68" s="1668" t="s">
        <v>10497</v>
      </c>
      <c r="AK68" s="1668" t="s">
        <v>10498</v>
      </c>
      <c r="AL68" s="1668" t="s">
        <v>1748</v>
      </c>
      <c r="AM68" s="1668" t="s">
        <v>10326</v>
      </c>
      <c r="AN68" s="1668" t="s">
        <v>10499</v>
      </c>
      <c r="AO68" s="1668" t="s">
        <v>2903</v>
      </c>
      <c r="AP68" s="1668" t="s">
        <v>2074</v>
      </c>
      <c r="AQ68" s="1668" t="s">
        <v>758</v>
      </c>
      <c r="AR68" s="1668" t="s">
        <v>10109</v>
      </c>
      <c r="AS68" s="1668" t="s">
        <v>8164</v>
      </c>
      <c r="AT68" s="1668" t="s">
        <v>10500</v>
      </c>
      <c r="AU68" s="1668" t="s">
        <v>10501</v>
      </c>
      <c r="AV68" s="1462" t="str">
        <f t="shared" si="1"/>
        <v>4:14</v>
      </c>
      <c r="AW68" s="1708" t="s">
        <v>10502</v>
      </c>
    </row>
    <row r="69" ht="15.75" customHeight="1">
      <c r="A69" s="1604" t="s">
        <v>2189</v>
      </c>
      <c r="B69" s="1694" t="s">
        <v>9130</v>
      </c>
      <c r="C69" s="1544">
        <v>0.05173611111111111</v>
      </c>
      <c r="D69" s="987" t="s">
        <v>10503</v>
      </c>
      <c r="E69" s="1668" t="s">
        <v>10504</v>
      </c>
      <c r="F69" s="1668" t="s">
        <v>10505</v>
      </c>
      <c r="G69" s="1668" t="s">
        <v>10506</v>
      </c>
      <c r="H69" s="1668" t="s">
        <v>6998</v>
      </c>
      <c r="I69" s="1668" t="s">
        <v>495</v>
      </c>
      <c r="J69" s="1668" t="s">
        <v>9539</v>
      </c>
      <c r="K69" s="1668" t="s">
        <v>9114</v>
      </c>
      <c r="L69" s="1668" t="s">
        <v>8242</v>
      </c>
      <c r="M69" s="1668" t="s">
        <v>3646</v>
      </c>
      <c r="N69" s="1668" t="s">
        <v>10507</v>
      </c>
      <c r="O69" s="1668" t="s">
        <v>10508</v>
      </c>
      <c r="P69" s="1668" t="s">
        <v>3757</v>
      </c>
      <c r="Q69" s="1668" t="s">
        <v>10509</v>
      </c>
      <c r="R69" s="1668" t="s">
        <v>10450</v>
      </c>
      <c r="S69" s="1668" t="s">
        <v>5653</v>
      </c>
      <c r="T69" s="1668" t="s">
        <v>10510</v>
      </c>
      <c r="U69" s="1668" t="s">
        <v>10511</v>
      </c>
      <c r="V69" s="1668" t="s">
        <v>128</v>
      </c>
      <c r="W69" s="1668" t="s">
        <v>5687</v>
      </c>
      <c r="X69" s="1668" t="s">
        <v>10354</v>
      </c>
      <c r="Y69" s="1668" t="s">
        <v>1163</v>
      </c>
      <c r="Z69" s="1668" t="s">
        <v>10512</v>
      </c>
      <c r="AA69" s="1668" t="s">
        <v>5938</v>
      </c>
      <c r="AB69" s="1668" t="s">
        <v>7545</v>
      </c>
      <c r="AC69" s="1668" t="s">
        <v>161</v>
      </c>
      <c r="AD69" s="1668" t="s">
        <v>10379</v>
      </c>
      <c r="AE69" s="1668" t="s">
        <v>9808</v>
      </c>
      <c r="AF69" s="1668" t="s">
        <v>9821</v>
      </c>
      <c r="AG69" s="1668" t="s">
        <v>10513</v>
      </c>
      <c r="AH69" s="1668" t="s">
        <v>10514</v>
      </c>
      <c r="AI69" s="1668" t="s">
        <v>10515</v>
      </c>
      <c r="AJ69" s="1668" t="s">
        <v>6171</v>
      </c>
      <c r="AK69" s="1668" t="s">
        <v>6853</v>
      </c>
      <c r="AL69" s="1668" t="s">
        <v>10516</v>
      </c>
      <c r="AM69" s="1668" t="s">
        <v>2983</v>
      </c>
      <c r="AN69" s="1668" t="s">
        <v>5213</v>
      </c>
      <c r="AO69" s="1668" t="s">
        <v>10279</v>
      </c>
      <c r="AP69" s="1668" t="s">
        <v>10517</v>
      </c>
      <c r="AQ69" s="1668" t="s">
        <v>10518</v>
      </c>
      <c r="AR69" s="1668" t="s">
        <v>197</v>
      </c>
      <c r="AS69" s="1668" t="s">
        <v>10519</v>
      </c>
      <c r="AT69" s="1668" t="s">
        <v>10520</v>
      </c>
      <c r="AU69" s="1668" t="s">
        <v>10521</v>
      </c>
      <c r="AV69" s="1462" t="str">
        <f t="shared" si="1"/>
        <v>3:51</v>
      </c>
      <c r="AW69" s="1708" t="s">
        <v>10522</v>
      </c>
    </row>
    <row r="70" ht="15.75" customHeight="1">
      <c r="A70" s="1604" t="s">
        <v>8325</v>
      </c>
      <c r="B70" s="1592" t="s">
        <v>9156</v>
      </c>
      <c r="C70" s="1544">
        <v>0.051805555555555556</v>
      </c>
      <c r="D70" s="1668" t="s">
        <v>10523</v>
      </c>
      <c r="E70" s="1668" t="s">
        <v>10524</v>
      </c>
      <c r="F70" s="987" t="s">
        <v>10525</v>
      </c>
      <c r="G70" s="1668" t="s">
        <v>10526</v>
      </c>
      <c r="H70" s="1576" t="s">
        <v>10527</v>
      </c>
      <c r="I70" s="1576">
        <v>49.81</v>
      </c>
      <c r="J70" s="1576" t="s">
        <v>10528</v>
      </c>
      <c r="K70" s="1576" t="s">
        <v>6340</v>
      </c>
      <c r="L70" s="1576">
        <v>59.57</v>
      </c>
      <c r="M70" s="1576" t="s">
        <v>10529</v>
      </c>
      <c r="N70" s="1576" t="s">
        <v>10530</v>
      </c>
      <c r="O70" s="1575" t="s">
        <v>6936</v>
      </c>
      <c r="P70" s="1575" t="s">
        <v>10531</v>
      </c>
      <c r="Q70" s="1575" t="s">
        <v>10532</v>
      </c>
      <c r="R70" s="1576" t="s">
        <v>10533</v>
      </c>
      <c r="S70" s="1576" t="s">
        <v>10175</v>
      </c>
      <c r="T70" s="1576" t="s">
        <v>10534</v>
      </c>
      <c r="U70" s="1576" t="s">
        <v>10535</v>
      </c>
      <c r="V70" s="1576" t="s">
        <v>4328</v>
      </c>
      <c r="W70" s="1576" t="s">
        <v>10536</v>
      </c>
      <c r="X70" s="1576" t="s">
        <v>10537</v>
      </c>
      <c r="Y70" s="1575" t="s">
        <v>10039</v>
      </c>
      <c r="Z70" s="1714" t="s">
        <v>9172</v>
      </c>
      <c r="AA70" s="1576" t="s">
        <v>964</v>
      </c>
      <c r="AB70" s="1575" t="s">
        <v>4352</v>
      </c>
      <c r="AC70" s="1576">
        <v>49.53</v>
      </c>
      <c r="AD70" s="1576" t="s">
        <v>2005</v>
      </c>
      <c r="AE70" s="1575" t="s">
        <v>10538</v>
      </c>
      <c r="AF70" s="1576" t="s">
        <v>9297</v>
      </c>
      <c r="AG70" s="1576" t="s">
        <v>10539</v>
      </c>
      <c r="AH70" s="1576">
        <v>59.93</v>
      </c>
      <c r="AI70" s="1576" t="s">
        <v>10540</v>
      </c>
      <c r="AJ70" s="1576" t="s">
        <v>10541</v>
      </c>
      <c r="AK70" s="1576" t="s">
        <v>5995</v>
      </c>
      <c r="AL70" s="1576">
        <v>59.13</v>
      </c>
      <c r="AM70" s="1576" t="s">
        <v>10478</v>
      </c>
      <c r="AN70" s="1576">
        <v>57.86</v>
      </c>
      <c r="AO70" s="1576" t="s">
        <v>7277</v>
      </c>
      <c r="AP70" s="1576" t="s">
        <v>10542</v>
      </c>
      <c r="AQ70" s="1576" t="s">
        <v>10045</v>
      </c>
      <c r="AR70" s="1576" t="s">
        <v>6272</v>
      </c>
      <c r="AS70" s="1576">
        <v>47.67</v>
      </c>
      <c r="AT70" s="1668" t="s">
        <v>10543</v>
      </c>
      <c r="AU70" s="1668" t="s">
        <v>10544</v>
      </c>
      <c r="AV70" s="1462" t="str">
        <f t="shared" si="1"/>
        <v>2:57</v>
      </c>
      <c r="AW70" s="1693" t="s">
        <v>10545</v>
      </c>
    </row>
    <row r="71">
      <c r="A71" s="962" t="s">
        <v>1256</v>
      </c>
      <c r="B71" s="1602" t="s">
        <v>9130</v>
      </c>
      <c r="C71" s="1715">
        <v>0.05181712962962963</v>
      </c>
      <c r="D71" s="1550" t="s">
        <v>10546</v>
      </c>
      <c r="E71" s="1550" t="s">
        <v>7627</v>
      </c>
      <c r="F71" s="1550" t="s">
        <v>10547</v>
      </c>
      <c r="G71" s="1550" t="s">
        <v>10548</v>
      </c>
      <c r="H71" s="1550" t="s">
        <v>10549</v>
      </c>
      <c r="I71" s="1550" t="s">
        <v>5058</v>
      </c>
      <c r="J71" s="1550" t="s">
        <v>9524</v>
      </c>
      <c r="K71" s="1550" t="s">
        <v>9140</v>
      </c>
      <c r="L71" s="1550" t="s">
        <v>10514</v>
      </c>
      <c r="M71" s="1550" t="s">
        <v>1452</v>
      </c>
      <c r="N71" s="1550" t="s">
        <v>10011</v>
      </c>
      <c r="O71" s="1550" t="s">
        <v>7053</v>
      </c>
      <c r="P71" s="1550" t="s">
        <v>9614</v>
      </c>
      <c r="Q71" s="1550" t="s">
        <v>10550</v>
      </c>
      <c r="R71" s="1550" t="s">
        <v>6879</v>
      </c>
      <c r="S71" s="1550" t="s">
        <v>3653</v>
      </c>
      <c r="T71" s="1550" t="s">
        <v>10551</v>
      </c>
      <c r="U71" s="1550" t="s">
        <v>10552</v>
      </c>
      <c r="V71" s="1550" t="s">
        <v>10469</v>
      </c>
      <c r="W71" s="1550" t="s">
        <v>9212</v>
      </c>
      <c r="X71" s="1550" t="s">
        <v>10099</v>
      </c>
      <c r="Y71" s="1550" t="s">
        <v>10553</v>
      </c>
      <c r="Z71" s="1550" t="s">
        <v>6425</v>
      </c>
      <c r="AA71" s="1550" t="s">
        <v>955</v>
      </c>
      <c r="AB71" s="1550" t="s">
        <v>10554</v>
      </c>
      <c r="AC71" s="1550" t="s">
        <v>2100</v>
      </c>
      <c r="AD71" s="1550" t="s">
        <v>10555</v>
      </c>
      <c r="AE71" s="1550" t="s">
        <v>2175</v>
      </c>
      <c r="AF71" s="1550" t="s">
        <v>10236</v>
      </c>
      <c r="AG71" s="1550" t="s">
        <v>174</v>
      </c>
      <c r="AH71" s="1550" t="s">
        <v>10556</v>
      </c>
      <c r="AI71" s="1550" t="s">
        <v>246</v>
      </c>
      <c r="AJ71" s="1550" t="s">
        <v>10557</v>
      </c>
      <c r="AK71" s="1550" t="s">
        <v>9825</v>
      </c>
      <c r="AL71" s="1550" t="s">
        <v>4770</v>
      </c>
      <c r="AM71" s="1550" t="s">
        <v>10558</v>
      </c>
      <c r="AN71" s="1550" t="s">
        <v>9870</v>
      </c>
      <c r="AO71" s="1550" t="s">
        <v>10559</v>
      </c>
      <c r="AP71" s="1550" t="s">
        <v>10560</v>
      </c>
      <c r="AQ71" s="1550" t="s">
        <v>10561</v>
      </c>
      <c r="AR71" s="1550" t="s">
        <v>10562</v>
      </c>
      <c r="AS71" s="1550" t="s">
        <v>353</v>
      </c>
      <c r="AT71" s="1550" t="s">
        <v>10563</v>
      </c>
      <c r="AU71" s="1573" t="s">
        <v>10564</v>
      </c>
      <c r="AV71" s="1462" t="str">
        <f t="shared" si="1"/>
        <v>3:49</v>
      </c>
      <c r="AW71" s="1716" t="s">
        <v>10565</v>
      </c>
    </row>
    <row r="72" ht="15.75" customHeight="1">
      <c r="A72" s="1542" t="s">
        <v>3135</v>
      </c>
      <c r="B72" s="1637" t="s">
        <v>9130</v>
      </c>
      <c r="C72" s="1679">
        <v>0.051863425925925924</v>
      </c>
      <c r="D72" s="987" t="s">
        <v>10566</v>
      </c>
      <c r="E72" s="337" t="s">
        <v>6593</v>
      </c>
      <c r="F72" s="337" t="s">
        <v>10567</v>
      </c>
      <c r="G72" s="337" t="s">
        <v>10568</v>
      </c>
      <c r="H72" s="337" t="s">
        <v>10569</v>
      </c>
      <c r="I72" s="337" t="s">
        <v>10570</v>
      </c>
      <c r="J72" s="337" t="s">
        <v>1672</v>
      </c>
      <c r="K72" s="337" t="s">
        <v>1589</v>
      </c>
      <c r="L72" s="337" t="s">
        <v>3144</v>
      </c>
      <c r="M72" s="337" t="s">
        <v>10348</v>
      </c>
      <c r="N72" s="337" t="s">
        <v>5158</v>
      </c>
      <c r="O72" s="337" t="s">
        <v>10571</v>
      </c>
      <c r="P72" s="337" t="s">
        <v>1234</v>
      </c>
      <c r="Q72" s="337" t="s">
        <v>10572</v>
      </c>
      <c r="R72" s="337" t="s">
        <v>5808</v>
      </c>
      <c r="S72" s="337" t="s">
        <v>10573</v>
      </c>
      <c r="T72" s="337" t="s">
        <v>10574</v>
      </c>
      <c r="U72" s="337" t="s">
        <v>10575</v>
      </c>
      <c r="V72" s="337" t="s">
        <v>10118</v>
      </c>
      <c r="W72" s="337" t="s">
        <v>10576</v>
      </c>
      <c r="X72" s="337" t="s">
        <v>10474</v>
      </c>
      <c r="Y72" s="337" t="s">
        <v>3369</v>
      </c>
      <c r="Z72" s="337" t="s">
        <v>10577</v>
      </c>
      <c r="AA72" s="337" t="s">
        <v>10578</v>
      </c>
      <c r="AB72" s="337" t="s">
        <v>8992</v>
      </c>
      <c r="AC72" s="337" t="s">
        <v>5865</v>
      </c>
      <c r="AD72" s="337" t="s">
        <v>10579</v>
      </c>
      <c r="AE72" s="337" t="s">
        <v>1181</v>
      </c>
      <c r="AF72" s="337" t="s">
        <v>10580</v>
      </c>
      <c r="AG72" s="337" t="s">
        <v>10581</v>
      </c>
      <c r="AH72" s="337" t="s">
        <v>5233</v>
      </c>
      <c r="AI72" s="337" t="s">
        <v>10515</v>
      </c>
      <c r="AJ72" s="337" t="s">
        <v>10582</v>
      </c>
      <c r="AK72" s="337" t="s">
        <v>1840</v>
      </c>
      <c r="AL72" s="337" t="s">
        <v>10556</v>
      </c>
      <c r="AM72" s="337" t="s">
        <v>10583</v>
      </c>
      <c r="AN72" s="337" t="s">
        <v>3209</v>
      </c>
      <c r="AO72" s="337" t="s">
        <v>9293</v>
      </c>
      <c r="AP72" s="337" t="s">
        <v>10584</v>
      </c>
      <c r="AQ72" s="337" t="s">
        <v>10585</v>
      </c>
      <c r="AR72" s="337" t="s">
        <v>2228</v>
      </c>
      <c r="AS72" s="337" t="s">
        <v>4846</v>
      </c>
      <c r="AT72" s="337" t="s">
        <v>10586</v>
      </c>
      <c r="AU72" s="337" t="s">
        <v>10587</v>
      </c>
      <c r="AV72" s="1462" t="str">
        <f t="shared" si="1"/>
        <v>2:06</v>
      </c>
      <c r="AW72" s="1708" t="s">
        <v>10588</v>
      </c>
    </row>
    <row r="73" ht="15.75" customHeight="1">
      <c r="A73" s="1542" t="s">
        <v>1126</v>
      </c>
      <c r="B73" s="1543" t="s">
        <v>9103</v>
      </c>
      <c r="C73" s="1679">
        <v>0.051875</v>
      </c>
      <c r="D73" s="987" t="s">
        <v>10589</v>
      </c>
      <c r="E73" s="337" t="s">
        <v>3214</v>
      </c>
      <c r="F73" s="337" t="s">
        <v>10590</v>
      </c>
      <c r="G73" s="337" t="s">
        <v>10591</v>
      </c>
      <c r="H73" s="337" t="s">
        <v>10592</v>
      </c>
      <c r="I73" s="337" t="s">
        <v>10593</v>
      </c>
      <c r="J73" s="337" t="s">
        <v>2531</v>
      </c>
      <c r="K73" s="337" t="s">
        <v>10594</v>
      </c>
      <c r="L73" s="337" t="s">
        <v>9372</v>
      </c>
      <c r="M73" s="337" t="s">
        <v>7162</v>
      </c>
      <c r="N73" s="337" t="s">
        <v>9618</v>
      </c>
      <c r="O73" s="337" t="s">
        <v>4479</v>
      </c>
      <c r="P73" s="337" t="s">
        <v>1523</v>
      </c>
      <c r="Q73" s="337" t="s">
        <v>10595</v>
      </c>
      <c r="R73" s="337" t="s">
        <v>1939</v>
      </c>
      <c r="S73" s="337" t="s">
        <v>4443</v>
      </c>
      <c r="T73" s="337" t="s">
        <v>10596</v>
      </c>
      <c r="U73" s="337" t="s">
        <v>10394</v>
      </c>
      <c r="V73" s="337" t="s">
        <v>6602</v>
      </c>
      <c r="W73" s="337" t="s">
        <v>4479</v>
      </c>
      <c r="X73" s="337" t="s">
        <v>10011</v>
      </c>
      <c r="Y73" s="337" t="s">
        <v>10041</v>
      </c>
      <c r="Z73" s="337" t="s">
        <v>6549</v>
      </c>
      <c r="AA73" s="337" t="s">
        <v>419</v>
      </c>
      <c r="AB73" s="337" t="s">
        <v>623</v>
      </c>
      <c r="AC73" s="337" t="s">
        <v>4876</v>
      </c>
      <c r="AD73" s="337" t="s">
        <v>10434</v>
      </c>
      <c r="AE73" s="337" t="s">
        <v>847</v>
      </c>
      <c r="AF73" s="337" t="s">
        <v>10597</v>
      </c>
      <c r="AG73" s="337" t="s">
        <v>10598</v>
      </c>
      <c r="AH73" s="337" t="s">
        <v>10345</v>
      </c>
      <c r="AI73" s="337" t="s">
        <v>10599</v>
      </c>
      <c r="AJ73" s="337" t="s">
        <v>10600</v>
      </c>
      <c r="AK73" s="337" t="s">
        <v>10601</v>
      </c>
      <c r="AL73" s="337" t="s">
        <v>5686</v>
      </c>
      <c r="AM73" s="337" t="s">
        <v>10602</v>
      </c>
      <c r="AN73" s="337" t="s">
        <v>6409</v>
      </c>
      <c r="AO73" s="1668" t="s">
        <v>10199</v>
      </c>
      <c r="AP73" s="337" t="s">
        <v>10603</v>
      </c>
      <c r="AQ73" s="337" t="s">
        <v>10604</v>
      </c>
      <c r="AR73" s="337" t="s">
        <v>9860</v>
      </c>
      <c r="AS73" s="337" t="s">
        <v>4712</v>
      </c>
      <c r="AT73" s="337" t="s">
        <v>10605</v>
      </c>
      <c r="AU73" s="1668" t="s">
        <v>10606</v>
      </c>
      <c r="AV73" s="1462" t="str">
        <f t="shared" si="1"/>
        <v>0:37</v>
      </c>
      <c r="AW73" s="1712" t="s">
        <v>10607</v>
      </c>
    </row>
    <row r="74">
      <c r="A74" s="1604" t="s">
        <v>7502</v>
      </c>
      <c r="B74" s="1602" t="s">
        <v>9103</v>
      </c>
      <c r="C74" s="1544">
        <v>0.05188657407407407</v>
      </c>
      <c r="D74" s="1668" t="s">
        <v>10608</v>
      </c>
      <c r="E74" s="987" t="s">
        <v>175</v>
      </c>
      <c r="F74" s="987" t="s">
        <v>10609</v>
      </c>
      <c r="G74" s="987" t="s">
        <v>10610</v>
      </c>
      <c r="H74" s="987" t="s">
        <v>10611</v>
      </c>
      <c r="I74" s="987" t="s">
        <v>143</v>
      </c>
      <c r="J74" s="987" t="s">
        <v>4153</v>
      </c>
      <c r="K74" s="987" t="s">
        <v>9835</v>
      </c>
      <c r="L74" s="987" t="s">
        <v>2884</v>
      </c>
      <c r="M74" s="987" t="s">
        <v>10612</v>
      </c>
      <c r="N74" s="987" t="s">
        <v>4078</v>
      </c>
      <c r="O74" s="987" t="s">
        <v>10613</v>
      </c>
      <c r="P74" s="987" t="s">
        <v>5218</v>
      </c>
      <c r="Q74" s="987" t="s">
        <v>10614</v>
      </c>
      <c r="R74" s="987" t="s">
        <v>5636</v>
      </c>
      <c r="S74" s="987" t="s">
        <v>10615</v>
      </c>
      <c r="T74" s="987" t="s">
        <v>9176</v>
      </c>
      <c r="U74" s="987" t="s">
        <v>10616</v>
      </c>
      <c r="V74" s="987" t="s">
        <v>5366</v>
      </c>
      <c r="W74" s="987" t="s">
        <v>10617</v>
      </c>
      <c r="X74" s="987" t="s">
        <v>10618</v>
      </c>
      <c r="Y74" s="987" t="s">
        <v>10619</v>
      </c>
      <c r="Z74" s="987" t="s">
        <v>9846</v>
      </c>
      <c r="AA74" s="987" t="s">
        <v>5177</v>
      </c>
      <c r="AB74" s="987" t="s">
        <v>690</v>
      </c>
      <c r="AC74" s="987" t="s">
        <v>10620</v>
      </c>
      <c r="AD74" s="987" t="s">
        <v>2730</v>
      </c>
      <c r="AE74" s="987" t="s">
        <v>5974</v>
      </c>
      <c r="AF74" s="987" t="s">
        <v>10621</v>
      </c>
      <c r="AG74" s="987" t="s">
        <v>2414</v>
      </c>
      <c r="AH74" s="987" t="s">
        <v>2884</v>
      </c>
      <c r="AI74" s="987" t="s">
        <v>199</v>
      </c>
      <c r="AJ74" s="987" t="s">
        <v>10622</v>
      </c>
      <c r="AK74" s="987" t="s">
        <v>9853</v>
      </c>
      <c r="AL74" s="987" t="s">
        <v>10307</v>
      </c>
      <c r="AM74" s="987" t="s">
        <v>9823</v>
      </c>
      <c r="AN74" s="987" t="s">
        <v>3640</v>
      </c>
      <c r="AO74" s="987" t="s">
        <v>4884</v>
      </c>
      <c r="AP74" s="987" t="s">
        <v>10262</v>
      </c>
      <c r="AQ74" s="987" t="s">
        <v>10604</v>
      </c>
      <c r="AR74" s="987" t="s">
        <v>10623</v>
      </c>
      <c r="AS74" s="987" t="s">
        <v>6606</v>
      </c>
      <c r="AT74" s="987" t="s">
        <v>9353</v>
      </c>
      <c r="AU74" s="1668" t="s">
        <v>10624</v>
      </c>
      <c r="AV74" s="1462" t="str">
        <f t="shared" si="1"/>
        <v>4:21</v>
      </c>
      <c r="AW74" s="1708" t="s">
        <v>10625</v>
      </c>
    </row>
    <row r="75">
      <c r="A75" s="1604" t="s">
        <v>9046</v>
      </c>
      <c r="B75" s="1592" t="s">
        <v>9103</v>
      </c>
      <c r="C75" s="1544">
        <v>0.05193287037037037</v>
      </c>
      <c r="D75" s="1685" t="s">
        <v>10626</v>
      </c>
      <c r="E75" s="1668" t="s">
        <v>7203</v>
      </c>
      <c r="F75" s="1668" t="s">
        <v>10627</v>
      </c>
      <c r="G75" s="1668" t="s">
        <v>10628</v>
      </c>
      <c r="H75" s="1668" t="s">
        <v>10629</v>
      </c>
      <c r="I75" s="1668" t="s">
        <v>2384</v>
      </c>
      <c r="J75" s="1668" t="s">
        <v>4263</v>
      </c>
      <c r="K75" s="1668" t="s">
        <v>9776</v>
      </c>
      <c r="L75" s="1668"/>
      <c r="M75" s="1668" t="s">
        <v>6807</v>
      </c>
      <c r="N75" s="1668" t="s">
        <v>4696</v>
      </c>
      <c r="O75" s="1668" t="s">
        <v>9170</v>
      </c>
      <c r="P75" s="1668" t="s">
        <v>10255</v>
      </c>
      <c r="Q75" s="1668" t="s">
        <v>10630</v>
      </c>
      <c r="R75" s="1668" t="s">
        <v>10631</v>
      </c>
      <c r="S75" s="1668" t="s">
        <v>9433</v>
      </c>
      <c r="T75" s="1668" t="s">
        <v>9791</v>
      </c>
      <c r="U75" s="1668" t="s">
        <v>2269</v>
      </c>
      <c r="V75" s="1668" t="s">
        <v>9633</v>
      </c>
      <c r="W75" s="1668" t="s">
        <v>6000</v>
      </c>
      <c r="X75" s="1668" t="s">
        <v>629</v>
      </c>
      <c r="Y75" s="1668" t="s">
        <v>9600</v>
      </c>
      <c r="Z75" s="1668" t="s">
        <v>9985</v>
      </c>
      <c r="AA75" s="1668" t="s">
        <v>7289</v>
      </c>
      <c r="AB75" s="1668" t="s">
        <v>9468</v>
      </c>
      <c r="AC75" s="1668" t="s">
        <v>3018</v>
      </c>
      <c r="AD75" s="1668" t="s">
        <v>10632</v>
      </c>
      <c r="AE75" s="1668" t="s">
        <v>10633</v>
      </c>
      <c r="AF75" s="1668" t="s">
        <v>10634</v>
      </c>
      <c r="AG75" s="1668" t="s">
        <v>10398</v>
      </c>
      <c r="AH75" s="1668" t="s">
        <v>10635</v>
      </c>
      <c r="AI75" s="1668" t="s">
        <v>10636</v>
      </c>
      <c r="AJ75" s="1668" t="s">
        <v>10637</v>
      </c>
      <c r="AK75" s="1668" t="s">
        <v>10638</v>
      </c>
      <c r="AL75" s="1668" t="s">
        <v>3364</v>
      </c>
      <c r="AM75" s="1668" t="s">
        <v>10639</v>
      </c>
      <c r="AN75" s="1668" t="s">
        <v>3651</v>
      </c>
      <c r="AO75" s="1668" t="s">
        <v>10640</v>
      </c>
      <c r="AP75" s="1668" t="s">
        <v>10641</v>
      </c>
      <c r="AQ75" s="1668" t="s">
        <v>10642</v>
      </c>
      <c r="AR75" s="1668" t="s">
        <v>10643</v>
      </c>
      <c r="AS75" s="1668" t="s">
        <v>3798</v>
      </c>
      <c r="AT75" s="1668" t="s">
        <v>10644</v>
      </c>
      <c r="AU75" s="1668" t="s">
        <v>10645</v>
      </c>
      <c r="AV75" s="1462" t="str">
        <f t="shared" si="1"/>
        <v>4:12</v>
      </c>
      <c r="AW75" s="1712"/>
    </row>
    <row r="76" ht="15.75" customHeight="1">
      <c r="A76" s="1669" t="s">
        <v>10646</v>
      </c>
      <c r="B76" s="1543" t="s">
        <v>9103</v>
      </c>
      <c r="C76" s="1679">
        <v>0.05199074074074074</v>
      </c>
      <c r="D76" s="987" t="s">
        <v>10647</v>
      </c>
      <c r="E76" s="337" t="s">
        <v>10648</v>
      </c>
      <c r="F76" s="337" t="s">
        <v>10649</v>
      </c>
      <c r="G76" s="337" t="s">
        <v>10650</v>
      </c>
      <c r="H76" s="337" t="s">
        <v>7091</v>
      </c>
      <c r="I76" s="337" t="s">
        <v>10213</v>
      </c>
      <c r="J76" s="337" t="s">
        <v>10651</v>
      </c>
      <c r="K76" s="337" t="s">
        <v>10652</v>
      </c>
      <c r="L76" s="337" t="s">
        <v>3144</v>
      </c>
      <c r="M76" s="337" t="s">
        <v>10653</v>
      </c>
      <c r="N76" s="337" t="s">
        <v>9920</v>
      </c>
      <c r="O76" s="337" t="s">
        <v>10654</v>
      </c>
      <c r="P76" s="337" t="s">
        <v>2438</v>
      </c>
      <c r="Q76" s="337" t="s">
        <v>5137</v>
      </c>
      <c r="R76" s="337" t="s">
        <v>5416</v>
      </c>
      <c r="S76" s="337" t="s">
        <v>10655</v>
      </c>
      <c r="T76" s="337" t="s">
        <v>5899</v>
      </c>
      <c r="U76" s="337" t="s">
        <v>10656</v>
      </c>
      <c r="V76" s="337" t="s">
        <v>6602</v>
      </c>
      <c r="W76" s="337" t="s">
        <v>7508</v>
      </c>
      <c r="X76" s="337" t="s">
        <v>10657</v>
      </c>
      <c r="Y76" s="337" t="s">
        <v>2100</v>
      </c>
      <c r="Z76" s="337" t="s">
        <v>10658</v>
      </c>
      <c r="AA76" s="337" t="s">
        <v>10351</v>
      </c>
      <c r="AB76" s="337" t="s">
        <v>10659</v>
      </c>
      <c r="AC76" s="337" t="s">
        <v>5587</v>
      </c>
      <c r="AD76" s="337" t="s">
        <v>10660</v>
      </c>
      <c r="AE76" s="337" t="s">
        <v>7727</v>
      </c>
      <c r="AF76" s="337" t="s">
        <v>10661</v>
      </c>
      <c r="AG76" s="337" t="s">
        <v>10601</v>
      </c>
      <c r="AH76" s="337" t="s">
        <v>10662</v>
      </c>
      <c r="AI76" s="337" t="s">
        <v>10663</v>
      </c>
      <c r="AJ76" s="337" t="s">
        <v>10664</v>
      </c>
      <c r="AK76" s="337" t="s">
        <v>808</v>
      </c>
      <c r="AL76" s="337" t="s">
        <v>3344</v>
      </c>
      <c r="AM76" s="337" t="s">
        <v>10103</v>
      </c>
      <c r="AN76" s="337" t="s">
        <v>10665</v>
      </c>
      <c r="AO76" s="1668" t="s">
        <v>10666</v>
      </c>
      <c r="AP76" s="1668" t="s">
        <v>10667</v>
      </c>
      <c r="AQ76" s="337" t="s">
        <v>5456</v>
      </c>
      <c r="AR76" s="337" t="s">
        <v>10139</v>
      </c>
      <c r="AS76" s="337" t="s">
        <v>1007</v>
      </c>
      <c r="AT76" s="337" t="s">
        <v>10256</v>
      </c>
      <c r="AU76" s="1710" t="str">
        <f>HYPERLINK("https://splits.io/m3t","1:18:40")</f>
        <v>1:18:40</v>
      </c>
      <c r="AV76" s="1462" t="str">
        <f t="shared" si="1"/>
        <v>3:48</v>
      </c>
      <c r="AW76" s="1711" t="s">
        <v>10668</v>
      </c>
    </row>
    <row r="77" ht="15.75" customHeight="1">
      <c r="A77" s="1669" t="s">
        <v>10669</v>
      </c>
      <c r="B77" s="1543" t="s">
        <v>9103</v>
      </c>
      <c r="C77" s="1679">
        <v>0.052002314814814814</v>
      </c>
      <c r="D77" s="987" t="s">
        <v>10670</v>
      </c>
      <c r="E77" s="337" t="s">
        <v>9445</v>
      </c>
      <c r="F77" s="337" t="s">
        <v>10671</v>
      </c>
      <c r="G77" s="337" t="s">
        <v>10672</v>
      </c>
      <c r="H77" s="337" t="s">
        <v>10673</v>
      </c>
      <c r="I77" s="337" t="s">
        <v>3652</v>
      </c>
      <c r="J77" s="337" t="s">
        <v>9812</v>
      </c>
      <c r="K77" s="337" t="s">
        <v>4443</v>
      </c>
      <c r="L77" s="337" t="s">
        <v>3547</v>
      </c>
      <c r="M77" s="337" t="s">
        <v>10393</v>
      </c>
      <c r="N77" s="337" t="s">
        <v>4483</v>
      </c>
      <c r="O77" s="337" t="s">
        <v>10674</v>
      </c>
      <c r="P77" s="337" t="s">
        <v>10675</v>
      </c>
      <c r="Q77" s="337" t="s">
        <v>4939</v>
      </c>
      <c r="R77" s="337" t="s">
        <v>1452</v>
      </c>
      <c r="S77" s="337" t="s">
        <v>9892</v>
      </c>
      <c r="T77" s="337" t="s">
        <v>528</v>
      </c>
      <c r="U77" s="337" t="s">
        <v>1991</v>
      </c>
      <c r="V77" s="337" t="s">
        <v>464</v>
      </c>
      <c r="W77" s="337" t="s">
        <v>5834</v>
      </c>
      <c r="X77" s="337" t="s">
        <v>10170</v>
      </c>
      <c r="Y77" s="337" t="s">
        <v>2448</v>
      </c>
      <c r="Z77" s="337" t="s">
        <v>5346</v>
      </c>
      <c r="AA77" s="337" t="s">
        <v>9920</v>
      </c>
      <c r="AB77" s="337" t="s">
        <v>10676</v>
      </c>
      <c r="AC77" s="337" t="s">
        <v>3116</v>
      </c>
      <c r="AD77" s="337" t="s">
        <v>10677</v>
      </c>
      <c r="AE77" s="337" t="s">
        <v>5218</v>
      </c>
      <c r="AF77" s="337" t="s">
        <v>10678</v>
      </c>
      <c r="AG77" s="337" t="s">
        <v>10679</v>
      </c>
      <c r="AH77" s="337" t="s">
        <v>2253</v>
      </c>
      <c r="AI77" s="337" t="s">
        <v>10680</v>
      </c>
      <c r="AJ77" s="337" t="s">
        <v>10681</v>
      </c>
      <c r="AK77" s="337" t="s">
        <v>4645</v>
      </c>
      <c r="AL77" s="337" t="s">
        <v>6177</v>
      </c>
      <c r="AM77" s="337" t="s">
        <v>1457</v>
      </c>
      <c r="AN77" s="337" t="s">
        <v>5573</v>
      </c>
      <c r="AO77" s="337" t="s">
        <v>5240</v>
      </c>
      <c r="AP77" s="337" t="s">
        <v>4691</v>
      </c>
      <c r="AQ77" s="337" t="s">
        <v>10682</v>
      </c>
      <c r="AR77" s="337" t="s">
        <v>10683</v>
      </c>
      <c r="AS77" s="337" t="s">
        <v>10684</v>
      </c>
      <c r="AT77" s="337" t="s">
        <v>10685</v>
      </c>
      <c r="AU77" s="337" t="s">
        <v>10686</v>
      </c>
      <c r="AV77" s="1462" t="str">
        <f t="shared" si="1"/>
        <v>3:32</v>
      </c>
      <c r="AW77" s="1711" t="s">
        <v>10687</v>
      </c>
    </row>
    <row r="78" ht="15.75" customHeight="1">
      <c r="A78" s="1669" t="s">
        <v>10688</v>
      </c>
      <c r="B78" s="1637" t="s">
        <v>9130</v>
      </c>
      <c r="C78" s="1679">
        <v>0.05201388888888889</v>
      </c>
      <c r="D78" s="987" t="s">
        <v>10689</v>
      </c>
      <c r="E78" s="1668" t="s">
        <v>10690</v>
      </c>
      <c r="F78" s="337" t="s">
        <v>10691</v>
      </c>
      <c r="G78" s="337" t="s">
        <v>10692</v>
      </c>
      <c r="H78" s="337" t="s">
        <v>129</v>
      </c>
      <c r="I78" s="337" t="s">
        <v>10693</v>
      </c>
      <c r="J78" s="337" t="s">
        <v>10694</v>
      </c>
      <c r="K78" s="337" t="s">
        <v>4220</v>
      </c>
      <c r="L78" s="337" t="s">
        <v>10695</v>
      </c>
      <c r="M78" s="337" t="s">
        <v>10696</v>
      </c>
      <c r="N78" s="337" t="s">
        <v>10697</v>
      </c>
      <c r="O78" s="337" t="s">
        <v>10698</v>
      </c>
      <c r="P78" s="337" t="s">
        <v>161</v>
      </c>
      <c r="Q78" s="337" t="s">
        <v>10699</v>
      </c>
      <c r="R78" s="337" t="s">
        <v>6929</v>
      </c>
      <c r="S78" s="337" t="s">
        <v>10700</v>
      </c>
      <c r="T78" s="337" t="s">
        <v>10701</v>
      </c>
      <c r="U78" s="337" t="s">
        <v>10702</v>
      </c>
      <c r="V78" s="337" t="s">
        <v>8454</v>
      </c>
      <c r="W78" s="337" t="s">
        <v>10703</v>
      </c>
      <c r="X78" s="337" t="s">
        <v>10170</v>
      </c>
      <c r="Y78" s="337" t="s">
        <v>209</v>
      </c>
      <c r="Z78" s="337" t="s">
        <v>2378</v>
      </c>
      <c r="AA78" s="337" t="s">
        <v>5962</v>
      </c>
      <c r="AB78" s="337" t="s">
        <v>9492</v>
      </c>
      <c r="AC78" s="337" t="s">
        <v>925</v>
      </c>
      <c r="AD78" s="337" t="s">
        <v>10704</v>
      </c>
      <c r="AE78" s="337" t="s">
        <v>1163</v>
      </c>
      <c r="AF78" s="337" t="s">
        <v>10705</v>
      </c>
      <c r="AG78" s="337" t="s">
        <v>2983</v>
      </c>
      <c r="AH78" s="337" t="s">
        <v>6218</v>
      </c>
      <c r="AI78" s="337" t="s">
        <v>1568</v>
      </c>
      <c r="AJ78" s="337" t="s">
        <v>10706</v>
      </c>
      <c r="AK78" s="337" t="s">
        <v>3629</v>
      </c>
      <c r="AL78" s="337" t="s">
        <v>3900</v>
      </c>
      <c r="AM78" s="337" t="s">
        <v>839</v>
      </c>
      <c r="AN78" s="337" t="s">
        <v>4540</v>
      </c>
      <c r="AO78" s="337" t="s">
        <v>2255</v>
      </c>
      <c r="AP78" s="337" t="s">
        <v>10707</v>
      </c>
      <c r="AQ78" s="337" t="s">
        <v>1070</v>
      </c>
      <c r="AR78" s="337" t="s">
        <v>9171</v>
      </c>
      <c r="AS78" s="337" t="s">
        <v>9111</v>
      </c>
      <c r="AT78" s="337" t="s">
        <v>10708</v>
      </c>
      <c r="AU78" s="337" t="s">
        <v>10709</v>
      </c>
      <c r="AV78" s="1462" t="str">
        <f t="shared" si="1"/>
        <v>2:58</v>
      </c>
      <c r="AW78" s="1712" t="s">
        <v>10710</v>
      </c>
    </row>
    <row r="79" ht="15.75" customHeight="1">
      <c r="A79" s="1542" t="s">
        <v>7147</v>
      </c>
      <c r="B79" s="1637" t="s">
        <v>9130</v>
      </c>
      <c r="C79" s="1679">
        <v>0.05207175925925926</v>
      </c>
      <c r="D79" s="987" t="s">
        <v>10711</v>
      </c>
      <c r="E79" s="337" t="s">
        <v>10712</v>
      </c>
      <c r="F79" s="337" t="s">
        <v>10713</v>
      </c>
      <c r="G79" s="337" t="s">
        <v>10714</v>
      </c>
      <c r="H79" s="337" t="s">
        <v>9352</v>
      </c>
      <c r="I79" s="337" t="s">
        <v>4890</v>
      </c>
      <c r="J79" s="337" t="s">
        <v>9722</v>
      </c>
      <c r="K79" s="337" t="s">
        <v>10359</v>
      </c>
      <c r="L79" s="337" t="s">
        <v>10715</v>
      </c>
      <c r="M79" s="337" t="s">
        <v>2822</v>
      </c>
      <c r="N79" s="337" t="s">
        <v>10716</v>
      </c>
      <c r="O79" s="337" t="s">
        <v>10717</v>
      </c>
      <c r="P79" s="337" t="s">
        <v>765</v>
      </c>
      <c r="Q79" s="337" t="s">
        <v>10718</v>
      </c>
      <c r="R79" s="337" t="s">
        <v>4958</v>
      </c>
      <c r="S79" s="337" t="s">
        <v>6195</v>
      </c>
      <c r="T79" s="337" t="s">
        <v>5899</v>
      </c>
      <c r="U79" s="337" t="s">
        <v>10719</v>
      </c>
      <c r="V79" s="337" t="s">
        <v>2420</v>
      </c>
      <c r="W79" s="337" t="s">
        <v>9175</v>
      </c>
      <c r="X79" s="337" t="s">
        <v>10720</v>
      </c>
      <c r="Y79" s="337" t="s">
        <v>1408</v>
      </c>
      <c r="Z79" s="337" t="s">
        <v>6899</v>
      </c>
      <c r="AA79" s="337" t="s">
        <v>1483</v>
      </c>
      <c r="AB79" s="337" t="s">
        <v>10721</v>
      </c>
      <c r="AC79" s="337" t="s">
        <v>239</v>
      </c>
      <c r="AD79" s="337" t="s">
        <v>4270</v>
      </c>
      <c r="AE79" s="337" t="s">
        <v>6155</v>
      </c>
      <c r="AF79" s="337" t="s">
        <v>10722</v>
      </c>
      <c r="AG79" s="337" t="s">
        <v>10170</v>
      </c>
      <c r="AH79" s="337" t="s">
        <v>8245</v>
      </c>
      <c r="AI79" s="337" t="s">
        <v>10515</v>
      </c>
      <c r="AJ79" s="337" t="s">
        <v>10723</v>
      </c>
      <c r="AK79" s="337" t="s">
        <v>10724</v>
      </c>
      <c r="AL79" s="337" t="s">
        <v>4365</v>
      </c>
      <c r="AM79" s="337" t="s">
        <v>10277</v>
      </c>
      <c r="AN79" s="337" t="s">
        <v>3900</v>
      </c>
      <c r="AO79" s="337" t="s">
        <v>4220</v>
      </c>
      <c r="AP79" s="337" t="s">
        <v>10002</v>
      </c>
      <c r="AQ79" s="337" t="s">
        <v>10725</v>
      </c>
      <c r="AR79" s="337" t="s">
        <v>1482</v>
      </c>
      <c r="AS79" s="337" t="s">
        <v>6316</v>
      </c>
      <c r="AT79" s="337" t="s">
        <v>7273</v>
      </c>
      <c r="AU79" s="337" t="s">
        <v>10726</v>
      </c>
      <c r="AV79" s="1462" t="str">
        <f t="shared" si="1"/>
        <v>3:10</v>
      </c>
      <c r="AW79" s="1712" t="s">
        <v>10727</v>
      </c>
    </row>
    <row r="80">
      <c r="A80" s="962" t="s">
        <v>3905</v>
      </c>
      <c r="B80" s="1698" t="s">
        <v>9156</v>
      </c>
      <c r="C80" s="1641">
        <v>0.052141203703703703</v>
      </c>
      <c r="D80" s="987" t="s">
        <v>10728</v>
      </c>
      <c r="E80" s="1627" t="s">
        <v>3010</v>
      </c>
      <c r="F80" s="1627" t="s">
        <v>10729</v>
      </c>
      <c r="G80" s="1665" t="s">
        <v>10730</v>
      </c>
      <c r="H80" s="1665" t="s">
        <v>10731</v>
      </c>
      <c r="I80" s="1665" t="s">
        <v>2433</v>
      </c>
      <c r="J80" s="1665" t="s">
        <v>8069</v>
      </c>
      <c r="K80" s="1717" t="s">
        <v>6347</v>
      </c>
      <c r="L80" s="1718" t="s">
        <v>8242</v>
      </c>
      <c r="M80" s="1665" t="s">
        <v>10732</v>
      </c>
      <c r="N80" s="1665" t="s">
        <v>5899</v>
      </c>
      <c r="O80" s="1665" t="s">
        <v>5639</v>
      </c>
      <c r="P80" s="1665" t="s">
        <v>1848</v>
      </c>
      <c r="Q80" s="1665" t="s">
        <v>10733</v>
      </c>
      <c r="R80" s="1665" t="s">
        <v>10734</v>
      </c>
      <c r="S80" s="1719" t="s">
        <v>2267</v>
      </c>
      <c r="T80" s="1665" t="s">
        <v>9425</v>
      </c>
      <c r="U80" s="1665" t="s">
        <v>3517</v>
      </c>
      <c r="V80" s="1665" t="s">
        <v>10735</v>
      </c>
      <c r="W80" s="1665" t="s">
        <v>10736</v>
      </c>
      <c r="X80" s="1665" t="s">
        <v>4468</v>
      </c>
      <c r="Y80" s="1665" t="s">
        <v>3692</v>
      </c>
      <c r="Z80" s="1665" t="s">
        <v>4189</v>
      </c>
      <c r="AA80" s="1665" t="s">
        <v>174</v>
      </c>
      <c r="AB80" s="1665" t="s">
        <v>626</v>
      </c>
      <c r="AC80" s="1665" t="s">
        <v>6155</v>
      </c>
      <c r="AD80" s="1550" t="s">
        <v>9557</v>
      </c>
      <c r="AE80" s="1665" t="s">
        <v>478</v>
      </c>
      <c r="AF80" s="1665" t="s">
        <v>10737</v>
      </c>
      <c r="AG80" s="1665" t="s">
        <v>10738</v>
      </c>
      <c r="AH80" s="1665" t="s">
        <v>4588</v>
      </c>
      <c r="AI80" s="1665" t="s">
        <v>10739</v>
      </c>
      <c r="AJ80" s="1665" t="s">
        <v>10740</v>
      </c>
      <c r="AK80" s="1665" t="s">
        <v>10741</v>
      </c>
      <c r="AL80" s="1665" t="s">
        <v>5080</v>
      </c>
      <c r="AM80" s="1665" t="s">
        <v>10400</v>
      </c>
      <c r="AN80" s="1665" t="s">
        <v>4332</v>
      </c>
      <c r="AO80" s="1665" t="s">
        <v>9539</v>
      </c>
      <c r="AP80" s="1665" t="s">
        <v>10742</v>
      </c>
      <c r="AQ80" s="1717" t="s">
        <v>9183</v>
      </c>
      <c r="AR80" s="1665" t="s">
        <v>10743</v>
      </c>
      <c r="AS80" s="1720" t="s">
        <v>755</v>
      </c>
      <c r="AT80" s="1665" t="s">
        <v>10744</v>
      </c>
      <c r="AU80" s="1594" t="s">
        <v>10745</v>
      </c>
      <c r="AV80" s="1462" t="str">
        <f t="shared" si="1"/>
        <v>4:08</v>
      </c>
      <c r="AW80" s="1653" t="s">
        <v>10746</v>
      </c>
    </row>
    <row r="81">
      <c r="A81" s="1604" t="s">
        <v>3971</v>
      </c>
      <c r="B81" s="1592" t="s">
        <v>9103</v>
      </c>
      <c r="C81" s="1544">
        <v>0.0522337962962963</v>
      </c>
      <c r="D81" s="1685" t="s">
        <v>10747</v>
      </c>
      <c r="E81" s="1668" t="s">
        <v>10748</v>
      </c>
      <c r="F81" s="1668" t="s">
        <v>10749</v>
      </c>
      <c r="G81" s="1668" t="s">
        <v>10750</v>
      </c>
      <c r="H81" s="1668" t="s">
        <v>10751</v>
      </c>
      <c r="I81" s="1668" t="s">
        <v>1976</v>
      </c>
      <c r="J81" s="1668" t="s">
        <v>8832</v>
      </c>
      <c r="K81" s="1668" t="s">
        <v>4443</v>
      </c>
      <c r="L81" s="1668" t="s">
        <v>5824</v>
      </c>
      <c r="M81" s="1668" t="s">
        <v>10752</v>
      </c>
      <c r="N81" s="1668" t="s">
        <v>10147</v>
      </c>
      <c r="O81" s="1668" t="s">
        <v>10753</v>
      </c>
      <c r="P81" s="1668" t="s">
        <v>5218</v>
      </c>
      <c r="Q81" s="1668" t="s">
        <v>10754</v>
      </c>
      <c r="R81" s="1668" t="s">
        <v>6345</v>
      </c>
      <c r="S81" s="1668" t="s">
        <v>608</v>
      </c>
      <c r="T81" s="1668" t="s">
        <v>10558</v>
      </c>
      <c r="U81" s="1668" t="s">
        <v>9581</v>
      </c>
      <c r="V81" s="1668" t="s">
        <v>10755</v>
      </c>
      <c r="W81" s="1668" t="s">
        <v>10756</v>
      </c>
      <c r="X81" s="1668" t="s">
        <v>10757</v>
      </c>
      <c r="Y81" s="1668" t="s">
        <v>759</v>
      </c>
      <c r="Z81" s="1668" t="s">
        <v>10758</v>
      </c>
      <c r="AA81" s="987" t="s">
        <v>10759</v>
      </c>
      <c r="AB81" s="1668" t="s">
        <v>6768</v>
      </c>
      <c r="AC81" s="1668" t="s">
        <v>10538</v>
      </c>
      <c r="AD81" s="1668" t="s">
        <v>7088</v>
      </c>
      <c r="AE81" s="1668" t="s">
        <v>4962</v>
      </c>
      <c r="AF81" s="1340" t="s">
        <v>10760</v>
      </c>
      <c r="AG81" s="1668" t="s">
        <v>10761</v>
      </c>
      <c r="AH81" s="1668" t="s">
        <v>5098</v>
      </c>
      <c r="AI81" s="1668" t="s">
        <v>7755</v>
      </c>
      <c r="AJ81" s="1668" t="s">
        <v>10762</v>
      </c>
      <c r="AK81" s="1668" t="s">
        <v>10763</v>
      </c>
      <c r="AL81" s="1668" t="s">
        <v>10476</v>
      </c>
      <c r="AM81" s="1668" t="s">
        <v>10149</v>
      </c>
      <c r="AN81" s="1668" t="s">
        <v>997</v>
      </c>
      <c r="AO81" s="1668" t="s">
        <v>6520</v>
      </c>
      <c r="AP81" s="1668" t="s">
        <v>5689</v>
      </c>
      <c r="AQ81" s="1668" t="s">
        <v>10764</v>
      </c>
      <c r="AR81" s="1668" t="s">
        <v>693</v>
      </c>
      <c r="AS81" s="1340" t="s">
        <v>2830</v>
      </c>
      <c r="AT81" s="1668" t="s">
        <v>10765</v>
      </c>
      <c r="AU81" s="1668" t="s">
        <v>10766</v>
      </c>
      <c r="AV81" s="1462" t="str">
        <f t="shared" si="1"/>
        <v>4:32</v>
      </c>
      <c r="AW81" s="1708" t="s">
        <v>10767</v>
      </c>
    </row>
    <row r="82">
      <c r="A82" s="1604" t="s">
        <v>5262</v>
      </c>
      <c r="B82" s="1602" t="s">
        <v>9130</v>
      </c>
      <c r="C82" s="1544">
        <v>0.05232638888888889</v>
      </c>
      <c r="D82" s="1685" t="s">
        <v>10768</v>
      </c>
      <c r="E82" s="1668" t="s">
        <v>1231</v>
      </c>
      <c r="F82" s="1668" t="s">
        <v>10769</v>
      </c>
      <c r="G82" s="1668" t="s">
        <v>10770</v>
      </c>
      <c r="H82" s="1668" t="s">
        <v>10771</v>
      </c>
      <c r="I82" s="1668" t="s">
        <v>1350</v>
      </c>
      <c r="J82" s="1668" t="s">
        <v>7409</v>
      </c>
      <c r="K82" s="1668" t="s">
        <v>10370</v>
      </c>
      <c r="L82" s="1668" t="s">
        <v>10772</v>
      </c>
      <c r="M82" s="1668" t="s">
        <v>7076</v>
      </c>
      <c r="N82" s="1668" t="s">
        <v>10773</v>
      </c>
      <c r="O82" s="1668" t="s">
        <v>10774</v>
      </c>
      <c r="P82" s="1668" t="s">
        <v>519</v>
      </c>
      <c r="Q82" s="1668" t="s">
        <v>10210</v>
      </c>
      <c r="R82" s="1668" t="s">
        <v>5229</v>
      </c>
      <c r="S82" s="1668" t="s">
        <v>10011</v>
      </c>
      <c r="T82" s="1668" t="s">
        <v>10775</v>
      </c>
      <c r="U82" s="1668" t="s">
        <v>10776</v>
      </c>
      <c r="V82" s="1668" t="s">
        <v>10777</v>
      </c>
      <c r="W82" s="1668" t="s">
        <v>6432</v>
      </c>
      <c r="X82" s="1668" t="s">
        <v>312</v>
      </c>
      <c r="Y82" s="1668" t="s">
        <v>7564</v>
      </c>
      <c r="Z82" s="1668" t="s">
        <v>780</v>
      </c>
      <c r="AA82" s="337" t="s">
        <v>10011</v>
      </c>
      <c r="AB82" s="1668" t="s">
        <v>10778</v>
      </c>
      <c r="AC82" s="1668" t="s">
        <v>6341</v>
      </c>
      <c r="AD82" s="1668" t="s">
        <v>10779</v>
      </c>
      <c r="AE82" s="1668" t="s">
        <v>225</v>
      </c>
      <c r="AF82" s="1668" t="s">
        <v>9686</v>
      </c>
      <c r="AG82" s="1668" t="s">
        <v>4083</v>
      </c>
      <c r="AH82" s="1668" t="s">
        <v>1956</v>
      </c>
      <c r="AI82" s="1668" t="s">
        <v>418</v>
      </c>
      <c r="AJ82" s="1668" t="s">
        <v>10780</v>
      </c>
      <c r="AK82" s="1668" t="s">
        <v>10781</v>
      </c>
      <c r="AL82" s="1668" t="s">
        <v>10516</v>
      </c>
      <c r="AM82" s="1668" t="s">
        <v>2983</v>
      </c>
      <c r="AN82" s="1668" t="s">
        <v>6069</v>
      </c>
      <c r="AO82" s="1668" t="s">
        <v>3727</v>
      </c>
      <c r="AP82" s="1668" t="s">
        <v>10782</v>
      </c>
      <c r="AQ82" s="1668" t="s">
        <v>7075</v>
      </c>
      <c r="AR82" s="1668" t="s">
        <v>6340</v>
      </c>
      <c r="AS82" s="1668" t="s">
        <v>10783</v>
      </c>
      <c r="AT82" s="1668" t="s">
        <v>10784</v>
      </c>
      <c r="AU82" s="1668" t="s">
        <v>10785</v>
      </c>
      <c r="AV82" s="1462" t="str">
        <f t="shared" si="1"/>
        <v>3:48</v>
      </c>
      <c r="AW82" s="1712"/>
    </row>
    <row r="83" ht="15.75" customHeight="1">
      <c r="A83" s="1542" t="s">
        <v>10786</v>
      </c>
      <c r="B83" s="1543" t="s">
        <v>9103</v>
      </c>
      <c r="C83" s="1679">
        <v>0.05240740740740741</v>
      </c>
      <c r="D83" s="987" t="s">
        <v>10787</v>
      </c>
      <c r="E83" s="337" t="s">
        <v>1745</v>
      </c>
      <c r="F83" s="337" t="s">
        <v>7417</v>
      </c>
      <c r="G83" s="337" t="s">
        <v>10497</v>
      </c>
      <c r="H83" s="337" t="s">
        <v>10788</v>
      </c>
      <c r="I83" s="337" t="s">
        <v>10789</v>
      </c>
      <c r="J83" s="337" t="s">
        <v>10790</v>
      </c>
      <c r="K83" s="337" t="s">
        <v>10791</v>
      </c>
      <c r="L83" s="337" t="s">
        <v>4473</v>
      </c>
      <c r="M83" s="337" t="s">
        <v>3302</v>
      </c>
      <c r="N83" s="337" t="s">
        <v>4864</v>
      </c>
      <c r="O83" s="337" t="s">
        <v>10792</v>
      </c>
      <c r="P83" s="337" t="s">
        <v>10793</v>
      </c>
      <c r="Q83" s="337" t="s">
        <v>4246</v>
      </c>
      <c r="R83" s="337" t="s">
        <v>10117</v>
      </c>
      <c r="S83" s="337" t="s">
        <v>10279</v>
      </c>
      <c r="T83" s="337" t="s">
        <v>5099</v>
      </c>
      <c r="U83" s="337" t="s">
        <v>10794</v>
      </c>
      <c r="V83" s="337" t="s">
        <v>10795</v>
      </c>
      <c r="W83" s="337" t="s">
        <v>10796</v>
      </c>
      <c r="X83" s="337" t="s">
        <v>10797</v>
      </c>
      <c r="Y83" s="337" t="s">
        <v>6620</v>
      </c>
      <c r="Z83" s="337" t="s">
        <v>10658</v>
      </c>
      <c r="AA83" s="337" t="s">
        <v>1868</v>
      </c>
      <c r="AB83" s="337" t="s">
        <v>6987</v>
      </c>
      <c r="AC83" s="337" t="s">
        <v>1537</v>
      </c>
      <c r="AD83" s="337" t="s">
        <v>10798</v>
      </c>
      <c r="AE83" s="337" t="s">
        <v>1537</v>
      </c>
      <c r="AF83" s="337" t="s">
        <v>10799</v>
      </c>
      <c r="AG83" s="337" t="s">
        <v>10436</v>
      </c>
      <c r="AH83" s="337" t="s">
        <v>2114</v>
      </c>
      <c r="AI83" s="337" t="s">
        <v>3373</v>
      </c>
      <c r="AJ83" s="337" t="s">
        <v>10800</v>
      </c>
      <c r="AK83" s="337" t="s">
        <v>8189</v>
      </c>
      <c r="AL83" s="337" t="s">
        <v>10801</v>
      </c>
      <c r="AM83" s="337" t="s">
        <v>1188</v>
      </c>
      <c r="AN83" s="337" t="s">
        <v>3011</v>
      </c>
      <c r="AO83" s="337" t="s">
        <v>10802</v>
      </c>
      <c r="AP83" s="337" t="s">
        <v>3661</v>
      </c>
      <c r="AQ83" s="337" t="s">
        <v>10803</v>
      </c>
      <c r="AR83" s="337" t="s">
        <v>10804</v>
      </c>
      <c r="AS83" s="337" t="s">
        <v>9209</v>
      </c>
      <c r="AT83" s="337" t="s">
        <v>9824</v>
      </c>
      <c r="AU83" s="337" t="s">
        <v>10805</v>
      </c>
      <c r="AV83" s="1462" t="str">
        <f t="shared" si="1"/>
        <v>3:40</v>
      </c>
      <c r="AW83" s="1711" t="s">
        <v>10806</v>
      </c>
    </row>
    <row r="84" ht="15.75" customHeight="1">
      <c r="A84" s="1669" t="s">
        <v>10807</v>
      </c>
      <c r="B84" s="1543" t="s">
        <v>9103</v>
      </c>
      <c r="C84" s="1679">
        <v>0.05263888888888889</v>
      </c>
      <c r="D84" s="987" t="s">
        <v>10808</v>
      </c>
      <c r="E84" s="337" t="s">
        <v>7627</v>
      </c>
      <c r="F84" s="337" t="s">
        <v>10809</v>
      </c>
      <c r="G84" s="337" t="s">
        <v>10810</v>
      </c>
      <c r="H84" s="337" t="s">
        <v>10811</v>
      </c>
      <c r="I84" s="337" t="s">
        <v>10812</v>
      </c>
      <c r="J84" s="337" t="s">
        <v>10813</v>
      </c>
      <c r="K84" s="337" t="s">
        <v>4153</v>
      </c>
      <c r="L84" s="337" t="s">
        <v>4225</v>
      </c>
      <c r="M84" s="337" t="s">
        <v>9844</v>
      </c>
      <c r="N84" s="337" t="s">
        <v>10814</v>
      </c>
      <c r="O84" s="337" t="s">
        <v>9144</v>
      </c>
      <c r="P84" s="337" t="s">
        <v>482</v>
      </c>
      <c r="Q84" s="337" t="s">
        <v>10815</v>
      </c>
      <c r="R84" s="337" t="s">
        <v>5636</v>
      </c>
      <c r="S84" s="337" t="s">
        <v>6571</v>
      </c>
      <c r="T84" s="337" t="s">
        <v>10816</v>
      </c>
      <c r="U84" s="337" t="s">
        <v>10817</v>
      </c>
      <c r="V84" s="337" t="s">
        <v>10818</v>
      </c>
      <c r="W84" s="337" t="s">
        <v>10819</v>
      </c>
      <c r="X84" s="337" t="s">
        <v>5858</v>
      </c>
      <c r="Y84" s="337" t="s">
        <v>1537</v>
      </c>
      <c r="Z84" s="337" t="s">
        <v>7547</v>
      </c>
      <c r="AA84" s="1668" t="s">
        <v>6516</v>
      </c>
      <c r="AB84" s="337" t="s">
        <v>9741</v>
      </c>
      <c r="AC84" s="337" t="s">
        <v>10553</v>
      </c>
      <c r="AD84" s="337" t="s">
        <v>3048</v>
      </c>
      <c r="AE84" s="337" t="s">
        <v>4788</v>
      </c>
      <c r="AF84" s="337" t="s">
        <v>10820</v>
      </c>
      <c r="AG84" s="337" t="s">
        <v>2892</v>
      </c>
      <c r="AH84" s="337" t="s">
        <v>7748</v>
      </c>
      <c r="AI84" s="337" t="s">
        <v>10821</v>
      </c>
      <c r="AJ84" s="337" t="s">
        <v>10822</v>
      </c>
      <c r="AK84" s="337" t="s">
        <v>10166</v>
      </c>
      <c r="AL84" s="337" t="s">
        <v>10823</v>
      </c>
      <c r="AM84" s="337" t="s">
        <v>10824</v>
      </c>
      <c r="AN84" s="337" t="s">
        <v>3899</v>
      </c>
      <c r="AO84" s="337" t="s">
        <v>9539</v>
      </c>
      <c r="AP84" s="337" t="s">
        <v>10825</v>
      </c>
      <c r="AQ84" s="337" t="s">
        <v>10826</v>
      </c>
      <c r="AR84" s="337" t="s">
        <v>1380</v>
      </c>
      <c r="AS84" s="337" t="s">
        <v>1007</v>
      </c>
      <c r="AT84" s="337" t="s">
        <v>10827</v>
      </c>
      <c r="AU84" s="337" t="s">
        <v>10828</v>
      </c>
      <c r="AV84" s="1462" t="str">
        <f t="shared" si="1"/>
        <v>4:28</v>
      </c>
      <c r="AW84" s="1711" t="s">
        <v>10829</v>
      </c>
    </row>
    <row r="85">
      <c r="A85" s="1604" t="s">
        <v>3625</v>
      </c>
      <c r="B85" s="1686" t="s">
        <v>9156</v>
      </c>
      <c r="C85" s="1544">
        <v>0.052662037037037035</v>
      </c>
      <c r="D85" s="987" t="s">
        <v>10830</v>
      </c>
      <c r="E85" s="987" t="s">
        <v>532</v>
      </c>
      <c r="F85" s="987" t="s">
        <v>10831</v>
      </c>
      <c r="G85" s="987" t="s">
        <v>10832</v>
      </c>
      <c r="H85" s="987" t="s">
        <v>9371</v>
      </c>
      <c r="I85" s="987" t="s">
        <v>10833</v>
      </c>
      <c r="J85" s="987" t="s">
        <v>1591</v>
      </c>
      <c r="K85" s="987" t="s">
        <v>10834</v>
      </c>
      <c r="L85" s="987" t="s">
        <v>2885</v>
      </c>
      <c r="M85" s="987" t="s">
        <v>270</v>
      </c>
      <c r="N85" s="987" t="s">
        <v>9658</v>
      </c>
      <c r="O85" s="987" t="s">
        <v>10835</v>
      </c>
      <c r="P85" s="987" t="s">
        <v>10836</v>
      </c>
      <c r="Q85" s="987" t="s">
        <v>3475</v>
      </c>
      <c r="R85" s="987" t="s">
        <v>10837</v>
      </c>
      <c r="S85" s="987" t="s">
        <v>6153</v>
      </c>
      <c r="T85" s="987" t="s">
        <v>10838</v>
      </c>
      <c r="U85" s="987" t="s">
        <v>10839</v>
      </c>
      <c r="V85" s="987" t="s">
        <v>10840</v>
      </c>
      <c r="W85" s="987" t="s">
        <v>10841</v>
      </c>
      <c r="X85" s="987" t="s">
        <v>2810</v>
      </c>
      <c r="Y85" s="987" t="s">
        <v>2843</v>
      </c>
      <c r="Z85" s="987" t="s">
        <v>6438</v>
      </c>
      <c r="AA85" s="1668" t="s">
        <v>10842</v>
      </c>
      <c r="AB85" s="987" t="s">
        <v>9187</v>
      </c>
      <c r="AC85" s="987" t="s">
        <v>7563</v>
      </c>
      <c r="AD85" s="1721" t="s">
        <v>9175</v>
      </c>
      <c r="AE85" s="987" t="s">
        <v>335</v>
      </c>
      <c r="AF85" s="987" t="s">
        <v>10843</v>
      </c>
      <c r="AG85" s="987" t="s">
        <v>7055</v>
      </c>
      <c r="AH85" s="987" t="s">
        <v>3831</v>
      </c>
      <c r="AI85" s="987" t="s">
        <v>10844</v>
      </c>
      <c r="AJ85" s="987" t="s">
        <v>10845</v>
      </c>
      <c r="AK85" s="987" t="s">
        <v>10846</v>
      </c>
      <c r="AL85" s="987" t="s">
        <v>4612</v>
      </c>
      <c r="AM85" s="987" t="s">
        <v>5833</v>
      </c>
      <c r="AN85" s="1721" t="s">
        <v>9180</v>
      </c>
      <c r="AO85" s="987" t="s">
        <v>10847</v>
      </c>
      <c r="AP85" s="987" t="s">
        <v>10848</v>
      </c>
      <c r="AQ85" s="987" t="s">
        <v>10849</v>
      </c>
      <c r="AR85" s="987" t="s">
        <v>6107</v>
      </c>
      <c r="AS85" s="987" t="s">
        <v>8126</v>
      </c>
      <c r="AT85" s="987" t="s">
        <v>10850</v>
      </c>
      <c r="AU85" s="1722" t="s">
        <v>10851</v>
      </c>
      <c r="AV85" s="1462" t="str">
        <f t="shared" si="1"/>
        <v>4:43</v>
      </c>
      <c r="AW85" s="1693" t="s">
        <v>10852</v>
      </c>
    </row>
    <row r="86" ht="15.75" customHeight="1">
      <c r="A86" s="1604" t="s">
        <v>10853</v>
      </c>
      <c r="B86" s="1602" t="s">
        <v>9103</v>
      </c>
      <c r="C86" s="1544">
        <v>0.05267361111111111</v>
      </c>
      <c r="D86" s="1685" t="s">
        <v>10244</v>
      </c>
      <c r="E86" s="1668" t="s">
        <v>175</v>
      </c>
      <c r="F86" s="1668" t="s">
        <v>10854</v>
      </c>
      <c r="G86" s="1668" t="s">
        <v>10855</v>
      </c>
      <c r="H86" s="1668" t="s">
        <v>10856</v>
      </c>
      <c r="I86" s="1668" t="s">
        <v>5682</v>
      </c>
      <c r="J86" s="987" t="s">
        <v>10857</v>
      </c>
      <c r="K86" s="1668" t="s">
        <v>10858</v>
      </c>
      <c r="L86" s="1668" t="s">
        <v>3831</v>
      </c>
      <c r="M86" s="1668" t="s">
        <v>7037</v>
      </c>
      <c r="N86" s="1668" t="s">
        <v>10859</v>
      </c>
      <c r="O86" s="1668" t="s">
        <v>10860</v>
      </c>
      <c r="P86" s="1668" t="s">
        <v>10213</v>
      </c>
      <c r="Q86" s="1668" t="s">
        <v>10861</v>
      </c>
      <c r="R86" s="1668" t="s">
        <v>5699</v>
      </c>
      <c r="S86" s="1668" t="s">
        <v>10862</v>
      </c>
      <c r="T86" s="1668" t="s">
        <v>10863</v>
      </c>
      <c r="U86" s="1668" t="s">
        <v>10864</v>
      </c>
      <c r="V86" s="1668" t="s">
        <v>3924</v>
      </c>
      <c r="W86" s="1668" t="s">
        <v>10865</v>
      </c>
      <c r="X86" s="1668" t="s">
        <v>2414</v>
      </c>
      <c r="Y86" s="1668" t="s">
        <v>9808</v>
      </c>
      <c r="Z86" s="1668" t="s">
        <v>9333</v>
      </c>
      <c r="AA86" s="1668" t="s">
        <v>10866</v>
      </c>
      <c r="AB86" s="1668" t="s">
        <v>10428</v>
      </c>
      <c r="AC86" s="1668" t="s">
        <v>9696</v>
      </c>
      <c r="AD86" s="1668" t="s">
        <v>10867</v>
      </c>
      <c r="AE86" s="1668" t="s">
        <v>2384</v>
      </c>
      <c r="AF86" s="1668" t="s">
        <v>10868</v>
      </c>
      <c r="AG86" s="1668" t="s">
        <v>10869</v>
      </c>
      <c r="AH86" s="1668" t="s">
        <v>4225</v>
      </c>
      <c r="AI86" s="1668" t="s">
        <v>10870</v>
      </c>
      <c r="AJ86" s="1668" t="s">
        <v>10871</v>
      </c>
      <c r="AK86" s="1668" t="s">
        <v>1774</v>
      </c>
      <c r="AL86" s="1668" t="s">
        <v>2609</v>
      </c>
      <c r="AM86" s="1668" t="s">
        <v>1774</v>
      </c>
      <c r="AN86" s="1668" t="s">
        <v>2609</v>
      </c>
      <c r="AO86" s="1668" t="s">
        <v>6272</v>
      </c>
      <c r="AP86" s="1668" t="s">
        <v>10872</v>
      </c>
      <c r="AQ86" s="1668" t="s">
        <v>2206</v>
      </c>
      <c r="AR86" s="1668" t="s">
        <v>10682</v>
      </c>
      <c r="AS86" s="1668" t="s">
        <v>10873</v>
      </c>
      <c r="AT86" s="1668" t="s">
        <v>10874</v>
      </c>
      <c r="AU86" s="1668" t="s">
        <v>10875</v>
      </c>
      <c r="AV86" s="1462" t="str">
        <f t="shared" si="1"/>
        <v>5:58</v>
      </c>
      <c r="AW86" s="1708" t="s">
        <v>10876</v>
      </c>
    </row>
    <row r="87" ht="15.75" customHeight="1">
      <c r="A87" s="1542" t="s">
        <v>6126</v>
      </c>
      <c r="B87" s="1637" t="s">
        <v>9130</v>
      </c>
      <c r="C87" s="1679">
        <v>0.05275462962962963</v>
      </c>
      <c r="D87" s="987" t="s">
        <v>10877</v>
      </c>
      <c r="E87" s="337" t="s">
        <v>6034</v>
      </c>
      <c r="F87" s="337" t="s">
        <v>10878</v>
      </c>
      <c r="G87" s="337" t="s">
        <v>9297</v>
      </c>
      <c r="H87" s="337" t="s">
        <v>6846</v>
      </c>
      <c r="I87" s="337" t="s">
        <v>2283</v>
      </c>
      <c r="J87" s="337" t="s">
        <v>4166</v>
      </c>
      <c r="K87" s="337" t="s">
        <v>10573</v>
      </c>
      <c r="L87" s="337" t="s">
        <v>5394</v>
      </c>
      <c r="M87" s="337" t="s">
        <v>4152</v>
      </c>
      <c r="N87" s="337" t="s">
        <v>10879</v>
      </c>
      <c r="O87" s="337" t="s">
        <v>10880</v>
      </c>
      <c r="P87" s="337" t="s">
        <v>6391</v>
      </c>
      <c r="Q87" s="337" t="s">
        <v>10881</v>
      </c>
      <c r="R87" s="337" t="s">
        <v>10882</v>
      </c>
      <c r="S87" s="337" t="s">
        <v>9118</v>
      </c>
      <c r="T87" s="337" t="s">
        <v>2614</v>
      </c>
      <c r="U87" s="337" t="s">
        <v>497</v>
      </c>
      <c r="V87" s="337" t="s">
        <v>10883</v>
      </c>
      <c r="W87" s="337" t="s">
        <v>10884</v>
      </c>
      <c r="X87" s="337" t="s">
        <v>9300</v>
      </c>
      <c r="Y87" s="337" t="s">
        <v>5868</v>
      </c>
      <c r="Z87" s="337" t="s">
        <v>9492</v>
      </c>
      <c r="AA87" s="337" t="s">
        <v>10885</v>
      </c>
      <c r="AB87" s="337" t="s">
        <v>490</v>
      </c>
      <c r="AC87" s="337" t="s">
        <v>9354</v>
      </c>
      <c r="AD87" s="337" t="s">
        <v>10886</v>
      </c>
      <c r="AE87" s="337" t="s">
        <v>10887</v>
      </c>
      <c r="AF87" s="337" t="s">
        <v>9970</v>
      </c>
      <c r="AG87" s="337" t="s">
        <v>8063</v>
      </c>
      <c r="AH87" s="337" t="s">
        <v>724</v>
      </c>
      <c r="AI87" s="337" t="s">
        <v>5424</v>
      </c>
      <c r="AJ87" s="337" t="s">
        <v>10888</v>
      </c>
      <c r="AK87" s="337" t="s">
        <v>9432</v>
      </c>
      <c r="AL87" s="337" t="s">
        <v>5238</v>
      </c>
      <c r="AM87" s="337" t="s">
        <v>2726</v>
      </c>
      <c r="AN87" s="337" t="s">
        <v>6584</v>
      </c>
      <c r="AO87" s="337" t="s">
        <v>6292</v>
      </c>
      <c r="AP87" s="337" t="s">
        <v>10889</v>
      </c>
      <c r="AQ87" s="337" t="s">
        <v>10890</v>
      </c>
      <c r="AR87" s="337" t="s">
        <v>10510</v>
      </c>
      <c r="AS87" s="337" t="s">
        <v>9501</v>
      </c>
      <c r="AT87" s="337" t="s">
        <v>10891</v>
      </c>
      <c r="AU87" s="337" t="s">
        <v>10892</v>
      </c>
      <c r="AV87" s="1462" t="str">
        <f t="shared" si="1"/>
        <v>3:59</v>
      </c>
      <c r="AW87" s="1712" t="s">
        <v>10893</v>
      </c>
    </row>
    <row r="88" ht="15.75" customHeight="1">
      <c r="A88" s="1669" t="s">
        <v>10894</v>
      </c>
      <c r="B88" s="1698" t="s">
        <v>9156</v>
      </c>
      <c r="C88" s="1679">
        <v>0.05291666666666667</v>
      </c>
      <c r="D88" s="987" t="s">
        <v>10895</v>
      </c>
      <c r="E88" s="337" t="s">
        <v>10896</v>
      </c>
      <c r="F88" s="337" t="s">
        <v>5965</v>
      </c>
      <c r="G88" s="337" t="s">
        <v>10104</v>
      </c>
      <c r="H88" s="337" t="s">
        <v>10447</v>
      </c>
      <c r="I88" s="337" t="s">
        <v>3123</v>
      </c>
      <c r="J88" s="337" t="s">
        <v>10897</v>
      </c>
      <c r="K88" s="337" t="s">
        <v>5521</v>
      </c>
      <c r="L88" s="337" t="s">
        <v>7388</v>
      </c>
      <c r="M88" s="337" t="s">
        <v>10898</v>
      </c>
      <c r="N88" s="337" t="s">
        <v>10899</v>
      </c>
      <c r="O88" s="337" t="s">
        <v>10900</v>
      </c>
      <c r="P88" s="337" t="s">
        <v>10315</v>
      </c>
      <c r="Q88" s="337" t="s">
        <v>10901</v>
      </c>
      <c r="R88" s="337" t="s">
        <v>5939</v>
      </c>
      <c r="S88" s="337" t="s">
        <v>2666</v>
      </c>
      <c r="T88" s="337" t="s">
        <v>9505</v>
      </c>
      <c r="U88" s="337" t="s">
        <v>5596</v>
      </c>
      <c r="V88" s="337" t="s">
        <v>1146</v>
      </c>
      <c r="W88" s="337" t="s">
        <v>1830</v>
      </c>
      <c r="X88" s="337" t="s">
        <v>3365</v>
      </c>
      <c r="Y88" s="337" t="s">
        <v>662</v>
      </c>
      <c r="Z88" s="337" t="s">
        <v>10902</v>
      </c>
      <c r="AA88" s="1668" t="s">
        <v>7284</v>
      </c>
      <c r="AB88" s="337" t="s">
        <v>3678</v>
      </c>
      <c r="AC88" s="337" t="s">
        <v>2448</v>
      </c>
      <c r="AD88" s="337" t="s">
        <v>10903</v>
      </c>
      <c r="AE88" s="337" t="s">
        <v>10904</v>
      </c>
      <c r="AF88" s="337" t="s">
        <v>10905</v>
      </c>
      <c r="AG88" s="337" t="s">
        <v>2756</v>
      </c>
      <c r="AH88" s="337" t="s">
        <v>10140</v>
      </c>
      <c r="AI88" s="337" t="s">
        <v>10906</v>
      </c>
      <c r="AJ88" s="337" t="s">
        <v>10907</v>
      </c>
      <c r="AK88" s="337" t="s">
        <v>10908</v>
      </c>
      <c r="AL88" s="337" t="s">
        <v>1748</v>
      </c>
      <c r="AM88" s="337" t="s">
        <v>2555</v>
      </c>
      <c r="AN88" s="337" t="s">
        <v>10909</v>
      </c>
      <c r="AO88" s="337" t="s">
        <v>10910</v>
      </c>
      <c r="AP88" s="337" t="s">
        <v>8936</v>
      </c>
      <c r="AQ88" s="337" t="s">
        <v>10911</v>
      </c>
      <c r="AR88" s="337" t="s">
        <v>10816</v>
      </c>
      <c r="AS88" s="337" t="s">
        <v>4373</v>
      </c>
      <c r="AT88" s="337" t="s">
        <v>10912</v>
      </c>
      <c r="AU88" s="337" t="s">
        <v>10913</v>
      </c>
      <c r="AV88" s="1462" t="str">
        <f t="shared" si="1"/>
        <v>2:38</v>
      </c>
      <c r="AW88" s="1712"/>
    </row>
    <row r="89" ht="15.75" customHeight="1">
      <c r="A89" s="1604" t="s">
        <v>6456</v>
      </c>
      <c r="B89" s="1592" t="s">
        <v>9103</v>
      </c>
      <c r="C89" s="1544">
        <v>0.05324074074074074</v>
      </c>
      <c r="D89" s="987" t="s">
        <v>10914</v>
      </c>
      <c r="E89" s="987" t="s">
        <v>10915</v>
      </c>
      <c r="F89" s="987" t="s">
        <v>10916</v>
      </c>
      <c r="G89" s="987" t="s">
        <v>9850</v>
      </c>
      <c r="H89" s="987" t="s">
        <v>10917</v>
      </c>
      <c r="I89" s="987" t="s">
        <v>6155</v>
      </c>
      <c r="J89" s="987" t="s">
        <v>1707</v>
      </c>
      <c r="K89" s="987" t="s">
        <v>4288</v>
      </c>
      <c r="L89" s="987" t="s">
        <v>10918</v>
      </c>
      <c r="M89" s="987" t="s">
        <v>10919</v>
      </c>
      <c r="N89" s="987" t="s">
        <v>10920</v>
      </c>
      <c r="O89" s="987" t="s">
        <v>10921</v>
      </c>
      <c r="P89" s="987" t="s">
        <v>10922</v>
      </c>
      <c r="Q89" s="987" t="s">
        <v>10923</v>
      </c>
      <c r="R89" s="987" t="s">
        <v>10924</v>
      </c>
      <c r="S89" s="987" t="s">
        <v>10797</v>
      </c>
      <c r="T89" s="987" t="s">
        <v>10925</v>
      </c>
      <c r="U89" s="987" t="s">
        <v>10926</v>
      </c>
      <c r="V89" s="987" t="s">
        <v>2904</v>
      </c>
      <c r="W89" s="987" t="s">
        <v>10927</v>
      </c>
      <c r="X89" s="987" t="s">
        <v>10928</v>
      </c>
      <c r="Y89" s="987" t="s">
        <v>5682</v>
      </c>
      <c r="Z89" s="987" t="s">
        <v>3575</v>
      </c>
      <c r="AA89" s="1668" t="s">
        <v>10929</v>
      </c>
      <c r="AB89" s="987" t="s">
        <v>10250</v>
      </c>
      <c r="AC89" s="987" t="s">
        <v>5635</v>
      </c>
      <c r="AD89" s="987" t="s">
        <v>10930</v>
      </c>
      <c r="AE89" s="987" t="s">
        <v>10041</v>
      </c>
      <c r="AF89" s="987" t="s">
        <v>10931</v>
      </c>
      <c r="AG89" s="987" t="s">
        <v>10738</v>
      </c>
      <c r="AH89" s="987" t="s">
        <v>5836</v>
      </c>
      <c r="AI89" s="987" t="s">
        <v>10932</v>
      </c>
      <c r="AJ89" s="987" t="s">
        <v>10933</v>
      </c>
      <c r="AK89" s="1668" t="s">
        <v>10934</v>
      </c>
      <c r="AL89" s="987" t="s">
        <v>10556</v>
      </c>
      <c r="AM89" s="987" t="s">
        <v>8522</v>
      </c>
      <c r="AN89" s="987" t="s">
        <v>10395</v>
      </c>
      <c r="AO89" s="987" t="s">
        <v>4547</v>
      </c>
      <c r="AP89" s="987" t="s">
        <v>10935</v>
      </c>
      <c r="AQ89" s="987" t="s">
        <v>10936</v>
      </c>
      <c r="AR89" s="1668" t="s">
        <v>3830</v>
      </c>
      <c r="AS89" s="987" t="s">
        <v>10937</v>
      </c>
      <c r="AT89" s="987" t="s">
        <v>10938</v>
      </c>
      <c r="AU89" s="1668" t="s">
        <v>10851</v>
      </c>
      <c r="AV89" s="1462" t="str">
        <f t="shared" si="1"/>
        <v>3:53</v>
      </c>
      <c r="AW89" s="1708" t="s">
        <v>10939</v>
      </c>
    </row>
    <row r="90">
      <c r="A90" s="1604" t="s">
        <v>4801</v>
      </c>
      <c r="B90" s="1602" t="s">
        <v>9156</v>
      </c>
      <c r="C90" s="1544">
        <v>0.05331018518518518</v>
      </c>
      <c r="D90" s="1668" t="s">
        <v>10940</v>
      </c>
      <c r="E90" s="1668" t="s">
        <v>7489</v>
      </c>
      <c r="F90" s="1668" t="s">
        <v>10713</v>
      </c>
      <c r="G90" s="1668" t="s">
        <v>10941</v>
      </c>
      <c r="H90" s="987" t="s">
        <v>10942</v>
      </c>
      <c r="I90" s="1668" t="s">
        <v>10943</v>
      </c>
      <c r="J90" s="1668" t="s">
        <v>10488</v>
      </c>
      <c r="K90" s="1668" t="s">
        <v>9293</v>
      </c>
      <c r="L90" s="1668" t="s">
        <v>4480</v>
      </c>
      <c r="M90" s="1668" t="s">
        <v>10944</v>
      </c>
      <c r="N90" s="1668" t="s">
        <v>10277</v>
      </c>
      <c r="O90" s="1668" t="s">
        <v>10945</v>
      </c>
      <c r="P90" s="1668" t="s">
        <v>6341</v>
      </c>
      <c r="Q90" s="1668" t="s">
        <v>10946</v>
      </c>
      <c r="R90" s="1668" t="s">
        <v>2150</v>
      </c>
      <c r="S90" s="1668" t="s">
        <v>7299</v>
      </c>
      <c r="T90" s="1668" t="s">
        <v>6828</v>
      </c>
      <c r="U90" s="1668" t="s">
        <v>10947</v>
      </c>
      <c r="V90" s="1668" t="s">
        <v>10469</v>
      </c>
      <c r="W90" s="1668" t="s">
        <v>10948</v>
      </c>
      <c r="X90" s="1668" t="s">
        <v>7757</v>
      </c>
      <c r="Y90" s="1668" t="s">
        <v>5536</v>
      </c>
      <c r="Z90" s="1668" t="s">
        <v>10279</v>
      </c>
      <c r="AA90" s="1668" t="s">
        <v>10949</v>
      </c>
      <c r="AB90" s="1668" t="s">
        <v>3534</v>
      </c>
      <c r="AC90" s="1668" t="s">
        <v>10950</v>
      </c>
      <c r="AD90" s="1668" t="s">
        <v>10951</v>
      </c>
      <c r="AE90" s="1668" t="s">
        <v>5868</v>
      </c>
      <c r="AF90" s="1668" t="s">
        <v>10952</v>
      </c>
      <c r="AG90" s="1668" t="s">
        <v>9622</v>
      </c>
      <c r="AH90" s="1668" t="s">
        <v>10953</v>
      </c>
      <c r="AI90" s="1668" t="s">
        <v>10954</v>
      </c>
      <c r="AJ90" s="1668" t="s">
        <v>10955</v>
      </c>
      <c r="AK90" s="1668" t="s">
        <v>2228</v>
      </c>
      <c r="AL90" s="1668" t="s">
        <v>2197</v>
      </c>
      <c r="AM90" s="1668" t="s">
        <v>10956</v>
      </c>
      <c r="AN90" s="1668" t="s">
        <v>4686</v>
      </c>
      <c r="AO90" s="1668" t="s">
        <v>10957</v>
      </c>
      <c r="AP90" s="1668" t="s">
        <v>2816</v>
      </c>
      <c r="AQ90" s="1668" t="s">
        <v>10958</v>
      </c>
      <c r="AR90" s="1668" t="s">
        <v>1760</v>
      </c>
      <c r="AS90" s="1668" t="s">
        <v>971</v>
      </c>
      <c r="AT90" s="1668" t="s">
        <v>10959</v>
      </c>
      <c r="AU90" s="1668" t="s">
        <v>10960</v>
      </c>
      <c r="AV90" s="1462" t="str">
        <f t="shared" si="1"/>
        <v>4:18</v>
      </c>
      <c r="AW90" s="1712"/>
    </row>
    <row r="91" ht="15.75" customHeight="1">
      <c r="A91" s="1669" t="s">
        <v>10961</v>
      </c>
      <c r="B91" s="1698" t="s">
        <v>9156</v>
      </c>
      <c r="C91" s="1544">
        <v>0.05348379629629629</v>
      </c>
      <c r="D91" s="987" t="s">
        <v>10962</v>
      </c>
      <c r="E91" s="337" t="s">
        <v>10748</v>
      </c>
      <c r="F91" s="337" t="s">
        <v>6583</v>
      </c>
      <c r="G91" s="337" t="s">
        <v>10963</v>
      </c>
      <c r="H91" s="337" t="s">
        <v>10964</v>
      </c>
      <c r="I91" s="337" t="s">
        <v>2350</v>
      </c>
      <c r="J91" s="337" t="s">
        <v>9672</v>
      </c>
      <c r="K91" s="337" t="s">
        <v>9168</v>
      </c>
      <c r="L91" s="337" t="s">
        <v>4862</v>
      </c>
      <c r="M91" s="337" t="s">
        <v>10965</v>
      </c>
      <c r="N91" s="337" t="s">
        <v>10966</v>
      </c>
      <c r="O91" s="337" t="s">
        <v>4334</v>
      </c>
      <c r="P91" s="337" t="s">
        <v>925</v>
      </c>
      <c r="Q91" s="1668" t="s">
        <v>10967</v>
      </c>
      <c r="R91" s="337" t="s">
        <v>10533</v>
      </c>
      <c r="S91" s="337" t="s">
        <v>9878</v>
      </c>
      <c r="T91" s="337" t="s">
        <v>10720</v>
      </c>
      <c r="U91" s="337" t="s">
        <v>10968</v>
      </c>
      <c r="V91" s="337" t="s">
        <v>3231</v>
      </c>
      <c r="W91" s="337" t="s">
        <v>10969</v>
      </c>
      <c r="X91" s="337" t="s">
        <v>3149</v>
      </c>
      <c r="Y91" s="337" t="s">
        <v>1426</v>
      </c>
      <c r="Z91" s="337" t="s">
        <v>9579</v>
      </c>
      <c r="AA91" s="1668" t="s">
        <v>10970</v>
      </c>
      <c r="AB91" s="337" t="s">
        <v>10288</v>
      </c>
      <c r="AC91" s="337" t="s">
        <v>1153</v>
      </c>
      <c r="AD91" s="337" t="s">
        <v>10971</v>
      </c>
      <c r="AE91" s="337" t="s">
        <v>586</v>
      </c>
      <c r="AF91" s="1668" t="s">
        <v>10972</v>
      </c>
      <c r="AG91" s="337" t="s">
        <v>5886</v>
      </c>
      <c r="AH91" s="337" t="s">
        <v>9752</v>
      </c>
      <c r="AI91" s="337" t="s">
        <v>2639</v>
      </c>
      <c r="AJ91" s="337" t="s">
        <v>10973</v>
      </c>
      <c r="AK91" s="337" t="s">
        <v>9594</v>
      </c>
      <c r="AL91" s="337" t="s">
        <v>10974</v>
      </c>
      <c r="AM91" s="337" t="s">
        <v>9346</v>
      </c>
      <c r="AN91" s="337" t="s">
        <v>10556</v>
      </c>
      <c r="AO91" s="337" t="s">
        <v>9272</v>
      </c>
      <c r="AP91" s="337" t="s">
        <v>10975</v>
      </c>
      <c r="AQ91" s="337" t="s">
        <v>4470</v>
      </c>
      <c r="AR91" s="337" t="s">
        <v>1380</v>
      </c>
      <c r="AS91" s="337" t="s">
        <v>9367</v>
      </c>
      <c r="AT91" s="337" t="s">
        <v>4743</v>
      </c>
      <c r="AU91" s="337" t="s">
        <v>10976</v>
      </c>
      <c r="AV91" s="1462" t="str">
        <f t="shared" si="1"/>
        <v>3:27</v>
      </c>
      <c r="AW91" s="1708" t="s">
        <v>10977</v>
      </c>
    </row>
    <row r="92">
      <c r="A92" s="1604" t="s">
        <v>5477</v>
      </c>
      <c r="B92" s="1592" t="s">
        <v>9103</v>
      </c>
      <c r="C92" s="1544">
        <v>0.05376157407407407</v>
      </c>
      <c r="D92" s="1668" t="s">
        <v>10978</v>
      </c>
      <c r="E92" s="1668" t="s">
        <v>10979</v>
      </c>
      <c r="F92" s="1668" t="s">
        <v>10980</v>
      </c>
      <c r="G92" s="1668" t="s">
        <v>10981</v>
      </c>
      <c r="H92" s="1723" t="s">
        <v>10982</v>
      </c>
      <c r="I92" s="987" t="s">
        <v>239</v>
      </c>
      <c r="J92" s="1668" t="s">
        <v>10166</v>
      </c>
      <c r="K92" s="1668" t="s">
        <v>10983</v>
      </c>
      <c r="L92" s="1668" t="s">
        <v>2520</v>
      </c>
      <c r="M92" s="1668" t="s">
        <v>1260</v>
      </c>
      <c r="N92" s="1668" t="s">
        <v>10984</v>
      </c>
      <c r="O92" s="1668" t="s">
        <v>10985</v>
      </c>
      <c r="P92" s="1668" t="s">
        <v>861</v>
      </c>
      <c r="Q92" s="1668" t="s">
        <v>4410</v>
      </c>
      <c r="R92" s="1668" t="s">
        <v>10986</v>
      </c>
      <c r="S92" s="1724" t="s">
        <v>10987</v>
      </c>
      <c r="T92" s="1724" t="s">
        <v>9717</v>
      </c>
      <c r="U92" s="1668" t="s">
        <v>10988</v>
      </c>
      <c r="V92" s="1668" t="s">
        <v>10989</v>
      </c>
      <c r="W92" s="1668" t="s">
        <v>7131</v>
      </c>
      <c r="X92" s="1668" t="s">
        <v>10990</v>
      </c>
      <c r="Y92" s="1668" t="s">
        <v>2125</v>
      </c>
      <c r="Z92" s="1668" t="s">
        <v>10288</v>
      </c>
      <c r="AA92" s="1668" t="s">
        <v>10991</v>
      </c>
      <c r="AB92" s="1668" t="s">
        <v>10992</v>
      </c>
      <c r="AC92" s="1668" t="s">
        <v>7226</v>
      </c>
      <c r="AD92" s="1668" t="s">
        <v>6099</v>
      </c>
      <c r="AE92" s="1668" t="s">
        <v>2448</v>
      </c>
      <c r="AF92" s="1668" t="s">
        <v>10993</v>
      </c>
      <c r="AG92" s="1668" t="s">
        <v>10994</v>
      </c>
      <c r="AH92" s="1668" t="s">
        <v>5030</v>
      </c>
      <c r="AI92" s="1668" t="s">
        <v>7067</v>
      </c>
      <c r="AJ92" s="1668" t="s">
        <v>10995</v>
      </c>
      <c r="AK92" s="1668" t="s">
        <v>4855</v>
      </c>
      <c r="AL92" s="1668" t="s">
        <v>10996</v>
      </c>
      <c r="AM92" s="1668" t="s">
        <v>4865</v>
      </c>
      <c r="AN92" s="1668" t="s">
        <v>10997</v>
      </c>
      <c r="AO92" s="1668" t="s">
        <v>6628</v>
      </c>
      <c r="AP92" s="1668" t="s">
        <v>10998</v>
      </c>
      <c r="AQ92" s="1668" t="s">
        <v>10999</v>
      </c>
      <c r="AR92" s="1668" t="s">
        <v>5214</v>
      </c>
      <c r="AS92" s="1668" t="s">
        <v>9326</v>
      </c>
      <c r="AT92" s="1668" t="s">
        <v>11000</v>
      </c>
      <c r="AU92" s="1668" t="s">
        <v>11001</v>
      </c>
      <c r="AV92" s="1462" t="str">
        <f t="shared" si="1"/>
        <v>4:58</v>
      </c>
      <c r="AW92" s="1725"/>
    </row>
    <row r="93" ht="15.75" customHeight="1">
      <c r="A93" s="1669" t="s">
        <v>6621</v>
      </c>
      <c r="B93" s="1698" t="s">
        <v>9156</v>
      </c>
      <c r="C93" s="1679">
        <v>0.05386574074074074</v>
      </c>
      <c r="D93" s="337" t="s">
        <v>11002</v>
      </c>
      <c r="E93" s="337" t="s">
        <v>6767</v>
      </c>
      <c r="F93" s="337" t="s">
        <v>11003</v>
      </c>
      <c r="G93" s="337" t="s">
        <v>4296</v>
      </c>
      <c r="H93" s="337" t="s">
        <v>11004</v>
      </c>
      <c r="I93" s="337" t="s">
        <v>10943</v>
      </c>
      <c r="J93" s="337" t="s">
        <v>11005</v>
      </c>
      <c r="K93" s="337" t="s">
        <v>11006</v>
      </c>
      <c r="L93" s="337" t="s">
        <v>1433</v>
      </c>
      <c r="M93" s="337" t="s">
        <v>4567</v>
      </c>
      <c r="N93" s="337" t="s">
        <v>7030</v>
      </c>
      <c r="O93" s="337" t="s">
        <v>11007</v>
      </c>
      <c r="P93" s="337" t="s">
        <v>6341</v>
      </c>
      <c r="Q93" s="337" t="s">
        <v>11008</v>
      </c>
      <c r="R93" s="337" t="s">
        <v>9471</v>
      </c>
      <c r="S93" s="337" t="s">
        <v>11009</v>
      </c>
      <c r="T93" s="337" t="s">
        <v>7397</v>
      </c>
      <c r="U93" s="337" t="s">
        <v>11010</v>
      </c>
      <c r="V93" s="337" t="s">
        <v>11011</v>
      </c>
      <c r="W93" s="337" t="s">
        <v>11012</v>
      </c>
      <c r="X93" s="337" t="s">
        <v>1331</v>
      </c>
      <c r="Y93" s="337" t="s">
        <v>1951</v>
      </c>
      <c r="Z93" s="337" t="s">
        <v>9140</v>
      </c>
      <c r="AA93" s="987" t="s">
        <v>11013</v>
      </c>
      <c r="AB93" s="337" t="s">
        <v>11014</v>
      </c>
      <c r="AC93" s="337" t="s">
        <v>8155</v>
      </c>
      <c r="AD93" s="337" t="s">
        <v>11015</v>
      </c>
      <c r="AE93" s="337" t="s">
        <v>11016</v>
      </c>
      <c r="AF93" s="337" t="s">
        <v>10600</v>
      </c>
      <c r="AG93" s="337" t="s">
        <v>11017</v>
      </c>
      <c r="AH93" s="337" t="s">
        <v>11018</v>
      </c>
      <c r="AI93" s="337" t="s">
        <v>3654</v>
      </c>
      <c r="AJ93" s="337" t="s">
        <v>11019</v>
      </c>
      <c r="AK93" s="337" t="s">
        <v>11020</v>
      </c>
      <c r="AL93" s="337" t="s">
        <v>11021</v>
      </c>
      <c r="AM93" s="337" t="s">
        <v>10259</v>
      </c>
      <c r="AN93" s="337" t="s">
        <v>9789</v>
      </c>
      <c r="AO93" s="1668" t="s">
        <v>9960</v>
      </c>
      <c r="AP93" s="337" t="s">
        <v>11022</v>
      </c>
      <c r="AQ93" s="337" t="s">
        <v>11023</v>
      </c>
      <c r="AR93" s="337" t="s">
        <v>11024</v>
      </c>
      <c r="AS93" s="337" t="s">
        <v>9586</v>
      </c>
      <c r="AT93" s="337" t="s">
        <v>11025</v>
      </c>
      <c r="AU93" s="337" t="s">
        <v>10960</v>
      </c>
      <c r="AV93" s="1462" t="str">
        <f t="shared" si="1"/>
        <v>3:30</v>
      </c>
      <c r="AW93" s="1712"/>
    </row>
    <row r="94">
      <c r="A94" s="1604" t="s">
        <v>5374</v>
      </c>
      <c r="B94" s="1592" t="s">
        <v>9156</v>
      </c>
      <c r="C94" s="1544">
        <v>0.05482638888888889</v>
      </c>
      <c r="D94" s="1685" t="s">
        <v>11026</v>
      </c>
      <c r="E94" s="1668" t="s">
        <v>9871</v>
      </c>
      <c r="F94" s="1668" t="s">
        <v>11027</v>
      </c>
      <c r="G94" s="1668" t="s">
        <v>11028</v>
      </c>
      <c r="H94" s="1668" t="s">
        <v>11029</v>
      </c>
      <c r="I94" s="1668" t="s">
        <v>11030</v>
      </c>
      <c r="J94" s="1668" t="s">
        <v>11031</v>
      </c>
      <c r="K94" s="1668" t="s">
        <v>10292</v>
      </c>
      <c r="L94" s="1668" t="s">
        <v>11032</v>
      </c>
      <c r="M94" s="1668" t="s">
        <v>1758</v>
      </c>
      <c r="N94" s="1668" t="s">
        <v>6525</v>
      </c>
      <c r="O94" s="1668" t="s">
        <v>11033</v>
      </c>
      <c r="P94" s="1668" t="s">
        <v>6620</v>
      </c>
      <c r="Q94" s="1668" t="s">
        <v>11034</v>
      </c>
      <c r="R94" s="1668" t="s">
        <v>9584</v>
      </c>
      <c r="S94" s="1668" t="s">
        <v>11035</v>
      </c>
      <c r="T94" s="1668" t="s">
        <v>10949</v>
      </c>
      <c r="U94" s="1668" t="s">
        <v>11036</v>
      </c>
      <c r="V94" s="1668" t="s">
        <v>840</v>
      </c>
      <c r="W94" s="1668" t="s">
        <v>6468</v>
      </c>
      <c r="X94" s="1668" t="s">
        <v>11037</v>
      </c>
      <c r="Y94" s="1668" t="s">
        <v>1678</v>
      </c>
      <c r="Z94" s="1668" t="s">
        <v>10308</v>
      </c>
      <c r="AA94" s="1668" t="s">
        <v>2390</v>
      </c>
      <c r="AB94" s="1668" t="s">
        <v>6861</v>
      </c>
      <c r="AC94" s="1668" t="s">
        <v>11038</v>
      </c>
      <c r="AD94" s="1668" t="s">
        <v>11039</v>
      </c>
      <c r="AE94" s="1668" t="s">
        <v>1537</v>
      </c>
      <c r="AF94" s="1668" t="s">
        <v>11040</v>
      </c>
      <c r="AG94" s="1668" t="s">
        <v>11041</v>
      </c>
      <c r="AH94" s="1668" t="s">
        <v>11042</v>
      </c>
      <c r="AI94" s="1668" t="s">
        <v>5812</v>
      </c>
      <c r="AJ94" s="1668" t="s">
        <v>11043</v>
      </c>
      <c r="AK94" s="1668" t="s">
        <v>246</v>
      </c>
      <c r="AL94" s="1668" t="s">
        <v>8242</v>
      </c>
      <c r="AM94" s="1668" t="s">
        <v>4301</v>
      </c>
      <c r="AN94" s="1668" t="s">
        <v>11044</v>
      </c>
      <c r="AO94" s="1668" t="s">
        <v>1707</v>
      </c>
      <c r="AP94" s="1668" t="s">
        <v>883</v>
      </c>
      <c r="AQ94" s="1668" t="s">
        <v>11045</v>
      </c>
      <c r="AR94" s="1668" t="s">
        <v>11046</v>
      </c>
      <c r="AS94" s="1668" t="s">
        <v>2223</v>
      </c>
      <c r="AT94" s="1668" t="s">
        <v>11047</v>
      </c>
      <c r="AU94" s="1668" t="s">
        <v>11048</v>
      </c>
      <c r="AV94" s="1462" t="str">
        <f t="shared" si="1"/>
        <v>3:40</v>
      </c>
      <c r="AW94" s="1708" t="s">
        <v>11049</v>
      </c>
    </row>
    <row r="95">
      <c r="A95" s="1604" t="s">
        <v>5343</v>
      </c>
      <c r="B95" s="1592" t="s">
        <v>9103</v>
      </c>
      <c r="C95" s="1544">
        <v>0.05482638888888889</v>
      </c>
      <c r="D95" s="1581" t="s">
        <v>11050</v>
      </c>
      <c r="E95" s="1581" t="s">
        <v>9729</v>
      </c>
      <c r="F95" s="1581" t="s">
        <v>11051</v>
      </c>
      <c r="G95" s="1581" t="s">
        <v>11052</v>
      </c>
      <c r="H95" s="1581" t="s">
        <v>11053</v>
      </c>
      <c r="I95" s="1581">
        <v>50.26</v>
      </c>
      <c r="J95" s="1581" t="s">
        <v>11031</v>
      </c>
      <c r="K95" s="1581" t="s">
        <v>11054</v>
      </c>
      <c r="L95" s="1581" t="s">
        <v>11055</v>
      </c>
      <c r="M95" s="1581" t="s">
        <v>2252</v>
      </c>
      <c r="N95" s="1581" t="s">
        <v>11056</v>
      </c>
      <c r="O95" s="1581" t="s">
        <v>11057</v>
      </c>
      <c r="P95" s="1581">
        <v>49.15</v>
      </c>
      <c r="Q95" s="1581" t="s">
        <v>11058</v>
      </c>
      <c r="R95" s="1581" t="s">
        <v>3405</v>
      </c>
      <c r="S95" s="1581" t="s">
        <v>11059</v>
      </c>
      <c r="T95" s="1581" t="s">
        <v>5099</v>
      </c>
      <c r="U95" s="1581" t="s">
        <v>3264</v>
      </c>
      <c r="V95" s="1581" t="s">
        <v>11060</v>
      </c>
      <c r="W95" s="1581" t="s">
        <v>11061</v>
      </c>
      <c r="X95" s="1581" t="s">
        <v>11062</v>
      </c>
      <c r="Y95" s="1581">
        <v>51.87</v>
      </c>
      <c r="Z95" s="1581" t="s">
        <v>6340</v>
      </c>
      <c r="AA95" s="1581" t="s">
        <v>6595</v>
      </c>
      <c r="AB95" s="1581" t="s">
        <v>6571</v>
      </c>
      <c r="AC95" s="1581">
        <v>49.75</v>
      </c>
      <c r="AD95" s="1581" t="s">
        <v>11063</v>
      </c>
      <c r="AE95" s="1581">
        <v>50.16</v>
      </c>
      <c r="AF95" s="1581" t="s">
        <v>11064</v>
      </c>
      <c r="AG95" s="1581" t="s">
        <v>11065</v>
      </c>
      <c r="AH95" s="1581" t="s">
        <v>6430</v>
      </c>
      <c r="AI95" s="1581" t="s">
        <v>6751</v>
      </c>
      <c r="AJ95" s="1581" t="s">
        <v>11066</v>
      </c>
      <c r="AK95" s="1581" t="s">
        <v>10984</v>
      </c>
      <c r="AL95" s="1581">
        <v>59.29</v>
      </c>
      <c r="AM95" s="1581" t="s">
        <v>4470</v>
      </c>
      <c r="AN95" s="1581" t="s">
        <v>624</v>
      </c>
      <c r="AO95" s="1581" t="s">
        <v>11067</v>
      </c>
      <c r="AP95" s="1581" t="s">
        <v>11068</v>
      </c>
      <c r="AQ95" s="1581" t="s">
        <v>11069</v>
      </c>
      <c r="AR95" s="1581" t="s">
        <v>6893</v>
      </c>
      <c r="AS95" s="1581">
        <v>47.7</v>
      </c>
      <c r="AT95" s="1581" t="s">
        <v>11070</v>
      </c>
      <c r="AU95" s="1585" t="s">
        <v>11071</v>
      </c>
      <c r="AV95" s="1462" t="str">
        <f t="shared" si="1"/>
        <v>5:51</v>
      </c>
      <c r="AW95" s="1693" t="s">
        <v>11072</v>
      </c>
    </row>
    <row r="96">
      <c r="A96" s="1604" t="s">
        <v>5597</v>
      </c>
      <c r="B96" s="1602" t="s">
        <v>9103</v>
      </c>
      <c r="C96" s="1544">
        <v>0.05559027777777778</v>
      </c>
      <c r="D96" s="1685" t="s">
        <v>11073</v>
      </c>
      <c r="E96" s="1668" t="s">
        <v>11074</v>
      </c>
      <c r="F96" s="1668" t="s">
        <v>11075</v>
      </c>
      <c r="G96" s="1668" t="s">
        <v>11076</v>
      </c>
      <c r="H96" s="1668" t="s">
        <v>5976</v>
      </c>
      <c r="I96" s="1668" t="s">
        <v>1845</v>
      </c>
      <c r="J96" s="1668" t="s">
        <v>11077</v>
      </c>
      <c r="K96" s="1668" t="s">
        <v>6344</v>
      </c>
      <c r="L96" s="1668" t="s">
        <v>8924</v>
      </c>
      <c r="M96" s="1668" t="s">
        <v>6899</v>
      </c>
      <c r="N96" s="1668" t="s">
        <v>11078</v>
      </c>
      <c r="O96" s="1668" t="s">
        <v>11079</v>
      </c>
      <c r="P96" s="1668" t="s">
        <v>190</v>
      </c>
      <c r="Q96" s="1668" t="s">
        <v>1667</v>
      </c>
      <c r="R96" s="1668" t="s">
        <v>11080</v>
      </c>
      <c r="S96" s="1668" t="s">
        <v>5283</v>
      </c>
      <c r="T96" s="1668" t="s">
        <v>11081</v>
      </c>
      <c r="U96" s="1668" t="s">
        <v>11082</v>
      </c>
      <c r="V96" s="1668" t="s">
        <v>6618</v>
      </c>
      <c r="W96" s="1668" t="s">
        <v>9206</v>
      </c>
      <c r="X96" s="1668" t="s">
        <v>5032</v>
      </c>
      <c r="Y96" s="1668" t="s">
        <v>101</v>
      </c>
      <c r="Z96" s="1668" t="s">
        <v>11083</v>
      </c>
      <c r="AA96" s="1668" t="s">
        <v>10844</v>
      </c>
      <c r="AB96" s="1668" t="s">
        <v>3552</v>
      </c>
      <c r="AC96" s="1668" t="s">
        <v>4756</v>
      </c>
      <c r="AD96" s="1668" t="s">
        <v>6166</v>
      </c>
      <c r="AE96" s="1668" t="s">
        <v>858</v>
      </c>
      <c r="AF96" s="1668" t="s">
        <v>11084</v>
      </c>
      <c r="AG96" s="1668" t="s">
        <v>11085</v>
      </c>
      <c r="AH96" s="1668" t="s">
        <v>4096</v>
      </c>
      <c r="AI96" s="1668" t="s">
        <v>11086</v>
      </c>
      <c r="AJ96" s="1668" t="s">
        <v>11087</v>
      </c>
      <c r="AK96" s="1668" t="s">
        <v>4561</v>
      </c>
      <c r="AL96" s="1668" t="s">
        <v>571</v>
      </c>
      <c r="AM96" s="1668" t="s">
        <v>11088</v>
      </c>
      <c r="AN96" s="1668" t="s">
        <v>11089</v>
      </c>
      <c r="AO96" s="1668" t="s">
        <v>1103</v>
      </c>
      <c r="AP96" s="1668" t="s">
        <v>11090</v>
      </c>
      <c r="AQ96" s="1668" t="s">
        <v>11091</v>
      </c>
      <c r="AR96" s="1668" t="s">
        <v>11092</v>
      </c>
      <c r="AS96" s="1668" t="s">
        <v>828</v>
      </c>
      <c r="AT96" s="1668" t="s">
        <v>11093</v>
      </c>
      <c r="AU96" s="1668" t="s">
        <v>11094</v>
      </c>
      <c r="AV96" s="1462" t="str">
        <f t="shared" si="1"/>
        <v>5:05</v>
      </c>
      <c r="AW96" s="1708" t="s">
        <v>11095</v>
      </c>
    </row>
    <row r="97">
      <c r="A97" s="1604" t="s">
        <v>4955</v>
      </c>
      <c r="B97" s="1602" t="s">
        <v>9130</v>
      </c>
      <c r="C97" s="1634">
        <v>0.05565972222222222</v>
      </c>
      <c r="D97" s="1668" t="s">
        <v>11096</v>
      </c>
      <c r="E97" s="1668" t="s">
        <v>3213</v>
      </c>
      <c r="F97" s="1668" t="s">
        <v>11097</v>
      </c>
      <c r="G97" s="1668" t="s">
        <v>11098</v>
      </c>
      <c r="H97" s="987" t="s">
        <v>9641</v>
      </c>
      <c r="I97" s="1668" t="s">
        <v>3549</v>
      </c>
      <c r="J97" s="1668" t="s">
        <v>9863</v>
      </c>
      <c r="K97" s="1668" t="s">
        <v>804</v>
      </c>
      <c r="L97" s="1668" t="s">
        <v>11099</v>
      </c>
      <c r="M97" s="1668" t="s">
        <v>11100</v>
      </c>
      <c r="N97" s="1668" t="s">
        <v>6448</v>
      </c>
      <c r="O97" s="1668" t="s">
        <v>11101</v>
      </c>
      <c r="P97" s="1668" t="s">
        <v>10538</v>
      </c>
      <c r="Q97" s="1668" t="s">
        <v>11102</v>
      </c>
      <c r="R97" s="1668" t="s">
        <v>10310</v>
      </c>
      <c r="S97" s="1668" t="s">
        <v>418</v>
      </c>
      <c r="T97" s="1668" t="s">
        <v>11103</v>
      </c>
      <c r="U97" s="1668" t="s">
        <v>11104</v>
      </c>
      <c r="V97" s="1668" t="s">
        <v>11105</v>
      </c>
      <c r="W97" s="1668" t="s">
        <v>11106</v>
      </c>
      <c r="X97" s="1668" t="s">
        <v>11107</v>
      </c>
      <c r="Y97" s="1668" t="s">
        <v>2448</v>
      </c>
      <c r="Z97" s="1668" t="s">
        <v>5443</v>
      </c>
      <c r="AA97" s="1668" t="s">
        <v>10474</v>
      </c>
      <c r="AB97" s="1668" t="s">
        <v>10791</v>
      </c>
      <c r="AC97" s="1668" t="s">
        <v>10315</v>
      </c>
      <c r="AD97" s="1668" t="s">
        <v>11108</v>
      </c>
      <c r="AE97" s="1668" t="s">
        <v>5575</v>
      </c>
      <c r="AF97" s="1668" t="s">
        <v>11109</v>
      </c>
      <c r="AG97" s="1668" t="s">
        <v>11110</v>
      </c>
      <c r="AH97" s="1668" t="s">
        <v>11111</v>
      </c>
      <c r="AI97" s="1668" t="s">
        <v>11112</v>
      </c>
      <c r="AJ97" s="1668" t="s">
        <v>11113</v>
      </c>
      <c r="AK97" s="1668" t="s">
        <v>6828</v>
      </c>
      <c r="AL97" s="1668" t="s">
        <v>3762</v>
      </c>
      <c r="AM97" s="1668" t="s">
        <v>4865</v>
      </c>
      <c r="AN97" s="1668" t="s">
        <v>11114</v>
      </c>
      <c r="AO97" s="1668" t="s">
        <v>2058</v>
      </c>
      <c r="AP97" s="1668" t="s">
        <v>11115</v>
      </c>
      <c r="AQ97" s="1668" t="s">
        <v>11116</v>
      </c>
      <c r="AR97" s="1668" t="s">
        <v>11117</v>
      </c>
      <c r="AS97" s="1668" t="s">
        <v>2173</v>
      </c>
      <c r="AT97" s="1668" t="s">
        <v>11118</v>
      </c>
      <c r="AU97" s="1668" t="s">
        <v>11119</v>
      </c>
      <c r="AV97" s="1462" t="str">
        <f t="shared" si="1"/>
        <v>8:24</v>
      </c>
      <c r="AW97" s="1708" t="s">
        <v>10178</v>
      </c>
    </row>
    <row r="98">
      <c r="A98" s="962" t="s">
        <v>5778</v>
      </c>
      <c r="B98" s="1726" t="s">
        <v>11120</v>
      </c>
      <c r="C98" s="1727">
        <v>0.05614583333333333</v>
      </c>
      <c r="D98" s="987" t="s">
        <v>11121</v>
      </c>
      <c r="E98" s="1059" t="s">
        <v>10342</v>
      </c>
      <c r="F98" s="1059" t="s">
        <v>11122</v>
      </c>
      <c r="G98" s="1059" t="s">
        <v>11123</v>
      </c>
      <c r="H98" s="1728" t="s">
        <v>1363</v>
      </c>
      <c r="I98" s="1059" t="s">
        <v>9818</v>
      </c>
      <c r="J98" s="1059" t="s">
        <v>11124</v>
      </c>
      <c r="K98" s="1059" t="s">
        <v>11125</v>
      </c>
      <c r="L98" s="1059" t="s">
        <v>4723</v>
      </c>
      <c r="M98" s="1059" t="s">
        <v>7237</v>
      </c>
      <c r="N98" s="1059" t="s">
        <v>10368</v>
      </c>
      <c r="O98" s="1059" t="s">
        <v>11126</v>
      </c>
      <c r="P98" s="1059" t="s">
        <v>9253</v>
      </c>
      <c r="Q98" s="1059" t="s">
        <v>11127</v>
      </c>
      <c r="R98" s="1059" t="s">
        <v>4017</v>
      </c>
      <c r="S98" s="1059" t="s">
        <v>5448</v>
      </c>
      <c r="T98" s="1059" t="s">
        <v>1650</v>
      </c>
      <c r="U98" s="1059" t="s">
        <v>9390</v>
      </c>
      <c r="V98" s="1059" t="s">
        <v>2753</v>
      </c>
      <c r="W98" s="1059" t="s">
        <v>11128</v>
      </c>
      <c r="X98" s="1059" t="s">
        <v>11129</v>
      </c>
      <c r="Y98" s="1059" t="s">
        <v>11130</v>
      </c>
      <c r="Z98" s="1059" t="s">
        <v>11131</v>
      </c>
      <c r="AA98" s="1125" t="s">
        <v>2131</v>
      </c>
      <c r="AB98" s="1059" t="s">
        <v>10847</v>
      </c>
      <c r="AC98" s="1059" t="s">
        <v>784</v>
      </c>
      <c r="AD98" s="1059" t="s">
        <v>9335</v>
      </c>
      <c r="AE98" s="1059" t="s">
        <v>536</v>
      </c>
      <c r="AF98" s="1059" t="s">
        <v>11132</v>
      </c>
      <c r="AG98" s="1059" t="s">
        <v>11133</v>
      </c>
      <c r="AH98" s="1059" t="s">
        <v>9874</v>
      </c>
      <c r="AI98" s="1059" t="s">
        <v>11134</v>
      </c>
      <c r="AJ98" s="1059" t="s">
        <v>11135</v>
      </c>
      <c r="AK98" s="1059" t="s">
        <v>11136</v>
      </c>
      <c r="AL98" s="1059" t="s">
        <v>10635</v>
      </c>
      <c r="AM98" s="1059" t="s">
        <v>9911</v>
      </c>
      <c r="AN98" s="1059" t="s">
        <v>11137</v>
      </c>
      <c r="AO98" s="1059" t="s">
        <v>11138</v>
      </c>
      <c r="AP98" s="1059" t="s">
        <v>11139</v>
      </c>
      <c r="AQ98" s="1059" t="s">
        <v>2819</v>
      </c>
      <c r="AR98" s="1059" t="s">
        <v>10579</v>
      </c>
      <c r="AS98" s="1059" t="s">
        <v>11140</v>
      </c>
      <c r="AT98" s="1059" t="s">
        <v>11141</v>
      </c>
      <c r="AU98" s="1059" t="s">
        <v>11142</v>
      </c>
      <c r="AV98" s="1039" t="str">
        <f t="shared" si="1"/>
        <v>8:47</v>
      </c>
      <c r="AW98" s="1603" t="s">
        <v>11143</v>
      </c>
    </row>
    <row r="99">
      <c r="A99" s="1669" t="s">
        <v>11144</v>
      </c>
      <c r="B99" s="1637" t="s">
        <v>9130</v>
      </c>
      <c r="C99" s="1679">
        <v>0.057881944444444444</v>
      </c>
      <c r="D99" s="1668" t="s">
        <v>11145</v>
      </c>
      <c r="E99" s="337" t="s">
        <v>11146</v>
      </c>
      <c r="F99" s="1668" t="s">
        <v>11147</v>
      </c>
      <c r="G99" s="1668" t="s">
        <v>11148</v>
      </c>
      <c r="H99" s="337" t="s">
        <v>11149</v>
      </c>
      <c r="I99" s="337" t="s">
        <v>1092</v>
      </c>
      <c r="J99" s="337" t="s">
        <v>11150</v>
      </c>
      <c r="K99" s="337" t="s">
        <v>3716</v>
      </c>
      <c r="L99" s="337" t="s">
        <v>11151</v>
      </c>
      <c r="M99" s="337" t="s">
        <v>7877</v>
      </c>
      <c r="N99" s="337" t="s">
        <v>11152</v>
      </c>
      <c r="O99" s="337" t="s">
        <v>11153</v>
      </c>
      <c r="P99" s="337" t="s">
        <v>3817</v>
      </c>
      <c r="Q99" s="337" t="s">
        <v>11154</v>
      </c>
      <c r="R99" s="337" t="s">
        <v>11155</v>
      </c>
      <c r="S99" s="337" t="s">
        <v>11156</v>
      </c>
      <c r="T99" s="337" t="s">
        <v>1676</v>
      </c>
      <c r="U99" s="337" t="s">
        <v>11157</v>
      </c>
      <c r="V99" s="337" t="s">
        <v>11158</v>
      </c>
      <c r="W99" s="337" t="s">
        <v>11159</v>
      </c>
      <c r="X99" s="337" t="s">
        <v>11160</v>
      </c>
      <c r="Y99" s="337" t="s">
        <v>2980</v>
      </c>
      <c r="Z99" s="337" t="s">
        <v>11161</v>
      </c>
      <c r="AA99" s="1668" t="s">
        <v>11162</v>
      </c>
      <c r="AB99" s="337" t="s">
        <v>9672</v>
      </c>
      <c r="AC99" s="337" t="s">
        <v>3472</v>
      </c>
      <c r="AD99" s="337" t="s">
        <v>5403</v>
      </c>
      <c r="AE99" s="337" t="s">
        <v>2616</v>
      </c>
      <c r="AF99" s="337" t="s">
        <v>11163</v>
      </c>
      <c r="AG99" s="337" t="s">
        <v>5889</v>
      </c>
      <c r="AH99" s="337" t="s">
        <v>11164</v>
      </c>
      <c r="AI99" s="337" t="s">
        <v>4915</v>
      </c>
      <c r="AJ99" s="337" t="s">
        <v>11165</v>
      </c>
      <c r="AK99" s="337" t="s">
        <v>11166</v>
      </c>
      <c r="AL99" s="337" t="s">
        <v>4032</v>
      </c>
      <c r="AM99" s="337" t="s">
        <v>4923</v>
      </c>
      <c r="AN99" s="337" t="s">
        <v>11167</v>
      </c>
      <c r="AO99" s="337" t="s">
        <v>10539</v>
      </c>
      <c r="AP99" s="337" t="s">
        <v>11168</v>
      </c>
      <c r="AQ99" s="337" t="s">
        <v>6845</v>
      </c>
      <c r="AR99" s="337" t="s">
        <v>11169</v>
      </c>
      <c r="AS99" s="337" t="s">
        <v>619</v>
      </c>
      <c r="AT99" s="337" t="s">
        <v>11170</v>
      </c>
      <c r="AU99" s="337" t="s">
        <v>11171</v>
      </c>
      <c r="AV99" s="1462" t="str">
        <f t="shared" si="1"/>
        <v>2:11</v>
      </c>
      <c r="AW99" s="1712" t="s">
        <v>11172</v>
      </c>
    </row>
    <row r="100">
      <c r="A100" s="1640" t="s">
        <v>6542</v>
      </c>
      <c r="B100" s="1729" t="s">
        <v>11120</v>
      </c>
      <c r="C100" s="1730">
        <v>0.0609375</v>
      </c>
      <c r="D100" s="1731" t="s">
        <v>11173</v>
      </c>
      <c r="E100" s="1732" t="s">
        <v>3586</v>
      </c>
      <c r="F100" s="1732" t="s">
        <v>11174</v>
      </c>
      <c r="G100" s="1732" t="s">
        <v>11175</v>
      </c>
      <c r="H100" s="1731" t="s">
        <v>11176</v>
      </c>
      <c r="I100" s="1733" t="s">
        <v>9354</v>
      </c>
      <c r="J100" s="1734" t="s">
        <v>11177</v>
      </c>
      <c r="K100" s="1734" t="s">
        <v>1672</v>
      </c>
      <c r="L100" s="1734" t="s">
        <v>6946</v>
      </c>
      <c r="M100" s="1734" t="s">
        <v>11178</v>
      </c>
      <c r="N100" s="1734" t="s">
        <v>6935</v>
      </c>
      <c r="O100" s="1734" t="s">
        <v>11179</v>
      </c>
      <c r="P100" s="1734" t="s">
        <v>1646</v>
      </c>
      <c r="Q100" s="1735" t="s">
        <v>11180</v>
      </c>
      <c r="R100" s="1735" t="s">
        <v>11181</v>
      </c>
      <c r="S100" s="1735" t="s">
        <v>11182</v>
      </c>
      <c r="T100" s="1735" t="s">
        <v>11183</v>
      </c>
      <c r="U100" s="1735" t="s">
        <v>11184</v>
      </c>
      <c r="V100" s="1735" t="s">
        <v>11185</v>
      </c>
      <c r="W100" s="1736" t="s">
        <v>11186</v>
      </c>
      <c r="X100" s="1736" t="s">
        <v>11162</v>
      </c>
      <c r="Y100" s="1736" t="s">
        <v>10887</v>
      </c>
      <c r="Z100" s="1736" t="s">
        <v>7017</v>
      </c>
      <c r="AA100" s="1737" t="s">
        <v>11092</v>
      </c>
      <c r="AB100" s="1736" t="s">
        <v>11187</v>
      </c>
      <c r="AC100" s="1736" t="s">
        <v>9452</v>
      </c>
      <c r="AD100" s="1732" t="s">
        <v>11188</v>
      </c>
      <c r="AE100" s="1732" t="s">
        <v>1371</v>
      </c>
      <c r="AF100" s="1738" t="s">
        <v>11189</v>
      </c>
      <c r="AG100" s="1738" t="s">
        <v>11190</v>
      </c>
      <c r="AH100" s="1738" t="s">
        <v>11191</v>
      </c>
      <c r="AI100" s="1738" t="s">
        <v>6746</v>
      </c>
      <c r="AJ100" s="1738" t="s">
        <v>11192</v>
      </c>
      <c r="AK100" s="1738" t="s">
        <v>10618</v>
      </c>
      <c r="AL100" s="1738" t="s">
        <v>1819</v>
      </c>
      <c r="AM100" s="1739" t="s">
        <v>8936</v>
      </c>
      <c r="AN100" s="1739" t="s">
        <v>11193</v>
      </c>
      <c r="AO100" s="1739" t="s">
        <v>4491</v>
      </c>
      <c r="AP100" s="1739" t="s">
        <v>11194</v>
      </c>
      <c r="AQ100" s="1739" t="s">
        <v>6445</v>
      </c>
      <c r="AR100" s="1739" t="s">
        <v>11195</v>
      </c>
      <c r="AS100" s="1739" t="s">
        <v>9874</v>
      </c>
      <c r="AT100" s="1734" t="s">
        <v>11196</v>
      </c>
      <c r="AU100" s="1740" t="s">
        <v>11197</v>
      </c>
      <c r="AV100" s="1462" t="str">
        <f t="shared" si="1"/>
        <v>7:58</v>
      </c>
      <c r="AW100" s="1595" t="s">
        <v>11198</v>
      </c>
    </row>
    <row r="101" ht="15.75" customHeight="1">
      <c r="A101" s="1604" t="s">
        <v>6415</v>
      </c>
      <c r="B101" s="1637" t="s">
        <v>9130</v>
      </c>
      <c r="C101" s="1544">
        <v>0.06635416666666667</v>
      </c>
      <c r="D101" s="987" t="s">
        <v>11199</v>
      </c>
      <c r="E101" s="987" t="s">
        <v>8981</v>
      </c>
      <c r="F101" s="987" t="s">
        <v>11200</v>
      </c>
      <c r="G101" s="987" t="s">
        <v>11201</v>
      </c>
      <c r="H101" s="987" t="s">
        <v>11202</v>
      </c>
      <c r="I101" s="987" t="s">
        <v>3481</v>
      </c>
      <c r="J101" s="987" t="s">
        <v>11203</v>
      </c>
      <c r="K101" s="987" t="s">
        <v>4002</v>
      </c>
      <c r="L101" s="987" t="s">
        <v>6900</v>
      </c>
      <c r="M101" s="987" t="s">
        <v>934</v>
      </c>
      <c r="N101" s="987" t="s">
        <v>11204</v>
      </c>
      <c r="O101" s="987" t="s">
        <v>11205</v>
      </c>
      <c r="P101" s="987" t="s">
        <v>11206</v>
      </c>
      <c r="Q101" s="987" t="s">
        <v>11207</v>
      </c>
      <c r="R101" s="987" t="s">
        <v>4577</v>
      </c>
      <c r="S101" s="987" t="s">
        <v>11208</v>
      </c>
      <c r="T101" s="987" t="s">
        <v>6468</v>
      </c>
      <c r="U101" s="987" t="s">
        <v>11209</v>
      </c>
      <c r="V101" s="987" t="s">
        <v>7489</v>
      </c>
      <c r="W101" s="987" t="s">
        <v>11210</v>
      </c>
      <c r="X101" s="987" t="s">
        <v>11211</v>
      </c>
      <c r="Y101" s="987" t="s">
        <v>757</v>
      </c>
      <c r="Z101" s="987" t="s">
        <v>11212</v>
      </c>
      <c r="AA101" s="337"/>
      <c r="AB101" s="987" t="s">
        <v>11213</v>
      </c>
      <c r="AC101" s="987" t="s">
        <v>177</v>
      </c>
      <c r="AD101" s="987" t="s">
        <v>11214</v>
      </c>
      <c r="AE101" s="987" t="s">
        <v>11215</v>
      </c>
      <c r="AF101" s="987" t="s">
        <v>11216</v>
      </c>
      <c r="AG101" s="987" t="s">
        <v>11217</v>
      </c>
      <c r="AH101" s="987" t="s">
        <v>11218</v>
      </c>
      <c r="AI101" s="987" t="s">
        <v>11219</v>
      </c>
      <c r="AJ101" s="987" t="s">
        <v>11220</v>
      </c>
      <c r="AK101" s="987" t="s">
        <v>11221</v>
      </c>
      <c r="AL101" s="987" t="s">
        <v>11222</v>
      </c>
      <c r="AM101" s="987" t="s">
        <v>11223</v>
      </c>
      <c r="AN101" s="987" t="s">
        <v>9734</v>
      </c>
      <c r="AO101" s="987" t="s">
        <v>2330</v>
      </c>
      <c r="AP101" s="987" t="s">
        <v>11224</v>
      </c>
      <c r="AQ101" s="987" t="s">
        <v>132</v>
      </c>
      <c r="AR101" s="987" t="s">
        <v>11225</v>
      </c>
      <c r="AS101" s="987" t="s">
        <v>4084</v>
      </c>
      <c r="AT101" s="987" t="s">
        <v>11226</v>
      </c>
      <c r="AU101" s="1396" t="s">
        <v>11227</v>
      </c>
      <c r="AV101" s="1462" t="str">
        <f t="shared" si="1"/>
        <v>9:53</v>
      </c>
      <c r="AW101" s="1693" t="s">
        <v>11228</v>
      </c>
    </row>
    <row r="102">
      <c r="A102" s="1604" t="s">
        <v>7031</v>
      </c>
      <c r="B102" s="1602" t="s">
        <v>9130</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9634</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9130</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9146</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5"/>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5"/>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5"/>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5"/>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5"/>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5"/>
      <c r="I115" s="1145"/>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5"/>
      <c r="I117" s="1145"/>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5"/>
      <c r="I119" s="1145"/>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5"/>
      <c r="I121" s="1145"/>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5"/>
      <c r="I123" s="1145"/>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5"/>
      <c r="I125" s="1145"/>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5"/>
      <c r="I127" s="1145"/>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5"/>
      <c r="I129" s="1145"/>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5"/>
      <c r="I131" s="1145"/>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5"/>
      <c r="I133" s="1145"/>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5"/>
      <c r="I135" s="1145"/>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5"/>
      <c r="I137" s="1145"/>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5"/>
      <c r="I139" s="1145"/>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5"/>
      <c r="I141" s="1145"/>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5"/>
      <c r="I143" s="1145"/>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5"/>
      <c r="I145" s="1145"/>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5"/>
      <c r="I147" s="1145"/>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5"/>
      <c r="I149" s="1145"/>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5"/>
      <c r="I151" s="1145"/>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5"/>
      <c r="I153" s="1145"/>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5"/>
      <c r="I155" s="1145"/>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5"/>
      <c r="I157" s="1145"/>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5"/>
      <c r="I159" s="1145"/>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5"/>
      <c r="I161" s="1145"/>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5"/>
      <c r="I163" s="1145"/>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5"/>
      <c r="I165" s="1145"/>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5"/>
      <c r="I167" s="1145"/>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5"/>
      <c r="I169" s="1145"/>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5"/>
      <c r="I171" s="1145"/>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5"/>
      <c r="I173" s="1145"/>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5"/>
      <c r="I175" s="1145"/>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5"/>
      <c r="I177" s="1145"/>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5"/>
      <c r="I179" s="1145"/>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5"/>
      <c r="I181" s="1145"/>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5"/>
      <c r="I183" s="1145"/>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5"/>
      <c r="I185" s="1145"/>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5"/>
      <c r="I187" s="1145"/>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5"/>
      <c r="I189" s="1145"/>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5"/>
      <c r="I191" s="1145"/>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5"/>
      <c r="I193" s="1145"/>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5"/>
      <c r="I195" s="1145"/>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5"/>
      <c r="I197" s="1145"/>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9065</v>
      </c>
      <c r="C1" s="1475" t="s">
        <v>9066</v>
      </c>
      <c r="D1" s="1749" t="s">
        <v>11229</v>
      </c>
      <c r="E1" s="1750" t="s">
        <v>7788</v>
      </c>
      <c r="F1" s="1751" t="s">
        <v>8122</v>
      </c>
      <c r="G1" s="1752" t="s">
        <v>38</v>
      </c>
      <c r="H1" s="1753" t="s">
        <v>36</v>
      </c>
      <c r="I1" s="1749" t="s">
        <v>11230</v>
      </c>
      <c r="J1" s="1754" t="s">
        <v>39</v>
      </c>
      <c r="K1" s="1755" t="s">
        <v>8051</v>
      </c>
      <c r="L1" s="1483" t="s">
        <v>9098</v>
      </c>
      <c r="M1" s="1484" t="s">
        <v>9099</v>
      </c>
      <c r="N1" s="1756" t="s">
        <v>9100</v>
      </c>
      <c r="O1" s="1757" t="s">
        <v>9101</v>
      </c>
    </row>
    <row r="2" ht="15.75" customHeight="1">
      <c r="A2" s="1758" t="s">
        <v>9102</v>
      </c>
      <c r="B2" s="1759" t="s">
        <v>9103</v>
      </c>
      <c r="C2" s="1760">
        <v>0.0496875</v>
      </c>
      <c r="D2" s="1761" t="s">
        <v>11231</v>
      </c>
      <c r="E2" s="1762" t="s">
        <v>11232</v>
      </c>
      <c r="F2" s="1763" t="s">
        <v>11233</v>
      </c>
      <c r="G2" s="1764" t="s">
        <v>11234</v>
      </c>
      <c r="H2" s="1765" t="s">
        <v>11235</v>
      </c>
      <c r="I2" s="1766" t="s">
        <v>11236</v>
      </c>
      <c r="J2" s="1767" t="s">
        <v>11237</v>
      </c>
      <c r="K2" s="1768" t="s">
        <v>11238</v>
      </c>
      <c r="L2" s="1769" t="s">
        <v>9127</v>
      </c>
      <c r="M2" s="1760">
        <v>0.05042824074074074</v>
      </c>
      <c r="N2" s="1770" t="str">
        <f t="shared" ref="N2:N41" si="1">TEXT(M2-C2, "m:ss")</f>
        <v>1:04</v>
      </c>
      <c r="O2" s="1771"/>
    </row>
    <row r="3" ht="15.75" customHeight="1">
      <c r="A3" s="1772" t="s">
        <v>9129</v>
      </c>
      <c r="B3" s="1773" t="s">
        <v>9130</v>
      </c>
      <c r="C3" s="1774">
        <v>0.051458333333333335</v>
      </c>
      <c r="D3" s="1513" t="s">
        <v>11239</v>
      </c>
      <c r="E3" s="1514" t="s">
        <v>11240</v>
      </c>
      <c r="F3" s="1515" t="s">
        <v>11241</v>
      </c>
      <c r="G3" s="1516" t="s">
        <v>11242</v>
      </c>
      <c r="H3" s="1518" t="s">
        <v>11243</v>
      </c>
      <c r="I3" s="1513" t="s">
        <v>11244</v>
      </c>
      <c r="J3" s="1520" t="s">
        <v>11245</v>
      </c>
      <c r="K3" s="1523" t="s">
        <v>11246</v>
      </c>
      <c r="L3" s="1515" t="s">
        <v>5075</v>
      </c>
      <c r="M3" s="1774">
        <v>0.05236111111111111</v>
      </c>
      <c r="N3" s="1775" t="str">
        <f t="shared" si="1"/>
        <v>1:18</v>
      </c>
      <c r="O3" s="1776"/>
    </row>
    <row r="4" ht="15.75" customHeight="1">
      <c r="A4" s="1777" t="s">
        <v>9155</v>
      </c>
      <c r="B4" s="1778" t="s">
        <v>9156</v>
      </c>
      <c r="C4" s="1779">
        <f>C26</f>
        <v>0.05158564815</v>
      </c>
      <c r="D4" s="1780" t="s">
        <v>11247</v>
      </c>
      <c r="E4" s="1781" t="s">
        <v>11248</v>
      </c>
      <c r="F4" s="1782" t="s">
        <v>11249</v>
      </c>
      <c r="G4" s="1783" t="s">
        <v>11250</v>
      </c>
      <c r="H4" s="1784" t="s">
        <v>11251</v>
      </c>
      <c r="I4" s="1780" t="s">
        <v>11252</v>
      </c>
      <c r="J4" s="1785" t="s">
        <v>11253</v>
      </c>
      <c r="K4" s="1786" t="s">
        <v>11254</v>
      </c>
      <c r="L4" s="1787" t="s">
        <v>9184</v>
      </c>
      <c r="M4" s="1788">
        <f>M26</f>
        <v>0.0521412037</v>
      </c>
      <c r="N4" s="1788" t="str">
        <f t="shared" si="1"/>
        <v>0:48</v>
      </c>
      <c r="O4" s="1771"/>
    </row>
    <row r="5" ht="15.75" customHeight="1">
      <c r="A5" s="962" t="s">
        <v>979</v>
      </c>
      <c r="B5" s="1694" t="s">
        <v>9103</v>
      </c>
      <c r="C5" s="1789">
        <v>0.04980324074074074</v>
      </c>
      <c r="D5" s="1790" t="s">
        <v>11231</v>
      </c>
      <c r="E5" s="1582" t="s">
        <v>11255</v>
      </c>
      <c r="F5" s="1790" t="s">
        <v>11233</v>
      </c>
      <c r="G5" s="1790" t="s">
        <v>11234</v>
      </c>
      <c r="H5" s="1790" t="s">
        <v>11235</v>
      </c>
      <c r="I5" s="1790" t="s">
        <v>11236</v>
      </c>
      <c r="J5" s="1791" t="s">
        <v>11256</v>
      </c>
      <c r="K5" s="1792" t="s">
        <v>11257</v>
      </c>
      <c r="L5" s="1546" t="s">
        <v>11258</v>
      </c>
      <c r="M5" s="1793">
        <v>0.05032407407407408</v>
      </c>
      <c r="N5" s="1794" t="str">
        <f t="shared" si="1"/>
        <v>0:45</v>
      </c>
      <c r="O5" s="1633" t="s">
        <v>11259</v>
      </c>
    </row>
    <row r="6">
      <c r="A6" s="1795" t="s">
        <v>2544</v>
      </c>
      <c r="B6" s="1796" t="s">
        <v>9103</v>
      </c>
      <c r="C6" s="1797">
        <v>0.049953125</v>
      </c>
      <c r="D6" s="1798" t="s">
        <v>11260</v>
      </c>
      <c r="E6" s="1799" t="s">
        <v>11261</v>
      </c>
      <c r="F6" s="1791" t="s">
        <v>11262</v>
      </c>
      <c r="G6" s="1791" t="s">
        <v>11263</v>
      </c>
      <c r="H6" s="1579" t="s">
        <v>11264</v>
      </c>
      <c r="I6" s="1791" t="s">
        <v>8639</v>
      </c>
      <c r="J6" s="1791" t="s">
        <v>11265</v>
      </c>
      <c r="K6" s="1800" t="s">
        <v>11238</v>
      </c>
      <c r="L6" s="1791" t="s">
        <v>9219</v>
      </c>
      <c r="M6" s="1801">
        <v>0.05068287037037037</v>
      </c>
      <c r="N6" s="1801" t="str">
        <f t="shared" si="1"/>
        <v>1:03</v>
      </c>
      <c r="O6" s="1633"/>
    </row>
    <row r="7" ht="15.75" customHeight="1">
      <c r="A7" s="1741" t="s">
        <v>1808</v>
      </c>
      <c r="B7" s="1543" t="s">
        <v>9103</v>
      </c>
      <c r="C7" s="1802">
        <v>0.0499537037037037</v>
      </c>
      <c r="D7" s="1579" t="s">
        <v>11266</v>
      </c>
      <c r="E7" s="1579" t="s">
        <v>11267</v>
      </c>
      <c r="F7" s="1579" t="s">
        <v>11268</v>
      </c>
      <c r="G7" s="1579" t="s">
        <v>11269</v>
      </c>
      <c r="H7" s="1579" t="s">
        <v>11270</v>
      </c>
      <c r="I7" s="1579" t="s">
        <v>11271</v>
      </c>
      <c r="J7" s="1579" t="s">
        <v>11272</v>
      </c>
      <c r="K7" s="1803" t="s">
        <v>11273</v>
      </c>
      <c r="L7" s="1547" t="s">
        <v>9127</v>
      </c>
      <c r="M7" s="1801">
        <v>0.05056712962962963</v>
      </c>
      <c r="N7" s="1804" t="str">
        <f t="shared" si="1"/>
        <v>0:53</v>
      </c>
      <c r="O7" s="1633" t="s">
        <v>11274</v>
      </c>
    </row>
    <row r="8" ht="15.75" customHeight="1">
      <c r="A8" s="1805" t="s">
        <v>435</v>
      </c>
      <c r="B8" s="1543" t="s">
        <v>9103</v>
      </c>
      <c r="C8" s="1797">
        <v>0.04998842592592593</v>
      </c>
      <c r="D8" s="1579" t="s">
        <v>11275</v>
      </c>
      <c r="E8" s="1806" t="s">
        <v>11232</v>
      </c>
      <c r="F8" s="1579" t="s">
        <v>11276</v>
      </c>
      <c r="G8" s="1579" t="s">
        <v>11277</v>
      </c>
      <c r="H8" s="1579" t="s">
        <v>11278</v>
      </c>
      <c r="I8" s="1579" t="s">
        <v>11279</v>
      </c>
      <c r="J8" s="1807" t="s">
        <v>11237</v>
      </c>
      <c r="K8" s="1579" t="s">
        <v>11280</v>
      </c>
      <c r="L8" s="1579" t="s">
        <v>9240</v>
      </c>
      <c r="M8" s="1801">
        <v>0.0508912037037037</v>
      </c>
      <c r="N8" s="1804" t="str">
        <f t="shared" si="1"/>
        <v>1:18</v>
      </c>
      <c r="O8" s="1633" t="s">
        <v>11274</v>
      </c>
    </row>
    <row r="9" ht="15.75" customHeight="1">
      <c r="A9" s="1805" t="s">
        <v>6612</v>
      </c>
      <c r="B9" s="1605" t="s">
        <v>9103</v>
      </c>
      <c r="C9" s="1802">
        <v>0.05025462962962963</v>
      </c>
      <c r="D9" s="1062" t="s">
        <v>11281</v>
      </c>
      <c r="E9" s="1580" t="s">
        <v>11282</v>
      </c>
      <c r="F9" s="1579" t="s">
        <v>11283</v>
      </c>
      <c r="G9" s="1579" t="s">
        <v>11284</v>
      </c>
      <c r="H9" s="1579" t="s">
        <v>11285</v>
      </c>
      <c r="I9" s="1579" t="s">
        <v>11008</v>
      </c>
      <c r="J9" s="1579" t="s">
        <v>11286</v>
      </c>
      <c r="K9" s="1579" t="s">
        <v>11287</v>
      </c>
      <c r="L9" s="1579" t="s">
        <v>9348</v>
      </c>
      <c r="M9" s="1801">
        <v>0.0506712962962963</v>
      </c>
      <c r="N9" s="1804" t="str">
        <f t="shared" si="1"/>
        <v>0:36</v>
      </c>
      <c r="O9" s="1633"/>
    </row>
    <row r="10" ht="15.75" customHeight="1">
      <c r="A10" s="1741" t="s">
        <v>6771</v>
      </c>
      <c r="B10" s="1543" t="s">
        <v>9103</v>
      </c>
      <c r="C10" s="1802">
        <v>0.050416666666666665</v>
      </c>
      <c r="D10" s="1579" t="s">
        <v>11288</v>
      </c>
      <c r="E10" s="1580" t="s">
        <v>11289</v>
      </c>
      <c r="F10" s="1582" t="s">
        <v>11290</v>
      </c>
      <c r="G10" s="1582" t="s">
        <v>11291</v>
      </c>
      <c r="H10" s="1579" t="s">
        <v>11292</v>
      </c>
      <c r="I10" s="1579" t="s">
        <v>11293</v>
      </c>
      <c r="J10" s="1579" t="s">
        <v>11294</v>
      </c>
      <c r="K10" s="1579" t="s">
        <v>11295</v>
      </c>
      <c r="L10" s="1582" t="s">
        <v>11296</v>
      </c>
      <c r="M10" s="1801">
        <v>0.0512037037037037</v>
      </c>
      <c r="N10" s="1804" t="str">
        <f t="shared" si="1"/>
        <v>1:08</v>
      </c>
      <c r="O10" s="1633" t="s">
        <v>11274</v>
      </c>
    </row>
    <row r="11">
      <c r="A11" s="1808" t="s">
        <v>825</v>
      </c>
      <c r="B11" s="1809" t="s">
        <v>9103</v>
      </c>
      <c r="C11" s="1802">
        <v>0.05047453703703704</v>
      </c>
      <c r="D11" s="1059" t="s">
        <v>11297</v>
      </c>
      <c r="E11" s="1580" t="s">
        <v>11298</v>
      </c>
      <c r="F11" s="1791" t="s">
        <v>11299</v>
      </c>
      <c r="G11" s="1791" t="s">
        <v>11300</v>
      </c>
      <c r="H11" s="1791" t="s">
        <v>11301</v>
      </c>
      <c r="I11" s="1579" t="s">
        <v>11302</v>
      </c>
      <c r="J11" s="1579" t="s">
        <v>11303</v>
      </c>
      <c r="K11" s="1791" t="s">
        <v>11304</v>
      </c>
      <c r="L11" s="1579" t="s">
        <v>3676</v>
      </c>
      <c r="M11" s="1801">
        <v>0.051076388888888886</v>
      </c>
      <c r="N11" s="1804" t="str">
        <f t="shared" si="1"/>
        <v>0:52</v>
      </c>
      <c r="O11" s="1633" t="s">
        <v>11305</v>
      </c>
    </row>
    <row r="12">
      <c r="A12" s="1640" t="s">
        <v>1879</v>
      </c>
      <c r="B12" s="1809" t="s">
        <v>9103</v>
      </c>
      <c r="C12" s="1797">
        <v>0.05059429398148148</v>
      </c>
      <c r="D12" s="1062" t="s">
        <v>11306</v>
      </c>
      <c r="E12" s="1580" t="s">
        <v>11307</v>
      </c>
      <c r="F12" s="1579" t="s">
        <v>11308</v>
      </c>
      <c r="G12" s="1579" t="s">
        <v>11309</v>
      </c>
      <c r="H12" s="1579" t="s">
        <v>11310</v>
      </c>
      <c r="I12" s="1579" t="s">
        <v>11311</v>
      </c>
      <c r="J12" s="1579" t="s">
        <v>11312</v>
      </c>
      <c r="K12" s="1579" t="s">
        <v>11313</v>
      </c>
      <c r="L12" s="1579" t="s">
        <v>11314</v>
      </c>
      <c r="M12" s="1801">
        <v>0.051319444444444445</v>
      </c>
      <c r="N12" s="1804" t="str">
        <f t="shared" si="1"/>
        <v>1:03</v>
      </c>
      <c r="O12" s="1633"/>
    </row>
    <row r="13" ht="15.75" customHeight="1">
      <c r="A13" s="962" t="s">
        <v>1549</v>
      </c>
      <c r="B13" s="1810" t="s">
        <v>9103</v>
      </c>
      <c r="C13" s="1802">
        <v>0.05061342592592592</v>
      </c>
      <c r="D13" s="1811" t="s">
        <v>11315</v>
      </c>
      <c r="E13" s="1580" t="s">
        <v>11316</v>
      </c>
      <c r="F13" s="1812" t="s">
        <v>11317</v>
      </c>
      <c r="G13" s="1579" t="s">
        <v>11318</v>
      </c>
      <c r="H13" s="1812" t="s">
        <v>11319</v>
      </c>
      <c r="I13" s="1812" t="s">
        <v>11320</v>
      </c>
      <c r="J13" s="1579" t="s">
        <v>11321</v>
      </c>
      <c r="K13" s="1579" t="s">
        <v>11322</v>
      </c>
      <c r="L13" s="1579" t="s">
        <v>3559</v>
      </c>
      <c r="M13" s="1801">
        <v>0.05122685185185185</v>
      </c>
      <c r="N13" s="1804" t="str">
        <f t="shared" si="1"/>
        <v>0:53</v>
      </c>
      <c r="O13" s="1633" t="s">
        <v>11323</v>
      </c>
    </row>
    <row r="14" ht="15.75" customHeight="1">
      <c r="A14" s="1745" t="s">
        <v>2088</v>
      </c>
      <c r="B14" s="1543" t="s">
        <v>9103</v>
      </c>
      <c r="C14" s="1797">
        <v>0.05061342592592592</v>
      </c>
      <c r="D14" s="1059" t="s">
        <v>11324</v>
      </c>
      <c r="E14" s="1813" t="s">
        <v>11325</v>
      </c>
      <c r="F14" s="1579" t="s">
        <v>11326</v>
      </c>
      <c r="G14" s="1579" t="s">
        <v>11327</v>
      </c>
      <c r="H14" s="1579" t="s">
        <v>11328</v>
      </c>
      <c r="I14" s="1579" t="s">
        <v>11329</v>
      </c>
      <c r="J14" s="1579" t="s">
        <v>11330</v>
      </c>
      <c r="K14" s="1579" t="s">
        <v>11331</v>
      </c>
      <c r="L14" s="1579" t="s">
        <v>6590</v>
      </c>
      <c r="M14" s="1801">
        <v>0.05153935185185185</v>
      </c>
      <c r="N14" s="1804" t="str">
        <f t="shared" si="1"/>
        <v>1:20</v>
      </c>
      <c r="O14" s="1633" t="s">
        <v>11274</v>
      </c>
    </row>
    <row r="15" ht="15.75" customHeight="1">
      <c r="A15" s="1805" t="s">
        <v>330</v>
      </c>
      <c r="B15" s="1543" t="s">
        <v>9103</v>
      </c>
      <c r="C15" s="1797">
        <v>0.05068287037037037</v>
      </c>
      <c r="D15" s="1579" t="s">
        <v>11332</v>
      </c>
      <c r="E15" s="1813" t="s">
        <v>11333</v>
      </c>
      <c r="F15" s="1579" t="s">
        <v>11334</v>
      </c>
      <c r="G15" s="1579" t="s">
        <v>11335</v>
      </c>
      <c r="H15" s="1579" t="s">
        <v>11336</v>
      </c>
      <c r="I15" s="1579" t="s">
        <v>6535</v>
      </c>
      <c r="J15" s="1579" t="s">
        <v>11337</v>
      </c>
      <c r="K15" s="1579" t="s">
        <v>11338</v>
      </c>
      <c r="L15" s="1579" t="s">
        <v>9327</v>
      </c>
      <c r="M15" s="1801">
        <v>0.05164351851851852</v>
      </c>
      <c r="N15" s="1804" t="str">
        <f t="shared" si="1"/>
        <v>1:23</v>
      </c>
      <c r="O15" s="1633" t="s">
        <v>11274</v>
      </c>
    </row>
    <row r="16" ht="15.75" customHeight="1">
      <c r="A16" s="1640" t="s">
        <v>2649</v>
      </c>
      <c r="B16" s="1694" t="s">
        <v>9130</v>
      </c>
      <c r="C16" s="1814">
        <v>0.050729166666666665</v>
      </c>
      <c r="D16" s="1062" t="s">
        <v>11339</v>
      </c>
      <c r="E16" s="1792" t="s">
        <v>11340</v>
      </c>
      <c r="F16" s="1815" t="s">
        <v>11341</v>
      </c>
      <c r="G16" s="1815" t="s">
        <v>11342</v>
      </c>
      <c r="H16" s="1815" t="s">
        <v>11343</v>
      </c>
      <c r="I16" s="1815" t="s">
        <v>11344</v>
      </c>
      <c r="J16" s="1815" t="s">
        <v>11345</v>
      </c>
      <c r="K16" s="1815" t="s">
        <v>11346</v>
      </c>
      <c r="L16" s="1279" t="s">
        <v>9485</v>
      </c>
      <c r="M16" s="1801">
        <v>0.05143506944444444</v>
      </c>
      <c r="N16" s="1816" t="str">
        <f t="shared" si="1"/>
        <v>1:01</v>
      </c>
      <c r="O16" s="1633"/>
    </row>
    <row r="17" ht="15.75" customHeight="1">
      <c r="A17" s="1640" t="s">
        <v>2153</v>
      </c>
      <c r="B17" s="1694" t="s">
        <v>9130</v>
      </c>
      <c r="C17" s="1802">
        <v>0.05085648148148148</v>
      </c>
      <c r="D17" s="1062" t="s">
        <v>11347</v>
      </c>
      <c r="E17" s="1817" t="s">
        <v>11348</v>
      </c>
      <c r="F17" s="1818" t="s">
        <v>11241</v>
      </c>
      <c r="G17" s="1818" t="s">
        <v>11349</v>
      </c>
      <c r="H17" s="1818" t="s">
        <v>11350</v>
      </c>
      <c r="I17" s="1818" t="s">
        <v>11244</v>
      </c>
      <c r="J17" s="1818" t="s">
        <v>11351</v>
      </c>
      <c r="K17" s="1818" t="s">
        <v>11352</v>
      </c>
      <c r="L17" s="1819" t="s">
        <v>5075</v>
      </c>
      <c r="M17" s="1801">
        <v>0.05233796296296296</v>
      </c>
      <c r="N17" s="1804" t="str">
        <f t="shared" si="1"/>
        <v>2:08</v>
      </c>
      <c r="O17" s="1633" t="s">
        <v>11274</v>
      </c>
    </row>
    <row r="18" ht="15.75" customHeight="1">
      <c r="A18" s="1820" t="s">
        <v>2772</v>
      </c>
      <c r="B18" s="1543" t="s">
        <v>9103</v>
      </c>
      <c r="C18" s="1821">
        <v>0.05103009259259259</v>
      </c>
      <c r="D18" s="1579" t="s">
        <v>11353</v>
      </c>
      <c r="E18" s="1813" t="s">
        <v>10820</v>
      </c>
      <c r="F18" s="1579" t="s">
        <v>11354</v>
      </c>
      <c r="G18" s="1579" t="s">
        <v>11355</v>
      </c>
      <c r="H18" s="1791" t="s">
        <v>11356</v>
      </c>
      <c r="I18" s="1579" t="s">
        <v>8739</v>
      </c>
      <c r="J18" s="1579" t="s">
        <v>11357</v>
      </c>
      <c r="K18" s="1579" t="s">
        <v>11358</v>
      </c>
      <c r="L18" s="1579" t="s">
        <v>11359</v>
      </c>
      <c r="M18" s="1801">
        <v>0.051909722222222225</v>
      </c>
      <c r="N18" s="1804" t="str">
        <f t="shared" si="1"/>
        <v>1:16</v>
      </c>
      <c r="O18" s="1633" t="s">
        <v>11274</v>
      </c>
    </row>
    <row r="19" ht="15.75" customHeight="1">
      <c r="A19" s="1640" t="s">
        <v>2264</v>
      </c>
      <c r="B19" s="1605" t="s">
        <v>9103</v>
      </c>
      <c r="C19" s="1797">
        <v>0.051145833333333335</v>
      </c>
      <c r="D19" s="1059" t="s">
        <v>11360</v>
      </c>
      <c r="E19" s="1580" t="s">
        <v>11361</v>
      </c>
      <c r="F19" s="1579" t="s">
        <v>11362</v>
      </c>
      <c r="G19" s="1579" t="s">
        <v>11363</v>
      </c>
      <c r="H19" s="1579" t="s">
        <v>11364</v>
      </c>
      <c r="I19" s="1579" t="s">
        <v>11365</v>
      </c>
      <c r="J19" s="1579" t="s">
        <v>11366</v>
      </c>
      <c r="K19" s="1579" t="s">
        <v>11367</v>
      </c>
      <c r="L19" s="1579" t="s">
        <v>3124</v>
      </c>
      <c r="M19" s="1801">
        <v>0.05228009259259259</v>
      </c>
      <c r="N19" s="1804" t="str">
        <f t="shared" si="1"/>
        <v>1:38</v>
      </c>
      <c r="O19" s="1633" t="s">
        <v>11368</v>
      </c>
    </row>
    <row r="20" ht="15.75" customHeight="1">
      <c r="A20" s="1805" t="s">
        <v>1413</v>
      </c>
      <c r="B20" s="1543" t="s">
        <v>9103</v>
      </c>
      <c r="C20" s="1797">
        <v>0.05122685185185185</v>
      </c>
      <c r="D20" s="1579" t="s">
        <v>11369</v>
      </c>
      <c r="E20" s="1813" t="s">
        <v>9160</v>
      </c>
      <c r="F20" s="1579" t="s">
        <v>11370</v>
      </c>
      <c r="G20" s="1579" t="s">
        <v>11371</v>
      </c>
      <c r="H20" s="1579" t="s">
        <v>11372</v>
      </c>
      <c r="I20" s="1579" t="s">
        <v>11373</v>
      </c>
      <c r="J20" s="1579" t="s">
        <v>11374</v>
      </c>
      <c r="K20" s="1579" t="s">
        <v>11375</v>
      </c>
      <c r="L20" s="1579" t="s">
        <v>11376</v>
      </c>
      <c r="M20" s="1801">
        <v>0.052037037037037034</v>
      </c>
      <c r="N20" s="1804" t="str">
        <f t="shared" si="1"/>
        <v>1:10</v>
      </c>
      <c r="O20" s="1633" t="s">
        <v>11274</v>
      </c>
    </row>
    <row r="21" ht="15.75" customHeight="1">
      <c r="A21" s="1640" t="s">
        <v>1631</v>
      </c>
      <c r="B21" s="1605" t="s">
        <v>9103</v>
      </c>
      <c r="C21" s="1797">
        <v>0.05122685185185185</v>
      </c>
      <c r="D21" s="1062" t="s">
        <v>11377</v>
      </c>
      <c r="E21" s="1580" t="s">
        <v>11378</v>
      </c>
      <c r="F21" s="1579" t="s">
        <v>11379</v>
      </c>
      <c r="G21" s="1579" t="s">
        <v>11380</v>
      </c>
      <c r="H21" s="1579" t="s">
        <v>11381</v>
      </c>
      <c r="I21" s="1579" t="s">
        <v>11382</v>
      </c>
      <c r="J21" s="1579" t="s">
        <v>11383</v>
      </c>
      <c r="K21" s="1579" t="s">
        <v>11384</v>
      </c>
      <c r="L21" s="1579" t="s">
        <v>6120</v>
      </c>
      <c r="M21" s="1801">
        <v>0.05224537037037037</v>
      </c>
      <c r="N21" s="1804" t="str">
        <f t="shared" si="1"/>
        <v>1:28</v>
      </c>
      <c r="O21" s="1633" t="s">
        <v>11385</v>
      </c>
    </row>
    <row r="22" ht="15.75" customHeight="1">
      <c r="A22" s="1640" t="s">
        <v>7031</v>
      </c>
      <c r="B22" s="1605" t="s">
        <v>9103</v>
      </c>
      <c r="C22" s="1797">
        <v>0.05133101851851852</v>
      </c>
      <c r="D22" s="1579" t="s">
        <v>11386</v>
      </c>
      <c r="E22" s="1580" t="s">
        <v>11387</v>
      </c>
      <c r="F22" s="1579" t="s">
        <v>11388</v>
      </c>
      <c r="G22" s="1582" t="s">
        <v>11389</v>
      </c>
      <c r="H22" s="1582" t="s">
        <v>11390</v>
      </c>
      <c r="I22" s="1579" t="s">
        <v>11391</v>
      </c>
      <c r="J22" s="1579" t="s">
        <v>11392</v>
      </c>
      <c r="K22" s="1579" t="s">
        <v>11393</v>
      </c>
      <c r="L22" s="1579" t="s">
        <v>11394</v>
      </c>
      <c r="M22" s="1801">
        <v>0.05197916666666667</v>
      </c>
      <c r="N22" s="1804" t="str">
        <f t="shared" si="1"/>
        <v>0:56</v>
      </c>
      <c r="O22" s="1633" t="s">
        <v>11395</v>
      </c>
    </row>
    <row r="23" ht="15.75" customHeight="1">
      <c r="A23" s="1741" t="s">
        <v>9575</v>
      </c>
      <c r="B23" s="1543" t="s">
        <v>9103</v>
      </c>
      <c r="C23" s="1802">
        <v>0.05144675925925926</v>
      </c>
      <c r="D23" s="1579" t="s">
        <v>11396</v>
      </c>
      <c r="E23" s="1813" t="s">
        <v>11397</v>
      </c>
      <c r="F23" s="1579" t="s">
        <v>11398</v>
      </c>
      <c r="G23" s="1579" t="s">
        <v>11399</v>
      </c>
      <c r="H23" s="1579" t="s">
        <v>11400</v>
      </c>
      <c r="I23" s="1579" t="s">
        <v>11401</v>
      </c>
      <c r="J23" s="1579" t="s">
        <v>11402</v>
      </c>
      <c r="K23" s="1579" t="s">
        <v>11403</v>
      </c>
      <c r="L23" s="1258" t="s">
        <v>9451</v>
      </c>
      <c r="M23" s="1801">
        <v>0.05258101851851852</v>
      </c>
      <c r="N23" s="1804" t="str">
        <f t="shared" si="1"/>
        <v>1:38</v>
      </c>
      <c r="O23" s="1633" t="s">
        <v>11274</v>
      </c>
    </row>
    <row r="24" ht="15.75" customHeight="1">
      <c r="A24" s="1640" t="s">
        <v>9709</v>
      </c>
      <c r="B24" s="1605" t="s">
        <v>9130</v>
      </c>
      <c r="C24" s="1797">
        <v>0.05146990740740741</v>
      </c>
      <c r="D24" s="1817" t="s">
        <v>11239</v>
      </c>
      <c r="E24" s="1580" t="s">
        <v>10650</v>
      </c>
      <c r="F24" s="1580" t="s">
        <v>11404</v>
      </c>
      <c r="G24" s="1580" t="s">
        <v>11405</v>
      </c>
      <c r="H24" s="1580" t="s">
        <v>11406</v>
      </c>
      <c r="I24" s="1579" t="s">
        <v>11407</v>
      </c>
      <c r="J24" s="1059" t="s">
        <v>11408</v>
      </c>
      <c r="K24" s="1579" t="s">
        <v>11409</v>
      </c>
      <c r="L24" s="1059" t="s">
        <v>9725</v>
      </c>
      <c r="M24" s="1822">
        <v>0.05236111111111111</v>
      </c>
      <c r="N24" s="1804" t="str">
        <f t="shared" si="1"/>
        <v>1:17</v>
      </c>
      <c r="O24" s="1633" t="s">
        <v>11274</v>
      </c>
    </row>
    <row r="25" ht="15.75" customHeight="1">
      <c r="A25" s="1805" t="s">
        <v>897</v>
      </c>
      <c r="B25" s="1543" t="s">
        <v>9103</v>
      </c>
      <c r="C25" s="1802">
        <v>0.051550925925925924</v>
      </c>
      <c r="D25" s="1579" t="s">
        <v>11410</v>
      </c>
      <c r="E25" s="1813" t="s">
        <v>10634</v>
      </c>
      <c r="F25" s="1579" t="s">
        <v>11411</v>
      </c>
      <c r="G25" s="1579" t="s">
        <v>11412</v>
      </c>
      <c r="H25" s="1579" t="s">
        <v>11413</v>
      </c>
      <c r="I25" s="1579" t="s">
        <v>11414</v>
      </c>
      <c r="J25" s="1579" t="s">
        <v>11415</v>
      </c>
      <c r="K25" s="1579" t="s">
        <v>11416</v>
      </c>
      <c r="L25" s="1258" t="s">
        <v>11417</v>
      </c>
      <c r="M25" s="1801">
        <v>0.05229166666666667</v>
      </c>
      <c r="N25" s="1804" t="str">
        <f t="shared" si="1"/>
        <v>1:04</v>
      </c>
      <c r="O25" s="1633" t="s">
        <v>11274</v>
      </c>
    </row>
    <row r="26">
      <c r="A26" s="1795" t="s">
        <v>1808</v>
      </c>
      <c r="B26" s="1694" t="s">
        <v>9156</v>
      </c>
      <c r="C26" s="1823">
        <v>0.05158564814814815</v>
      </c>
      <c r="D26" s="1824" t="s">
        <v>11247</v>
      </c>
      <c r="E26" s="1825" t="s">
        <v>11248</v>
      </c>
      <c r="F26" s="1824" t="s">
        <v>11249</v>
      </c>
      <c r="G26" s="1824" t="s">
        <v>11250</v>
      </c>
      <c r="H26" s="1824" t="s">
        <v>11251</v>
      </c>
      <c r="I26" s="1824" t="s">
        <v>11252</v>
      </c>
      <c r="J26" s="1824" t="s">
        <v>11253</v>
      </c>
      <c r="K26" s="1824" t="s">
        <v>11254</v>
      </c>
      <c r="L26" s="1824" t="s">
        <v>9184</v>
      </c>
      <c r="M26" s="1826">
        <v>0.052141203703703703</v>
      </c>
      <c r="N26" s="1804" t="str">
        <f t="shared" si="1"/>
        <v>0:48</v>
      </c>
      <c r="O26" s="1633" t="s">
        <v>11418</v>
      </c>
    </row>
    <row r="27" ht="15.75" customHeight="1">
      <c r="A27" s="962" t="s">
        <v>2826</v>
      </c>
      <c r="B27" s="1605" t="s">
        <v>9103</v>
      </c>
      <c r="C27" s="1802">
        <v>0.051706365740740744</v>
      </c>
      <c r="D27" s="1059" t="s">
        <v>11419</v>
      </c>
      <c r="E27" s="1580" t="s">
        <v>11420</v>
      </c>
      <c r="F27" s="1579" t="s">
        <v>11421</v>
      </c>
      <c r="G27" s="1579" t="s">
        <v>11422</v>
      </c>
      <c r="H27" s="1579" t="s">
        <v>11423</v>
      </c>
      <c r="I27" s="1579" t="s">
        <v>11424</v>
      </c>
      <c r="J27" s="1579" t="s">
        <v>11425</v>
      </c>
      <c r="K27" s="1579" t="s">
        <v>11426</v>
      </c>
      <c r="L27" s="1579" t="s">
        <v>10015</v>
      </c>
      <c r="M27" s="1801">
        <v>0.0525</v>
      </c>
      <c r="N27" s="1801" t="str">
        <f t="shared" si="1"/>
        <v>1:09</v>
      </c>
      <c r="O27" s="1633"/>
    </row>
    <row r="28" ht="15.75" customHeight="1">
      <c r="A28" s="1827" t="s">
        <v>2106</v>
      </c>
      <c r="B28" s="1686" t="s">
        <v>9103</v>
      </c>
      <c r="C28" s="1802">
        <v>0.05171296296296296</v>
      </c>
      <c r="D28" s="1038" t="s">
        <v>11427</v>
      </c>
      <c r="E28" s="1038" t="s">
        <v>11428</v>
      </c>
      <c r="F28" s="1038" t="s">
        <v>11429</v>
      </c>
      <c r="G28" s="1038" t="s">
        <v>11430</v>
      </c>
      <c r="H28" s="1059" t="s">
        <v>11431</v>
      </c>
      <c r="I28" s="1038" t="s">
        <v>11432</v>
      </c>
      <c r="J28" s="1059" t="s">
        <v>11433</v>
      </c>
      <c r="K28" s="1038" t="s">
        <v>11434</v>
      </c>
      <c r="L28" s="1059" t="s">
        <v>9551</v>
      </c>
      <c r="M28" s="1801">
        <v>0.054375</v>
      </c>
      <c r="N28" s="1804" t="str">
        <f t="shared" si="1"/>
        <v>3:50</v>
      </c>
      <c r="O28" s="1633" t="s">
        <v>11435</v>
      </c>
    </row>
    <row r="29" ht="15.75" customHeight="1">
      <c r="A29" s="1640" t="s">
        <v>3099</v>
      </c>
      <c r="B29" s="1605" t="s">
        <v>9103</v>
      </c>
      <c r="C29" s="1797">
        <v>0.05180160879629629</v>
      </c>
      <c r="D29" s="1059" t="s">
        <v>11436</v>
      </c>
      <c r="E29" s="1580" t="s">
        <v>11437</v>
      </c>
      <c r="F29" s="1579" t="s">
        <v>11438</v>
      </c>
      <c r="G29" s="1579" t="s">
        <v>11439</v>
      </c>
      <c r="H29" s="1579" t="s">
        <v>11440</v>
      </c>
      <c r="I29" s="1579" t="s">
        <v>11441</v>
      </c>
      <c r="J29" s="1579" t="s">
        <v>11442</v>
      </c>
      <c r="K29" s="1579" t="s">
        <v>11443</v>
      </c>
      <c r="L29" s="1579" t="s">
        <v>11444</v>
      </c>
      <c r="M29" s="1801">
        <v>0.05303240740740741</v>
      </c>
      <c r="N29" s="1804" t="str">
        <f t="shared" si="1"/>
        <v>1:46</v>
      </c>
      <c r="O29" s="1633"/>
    </row>
    <row r="30" ht="15.75" customHeight="1">
      <c r="A30" s="962" t="s">
        <v>1346</v>
      </c>
      <c r="B30" s="1694" t="s">
        <v>9156</v>
      </c>
      <c r="C30" s="1802">
        <v>0.052088194444444444</v>
      </c>
      <c r="D30" s="1059" t="s">
        <v>11445</v>
      </c>
      <c r="E30" s="1580" t="s">
        <v>11446</v>
      </c>
      <c r="F30" s="1579" t="s">
        <v>11447</v>
      </c>
      <c r="G30" s="1579" t="s">
        <v>11448</v>
      </c>
      <c r="H30" s="1579" t="s">
        <v>11449</v>
      </c>
      <c r="I30" s="1579" t="s">
        <v>11450</v>
      </c>
      <c r="J30" s="1579" t="s">
        <v>11451</v>
      </c>
      <c r="K30" s="1579" t="s">
        <v>11452</v>
      </c>
      <c r="L30" s="1579" t="s">
        <v>10320</v>
      </c>
      <c r="M30" s="1801">
        <v>0.053043981481481484</v>
      </c>
      <c r="N30" s="1804" t="str">
        <f t="shared" si="1"/>
        <v>1:23</v>
      </c>
      <c r="O30" s="1633" t="s">
        <v>11274</v>
      </c>
    </row>
    <row r="31" ht="15.75" customHeight="1">
      <c r="A31" s="962" t="s">
        <v>2581</v>
      </c>
      <c r="B31" s="1605" t="s">
        <v>9130</v>
      </c>
      <c r="C31" s="1802">
        <v>0.05215277777777778</v>
      </c>
      <c r="D31" s="1579" t="s">
        <v>11453</v>
      </c>
      <c r="E31" s="1579" t="s">
        <v>6046</v>
      </c>
      <c r="F31" s="1579" t="s">
        <v>11454</v>
      </c>
      <c r="G31" s="1579" t="s">
        <v>11455</v>
      </c>
      <c r="H31" s="1579" t="s">
        <v>11456</v>
      </c>
      <c r="I31" s="1579" t="s">
        <v>11316</v>
      </c>
      <c r="J31" s="1579" t="s">
        <v>11457</v>
      </c>
      <c r="K31" s="1579" t="s">
        <v>11458</v>
      </c>
      <c r="L31" s="1579" t="s">
        <v>10062</v>
      </c>
      <c r="M31" s="1801">
        <v>0.05399305555555556</v>
      </c>
      <c r="N31" s="1804" t="str">
        <f t="shared" si="1"/>
        <v>2:39</v>
      </c>
      <c r="O31" s="1633" t="s">
        <v>11459</v>
      </c>
    </row>
    <row r="32" ht="15.75" customHeight="1">
      <c r="A32" s="1640" t="s">
        <v>2994</v>
      </c>
      <c r="B32" s="1605" t="s">
        <v>9103</v>
      </c>
      <c r="C32" s="1797">
        <v>0.05216435185185185</v>
      </c>
      <c r="D32" s="1579" t="s">
        <v>11460</v>
      </c>
      <c r="E32" s="1580" t="s">
        <v>11461</v>
      </c>
      <c r="F32" s="1579" t="s">
        <v>11462</v>
      </c>
      <c r="G32" s="1579" t="s">
        <v>11463</v>
      </c>
      <c r="H32" s="1579" t="s">
        <v>11464</v>
      </c>
      <c r="I32" s="1579" t="s">
        <v>11465</v>
      </c>
      <c r="J32" s="1579" t="s">
        <v>11466</v>
      </c>
      <c r="K32" s="1579" t="s">
        <v>11467</v>
      </c>
      <c r="L32" s="1579" t="s">
        <v>11468</v>
      </c>
      <c r="M32" s="1801">
        <v>0.05337962962962963</v>
      </c>
      <c r="N32" s="1804" t="str">
        <f t="shared" si="1"/>
        <v>1:45</v>
      </c>
      <c r="O32" s="1633" t="s">
        <v>11469</v>
      </c>
    </row>
    <row r="33" ht="15.75" customHeight="1">
      <c r="A33" s="962" t="s">
        <v>740</v>
      </c>
      <c r="B33" s="1605" t="s">
        <v>9130</v>
      </c>
      <c r="C33" s="1802">
        <v>0.05224537037037037</v>
      </c>
      <c r="D33" s="1579" t="s">
        <v>11470</v>
      </c>
      <c r="E33" s="1828" t="s">
        <v>11471</v>
      </c>
      <c r="F33" s="1579" t="s">
        <v>11472</v>
      </c>
      <c r="G33" s="1579" t="s">
        <v>11473</v>
      </c>
      <c r="H33" s="1579" t="s">
        <v>11474</v>
      </c>
      <c r="I33" s="1579" t="s">
        <v>11475</v>
      </c>
      <c r="J33" s="1579" t="s">
        <v>11476</v>
      </c>
      <c r="K33" s="1582" t="s">
        <v>11477</v>
      </c>
      <c r="L33" s="1579" t="s">
        <v>11478</v>
      </c>
      <c r="M33" s="1801">
        <v>0.053043981481481484</v>
      </c>
      <c r="N33" s="1804" t="str">
        <f t="shared" si="1"/>
        <v>1:09</v>
      </c>
      <c r="O33" s="1633" t="s">
        <v>11479</v>
      </c>
    </row>
    <row r="34" ht="15.75" customHeight="1">
      <c r="A34" s="1640" t="s">
        <v>3099</v>
      </c>
      <c r="B34" s="1694" t="s">
        <v>9130</v>
      </c>
      <c r="C34" s="1797">
        <v>0.052316898148148154</v>
      </c>
      <c r="D34" s="1059" t="s">
        <v>11480</v>
      </c>
      <c r="E34" s="1580" t="s">
        <v>11481</v>
      </c>
      <c r="F34" s="1579" t="s">
        <v>11482</v>
      </c>
      <c r="G34" s="1579" t="s">
        <v>11483</v>
      </c>
      <c r="H34" s="1579" t="s">
        <v>11484</v>
      </c>
      <c r="I34" s="1579" t="s">
        <v>11485</v>
      </c>
      <c r="J34" s="1579" t="s">
        <v>11486</v>
      </c>
      <c r="K34" s="1579" t="s">
        <v>11487</v>
      </c>
      <c r="L34" s="1579" t="s">
        <v>9799</v>
      </c>
      <c r="M34" s="1801">
        <v>0.05376157407407407</v>
      </c>
      <c r="N34" s="1804" t="str">
        <f t="shared" si="1"/>
        <v>2:05</v>
      </c>
      <c r="O34" s="1633" t="s">
        <v>11274</v>
      </c>
    </row>
    <row r="35" ht="15.75" customHeight="1">
      <c r="A35" s="962" t="s">
        <v>4053</v>
      </c>
      <c r="B35" s="1605" t="s">
        <v>9103</v>
      </c>
      <c r="C35" s="1802">
        <v>0.05238425925925926</v>
      </c>
      <c r="D35" s="1062" t="s">
        <v>11488</v>
      </c>
      <c r="E35" s="1580" t="s">
        <v>11461</v>
      </c>
      <c r="F35" s="1579" t="s">
        <v>11489</v>
      </c>
      <c r="G35" s="1803" t="s">
        <v>11490</v>
      </c>
      <c r="H35" s="1579" t="s">
        <v>11491</v>
      </c>
      <c r="I35" s="1579" t="s">
        <v>11492</v>
      </c>
      <c r="J35" s="1579" t="s">
        <v>11493</v>
      </c>
      <c r="K35" s="1579" t="s">
        <v>11494</v>
      </c>
      <c r="L35" s="1579" t="s">
        <v>10338</v>
      </c>
      <c r="M35" s="1801">
        <v>0.05340277777777778</v>
      </c>
      <c r="N35" s="1804" t="str">
        <f t="shared" si="1"/>
        <v>1:28</v>
      </c>
      <c r="O35" s="1633" t="s">
        <v>11495</v>
      </c>
    </row>
    <row r="36" ht="15.75" customHeight="1">
      <c r="A36" s="962" t="s">
        <v>2715</v>
      </c>
      <c r="B36" s="1605" t="s">
        <v>9103</v>
      </c>
      <c r="C36" s="1802">
        <v>0.0525</v>
      </c>
      <c r="D36" s="1059" t="s">
        <v>11496</v>
      </c>
      <c r="E36" s="1580" t="s">
        <v>11497</v>
      </c>
      <c r="F36" s="1579" t="s">
        <v>11498</v>
      </c>
      <c r="G36" s="1579" t="s">
        <v>11499</v>
      </c>
      <c r="H36" s="1579" t="s">
        <v>11500</v>
      </c>
      <c r="I36" s="1579" t="s">
        <v>11501</v>
      </c>
      <c r="J36" s="1579" t="s">
        <v>11502</v>
      </c>
      <c r="K36" s="1579" t="s">
        <v>11503</v>
      </c>
      <c r="L36" s="1579" t="s">
        <v>701</v>
      </c>
      <c r="M36" s="1801">
        <v>0.053773148148148146</v>
      </c>
      <c r="N36" s="1804" t="str">
        <f t="shared" si="1"/>
        <v>1:50</v>
      </c>
      <c r="O36" s="1633" t="s">
        <v>11504</v>
      </c>
    </row>
    <row r="37" ht="15.75" customHeight="1">
      <c r="A37" s="1640" t="s">
        <v>10365</v>
      </c>
      <c r="B37" s="1605" t="s">
        <v>9103</v>
      </c>
      <c r="C37" s="1797">
        <v>0.05268518518518518</v>
      </c>
      <c r="D37" s="1059" t="s">
        <v>11505</v>
      </c>
      <c r="E37" s="1580" t="s">
        <v>11506</v>
      </c>
      <c r="F37" s="1579" t="s">
        <v>11507</v>
      </c>
      <c r="G37" s="1579" t="s">
        <v>11508</v>
      </c>
      <c r="H37" s="1579" t="s">
        <v>11509</v>
      </c>
      <c r="I37" s="1579" t="s">
        <v>7470</v>
      </c>
      <c r="J37" s="1579" t="s">
        <v>11510</v>
      </c>
      <c r="K37" s="1579" t="s">
        <v>11511</v>
      </c>
      <c r="L37" s="1579" t="s">
        <v>10383</v>
      </c>
      <c r="M37" s="1801">
        <v>0.05331018518518518</v>
      </c>
      <c r="N37" s="1804" t="str">
        <f t="shared" si="1"/>
        <v>0:54</v>
      </c>
      <c r="O37" s="1633" t="s">
        <v>11512</v>
      </c>
    </row>
    <row r="38" ht="15.75" customHeight="1">
      <c r="A38" s="1640" t="s">
        <v>3750</v>
      </c>
      <c r="B38" s="1809" t="s">
        <v>9103</v>
      </c>
      <c r="C38" s="1797">
        <v>0.05270034722222223</v>
      </c>
      <c r="D38" s="1062" t="s">
        <v>11513</v>
      </c>
      <c r="E38" s="1580" t="s">
        <v>11514</v>
      </c>
      <c r="F38" s="1579" t="s">
        <v>11515</v>
      </c>
      <c r="G38" s="1579" t="s">
        <v>11516</v>
      </c>
      <c r="H38" s="1579" t="s">
        <v>11517</v>
      </c>
      <c r="I38" s="1579" t="s">
        <v>11518</v>
      </c>
      <c r="J38" s="1579" t="s">
        <v>11519</v>
      </c>
      <c r="K38" s="1579" t="s">
        <v>11520</v>
      </c>
      <c r="L38" s="1579" t="s">
        <v>11521</v>
      </c>
      <c r="M38" s="1801">
        <v>0.05425925925925926</v>
      </c>
      <c r="N38" s="1804" t="str">
        <f t="shared" si="1"/>
        <v>2:15</v>
      </c>
      <c r="O38" s="1633" t="s">
        <v>11274</v>
      </c>
    </row>
    <row r="39">
      <c r="A39" s="1829" t="s">
        <v>3442</v>
      </c>
      <c r="B39" s="1809" t="s">
        <v>9103</v>
      </c>
      <c r="C39" s="1797">
        <v>0.053009259259259256</v>
      </c>
      <c r="D39" s="1062" t="s">
        <v>11522</v>
      </c>
      <c r="E39" s="1580" t="s">
        <v>11523</v>
      </c>
      <c r="F39" s="1579" t="s">
        <v>11524</v>
      </c>
      <c r="G39" s="1579" t="s">
        <v>11525</v>
      </c>
      <c r="H39" s="1579" t="s">
        <v>11526</v>
      </c>
      <c r="I39" s="1579" t="s">
        <v>11527</v>
      </c>
      <c r="J39" s="1579" t="s">
        <v>11528</v>
      </c>
      <c r="K39" s="1579" t="s">
        <v>11529</v>
      </c>
      <c r="L39" s="1579" t="s">
        <v>11530</v>
      </c>
      <c r="M39" s="1801">
        <v>0.05372685185185185</v>
      </c>
      <c r="N39" s="1804" t="str">
        <f t="shared" si="1"/>
        <v>1:02</v>
      </c>
      <c r="O39" s="1633" t="s">
        <v>11274</v>
      </c>
    </row>
    <row r="40" ht="15.75" customHeight="1">
      <c r="A40" s="962" t="s">
        <v>1050</v>
      </c>
      <c r="B40" s="1773" t="s">
        <v>9130</v>
      </c>
      <c r="C40" s="1802">
        <v>0.05378472222222222</v>
      </c>
      <c r="D40" s="1059" t="s">
        <v>11531</v>
      </c>
      <c r="E40" s="1580" t="s">
        <v>11532</v>
      </c>
      <c r="F40" s="1579" t="s">
        <v>11533</v>
      </c>
      <c r="G40" s="1579" t="s">
        <v>11534</v>
      </c>
      <c r="H40" s="1579" t="s">
        <v>11535</v>
      </c>
      <c r="I40" s="1579" t="s">
        <v>9686</v>
      </c>
      <c r="J40" s="1579" t="s">
        <v>11536</v>
      </c>
      <c r="K40" s="1579" t="s">
        <v>11537</v>
      </c>
      <c r="L40" s="1579" t="s">
        <v>10110</v>
      </c>
      <c r="M40" s="1801">
        <v>0.054560185185185184</v>
      </c>
      <c r="N40" s="1804" t="str">
        <f t="shared" si="1"/>
        <v>1:07</v>
      </c>
      <c r="O40" s="1633"/>
    </row>
    <row r="41" ht="15.75" customHeight="1">
      <c r="A41" s="962" t="s">
        <v>4955</v>
      </c>
      <c r="B41" s="1694" t="s">
        <v>9130</v>
      </c>
      <c r="C41" s="1802">
        <v>0.05748842592592593</v>
      </c>
      <c r="D41" s="1580" t="s">
        <v>11538</v>
      </c>
      <c r="E41" s="1580" t="s">
        <v>11539</v>
      </c>
      <c r="F41" s="1579" t="s">
        <v>11540</v>
      </c>
      <c r="G41" s="1579" t="s">
        <v>11541</v>
      </c>
      <c r="H41" s="1579" t="s">
        <v>11542</v>
      </c>
      <c r="I41" s="1579" t="s">
        <v>11543</v>
      </c>
      <c r="J41" s="1579" t="s">
        <v>11544</v>
      </c>
      <c r="K41" s="1579" t="s">
        <v>11545</v>
      </c>
      <c r="L41" s="1579" t="s">
        <v>11118</v>
      </c>
      <c r="M41" s="1801">
        <v>0.06149305555555556</v>
      </c>
      <c r="N41" s="1804" t="str">
        <f t="shared" si="1"/>
        <v>5:46</v>
      </c>
      <c r="O41" s="1633" t="s">
        <v>11274</v>
      </c>
    </row>
    <row r="42" ht="15.75" customHeight="1">
      <c r="A42" s="962" t="s">
        <v>6542</v>
      </c>
      <c r="B42" s="1729" t="s">
        <v>11120</v>
      </c>
      <c r="C42" s="1830">
        <v>0.0609375</v>
      </c>
      <c r="D42" s="1737" t="s">
        <v>11546</v>
      </c>
      <c r="E42" s="1831" t="s">
        <v>9001</v>
      </c>
      <c r="F42" s="1831" t="s">
        <v>11547</v>
      </c>
      <c r="G42" s="1831" t="s">
        <v>11548</v>
      </c>
      <c r="H42" s="1831" t="s">
        <v>11549</v>
      </c>
      <c r="I42" s="1831" t="s">
        <v>8546</v>
      </c>
      <c r="J42" s="1831" t="s">
        <v>11550</v>
      </c>
      <c r="K42" s="1831" t="s">
        <v>11551</v>
      </c>
      <c r="L42" s="1831" t="s">
        <v>11552</v>
      </c>
      <c r="M42" s="1832">
        <v>0.06646990740740741</v>
      </c>
      <c r="N42" s="1831" t="s">
        <v>11553</v>
      </c>
      <c r="O42" s="1633" t="s">
        <v>11554</v>
      </c>
    </row>
    <row r="43" ht="15.75" customHeight="1">
      <c r="A43" s="1640"/>
      <c r="B43" s="1605"/>
      <c r="C43" s="1833"/>
      <c r="D43" s="1062"/>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9065</v>
      </c>
      <c r="C1" s="1858" t="s">
        <v>11229</v>
      </c>
      <c r="D1" s="1859" t="s">
        <v>7788</v>
      </c>
      <c r="E1" s="1860" t="s">
        <v>8122</v>
      </c>
      <c r="F1" s="1861" t="s">
        <v>38</v>
      </c>
      <c r="G1" s="1862" t="s">
        <v>36</v>
      </c>
      <c r="H1" s="1858" t="s">
        <v>11230</v>
      </c>
      <c r="I1" s="1863" t="s">
        <v>39</v>
      </c>
      <c r="J1" s="1755" t="s">
        <v>8051</v>
      </c>
      <c r="K1" s="1484" t="s">
        <v>9099</v>
      </c>
      <c r="L1" s="1757" t="s">
        <v>9101</v>
      </c>
    </row>
    <row r="2" ht="15.75" customHeight="1">
      <c r="A2" s="1758" t="s">
        <v>9102</v>
      </c>
      <c r="B2" s="1759" t="s">
        <v>9103</v>
      </c>
      <c r="C2" s="1761" t="s">
        <v>11555</v>
      </c>
      <c r="D2" s="1864" t="s">
        <v>11556</v>
      </c>
      <c r="E2" s="1865" t="s">
        <v>11557</v>
      </c>
      <c r="F2" s="1866" t="s">
        <v>11558</v>
      </c>
      <c r="G2" s="1765" t="s">
        <v>11559</v>
      </c>
      <c r="H2" s="1761" t="s">
        <v>11560</v>
      </c>
      <c r="I2" s="1867" t="s">
        <v>11561</v>
      </c>
      <c r="J2" s="1768" t="s">
        <v>11562</v>
      </c>
      <c r="K2" s="1868" t="s">
        <v>11563</v>
      </c>
      <c r="L2" s="1869"/>
    </row>
    <row r="3" ht="15.75" customHeight="1">
      <c r="A3" s="1772" t="s">
        <v>9129</v>
      </c>
      <c r="B3" s="1773" t="s">
        <v>9130</v>
      </c>
      <c r="C3" s="1513" t="s">
        <v>11453</v>
      </c>
      <c r="D3" s="1521" t="s">
        <v>11564</v>
      </c>
      <c r="E3" s="1515" t="s">
        <v>11565</v>
      </c>
      <c r="F3" s="1516" t="s">
        <v>11566</v>
      </c>
      <c r="G3" s="1518" t="s">
        <v>11567</v>
      </c>
      <c r="H3" s="1513" t="s">
        <v>11568</v>
      </c>
      <c r="I3" s="1520" t="s">
        <v>11569</v>
      </c>
      <c r="J3" s="1523" t="s">
        <v>11570</v>
      </c>
      <c r="K3" s="1774">
        <v>0.053043981481481484</v>
      </c>
      <c r="L3" s="1870"/>
    </row>
    <row r="4" ht="15.75" customHeight="1">
      <c r="A4" s="1777" t="s">
        <v>9155</v>
      </c>
      <c r="B4" s="1778" t="s">
        <v>9156</v>
      </c>
      <c r="C4" s="1780" t="s">
        <v>11445</v>
      </c>
      <c r="D4" s="1871" t="s">
        <v>11571</v>
      </c>
      <c r="E4" s="1782" t="s">
        <v>11572</v>
      </c>
      <c r="F4" s="1783" t="s">
        <v>11573</v>
      </c>
      <c r="G4" s="1784" t="s">
        <v>11574</v>
      </c>
      <c r="H4" s="1780" t="s">
        <v>11575</v>
      </c>
      <c r="I4" s="1785" t="s">
        <v>11576</v>
      </c>
      <c r="J4" s="1786" t="s">
        <v>11577</v>
      </c>
      <c r="K4" s="1779">
        <v>0.053043981481481484</v>
      </c>
      <c r="L4" s="1869"/>
    </row>
    <row r="5" ht="15.75" customHeight="1">
      <c r="A5" s="962" t="s">
        <v>979</v>
      </c>
      <c r="B5" s="1605" t="s">
        <v>9103</v>
      </c>
      <c r="C5" s="1790" t="s">
        <v>11555</v>
      </c>
      <c r="D5" s="1790" t="s">
        <v>11556</v>
      </c>
      <c r="E5" s="1790" t="s">
        <v>11557</v>
      </c>
      <c r="F5" s="1790" t="s">
        <v>11558</v>
      </c>
      <c r="G5" s="1872" t="s">
        <v>11559</v>
      </c>
      <c r="H5" s="1872" t="s">
        <v>11560</v>
      </c>
      <c r="I5" s="1872" t="s">
        <v>11561</v>
      </c>
      <c r="J5" s="1872" t="s">
        <v>11562</v>
      </c>
      <c r="K5" s="1873" t="s">
        <v>9193</v>
      </c>
      <c r="L5" s="1633" t="s">
        <v>11578</v>
      </c>
    </row>
    <row r="6" ht="15.75" customHeight="1">
      <c r="A6" s="1741" t="s">
        <v>1808</v>
      </c>
      <c r="B6" s="1874" t="s">
        <v>9103</v>
      </c>
      <c r="C6" s="1875" t="s">
        <v>11266</v>
      </c>
      <c r="D6" s="1876" t="s">
        <v>11579</v>
      </c>
      <c r="E6" s="1877" t="s">
        <v>11580</v>
      </c>
      <c r="F6" s="1878" t="s">
        <v>11581</v>
      </c>
      <c r="G6" s="1879" t="s">
        <v>11582</v>
      </c>
      <c r="H6" s="1880" t="s">
        <v>11583</v>
      </c>
      <c r="I6" s="1881" t="s">
        <v>11584</v>
      </c>
      <c r="J6" s="1882" t="s">
        <v>11585</v>
      </c>
      <c r="K6" s="1579" t="s">
        <v>9281</v>
      </c>
      <c r="L6" s="1883" t="s">
        <v>11586</v>
      </c>
    </row>
    <row r="7" ht="15.75" customHeight="1">
      <c r="A7" s="1884" t="s">
        <v>6612</v>
      </c>
      <c r="B7" s="1605" t="s">
        <v>9103</v>
      </c>
      <c r="C7" s="1718" t="s">
        <v>11281</v>
      </c>
      <c r="D7" s="1579" t="s">
        <v>11587</v>
      </c>
      <c r="E7" s="1579" t="s">
        <v>11588</v>
      </c>
      <c r="F7" s="1579" t="s">
        <v>11589</v>
      </c>
      <c r="G7" s="1885" t="s">
        <v>11590</v>
      </c>
      <c r="H7" s="1885" t="s">
        <v>11591</v>
      </c>
      <c r="I7" s="1885" t="s">
        <v>11592</v>
      </c>
      <c r="J7" s="1885" t="s">
        <v>11593</v>
      </c>
      <c r="K7" s="1579" t="s">
        <v>9349</v>
      </c>
      <c r="L7" s="1633"/>
    </row>
    <row r="8" ht="15.75" customHeight="1">
      <c r="A8" s="962" t="s">
        <v>2544</v>
      </c>
      <c r="B8" s="1605" t="s">
        <v>9103</v>
      </c>
      <c r="C8" s="1798" t="s">
        <v>11260</v>
      </c>
      <c r="D8" s="1791" t="s">
        <v>11594</v>
      </c>
      <c r="E8" s="1791" t="s">
        <v>11595</v>
      </c>
      <c r="F8" s="1791" t="s">
        <v>11596</v>
      </c>
      <c r="G8" s="1886" t="s">
        <v>11597</v>
      </c>
      <c r="H8" s="1887" t="s">
        <v>11598</v>
      </c>
      <c r="I8" s="1888" t="s">
        <v>11599</v>
      </c>
      <c r="J8" s="1889" t="s">
        <v>11600</v>
      </c>
      <c r="K8" s="1791" t="s">
        <v>9220</v>
      </c>
      <c r="L8" s="1633"/>
    </row>
    <row r="9" ht="15.75" customHeight="1">
      <c r="A9" s="1805" t="s">
        <v>435</v>
      </c>
      <c r="B9" s="1543" t="s">
        <v>9103</v>
      </c>
      <c r="C9" s="1718" t="s">
        <v>11275</v>
      </c>
      <c r="D9" s="1579" t="s">
        <v>11601</v>
      </c>
      <c r="E9" s="1579" t="s">
        <v>11602</v>
      </c>
      <c r="F9" s="1579" t="s">
        <v>11603</v>
      </c>
      <c r="G9" s="1885" t="s">
        <v>11604</v>
      </c>
      <c r="H9" s="1885" t="s">
        <v>11605</v>
      </c>
      <c r="I9" s="1885" t="s">
        <v>11606</v>
      </c>
      <c r="J9" s="1885" t="s">
        <v>11607</v>
      </c>
      <c r="K9" s="1579" t="s">
        <v>9241</v>
      </c>
      <c r="L9" s="1633"/>
    </row>
    <row r="10" ht="15.75" customHeight="1">
      <c r="A10" s="1741" t="s">
        <v>6771</v>
      </c>
      <c r="B10" s="1543" t="s">
        <v>9103</v>
      </c>
      <c r="C10" s="1579" t="s">
        <v>11608</v>
      </c>
      <c r="D10" s="1579" t="s">
        <v>11609</v>
      </c>
      <c r="E10" s="1579" t="s">
        <v>11610</v>
      </c>
      <c r="F10" s="1582" t="s">
        <v>11611</v>
      </c>
      <c r="G10" s="1890" t="s">
        <v>11612</v>
      </c>
      <c r="H10" s="1891" t="s">
        <v>11613</v>
      </c>
      <c r="I10" s="1892" t="s">
        <v>11614</v>
      </c>
      <c r="J10" s="820" t="s">
        <v>11615</v>
      </c>
      <c r="K10" s="1579" t="s">
        <v>9262</v>
      </c>
      <c r="L10" s="1633"/>
    </row>
    <row r="11" ht="15.75" customHeight="1">
      <c r="A11" s="962" t="s">
        <v>1549</v>
      </c>
      <c r="B11" s="1605" t="s">
        <v>9103</v>
      </c>
      <c r="C11" s="1893" t="s">
        <v>11315</v>
      </c>
      <c r="D11" s="1812" t="s">
        <v>11616</v>
      </c>
      <c r="E11" s="1812" t="s">
        <v>11617</v>
      </c>
      <c r="F11" s="1579" t="s">
        <v>11618</v>
      </c>
      <c r="G11" s="1894" t="s">
        <v>11619</v>
      </c>
      <c r="H11" s="1894" t="s">
        <v>11620</v>
      </c>
      <c r="I11" s="1894" t="s">
        <v>11621</v>
      </c>
      <c r="J11" s="1894" t="s">
        <v>11622</v>
      </c>
      <c r="K11" s="1803" t="s">
        <v>9531</v>
      </c>
      <c r="L11" s="1633" t="s">
        <v>11623</v>
      </c>
    </row>
    <row r="12" ht="15.75" customHeight="1">
      <c r="A12" s="1640" t="s">
        <v>825</v>
      </c>
      <c r="B12" s="1694" t="s">
        <v>9103</v>
      </c>
      <c r="C12" s="1895" t="s">
        <v>11297</v>
      </c>
      <c r="D12" s="1579" t="s">
        <v>11624</v>
      </c>
      <c r="E12" s="1579" t="s">
        <v>11625</v>
      </c>
      <c r="F12" s="1579" t="s">
        <v>11626</v>
      </c>
      <c r="G12" s="830" t="s">
        <v>11627</v>
      </c>
      <c r="H12" s="1875" t="s">
        <v>11628</v>
      </c>
      <c r="I12" s="1881" t="s">
        <v>11629</v>
      </c>
      <c r="J12" s="1882" t="s">
        <v>11630</v>
      </c>
      <c r="K12" s="1579" t="s">
        <v>11631</v>
      </c>
      <c r="L12" s="1633" t="s">
        <v>11632</v>
      </c>
    </row>
    <row r="13" ht="15.75" customHeight="1">
      <c r="A13" s="1745" t="s">
        <v>2088</v>
      </c>
      <c r="B13" s="1543" t="s">
        <v>9103</v>
      </c>
      <c r="C13" s="1893" t="s">
        <v>11324</v>
      </c>
      <c r="D13" s="1579" t="s">
        <v>11633</v>
      </c>
      <c r="E13" s="1579" t="s">
        <v>11634</v>
      </c>
      <c r="F13" s="1579" t="s">
        <v>11635</v>
      </c>
      <c r="G13" s="1885" t="s">
        <v>11636</v>
      </c>
      <c r="H13" s="1885" t="s">
        <v>11637</v>
      </c>
      <c r="I13" s="1885" t="s">
        <v>11638</v>
      </c>
      <c r="J13" s="1885" t="s">
        <v>11639</v>
      </c>
      <c r="K13" s="1579" t="s">
        <v>9510</v>
      </c>
      <c r="L13" s="1633"/>
    </row>
    <row r="14" ht="15.75" customHeight="1">
      <c r="A14" s="1805" t="s">
        <v>330</v>
      </c>
      <c r="B14" s="1543" t="s">
        <v>9103</v>
      </c>
      <c r="C14" s="1579" t="s">
        <v>11640</v>
      </c>
      <c r="D14" s="1579" t="s">
        <v>11641</v>
      </c>
      <c r="E14" s="1579" t="s">
        <v>11642</v>
      </c>
      <c r="F14" s="1579" t="s">
        <v>11643</v>
      </c>
      <c r="G14" s="830" t="s">
        <v>11644</v>
      </c>
      <c r="H14" s="1875" t="s">
        <v>11645</v>
      </c>
      <c r="I14" s="1881" t="s">
        <v>11646</v>
      </c>
      <c r="J14" s="1882" t="s">
        <v>11647</v>
      </c>
      <c r="K14" s="1579" t="s">
        <v>9328</v>
      </c>
      <c r="L14" s="1633"/>
    </row>
    <row r="15" ht="16.5" customHeight="1">
      <c r="A15" s="1820" t="s">
        <v>2772</v>
      </c>
      <c r="B15" s="1543" t="s">
        <v>9103</v>
      </c>
      <c r="C15" s="1579" t="s">
        <v>11353</v>
      </c>
      <c r="D15" s="1579" t="s">
        <v>11648</v>
      </c>
      <c r="E15" s="1579" t="s">
        <v>11649</v>
      </c>
      <c r="F15" s="1579" t="s">
        <v>11650</v>
      </c>
      <c r="G15" s="1885" t="s">
        <v>11651</v>
      </c>
      <c r="H15" s="1885" t="s">
        <v>11652</v>
      </c>
      <c r="I15" s="1885" t="s">
        <v>11653</v>
      </c>
      <c r="J15" s="1885" t="s">
        <v>11654</v>
      </c>
      <c r="K15" s="1579" t="s">
        <v>11655</v>
      </c>
      <c r="L15" s="1633" t="s">
        <v>11656</v>
      </c>
    </row>
    <row r="16" ht="15.0" customHeight="1">
      <c r="A16" s="1827" t="s">
        <v>1721</v>
      </c>
      <c r="B16" s="1686" t="s">
        <v>9103</v>
      </c>
      <c r="C16" s="1895" t="s">
        <v>11657</v>
      </c>
      <c r="D16" s="1579" t="s">
        <v>11658</v>
      </c>
      <c r="E16" s="1579" t="s">
        <v>11659</v>
      </c>
      <c r="F16" s="1579" t="s">
        <v>11660</v>
      </c>
      <c r="G16" s="830" t="s">
        <v>11661</v>
      </c>
      <c r="H16" s="1875" t="s">
        <v>11662</v>
      </c>
      <c r="I16" s="1881" t="s">
        <v>11663</v>
      </c>
      <c r="J16" s="1882" t="s">
        <v>11664</v>
      </c>
      <c r="K16" s="1579" t="s">
        <v>9779</v>
      </c>
      <c r="L16" s="1633"/>
    </row>
    <row r="17" ht="15.75" customHeight="1">
      <c r="A17" s="962" t="s">
        <v>7031</v>
      </c>
      <c r="B17" s="1543" t="s">
        <v>9103</v>
      </c>
      <c r="C17" s="1579" t="s">
        <v>11386</v>
      </c>
      <c r="D17" s="1579" t="s">
        <v>11665</v>
      </c>
      <c r="E17" s="1579" t="s">
        <v>11666</v>
      </c>
      <c r="F17" s="1579" t="s">
        <v>11667</v>
      </c>
      <c r="G17" s="1885" t="s">
        <v>11668</v>
      </c>
      <c r="H17" s="1885" t="s">
        <v>11669</v>
      </c>
      <c r="I17" s="1885" t="s">
        <v>11670</v>
      </c>
      <c r="J17" s="1885" t="s">
        <v>11671</v>
      </c>
      <c r="K17" s="1579" t="s">
        <v>9681</v>
      </c>
      <c r="L17" s="1633" t="s">
        <v>11672</v>
      </c>
    </row>
    <row r="18" ht="15.75" customHeight="1">
      <c r="A18" s="1805" t="s">
        <v>1413</v>
      </c>
      <c r="B18" s="1543" t="s">
        <v>9103</v>
      </c>
      <c r="C18" s="1579" t="s">
        <v>11673</v>
      </c>
      <c r="D18" s="1579" t="s">
        <v>11674</v>
      </c>
      <c r="E18" s="1579" t="s">
        <v>11675</v>
      </c>
      <c r="F18" s="1579" t="s">
        <v>11676</v>
      </c>
      <c r="G18" s="830" t="s">
        <v>11677</v>
      </c>
      <c r="H18" s="1875" t="s">
        <v>11678</v>
      </c>
      <c r="I18" s="1881" t="s">
        <v>11679</v>
      </c>
      <c r="J18" s="1882" t="s">
        <v>11680</v>
      </c>
      <c r="K18" s="1579" t="s">
        <v>9660</v>
      </c>
      <c r="L18" s="1633"/>
    </row>
    <row r="19" ht="15.75" customHeight="1">
      <c r="A19" s="962" t="s">
        <v>2264</v>
      </c>
      <c r="B19" s="1694" t="s">
        <v>9103</v>
      </c>
      <c r="C19" s="1895" t="s">
        <v>11360</v>
      </c>
      <c r="D19" s="1579" t="s">
        <v>11681</v>
      </c>
      <c r="E19" s="1579" t="s">
        <v>11682</v>
      </c>
      <c r="F19" s="1579" t="s">
        <v>11683</v>
      </c>
      <c r="G19" s="1885" t="s">
        <v>11684</v>
      </c>
      <c r="H19" s="1885" t="s">
        <v>11685</v>
      </c>
      <c r="I19" s="1885" t="s">
        <v>11686</v>
      </c>
      <c r="J19" s="1885" t="s">
        <v>11687</v>
      </c>
      <c r="K19" s="1579" t="s">
        <v>9573</v>
      </c>
      <c r="L19" s="1633" t="s">
        <v>11688</v>
      </c>
    </row>
    <row r="20" ht="15.75" customHeight="1">
      <c r="A20" s="1805" t="s">
        <v>897</v>
      </c>
      <c r="B20" s="1543" t="s">
        <v>9103</v>
      </c>
      <c r="C20" s="1579" t="s">
        <v>11689</v>
      </c>
      <c r="D20" s="1579" t="s">
        <v>11690</v>
      </c>
      <c r="E20" s="1579" t="s">
        <v>11691</v>
      </c>
      <c r="F20" s="1579" t="s">
        <v>11692</v>
      </c>
      <c r="G20" s="830" t="s">
        <v>11693</v>
      </c>
      <c r="H20" s="1875" t="s">
        <v>11694</v>
      </c>
      <c r="I20" s="1881" t="s">
        <v>11695</v>
      </c>
      <c r="J20" s="1882" t="s">
        <v>11696</v>
      </c>
      <c r="K20" s="1579" t="s">
        <v>9925</v>
      </c>
      <c r="L20" s="1633"/>
    </row>
    <row r="21" ht="15.75" customHeight="1">
      <c r="A21" s="962" t="s">
        <v>1631</v>
      </c>
      <c r="B21" s="1605" t="s">
        <v>9103</v>
      </c>
      <c r="C21" s="1579" t="s">
        <v>11697</v>
      </c>
      <c r="D21" s="1579" t="s">
        <v>11698</v>
      </c>
      <c r="E21" s="1803" t="s">
        <v>11699</v>
      </c>
      <c r="F21" s="1579" t="s">
        <v>11700</v>
      </c>
      <c r="G21" s="1885" t="s">
        <v>11701</v>
      </c>
      <c r="H21" s="1885" t="s">
        <v>11702</v>
      </c>
      <c r="I21" s="1885" t="s">
        <v>11703</v>
      </c>
      <c r="J21" s="1885" t="s">
        <v>11704</v>
      </c>
      <c r="K21" s="1579" t="s">
        <v>9707</v>
      </c>
      <c r="L21" s="1633"/>
    </row>
    <row r="22" ht="15.75" customHeight="1">
      <c r="A22" s="1741" t="s">
        <v>9575</v>
      </c>
      <c r="B22" s="1543" t="s">
        <v>9103</v>
      </c>
      <c r="C22" s="1579" t="s">
        <v>11396</v>
      </c>
      <c r="D22" s="1579" t="s">
        <v>11705</v>
      </c>
      <c r="E22" s="1579" t="s">
        <v>11706</v>
      </c>
      <c r="F22" s="1579" t="s">
        <v>11707</v>
      </c>
      <c r="G22" s="830" t="s">
        <v>11708</v>
      </c>
      <c r="H22" s="1875" t="s">
        <v>11709</v>
      </c>
      <c r="I22" s="1881" t="s">
        <v>11710</v>
      </c>
      <c r="J22" s="1882" t="s">
        <v>11711</v>
      </c>
      <c r="K22" s="1579" t="s">
        <v>9590</v>
      </c>
      <c r="L22" s="1633"/>
    </row>
    <row r="23">
      <c r="A23" s="1795" t="s">
        <v>2153</v>
      </c>
      <c r="B23" s="1694" t="s">
        <v>9130</v>
      </c>
      <c r="C23" s="1579" t="s">
        <v>11347</v>
      </c>
      <c r="D23" s="1579" t="s">
        <v>11712</v>
      </c>
      <c r="E23" s="1579" t="s">
        <v>11713</v>
      </c>
      <c r="F23" s="1579" t="s">
        <v>11714</v>
      </c>
      <c r="G23" s="1885" t="s">
        <v>11715</v>
      </c>
      <c r="H23" s="1885" t="s">
        <v>11716</v>
      </c>
      <c r="I23" s="1885" t="s">
        <v>11717</v>
      </c>
      <c r="J23" s="1885" t="s">
        <v>11718</v>
      </c>
      <c r="K23" s="1579" t="s">
        <v>11719</v>
      </c>
      <c r="L23" s="1633" t="s">
        <v>11720</v>
      </c>
    </row>
    <row r="24" ht="15.75" customHeight="1">
      <c r="A24" s="962" t="s">
        <v>740</v>
      </c>
      <c r="B24" s="1605" t="s">
        <v>9130</v>
      </c>
      <c r="C24" s="1579" t="s">
        <v>11721</v>
      </c>
      <c r="D24" s="1817" t="s">
        <v>11564</v>
      </c>
      <c r="E24" s="1817" t="s">
        <v>11565</v>
      </c>
      <c r="F24" s="1817" t="s">
        <v>11566</v>
      </c>
      <c r="G24" s="1896" t="s">
        <v>11567</v>
      </c>
      <c r="H24" s="1897" t="s">
        <v>11568</v>
      </c>
      <c r="I24" s="1898" t="s">
        <v>11569</v>
      </c>
      <c r="J24" s="1899" t="s">
        <v>11570</v>
      </c>
      <c r="K24" s="1817" t="s">
        <v>9552</v>
      </c>
      <c r="L24" s="1633" t="s">
        <v>11722</v>
      </c>
    </row>
    <row r="25" ht="15.75" customHeight="1">
      <c r="A25" s="1640" t="s">
        <v>1346</v>
      </c>
      <c r="B25" s="1605" t="s">
        <v>9156</v>
      </c>
      <c r="C25" s="1688" t="s">
        <v>11445</v>
      </c>
      <c r="D25" s="1688" t="s">
        <v>11571</v>
      </c>
      <c r="E25" s="1688" t="s">
        <v>11572</v>
      </c>
      <c r="F25" s="1688" t="s">
        <v>11573</v>
      </c>
      <c r="G25" s="1900" t="s">
        <v>11574</v>
      </c>
      <c r="H25" s="1900" t="s">
        <v>11575</v>
      </c>
      <c r="I25" s="1900" t="s">
        <v>11576</v>
      </c>
      <c r="J25" s="1900" t="s">
        <v>11577</v>
      </c>
      <c r="K25" s="1688" t="s">
        <v>9552</v>
      </c>
      <c r="L25" s="1633"/>
    </row>
    <row r="26" ht="16.5" customHeight="1">
      <c r="A26" s="1640" t="s">
        <v>11723</v>
      </c>
      <c r="B26" s="1605" t="s">
        <v>9103</v>
      </c>
      <c r="C26" s="1038" t="s">
        <v>11427</v>
      </c>
      <c r="D26" s="1579" t="s">
        <v>11724</v>
      </c>
      <c r="E26" s="1579" t="s">
        <v>11725</v>
      </c>
      <c r="F26" s="1579" t="s">
        <v>11726</v>
      </c>
      <c r="G26" s="830" t="s">
        <v>11708</v>
      </c>
      <c r="H26" s="1875" t="s">
        <v>11727</v>
      </c>
      <c r="I26" s="1881" t="s">
        <v>11728</v>
      </c>
      <c r="J26" s="1882" t="s">
        <v>11729</v>
      </c>
      <c r="K26" s="1579" t="s">
        <v>10085</v>
      </c>
      <c r="L26" s="1633"/>
    </row>
    <row r="27" ht="15.75" customHeight="1">
      <c r="A27" s="1640" t="s">
        <v>2994</v>
      </c>
      <c r="B27" s="1605" t="s">
        <v>9103</v>
      </c>
      <c r="C27" s="1579" t="s">
        <v>11730</v>
      </c>
      <c r="D27" s="1579" t="s">
        <v>11731</v>
      </c>
      <c r="E27" s="1579" t="s">
        <v>11732</v>
      </c>
      <c r="F27" s="1579" t="s">
        <v>11733</v>
      </c>
      <c r="G27" s="1885" t="s">
        <v>11734</v>
      </c>
      <c r="H27" s="1885" t="s">
        <v>11735</v>
      </c>
      <c r="I27" s="1885" t="s">
        <v>11736</v>
      </c>
      <c r="J27" s="1885" t="s">
        <v>11737</v>
      </c>
      <c r="K27" s="1579" t="s">
        <v>11738</v>
      </c>
      <c r="L27" s="1633" t="s">
        <v>11739</v>
      </c>
    </row>
    <row r="28">
      <c r="A28" s="1829" t="s">
        <v>3099</v>
      </c>
      <c r="B28" s="1809" t="s">
        <v>9130</v>
      </c>
      <c r="C28" s="1895" t="s">
        <v>11740</v>
      </c>
      <c r="D28" s="1579"/>
      <c r="E28" s="1579" t="s">
        <v>11741</v>
      </c>
      <c r="F28" s="1579" t="s">
        <v>11742</v>
      </c>
      <c r="G28" s="830"/>
      <c r="H28" s="1875"/>
      <c r="I28" s="1881"/>
      <c r="J28" s="1882"/>
      <c r="K28" s="1579" t="s">
        <v>10221</v>
      </c>
      <c r="L28" s="1633"/>
    </row>
    <row r="29" ht="15.75" customHeight="1">
      <c r="A29" s="1640" t="s">
        <v>2715</v>
      </c>
      <c r="B29" s="1605" t="s">
        <v>9103</v>
      </c>
      <c r="C29" s="1895" t="s">
        <v>11743</v>
      </c>
      <c r="D29" s="1579" t="s">
        <v>11744</v>
      </c>
      <c r="E29" s="1579" t="s">
        <v>11745</v>
      </c>
      <c r="F29" s="1579" t="s">
        <v>11746</v>
      </c>
      <c r="G29" s="1885" t="s">
        <v>11747</v>
      </c>
      <c r="H29" s="1885" t="s">
        <v>11748</v>
      </c>
      <c r="I29" s="1885" t="s">
        <v>11749</v>
      </c>
      <c r="J29" s="1885" t="s">
        <v>11750</v>
      </c>
      <c r="K29" s="1579" t="s">
        <v>10152</v>
      </c>
      <c r="L29" s="1633" t="s">
        <v>11751</v>
      </c>
    </row>
    <row r="30" ht="15.75" customHeight="1">
      <c r="A30" s="962" t="s">
        <v>2581</v>
      </c>
      <c r="B30" s="1686" t="s">
        <v>9130</v>
      </c>
      <c r="C30" s="1817" t="s">
        <v>11453</v>
      </c>
      <c r="D30" s="1579" t="s">
        <v>11752</v>
      </c>
      <c r="E30" s="1579" t="s">
        <v>11753</v>
      </c>
      <c r="F30" s="1579" t="s">
        <v>11754</v>
      </c>
      <c r="G30" s="830" t="s">
        <v>11755</v>
      </c>
      <c r="H30" s="1875" t="s">
        <v>11756</v>
      </c>
      <c r="I30" s="1881" t="s">
        <v>11757</v>
      </c>
      <c r="J30" s="1882" t="s">
        <v>11758</v>
      </c>
      <c r="K30" s="1579" t="s">
        <v>10063</v>
      </c>
      <c r="L30" s="1633"/>
    </row>
    <row r="31" ht="15.75" customHeight="1">
      <c r="A31" s="1640" t="s">
        <v>5343</v>
      </c>
      <c r="B31" s="1605" t="s">
        <v>9103</v>
      </c>
      <c r="C31" s="1895" t="s">
        <v>11759</v>
      </c>
      <c r="D31" s="1579" t="s">
        <v>11760</v>
      </c>
      <c r="E31" s="1579" t="s">
        <v>11761</v>
      </c>
      <c r="F31" s="1579" t="s">
        <v>11762</v>
      </c>
      <c r="G31" s="1885" t="s">
        <v>11763</v>
      </c>
      <c r="H31" s="1885" t="s">
        <v>11764</v>
      </c>
      <c r="I31" s="1885" t="s">
        <v>11765</v>
      </c>
      <c r="J31" s="1885" t="s">
        <v>11766</v>
      </c>
      <c r="K31" s="1579" t="s">
        <v>11767</v>
      </c>
      <c r="L31" s="1633" t="s">
        <v>11768</v>
      </c>
    </row>
    <row r="32" ht="15.75" customHeight="1">
      <c r="A32" s="1640" t="s">
        <v>4955</v>
      </c>
      <c r="B32" s="1605" t="s">
        <v>9130</v>
      </c>
      <c r="C32" s="1895" t="s">
        <v>11538</v>
      </c>
      <c r="D32" s="1579" t="s">
        <v>11769</v>
      </c>
      <c r="E32" s="1579" t="s">
        <v>11770</v>
      </c>
      <c r="F32" s="1579" t="s">
        <v>11771</v>
      </c>
      <c r="G32" s="830" t="s">
        <v>11772</v>
      </c>
      <c r="H32" s="1875" t="s">
        <v>11773</v>
      </c>
      <c r="I32" s="1881" t="s">
        <v>11774</v>
      </c>
      <c r="J32" s="1882" t="s">
        <v>11775</v>
      </c>
      <c r="K32" s="1579" t="s">
        <v>11119</v>
      </c>
      <c r="L32" s="1633" t="s">
        <v>11776</v>
      </c>
    </row>
    <row r="33" ht="15.75" customHeight="1">
      <c r="A33" s="962" t="s">
        <v>5778</v>
      </c>
      <c r="B33" s="1729" t="s">
        <v>11120</v>
      </c>
      <c r="C33" s="1901" t="s">
        <v>11777</v>
      </c>
      <c r="D33" s="1831" t="s">
        <v>11778</v>
      </c>
      <c r="E33" s="1831" t="s">
        <v>11779</v>
      </c>
      <c r="F33" s="1831" t="s">
        <v>11780</v>
      </c>
      <c r="G33" s="1902" t="s">
        <v>11781</v>
      </c>
      <c r="H33" s="1902" t="s">
        <v>11782</v>
      </c>
      <c r="I33" s="1902" t="s">
        <v>11783</v>
      </c>
      <c r="J33" s="1902" t="s">
        <v>11784</v>
      </c>
      <c r="K33" s="1831" t="s">
        <v>11785</v>
      </c>
      <c r="L33" s="1633" t="s">
        <v>11786</v>
      </c>
    </row>
    <row r="34" ht="15.75" customHeight="1">
      <c r="A34" s="1640" t="s">
        <v>6542</v>
      </c>
      <c r="B34" s="1729" t="s">
        <v>11120</v>
      </c>
      <c r="C34" s="1903" t="s">
        <v>11787</v>
      </c>
      <c r="D34" s="1818" t="s">
        <v>11788</v>
      </c>
      <c r="E34" s="1818" t="s">
        <v>11789</v>
      </c>
      <c r="F34" s="1818" t="s">
        <v>11790</v>
      </c>
      <c r="G34" s="1904" t="s">
        <v>11791</v>
      </c>
      <c r="K34" s="1818" t="s">
        <v>11197</v>
      </c>
      <c r="L34" s="1633" t="s">
        <v>11792</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11793</v>
      </c>
      <c r="C1" s="1915" t="s">
        <v>43</v>
      </c>
      <c r="D1" s="1916" t="s">
        <v>11794</v>
      </c>
      <c r="E1" s="1915" t="s">
        <v>11795</v>
      </c>
      <c r="F1" s="1917" t="s">
        <v>11796</v>
      </c>
    </row>
    <row r="2">
      <c r="A2" s="1918"/>
      <c r="B2" s="1919"/>
      <c r="C2" s="1919"/>
      <c r="D2" s="1919"/>
      <c r="E2" s="1919"/>
      <c r="F2" s="1919"/>
    </row>
    <row r="3">
      <c r="A3" s="1918"/>
      <c r="B3" s="1919"/>
      <c r="C3" s="1919"/>
      <c r="D3" s="1919"/>
      <c r="E3" s="1919"/>
      <c r="F3" s="1919"/>
    </row>
    <row r="4">
      <c r="A4" s="1920" t="s">
        <v>11797</v>
      </c>
      <c r="B4" s="1921" t="s">
        <v>11798</v>
      </c>
      <c r="C4" s="1922"/>
      <c r="D4" s="1922"/>
      <c r="E4" s="1922"/>
      <c r="F4" s="1923"/>
    </row>
    <row r="5">
      <c r="A5" s="1919"/>
      <c r="B5" s="1924"/>
      <c r="C5" s="1925"/>
      <c r="D5" s="1925"/>
      <c r="E5" s="1925"/>
      <c r="F5" s="1926"/>
    </row>
    <row r="6">
      <c r="A6" s="1927" t="s">
        <v>11798</v>
      </c>
      <c r="B6" s="1928" t="s">
        <v>11799</v>
      </c>
      <c r="C6" s="1929" t="s">
        <v>4350</v>
      </c>
      <c r="D6" s="1930" t="s">
        <v>11800</v>
      </c>
      <c r="E6" s="1929" t="s">
        <v>11801</v>
      </c>
      <c r="F6" s="1931">
        <v>44233.0</v>
      </c>
    </row>
    <row r="7">
      <c r="A7" s="1927" t="s">
        <v>11802</v>
      </c>
      <c r="B7" s="1932" t="s">
        <v>11803</v>
      </c>
      <c r="C7" s="1929" t="s">
        <v>897</v>
      </c>
      <c r="D7" s="1930" t="s">
        <v>11804</v>
      </c>
      <c r="E7" s="1929" t="s">
        <v>11801</v>
      </c>
      <c r="F7" s="1931">
        <v>43878.0</v>
      </c>
    </row>
    <row r="8">
      <c r="A8" s="1927" t="s">
        <v>11805</v>
      </c>
      <c r="B8" s="1933" t="s">
        <v>11806</v>
      </c>
      <c r="C8" s="1929" t="s">
        <v>330</v>
      </c>
      <c r="D8" s="1930" t="s">
        <v>11807</v>
      </c>
      <c r="E8" s="1929" t="s">
        <v>11801</v>
      </c>
      <c r="F8" s="1931">
        <v>43879.0</v>
      </c>
    </row>
    <row r="9">
      <c r="A9" s="1927" t="s">
        <v>11808</v>
      </c>
      <c r="B9" s="1934" t="s">
        <v>11809</v>
      </c>
      <c r="C9" s="1929" t="s">
        <v>4053</v>
      </c>
      <c r="D9" s="1930" t="s">
        <v>11810</v>
      </c>
      <c r="E9" s="1929" t="s">
        <v>11811</v>
      </c>
      <c r="F9" s="1931">
        <v>44084.0</v>
      </c>
    </row>
    <row r="10">
      <c r="A10" s="1927" t="s">
        <v>11812</v>
      </c>
      <c r="B10" s="1934" t="s">
        <v>11813</v>
      </c>
      <c r="C10" s="1935"/>
      <c r="D10" s="1936"/>
      <c r="E10" s="1935"/>
      <c r="F10" s="1935"/>
    </row>
    <row r="11">
      <c r="A11" s="1927" t="s">
        <v>11814</v>
      </c>
      <c r="B11" s="1921" t="s">
        <v>11802</v>
      </c>
      <c r="C11" s="1922"/>
      <c r="D11" s="1922"/>
      <c r="E11" s="1922"/>
      <c r="F11" s="1923"/>
    </row>
    <row r="12">
      <c r="A12" s="1927" t="s">
        <v>11815</v>
      </c>
      <c r="B12" s="1924"/>
      <c r="C12" s="1925"/>
      <c r="D12" s="1925"/>
      <c r="E12" s="1925"/>
      <c r="F12" s="1926"/>
    </row>
    <row r="13">
      <c r="A13" s="1927" t="s">
        <v>11816</v>
      </c>
      <c r="B13" s="1928" t="s">
        <v>11799</v>
      </c>
      <c r="C13" s="1929" t="s">
        <v>4350</v>
      </c>
      <c r="D13" s="1930" t="s">
        <v>11817</v>
      </c>
      <c r="E13" s="1929" t="s">
        <v>11801</v>
      </c>
      <c r="F13" s="1931">
        <v>44250.0</v>
      </c>
    </row>
    <row r="14" ht="15.75" customHeight="1">
      <c r="A14" s="1927" t="s">
        <v>11818</v>
      </c>
      <c r="B14" s="1932" t="s">
        <v>11803</v>
      </c>
      <c r="C14" s="1929" t="s">
        <v>4264</v>
      </c>
      <c r="D14" s="1930" t="s">
        <v>11819</v>
      </c>
      <c r="E14" s="1929" t="s">
        <v>11801</v>
      </c>
      <c r="F14" s="1931">
        <v>43364.0</v>
      </c>
    </row>
    <row r="15">
      <c r="A15" s="1927" t="s">
        <v>11820</v>
      </c>
      <c r="B15" s="1933" t="s">
        <v>11806</v>
      </c>
      <c r="C15" s="1929" t="s">
        <v>11821</v>
      </c>
      <c r="D15" s="1930" t="s">
        <v>11822</v>
      </c>
      <c r="E15" s="1929" t="s">
        <v>11811</v>
      </c>
      <c r="F15" s="1931">
        <v>43757.0</v>
      </c>
    </row>
    <row r="16">
      <c r="A16" s="1927" t="s">
        <v>11823</v>
      </c>
      <c r="B16" s="1934" t="s">
        <v>11809</v>
      </c>
      <c r="C16" s="1929" t="s">
        <v>11824</v>
      </c>
      <c r="D16" s="1930" t="s">
        <v>11825</v>
      </c>
      <c r="E16" s="1929" t="s">
        <v>11811</v>
      </c>
      <c r="F16" s="1931">
        <v>43438.0</v>
      </c>
    </row>
    <row r="17">
      <c r="A17" s="1927" t="s">
        <v>11826</v>
      </c>
      <c r="B17" s="1934" t="s">
        <v>11813</v>
      </c>
      <c r="C17" s="1935"/>
      <c r="D17" s="1936"/>
      <c r="E17" s="1935"/>
      <c r="F17" s="1935"/>
    </row>
    <row r="18">
      <c r="A18" s="1927" t="s">
        <v>11827</v>
      </c>
      <c r="B18" s="1937" t="s">
        <v>11805</v>
      </c>
      <c r="C18" s="1922"/>
      <c r="D18" s="1922"/>
      <c r="E18" s="1922"/>
      <c r="F18" s="1923"/>
    </row>
    <row r="19">
      <c r="A19" s="1927" t="s">
        <v>11828</v>
      </c>
      <c r="B19" s="1925"/>
      <c r="C19" s="1925"/>
      <c r="D19" s="1925"/>
      <c r="E19" s="1925"/>
      <c r="F19" s="1926"/>
    </row>
    <row r="20">
      <c r="A20" s="1938"/>
      <c r="B20" s="1928" t="s">
        <v>11799</v>
      </c>
      <c r="C20" s="1929" t="s">
        <v>11829</v>
      </c>
      <c r="D20" s="1930" t="s">
        <v>11830</v>
      </c>
      <c r="E20" s="1929" t="s">
        <v>11801</v>
      </c>
      <c r="F20" s="1931">
        <v>44021.0</v>
      </c>
    </row>
    <row r="21">
      <c r="A21" s="1938"/>
      <c r="B21" s="1932" t="s">
        <v>11803</v>
      </c>
      <c r="C21" s="1929" t="s">
        <v>5374</v>
      </c>
      <c r="D21" s="1930" t="s">
        <v>11831</v>
      </c>
      <c r="E21" s="1929" t="s">
        <v>11811</v>
      </c>
      <c r="F21" s="1931">
        <v>44022.0</v>
      </c>
    </row>
    <row r="22">
      <c r="A22" s="1939"/>
      <c r="B22" s="1933" t="s">
        <v>11806</v>
      </c>
      <c r="C22" s="1929" t="s">
        <v>11832</v>
      </c>
      <c r="D22" s="1930" t="s">
        <v>11833</v>
      </c>
      <c r="E22" s="1929" t="s">
        <v>11834</v>
      </c>
      <c r="F22" s="1931">
        <v>43884.0</v>
      </c>
    </row>
    <row r="23">
      <c r="A23" s="1939"/>
      <c r="B23" s="1934" t="s">
        <v>11809</v>
      </c>
      <c r="C23" s="1929" t="s">
        <v>5343</v>
      </c>
      <c r="D23" s="1930" t="s">
        <v>11835</v>
      </c>
      <c r="E23" s="1929" t="s">
        <v>11801</v>
      </c>
      <c r="F23" s="1931">
        <v>43892.0</v>
      </c>
    </row>
    <row r="24">
      <c r="A24" s="1939"/>
      <c r="B24" s="1934" t="s">
        <v>11813</v>
      </c>
      <c r="C24" s="1935"/>
      <c r="D24" s="1936"/>
      <c r="E24" s="1935"/>
      <c r="F24" s="1935"/>
    </row>
    <row r="25">
      <c r="A25" s="1939"/>
      <c r="B25" s="1921" t="s">
        <v>11808</v>
      </c>
      <c r="C25" s="1922"/>
      <c r="D25" s="1922"/>
      <c r="E25" s="1922"/>
      <c r="F25" s="1923"/>
    </row>
    <row r="26">
      <c r="A26" s="1939"/>
      <c r="B26" s="1924"/>
      <c r="C26" s="1925"/>
      <c r="D26" s="1925"/>
      <c r="E26" s="1925"/>
      <c r="F26" s="1926"/>
    </row>
    <row r="27">
      <c r="A27" s="1939"/>
      <c r="B27" s="1940" t="s">
        <v>11836</v>
      </c>
      <c r="C27" s="1922"/>
      <c r="D27" s="1922"/>
      <c r="E27" s="1922"/>
      <c r="F27" s="1923"/>
    </row>
    <row r="28">
      <c r="A28" s="1939"/>
      <c r="B28" s="1924"/>
      <c r="C28" s="1925"/>
      <c r="D28" s="1925"/>
      <c r="E28" s="1925"/>
      <c r="F28" s="1926"/>
    </row>
    <row r="29">
      <c r="A29" s="1939"/>
      <c r="B29" s="1928" t="s">
        <v>11799</v>
      </c>
      <c r="C29" s="1941" t="s">
        <v>435</v>
      </c>
      <c r="D29" s="1930" t="s">
        <v>11837</v>
      </c>
      <c r="E29" s="1929" t="s">
        <v>11801</v>
      </c>
      <c r="F29" s="1931">
        <v>43659.0</v>
      </c>
    </row>
    <row r="30">
      <c r="A30" s="1939"/>
      <c r="B30" s="1932" t="s">
        <v>11803</v>
      </c>
      <c r="C30" s="1929" t="s">
        <v>1721</v>
      </c>
      <c r="D30" s="1930" t="s">
        <v>11838</v>
      </c>
      <c r="E30" s="1929" t="s">
        <v>11801</v>
      </c>
      <c r="F30" s="1931">
        <v>43228.0</v>
      </c>
    </row>
    <row r="31">
      <c r="A31" s="1939"/>
      <c r="B31" s="1933" t="s">
        <v>11806</v>
      </c>
      <c r="C31" s="1935"/>
      <c r="D31" s="1942"/>
      <c r="E31" s="1935"/>
      <c r="F31" s="1935"/>
    </row>
    <row r="32">
      <c r="A32" s="1939"/>
      <c r="B32" s="1934" t="s">
        <v>11809</v>
      </c>
      <c r="C32" s="1935"/>
      <c r="D32" s="1942"/>
      <c r="E32" s="1935"/>
      <c r="F32" s="1935"/>
    </row>
    <row r="33">
      <c r="A33" s="1939"/>
      <c r="B33" s="1934" t="s">
        <v>11813</v>
      </c>
      <c r="C33" s="1935"/>
      <c r="D33" s="1942"/>
      <c r="E33" s="1935"/>
      <c r="F33" s="1935"/>
    </row>
    <row r="34">
      <c r="A34" s="1939"/>
      <c r="B34" s="1940" t="s">
        <v>11839</v>
      </c>
      <c r="C34" s="1922"/>
      <c r="D34" s="1922"/>
      <c r="E34" s="1922"/>
      <c r="F34" s="1923"/>
    </row>
    <row r="35">
      <c r="A35" s="1939"/>
      <c r="B35" s="1924"/>
      <c r="C35" s="1925"/>
      <c r="D35" s="1925"/>
      <c r="E35" s="1925"/>
      <c r="F35" s="1926"/>
    </row>
    <row r="36">
      <c r="A36" s="1939"/>
      <c r="B36" s="1928" t="s">
        <v>11799</v>
      </c>
      <c r="C36" s="1929" t="s">
        <v>1721</v>
      </c>
      <c r="D36" s="1930" t="s">
        <v>11840</v>
      </c>
      <c r="E36" s="1929" t="s">
        <v>11801</v>
      </c>
      <c r="F36" s="1931">
        <v>43352.0</v>
      </c>
    </row>
    <row r="37">
      <c r="A37" s="1939"/>
      <c r="B37" s="1932" t="s">
        <v>11803</v>
      </c>
      <c r="C37" s="1929" t="s">
        <v>11841</v>
      </c>
      <c r="D37" s="1930" t="s">
        <v>11842</v>
      </c>
      <c r="E37" s="1929" t="s">
        <v>11801</v>
      </c>
      <c r="F37" s="1931">
        <v>43799.0</v>
      </c>
    </row>
    <row r="38">
      <c r="A38" s="1939"/>
      <c r="B38" s="1933" t="s">
        <v>11806</v>
      </c>
      <c r="C38" s="1935"/>
      <c r="D38" s="1936"/>
      <c r="E38" s="1935"/>
      <c r="F38" s="1935"/>
    </row>
    <row r="39">
      <c r="A39" s="1939"/>
      <c r="B39" s="1934" t="s">
        <v>11809</v>
      </c>
      <c r="C39" s="1935"/>
      <c r="D39" s="1936"/>
      <c r="E39" s="1935"/>
      <c r="F39" s="1935"/>
    </row>
    <row r="40">
      <c r="A40" s="1939"/>
      <c r="B40" s="1934" t="s">
        <v>11813</v>
      </c>
      <c r="C40" s="1935"/>
      <c r="D40" s="1936"/>
      <c r="E40" s="1935"/>
      <c r="F40" s="1935"/>
    </row>
    <row r="41">
      <c r="A41" s="1939"/>
      <c r="B41" s="1921" t="s">
        <v>11812</v>
      </c>
      <c r="C41" s="1922"/>
      <c r="D41" s="1922"/>
      <c r="E41" s="1922"/>
      <c r="F41" s="1923"/>
    </row>
    <row r="42">
      <c r="A42" s="1939"/>
      <c r="B42" s="1924"/>
      <c r="C42" s="1925"/>
      <c r="D42" s="1925"/>
      <c r="E42" s="1925"/>
      <c r="F42" s="1926"/>
    </row>
    <row r="43">
      <c r="A43" s="1939"/>
      <c r="B43" s="1928" t="s">
        <v>11799</v>
      </c>
      <c r="C43" s="1929" t="s">
        <v>6696</v>
      </c>
      <c r="D43" s="1943" t="s">
        <v>11843</v>
      </c>
      <c r="E43" s="1929" t="s">
        <v>11801</v>
      </c>
      <c r="F43" s="1944">
        <v>44511.0</v>
      </c>
    </row>
    <row r="44">
      <c r="A44" s="1939"/>
      <c r="B44" s="1932" t="s">
        <v>11803</v>
      </c>
      <c r="C44" s="1929" t="s">
        <v>11841</v>
      </c>
      <c r="D44" s="1943" t="s">
        <v>11844</v>
      </c>
      <c r="E44" s="1929" t="s">
        <v>11801</v>
      </c>
      <c r="F44" s="1944">
        <v>43740.0</v>
      </c>
    </row>
    <row r="45">
      <c r="A45" s="1939"/>
      <c r="B45" s="1933" t="s">
        <v>11806</v>
      </c>
      <c r="C45" s="1929" t="s">
        <v>10807</v>
      </c>
      <c r="D45" s="1943" t="s">
        <v>11845</v>
      </c>
      <c r="E45" s="1929" t="s">
        <v>11801</v>
      </c>
      <c r="F45" s="1944">
        <v>42098.0</v>
      </c>
    </row>
    <row r="46">
      <c r="A46" s="1939"/>
      <c r="B46" s="1934" t="s">
        <v>11809</v>
      </c>
      <c r="C46" s="1929"/>
      <c r="D46" s="1943"/>
      <c r="E46" s="1929"/>
      <c r="F46" s="1944"/>
    </row>
    <row r="47">
      <c r="A47" s="1939"/>
      <c r="B47" s="1934" t="s">
        <v>11813</v>
      </c>
      <c r="C47" s="1935"/>
      <c r="D47" s="1945"/>
      <c r="E47" s="1935"/>
      <c r="F47" s="1939"/>
    </row>
    <row r="48">
      <c r="A48" s="1939"/>
      <c r="B48" s="1921" t="s">
        <v>11814</v>
      </c>
      <c r="C48" s="1922"/>
      <c r="D48" s="1922"/>
      <c r="E48" s="1922"/>
      <c r="F48" s="1923"/>
    </row>
    <row r="49">
      <c r="A49" s="1939"/>
      <c r="B49" s="1924"/>
      <c r="C49" s="1925"/>
      <c r="D49" s="1925"/>
      <c r="E49" s="1925"/>
      <c r="F49" s="1926"/>
    </row>
    <row r="50">
      <c r="A50" s="1939"/>
      <c r="B50" s="1928" t="s">
        <v>11799</v>
      </c>
      <c r="C50" s="1929" t="s">
        <v>11846</v>
      </c>
      <c r="D50" s="1943" t="s">
        <v>11847</v>
      </c>
      <c r="E50" s="1929" t="s">
        <v>11848</v>
      </c>
      <c r="F50" s="1944">
        <v>43395.0</v>
      </c>
    </row>
    <row r="51">
      <c r="A51" s="1939"/>
      <c r="B51" s="1932" t="s">
        <v>11803</v>
      </c>
      <c r="C51" s="1929" t="s">
        <v>2264</v>
      </c>
      <c r="D51" s="1943" t="s">
        <v>11849</v>
      </c>
      <c r="E51" s="1929" t="s">
        <v>11811</v>
      </c>
      <c r="F51" s="1944">
        <v>43376.0</v>
      </c>
    </row>
    <row r="52">
      <c r="A52" s="1939"/>
      <c r="B52" s="1933" t="s">
        <v>11806</v>
      </c>
      <c r="C52" s="1935"/>
      <c r="D52" s="1945"/>
      <c r="E52" s="1935"/>
      <c r="F52" s="1939"/>
    </row>
    <row r="53">
      <c r="A53" s="1939"/>
      <c r="B53" s="1934" t="s">
        <v>11809</v>
      </c>
      <c r="C53" s="1935"/>
      <c r="D53" s="1945"/>
      <c r="E53" s="1935"/>
      <c r="F53" s="1939"/>
    </row>
    <row r="54">
      <c r="A54" s="1939"/>
      <c r="B54" s="1934" t="s">
        <v>11813</v>
      </c>
      <c r="C54" s="1935"/>
      <c r="D54" s="1945"/>
      <c r="E54" s="1935"/>
      <c r="F54" s="1939"/>
    </row>
    <row r="55">
      <c r="A55" s="1939"/>
      <c r="B55" s="1921" t="s">
        <v>11815</v>
      </c>
      <c r="C55" s="1922"/>
      <c r="D55" s="1922"/>
      <c r="E55" s="1922"/>
      <c r="F55" s="1923"/>
    </row>
    <row r="56">
      <c r="A56" s="1939"/>
      <c r="B56" s="1924"/>
      <c r="C56" s="1925"/>
      <c r="D56" s="1925"/>
      <c r="E56" s="1925"/>
      <c r="F56" s="1926"/>
    </row>
    <row r="57">
      <c r="A57" s="1939"/>
      <c r="B57" s="1946" t="s">
        <v>11850</v>
      </c>
      <c r="C57" s="1922"/>
      <c r="D57" s="1922"/>
      <c r="E57" s="1922"/>
      <c r="F57" s="1923"/>
    </row>
    <row r="58">
      <c r="A58" s="1939"/>
      <c r="B58" s="1924"/>
      <c r="C58" s="1925"/>
      <c r="D58" s="1925"/>
      <c r="E58" s="1925"/>
      <c r="F58" s="1926"/>
    </row>
    <row r="59">
      <c r="A59" s="1939"/>
      <c r="B59" s="1928" t="s">
        <v>11799</v>
      </c>
      <c r="C59" s="1947" t="s">
        <v>435</v>
      </c>
      <c r="D59" s="1943" t="s">
        <v>11851</v>
      </c>
      <c r="E59" s="1929" t="s">
        <v>11801</v>
      </c>
      <c r="F59" s="1944">
        <v>43758.0</v>
      </c>
    </row>
    <row r="60">
      <c r="A60" s="1939"/>
      <c r="B60" s="1932" t="s">
        <v>11803</v>
      </c>
      <c r="C60" s="1935"/>
      <c r="D60" s="1945"/>
      <c r="E60" s="1935"/>
      <c r="F60" s="1939"/>
    </row>
    <row r="61">
      <c r="A61" s="1939"/>
      <c r="B61" s="1933" t="s">
        <v>11806</v>
      </c>
      <c r="C61" s="1935"/>
      <c r="D61" s="1945"/>
      <c r="E61" s="1935"/>
      <c r="F61" s="1939"/>
    </row>
    <row r="62">
      <c r="A62" s="1939"/>
      <c r="B62" s="1934" t="s">
        <v>11809</v>
      </c>
      <c r="C62" s="1935"/>
      <c r="D62" s="1945"/>
      <c r="E62" s="1935"/>
      <c r="F62" s="1939"/>
    </row>
    <row r="63">
      <c r="A63" s="1939"/>
      <c r="B63" s="1934" t="s">
        <v>11813</v>
      </c>
      <c r="C63" s="1935"/>
      <c r="D63" s="1945"/>
      <c r="E63" s="1935"/>
      <c r="F63" s="1939"/>
    </row>
    <row r="64">
      <c r="A64" s="1939"/>
      <c r="B64" s="1946" t="s">
        <v>11839</v>
      </c>
      <c r="C64" s="1922"/>
      <c r="D64" s="1922"/>
      <c r="E64" s="1922"/>
      <c r="F64" s="1923"/>
    </row>
    <row r="65">
      <c r="A65" s="1939"/>
      <c r="B65" s="1924"/>
      <c r="C65" s="1925"/>
      <c r="D65" s="1925"/>
      <c r="E65" s="1925"/>
      <c r="F65" s="1926"/>
    </row>
    <row r="66">
      <c r="A66" s="1939"/>
      <c r="B66" s="1928" t="s">
        <v>11799</v>
      </c>
      <c r="C66" s="1929" t="s">
        <v>11852</v>
      </c>
      <c r="D66" s="1948" t="s">
        <v>11853</v>
      </c>
      <c r="E66" s="1929" t="s">
        <v>11801</v>
      </c>
      <c r="F66" s="1944">
        <v>44805.0</v>
      </c>
    </row>
    <row r="67">
      <c r="A67" s="1939"/>
      <c r="B67" s="1932" t="s">
        <v>11803</v>
      </c>
      <c r="C67" s="1929" t="s">
        <v>11854</v>
      </c>
      <c r="D67" s="1943" t="s">
        <v>11855</v>
      </c>
      <c r="E67" s="1929" t="s">
        <v>11801</v>
      </c>
      <c r="F67" s="1944">
        <v>43307.0</v>
      </c>
    </row>
    <row r="68">
      <c r="A68" s="1939"/>
      <c r="B68" s="1933" t="s">
        <v>11806</v>
      </c>
      <c r="C68" s="1935"/>
      <c r="D68" s="1945"/>
      <c r="E68" s="1935"/>
      <c r="F68" s="1939"/>
    </row>
    <row r="69">
      <c r="A69" s="1939"/>
      <c r="B69" s="1934" t="s">
        <v>11809</v>
      </c>
      <c r="C69" s="1935"/>
      <c r="D69" s="1945"/>
      <c r="E69" s="1935"/>
      <c r="F69" s="1939"/>
    </row>
    <row r="70">
      <c r="A70" s="1939"/>
      <c r="B70" s="1934" t="s">
        <v>11813</v>
      </c>
      <c r="C70" s="1935"/>
      <c r="D70" s="1945"/>
      <c r="E70" s="1935"/>
      <c r="F70" s="1939"/>
    </row>
    <row r="71">
      <c r="A71" s="1939"/>
      <c r="B71" s="1921" t="s">
        <v>11816</v>
      </c>
      <c r="C71" s="1922"/>
      <c r="D71" s="1922"/>
      <c r="E71" s="1922"/>
      <c r="F71" s="1923"/>
    </row>
    <row r="72">
      <c r="A72" s="1939"/>
      <c r="B72" s="1924"/>
      <c r="C72" s="1925"/>
      <c r="D72" s="1925"/>
      <c r="E72" s="1925"/>
      <c r="F72" s="1926"/>
    </row>
    <row r="73">
      <c r="A73" s="1939"/>
      <c r="B73" s="1946" t="s">
        <v>11856</v>
      </c>
      <c r="C73" s="1922"/>
      <c r="D73" s="1922"/>
      <c r="E73" s="1922"/>
      <c r="F73" s="1923"/>
    </row>
    <row r="74">
      <c r="A74" s="1939"/>
      <c r="B74" s="1924"/>
      <c r="C74" s="1925"/>
      <c r="D74" s="1925"/>
      <c r="E74" s="1925"/>
      <c r="F74" s="1926"/>
    </row>
    <row r="75">
      <c r="A75" s="1939"/>
      <c r="B75" s="1928" t="s">
        <v>11799</v>
      </c>
      <c r="C75" s="1929" t="s">
        <v>4350</v>
      </c>
      <c r="D75" s="1943" t="s">
        <v>11857</v>
      </c>
      <c r="E75" s="1929" t="s">
        <v>11801</v>
      </c>
      <c r="F75" s="1944">
        <v>44246.0</v>
      </c>
    </row>
    <row r="76">
      <c r="A76" s="1939"/>
      <c r="B76" s="1932" t="s">
        <v>11803</v>
      </c>
      <c r="C76" s="1929" t="s">
        <v>11846</v>
      </c>
      <c r="D76" s="1943" t="s">
        <v>11858</v>
      </c>
      <c r="E76" s="1929" t="s">
        <v>11848</v>
      </c>
      <c r="F76" s="1944">
        <v>43637.0</v>
      </c>
    </row>
    <row r="77">
      <c r="A77" s="1939"/>
      <c r="B77" s="1933" t="s">
        <v>11806</v>
      </c>
      <c r="C77" s="1935"/>
      <c r="D77" s="1945"/>
      <c r="E77" s="1935"/>
      <c r="F77" s="1939"/>
    </row>
    <row r="78">
      <c r="A78" s="1939"/>
      <c r="B78" s="1934" t="s">
        <v>11809</v>
      </c>
      <c r="C78" s="1935"/>
      <c r="D78" s="1945"/>
      <c r="E78" s="1935"/>
      <c r="F78" s="1939"/>
    </row>
    <row r="79">
      <c r="A79" s="1939"/>
      <c r="B79" s="1934" t="s">
        <v>11813</v>
      </c>
      <c r="C79" s="1935"/>
      <c r="D79" s="1945"/>
      <c r="E79" s="1935"/>
      <c r="F79" s="1939"/>
    </row>
    <row r="80">
      <c r="A80" s="1939"/>
      <c r="B80" s="1946" t="s">
        <v>11859</v>
      </c>
      <c r="C80" s="1922"/>
      <c r="D80" s="1922"/>
      <c r="E80" s="1922"/>
      <c r="F80" s="1923"/>
    </row>
    <row r="81">
      <c r="A81" s="1939"/>
      <c r="B81" s="1924"/>
      <c r="C81" s="1925"/>
      <c r="D81" s="1925"/>
      <c r="E81" s="1925"/>
      <c r="F81" s="1926"/>
    </row>
    <row r="82">
      <c r="A82" s="1939"/>
      <c r="B82" s="1928" t="s">
        <v>11799</v>
      </c>
      <c r="C82" s="1929" t="s">
        <v>6411</v>
      </c>
      <c r="D82" s="1943" t="s">
        <v>11860</v>
      </c>
      <c r="E82" s="1929" t="s">
        <v>11801</v>
      </c>
      <c r="F82" s="1944">
        <v>43592.0</v>
      </c>
    </row>
    <row r="83">
      <c r="A83" s="1939"/>
      <c r="B83" s="1932" t="s">
        <v>11803</v>
      </c>
      <c r="C83" s="1929" t="s">
        <v>11861</v>
      </c>
      <c r="D83" s="1943" t="s">
        <v>11862</v>
      </c>
      <c r="E83" s="1929" t="s">
        <v>11801</v>
      </c>
      <c r="F83" s="1944">
        <v>43396.0</v>
      </c>
    </row>
    <row r="84">
      <c r="A84" s="1939"/>
      <c r="B84" s="1933" t="s">
        <v>11806</v>
      </c>
      <c r="C84" s="1935"/>
      <c r="D84" s="1945"/>
      <c r="E84" s="1935"/>
      <c r="F84" s="1939"/>
    </row>
    <row r="85">
      <c r="A85" s="1939"/>
      <c r="B85" s="1934" t="s">
        <v>11809</v>
      </c>
      <c r="C85" s="1935"/>
      <c r="D85" s="1945"/>
      <c r="E85" s="1935"/>
      <c r="F85" s="1939"/>
    </row>
    <row r="86">
      <c r="A86" s="1939"/>
      <c r="B86" s="1934" t="s">
        <v>11813</v>
      </c>
      <c r="C86" s="1935"/>
      <c r="D86" s="1945"/>
      <c r="E86" s="1935"/>
      <c r="F86" s="1939"/>
    </row>
    <row r="87">
      <c r="A87" s="1939"/>
      <c r="B87" s="1921" t="s">
        <v>11818</v>
      </c>
      <c r="C87" s="1922"/>
      <c r="D87" s="1922"/>
      <c r="E87" s="1922"/>
      <c r="F87" s="1923"/>
    </row>
    <row r="88">
      <c r="A88" s="1939"/>
      <c r="B88" s="1924"/>
      <c r="C88" s="1925"/>
      <c r="D88" s="1925"/>
      <c r="E88" s="1925"/>
      <c r="F88" s="1926"/>
    </row>
    <row r="89">
      <c r="A89" s="1939"/>
      <c r="B89" s="1928" t="s">
        <v>11799</v>
      </c>
      <c r="C89" s="1947" t="s">
        <v>435</v>
      </c>
      <c r="D89" s="1943" t="s">
        <v>11863</v>
      </c>
      <c r="E89" s="1929" t="s">
        <v>11801</v>
      </c>
      <c r="F89" s="1944">
        <v>43457.0</v>
      </c>
    </row>
    <row r="90">
      <c r="A90" s="1939"/>
      <c r="B90" s="1932" t="s">
        <v>11803</v>
      </c>
      <c r="C90" s="1929" t="s">
        <v>2460</v>
      </c>
      <c r="D90" s="1948" t="s">
        <v>11864</v>
      </c>
      <c r="E90" s="1929" t="s">
        <v>11801</v>
      </c>
      <c r="F90" s="1944">
        <v>43925.0</v>
      </c>
    </row>
    <row r="91">
      <c r="A91" s="1939"/>
      <c r="B91" s="1933" t="s">
        <v>11806</v>
      </c>
      <c r="C91" s="1929" t="s">
        <v>4801</v>
      </c>
      <c r="D91" s="1943" t="s">
        <v>11865</v>
      </c>
      <c r="E91" s="1929" t="s">
        <v>11834</v>
      </c>
      <c r="F91" s="1944">
        <v>43433.0</v>
      </c>
    </row>
    <row r="92">
      <c r="A92" s="1939"/>
      <c r="B92" s="1934" t="s">
        <v>11809</v>
      </c>
      <c r="C92" s="1935"/>
      <c r="D92" s="1945"/>
      <c r="E92" s="1935"/>
      <c r="F92" s="1939"/>
    </row>
    <row r="93">
      <c r="A93" s="1939"/>
      <c r="B93" s="1934" t="s">
        <v>11813</v>
      </c>
      <c r="C93" s="1935"/>
      <c r="D93" s="1945"/>
      <c r="E93" s="1935"/>
      <c r="F93" s="1939"/>
    </row>
    <row r="94">
      <c r="A94" s="1939"/>
      <c r="B94" s="1921" t="s">
        <v>11820</v>
      </c>
      <c r="C94" s="1922"/>
      <c r="D94" s="1922"/>
      <c r="E94" s="1922"/>
      <c r="F94" s="1923"/>
    </row>
    <row r="95">
      <c r="A95" s="1939"/>
      <c r="B95" s="1924"/>
      <c r="C95" s="1925"/>
      <c r="D95" s="1925"/>
      <c r="E95" s="1925"/>
      <c r="F95" s="1926"/>
    </row>
    <row r="96">
      <c r="A96" s="1939"/>
      <c r="B96" s="1946" t="s">
        <v>11866</v>
      </c>
      <c r="C96" s="1922"/>
      <c r="D96" s="1922"/>
      <c r="E96" s="1922"/>
      <c r="F96" s="1923"/>
    </row>
    <row r="97">
      <c r="A97" s="1939"/>
      <c r="B97" s="1924"/>
      <c r="C97" s="1925"/>
      <c r="D97" s="1925"/>
      <c r="E97" s="1925"/>
      <c r="F97" s="1926"/>
    </row>
    <row r="98">
      <c r="A98" s="1939"/>
      <c r="B98" s="1928" t="s">
        <v>11799</v>
      </c>
      <c r="C98" s="1929" t="s">
        <v>11841</v>
      </c>
      <c r="D98" s="1943" t="s">
        <v>11867</v>
      </c>
      <c r="E98" s="1929" t="s">
        <v>11801</v>
      </c>
      <c r="F98" s="1944">
        <v>43862.0</v>
      </c>
    </row>
    <row r="99">
      <c r="A99" s="1939"/>
      <c r="B99" s="1932" t="s">
        <v>11803</v>
      </c>
      <c r="C99" s="1935"/>
      <c r="D99" s="1945"/>
      <c r="E99" s="1935"/>
      <c r="F99" s="1939"/>
    </row>
    <row r="100">
      <c r="A100" s="1939"/>
      <c r="B100" s="1933" t="s">
        <v>11806</v>
      </c>
      <c r="C100" s="1935"/>
      <c r="D100" s="1945"/>
      <c r="E100" s="1935"/>
      <c r="F100" s="1939"/>
    </row>
    <row r="101">
      <c r="A101" s="1939"/>
      <c r="B101" s="1934" t="s">
        <v>11809</v>
      </c>
      <c r="C101" s="1935"/>
      <c r="D101" s="1945"/>
      <c r="E101" s="1935"/>
      <c r="F101" s="1939"/>
    </row>
    <row r="102">
      <c r="A102" s="1939"/>
      <c r="B102" s="1934" t="s">
        <v>11813</v>
      </c>
      <c r="C102" s="1935"/>
      <c r="D102" s="1945"/>
      <c r="E102" s="1935"/>
      <c r="F102" s="1939"/>
    </row>
    <row r="103">
      <c r="A103" s="1939"/>
      <c r="B103" s="1946" t="s">
        <v>11868</v>
      </c>
      <c r="C103" s="1922"/>
      <c r="D103" s="1922"/>
      <c r="E103" s="1922"/>
      <c r="F103" s="1923"/>
    </row>
    <row r="104">
      <c r="A104" s="1939"/>
      <c r="B104" s="1924"/>
      <c r="C104" s="1925"/>
      <c r="D104" s="1925"/>
      <c r="E104" s="1925"/>
      <c r="F104" s="1926"/>
    </row>
    <row r="105">
      <c r="A105" s="1939"/>
      <c r="B105" s="1928" t="s">
        <v>11799</v>
      </c>
      <c r="C105" s="1929" t="s">
        <v>11841</v>
      </c>
      <c r="D105" s="1943" t="s">
        <v>11869</v>
      </c>
      <c r="E105" s="1929" t="s">
        <v>11801</v>
      </c>
      <c r="F105" s="1944">
        <v>43862.0</v>
      </c>
    </row>
    <row r="106">
      <c r="A106" s="1939"/>
      <c r="B106" s="1932" t="s">
        <v>11803</v>
      </c>
      <c r="C106" s="1949" t="s">
        <v>6333</v>
      </c>
      <c r="D106" s="1943" t="s">
        <v>11870</v>
      </c>
      <c r="E106" s="1929" t="s">
        <v>11848</v>
      </c>
      <c r="F106" s="1944">
        <v>43630.0</v>
      </c>
    </row>
    <row r="107">
      <c r="A107" s="1939"/>
      <c r="B107" s="1933" t="s">
        <v>11806</v>
      </c>
      <c r="C107" s="1935"/>
      <c r="D107" s="1945"/>
      <c r="E107" s="1935"/>
      <c r="F107" s="1939"/>
    </row>
    <row r="108">
      <c r="A108" s="1939"/>
      <c r="B108" s="1934" t="s">
        <v>11809</v>
      </c>
      <c r="C108" s="1935"/>
      <c r="D108" s="1945"/>
      <c r="E108" s="1935"/>
      <c r="F108" s="1939"/>
    </row>
    <row r="109">
      <c r="A109" s="1939"/>
      <c r="B109" s="1934" t="s">
        <v>11813</v>
      </c>
      <c r="C109" s="1935"/>
      <c r="D109" s="1945"/>
      <c r="E109" s="1935"/>
      <c r="F109" s="1939"/>
    </row>
    <row r="110">
      <c r="A110" s="1939"/>
      <c r="B110" s="1921" t="s">
        <v>11823</v>
      </c>
      <c r="C110" s="1922"/>
      <c r="D110" s="1922"/>
      <c r="E110" s="1922"/>
      <c r="F110" s="1923"/>
    </row>
    <row r="111">
      <c r="A111" s="1939"/>
      <c r="B111" s="1924"/>
      <c r="C111" s="1925"/>
      <c r="D111" s="1925"/>
      <c r="E111" s="1925"/>
      <c r="F111" s="1926"/>
    </row>
    <row r="112">
      <c r="A112" s="1939"/>
      <c r="B112" s="1928" t="s">
        <v>11799</v>
      </c>
      <c r="C112" s="1929" t="s">
        <v>5374</v>
      </c>
      <c r="D112" s="1943" t="s">
        <v>11871</v>
      </c>
      <c r="E112" s="1929" t="s">
        <v>11811</v>
      </c>
      <c r="F112" s="1944">
        <v>44132.0</v>
      </c>
    </row>
    <row r="113">
      <c r="A113" s="1939"/>
      <c r="B113" s="1932" t="s">
        <v>11803</v>
      </c>
      <c r="C113" s="1935"/>
      <c r="D113" s="1945"/>
      <c r="E113" s="1935"/>
      <c r="F113" s="1939"/>
    </row>
    <row r="114">
      <c r="A114" s="1939"/>
      <c r="B114" s="1933" t="s">
        <v>11806</v>
      </c>
      <c r="C114" s="1935"/>
      <c r="D114" s="1945"/>
      <c r="E114" s="1935"/>
      <c r="F114" s="1939"/>
    </row>
    <row r="115">
      <c r="A115" s="1939"/>
      <c r="B115" s="1934" t="s">
        <v>11809</v>
      </c>
      <c r="C115" s="1935"/>
      <c r="D115" s="1945"/>
      <c r="E115" s="1935"/>
      <c r="F115" s="1939"/>
    </row>
    <row r="116">
      <c r="A116" s="1939"/>
      <c r="B116" s="1934" t="s">
        <v>11813</v>
      </c>
      <c r="C116" s="1935"/>
      <c r="D116" s="1945"/>
      <c r="E116" s="1935"/>
      <c r="F116" s="1939"/>
    </row>
    <row r="117">
      <c r="A117" s="1939"/>
      <c r="B117" s="1921" t="s">
        <v>11826</v>
      </c>
      <c r="C117" s="1922"/>
      <c r="D117" s="1922"/>
      <c r="E117" s="1922"/>
      <c r="F117" s="1923"/>
    </row>
    <row r="118">
      <c r="A118" s="1939"/>
      <c r="B118" s="1924"/>
      <c r="C118" s="1925"/>
      <c r="D118" s="1925"/>
      <c r="E118" s="1925"/>
      <c r="F118" s="1926"/>
    </row>
    <row r="119">
      <c r="A119" s="1939"/>
      <c r="B119" s="1928" t="s">
        <v>11799</v>
      </c>
      <c r="C119" s="1929" t="s">
        <v>6395</v>
      </c>
      <c r="D119" s="1943" t="s">
        <v>11872</v>
      </c>
      <c r="E119" s="1929" t="s">
        <v>11801</v>
      </c>
      <c r="F119" s="1944">
        <v>43741.0</v>
      </c>
    </row>
    <row r="120">
      <c r="A120" s="1939"/>
      <c r="B120" s="1932" t="s">
        <v>11803</v>
      </c>
      <c r="C120" s="1929" t="s">
        <v>11873</v>
      </c>
      <c r="D120" s="1943" t="s">
        <v>11874</v>
      </c>
      <c r="E120" s="1929" t="s">
        <v>11834</v>
      </c>
      <c r="F120" s="1944">
        <v>43748.0</v>
      </c>
    </row>
    <row r="121">
      <c r="A121" s="1939"/>
      <c r="B121" s="1933" t="s">
        <v>11806</v>
      </c>
      <c r="C121" s="1929" t="s">
        <v>2189</v>
      </c>
      <c r="D121" s="1943" t="s">
        <v>11875</v>
      </c>
      <c r="E121" s="1929" t="s">
        <v>11848</v>
      </c>
      <c r="F121" s="1944">
        <v>43729.0</v>
      </c>
    </row>
    <row r="122">
      <c r="A122" s="1939"/>
      <c r="B122" s="1934" t="s">
        <v>11809</v>
      </c>
      <c r="C122" s="1947" t="s">
        <v>435</v>
      </c>
      <c r="D122" s="1943" t="s">
        <v>11876</v>
      </c>
      <c r="E122" s="1929" t="s">
        <v>11801</v>
      </c>
      <c r="F122" s="1944">
        <v>44470.0</v>
      </c>
    </row>
    <row r="123">
      <c r="A123" s="1939"/>
      <c r="B123" s="1934" t="s">
        <v>11813</v>
      </c>
      <c r="C123" s="1929" t="s">
        <v>5374</v>
      </c>
      <c r="D123" s="1943" t="s">
        <v>11877</v>
      </c>
      <c r="E123" s="1929" t="s">
        <v>11811</v>
      </c>
      <c r="F123" s="1944">
        <v>44020.0</v>
      </c>
    </row>
    <row r="124">
      <c r="A124" s="1950" t="s">
        <v>11878</v>
      </c>
      <c r="B124" s="1921" t="s">
        <v>11827</v>
      </c>
      <c r="C124" s="1922"/>
      <c r="D124" s="1922"/>
      <c r="E124" s="1922"/>
      <c r="F124" s="1923"/>
    </row>
    <row r="125">
      <c r="A125" s="1950" t="s">
        <v>11879</v>
      </c>
      <c r="B125" s="1924"/>
      <c r="C125" s="1925"/>
      <c r="D125" s="1925"/>
      <c r="E125" s="1925"/>
      <c r="F125" s="1926"/>
    </row>
    <row r="126">
      <c r="A126" s="1951"/>
      <c r="B126" s="1928" t="s">
        <v>11799</v>
      </c>
      <c r="C126" s="1929" t="s">
        <v>1050</v>
      </c>
      <c r="D126" s="1952">
        <v>0.06525462962962963</v>
      </c>
      <c r="E126" s="1929" t="s">
        <v>11811</v>
      </c>
      <c r="F126" s="1931">
        <v>44652.0</v>
      </c>
    </row>
    <row r="127">
      <c r="A127" s="1951"/>
      <c r="B127" s="1932" t="s">
        <v>11803</v>
      </c>
      <c r="C127" s="1929" t="s">
        <v>4133</v>
      </c>
      <c r="D127" s="1952">
        <v>0.06892361111111112</v>
      </c>
      <c r="E127" s="1929" t="s">
        <v>11811</v>
      </c>
      <c r="F127" s="1931">
        <v>44652.0</v>
      </c>
    </row>
    <row r="128">
      <c r="A128" s="1951"/>
      <c r="B128" s="1933" t="s">
        <v>11806</v>
      </c>
      <c r="C128" s="1938" t="s">
        <v>5477</v>
      </c>
      <c r="D128" s="1953">
        <v>0.07195601851851852</v>
      </c>
      <c r="E128" s="1938" t="s">
        <v>11811</v>
      </c>
      <c r="F128" s="1944">
        <v>44652.0</v>
      </c>
    </row>
    <row r="129">
      <c r="A129" s="1951"/>
      <c r="B129" s="1934" t="s">
        <v>11809</v>
      </c>
      <c r="C129" s="1935" t="s">
        <v>11880</v>
      </c>
      <c r="D129" s="1954">
        <v>0.07211805555555556</v>
      </c>
      <c r="E129" s="1955" t="s">
        <v>11881</v>
      </c>
      <c r="F129" s="1944">
        <v>44652.0</v>
      </c>
    </row>
    <row r="130">
      <c r="A130" s="1951"/>
      <c r="B130" s="1934" t="s">
        <v>11813</v>
      </c>
      <c r="C130" s="1935"/>
      <c r="D130" s="1935"/>
      <c r="E130" s="1935"/>
      <c r="F130" s="1935"/>
    </row>
    <row r="131">
      <c r="A131" s="1956"/>
      <c r="B131" s="1921" t="s">
        <v>11828</v>
      </c>
      <c r="C131" s="1922"/>
      <c r="D131" s="1922"/>
      <c r="E131" s="1922"/>
      <c r="F131" s="1923"/>
    </row>
    <row r="132">
      <c r="A132" s="1951"/>
      <c r="B132" s="1924"/>
      <c r="C132" s="1925"/>
      <c r="D132" s="1925"/>
      <c r="E132" s="1925"/>
      <c r="F132" s="1926"/>
    </row>
    <row r="133">
      <c r="A133" s="1951"/>
      <c r="B133" s="1928" t="s">
        <v>11799</v>
      </c>
      <c r="C133" s="1929" t="s">
        <v>2460</v>
      </c>
      <c r="D133" s="1957" t="s">
        <v>11882</v>
      </c>
      <c r="E133" s="1929" t="s">
        <v>11801</v>
      </c>
      <c r="F133" s="1931">
        <v>45152.0</v>
      </c>
    </row>
    <row r="134">
      <c r="A134" s="1951"/>
      <c r="B134" s="1932" t="s">
        <v>11803</v>
      </c>
      <c r="C134" s="1929" t="s">
        <v>4264</v>
      </c>
      <c r="D134" s="1957" t="s">
        <v>11883</v>
      </c>
      <c r="E134" s="1929" t="s">
        <v>11801</v>
      </c>
      <c r="F134" s="1931">
        <v>44866.0</v>
      </c>
    </row>
    <row r="135">
      <c r="A135" s="1951"/>
      <c r="B135" s="1933" t="s">
        <v>11806</v>
      </c>
      <c r="C135" s="1935"/>
      <c r="D135" s="1954"/>
      <c r="E135" s="1955"/>
      <c r="F135" s="1944"/>
    </row>
    <row r="136">
      <c r="A136" s="1951"/>
      <c r="B136" s="1934" t="s">
        <v>11809</v>
      </c>
      <c r="C136" s="1935"/>
      <c r="D136" s="1954"/>
      <c r="E136" s="1955"/>
      <c r="F136" s="1944"/>
    </row>
    <row r="137">
      <c r="A137" s="1951"/>
      <c r="B137" s="1934" t="s">
        <v>11813</v>
      </c>
      <c r="C137" s="1935"/>
      <c r="D137" s="1935"/>
      <c r="E137" s="1935"/>
      <c r="F137" s="1935"/>
    </row>
    <row r="138">
      <c r="A138" s="1951"/>
      <c r="B138" s="1921" t="s">
        <v>11884</v>
      </c>
      <c r="C138" s="1922"/>
      <c r="D138" s="1922"/>
      <c r="E138" s="1922"/>
      <c r="F138" s="1923"/>
    </row>
    <row r="139">
      <c r="A139" s="1951"/>
      <c r="B139" s="1924"/>
      <c r="C139" s="1925"/>
      <c r="D139" s="1925"/>
      <c r="E139" s="1925"/>
      <c r="F139" s="1926"/>
    </row>
    <row r="140">
      <c r="A140" s="1951"/>
      <c r="B140" s="1928" t="s">
        <v>11799</v>
      </c>
      <c r="C140" s="1929" t="s">
        <v>2460</v>
      </c>
      <c r="D140" s="1958">
        <v>0.1396990740740741</v>
      </c>
      <c r="E140" s="1929" t="s">
        <v>11801</v>
      </c>
      <c r="F140" s="1931">
        <v>45998.0</v>
      </c>
    </row>
    <row r="141">
      <c r="A141" s="1951"/>
      <c r="B141" s="1932" t="s">
        <v>11803</v>
      </c>
      <c r="C141" s="1929"/>
      <c r="D141" s="1959"/>
      <c r="E141" s="1929"/>
      <c r="F141" s="1931"/>
    </row>
    <row r="142">
      <c r="A142" s="1951"/>
      <c r="B142" s="1933" t="s">
        <v>11806</v>
      </c>
      <c r="C142" s="1935"/>
      <c r="D142" s="1954"/>
      <c r="E142" s="1955"/>
      <c r="F142" s="1944"/>
    </row>
    <row r="143">
      <c r="A143" s="1951"/>
      <c r="B143" s="1934" t="s">
        <v>11809</v>
      </c>
      <c r="C143" s="1935"/>
      <c r="D143" s="1954"/>
      <c r="E143" s="1955"/>
      <c r="F143" s="1944"/>
    </row>
    <row r="144">
      <c r="A144" s="1951"/>
      <c r="B144" s="1934" t="s">
        <v>11813</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