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<sst xmlns="http://schemas.openxmlformats.org/spreadsheetml/2006/main" count="26605" uniqueCount="10995">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</sst>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16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306"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1" numFmtId="49" xfId="0" applyAlignment="1" applyFont="1" applyNumberFormat="1">
      <alignment horizontal="center" vertical="center"/>
    </xf>
    <xf borderId="0" fillId="42" fontId="25" numFmtId="49" xfId="0" applyAlignment="1" applyFont="1" applyNumberFormat="1">
      <alignment readingOrder="0" vertical="center"/>
    </xf>
    <xf borderId="0" fillId="30" fontId="312"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6" numFmtId="0" xfId="0" applyAlignment="1" applyFont="1">
      <alignment horizontal="center" readingOrder="0" vertical="center"/>
    </xf>
    <xf borderId="0" fillId="8" fontId="293" numFmtId="49" xfId="0" applyAlignment="1" applyFont="1" applyNumberFormat="1">
      <alignment vertical="center"/>
    </xf>
    <xf borderId="0" fillId="8" fontId="317" numFmtId="49" xfId="0" applyAlignment="1" applyFont="1" applyNumberFormat="1">
      <alignment horizontal="center" readingOrder="0" vertical="center"/>
    </xf>
    <xf borderId="0" fillId="8" fontId="318" numFmtId="49" xfId="0" applyAlignment="1" applyFont="1" applyNumberFormat="1">
      <alignment horizontal="center" readingOrder="0" shrinkToFit="0" vertical="center" wrapText="0"/>
    </xf>
    <xf borderId="0" fillId="8" fontId="319"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2" numFmtId="0" xfId="0" applyAlignment="1" applyFont="1">
      <alignment horizontal="center" readingOrder="0" vertical="center"/>
    </xf>
    <xf borderId="0" fillId="0" fontId="3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4" numFmtId="49" xfId="0" applyAlignment="1" applyFont="1" applyNumberFormat="1">
      <alignment horizontal="center" readingOrder="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0" xfId="0" applyAlignment="1" applyFont="1">
      <alignment horizontal="center" readingOrder="0" vertical="center"/>
    </xf>
    <xf borderId="0" fillId="43" fontId="25" numFmtId="49" xfId="0" applyAlignment="1" applyFont="1" applyNumberFormat="1">
      <alignment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9"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9"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8"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0"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1" numFmtId="49" xfId="0" applyAlignment="1" applyFont="1" applyNumberFormat="1">
      <alignment horizontal="center" vertical="center"/>
    </xf>
    <xf borderId="0" fillId="9" fontId="482" numFmtId="49" xfId="0" applyAlignment="1" applyFont="1" applyNumberFormat="1">
      <alignment horizontal="center" vertical="center"/>
    </xf>
    <xf borderId="0" fillId="14" fontId="491" numFmtId="49" xfId="0" applyAlignment="1" applyFont="1" applyNumberFormat="1">
      <alignment horizontal="center" vertical="center"/>
    </xf>
    <xf borderId="0" fillId="10" fontId="491" numFmtId="49" xfId="0" applyAlignment="1" applyFont="1" applyNumberFormat="1">
      <alignment horizontal="center" vertical="center"/>
    </xf>
    <xf borderId="0" fillId="18" fontId="491" numFmtId="49" xfId="0" applyAlignment="1" applyFont="1" applyNumberFormat="1">
      <alignment horizontal="center" vertical="center"/>
    </xf>
    <xf borderId="0" fillId="11" fontId="491" numFmtId="49" xfId="0" applyAlignment="1" applyFont="1" applyNumberFormat="1">
      <alignment horizontal="center" vertical="center"/>
    </xf>
    <xf borderId="0" fillId="22" fontId="491" numFmtId="49" xfId="0" applyAlignment="1" applyFont="1" applyNumberFormat="1">
      <alignment horizontal="center" vertical="center"/>
    </xf>
    <xf borderId="0" fillId="54" fontId="491"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2" numFmtId="49" xfId="0" applyAlignment="1" applyFont="1" applyNumberFormat="1">
      <alignment horizontal="center" readingOrder="0" vertical="center"/>
    </xf>
    <xf borderId="0" fillId="72" fontId="492"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64" fontId="492" numFmtId="49" xfId="0" applyAlignment="1" applyFont="1" applyNumberFormat="1">
      <alignment horizontal="center" readingOrder="0" vertical="center"/>
    </xf>
    <xf borderId="0" fillId="73" fontId="492" numFmtId="49" xfId="0" applyAlignment="1" applyFill="1" applyFont="1" applyNumberFormat="1">
      <alignment horizontal="center" readingOrder="0" vertical="center"/>
    </xf>
    <xf borderId="0" fillId="73" fontId="492"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2" numFmtId="49" xfId="0" applyAlignment="1" applyFill="1" applyFont="1" applyNumberFormat="1">
      <alignment horizontal="center" readingOrder="0" vertical="center"/>
    </xf>
    <xf borderId="0" fillId="74" fontId="492"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5" fontId="492"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6" fontId="492"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7" fontId="492" numFmtId="49" xfId="0" applyAlignment="1" applyFill="1" applyFont="1" applyNumberFormat="1">
      <alignment horizontal="center" readingOrder="0" vertical="center"/>
    </xf>
    <xf borderId="0" fillId="5" fontId="492" numFmtId="49" xfId="0" applyAlignment="1" applyFont="1" applyNumberFormat="1">
      <alignment horizontal="center" readingOrder="0" vertical="center"/>
    </xf>
    <xf borderId="0" fillId="5" fontId="492"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5" numFmtId="164" xfId="0" applyAlignment="1" applyFont="1" applyNumberFormat="1">
      <alignment horizontal="center" readingOrder="0" vertical="center"/>
    </xf>
    <xf borderId="0" fillId="72" fontId="505"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5" fontId="505"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8"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3"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4"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2"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9" fillId="34" fontId="49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2" numFmtId="49" xfId="0" applyAlignment="1" applyBorder="1" applyFont="1" applyNumberFormat="1">
      <alignment horizontal="center" vertical="bottom"/>
    </xf>
    <xf borderId="0" fillId="0" fontId="521" numFmtId="49" xfId="0" applyAlignment="1" applyFont="1" applyNumberFormat="1">
      <alignment horizontal="center" readingOrder="0" vertical="bottom"/>
    </xf>
    <xf borderId="0" fillId="0" fontId="522" numFmtId="0" xfId="0" applyAlignment="1" applyFont="1">
      <alignment horizontal="center" readingOrder="0"/>
    </xf>
    <xf borderId="9" fillId="30"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2" numFmtId="49" xfId="0" applyAlignment="1" applyBorder="1" applyFont="1" applyNumberFormat="1">
      <alignment horizontal="center" readingOrder="0" vertical="bottom"/>
    </xf>
    <xf borderId="0" fillId="0" fontId="514" numFmtId="49" xfId="0" applyAlignment="1" applyFont="1" applyNumberFormat="1">
      <alignment horizontal="center" vertical="center"/>
    </xf>
    <xf borderId="9" fillId="30" fontId="492" numFmtId="49" xfId="0" applyAlignment="1" applyBorder="1" applyFont="1" applyNumberFormat="1">
      <alignment horizontal="center" vertical="center"/>
    </xf>
    <xf borderId="10" fillId="30" fontId="500" numFmtId="49" xfId="0" applyAlignment="1" applyBorder="1" applyFont="1" applyNumberFormat="1">
      <alignment horizontal="center" readingOrder="0" vertical="center"/>
    </xf>
    <xf borderId="10" fillId="0" fontId="524" numFmtId="49" xfId="0" applyAlignment="1" applyBorder="1" applyFont="1" applyNumberFormat="1">
      <alignment horizontal="center" readingOrder="0" vertical="center"/>
    </xf>
    <xf borderId="10" fillId="0" fontId="50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8" fontId="526" numFmtId="49" xfId="0" applyAlignment="1" applyFont="1" applyNumberFormat="1">
      <alignment horizontal="center" vertical="center"/>
    </xf>
    <xf borderId="0" fillId="38" fontId="527" numFmtId="49" xfId="0" applyAlignment="1" applyFont="1" applyNumberFormat="1">
      <alignment horizontal="center" vertical="center"/>
    </xf>
    <xf borderId="0" fillId="36" fontId="528" numFmtId="49" xfId="0" applyAlignment="1" applyFont="1" applyNumberFormat="1">
      <alignment horizontal="center" vertical="center"/>
    </xf>
    <xf borderId="0" fillId="35" fontId="529"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0" numFmtId="49" xfId="0" applyAlignment="1" applyBorder="1" applyFont="1" applyNumberFormat="1">
      <alignment horizontal="center" readingOrder="0" vertical="center"/>
    </xf>
    <xf borderId="10" fillId="35" fontId="500" numFmtId="49" xfId="0" applyAlignment="1" applyBorder="1" applyFont="1" applyNumberFormat="1">
      <alignment horizontal="center" readingOrder="0" vertical="center"/>
    </xf>
    <xf borderId="10" fillId="39" fontId="50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0" numFmtId="49" xfId="0" applyAlignment="1" applyFont="1" applyNumberFormat="1">
      <alignment horizontal="center" vertical="center"/>
    </xf>
    <xf borderId="0" fillId="36" fontId="531" numFmtId="49" xfId="0" applyAlignment="1" applyFont="1" applyNumberFormat="1">
      <alignment horizontal="center" vertical="center"/>
    </xf>
    <xf borderId="0" fillId="39" fontId="532" numFmtId="49" xfId="0" applyAlignment="1" applyFont="1" applyNumberFormat="1">
      <alignment horizontal="center" vertical="center"/>
    </xf>
    <xf borderId="0" fillId="40" fontId="53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4" numFmtId="49" xfId="0" applyAlignment="1" applyFont="1" applyNumberFormat="1">
      <alignment horizontal="center" readingOrder="0" vertical="center"/>
    </xf>
    <xf borderId="10" fillId="38" fontId="535"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6" numFmtId="49" xfId="0" applyAlignment="1" applyBorder="1" applyFont="1" applyNumberFormat="1">
      <alignment horizontal="center" readingOrder="0" vertical="center"/>
    </xf>
    <xf borderId="10" fillId="0" fontId="537" numFmtId="49" xfId="0" applyAlignment="1" applyBorder="1" applyFont="1" applyNumberFormat="1">
      <alignment horizontal="center" readingOrder="0" vertical="center"/>
    </xf>
    <xf borderId="10" fillId="4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0" fontId="505"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5" numFmtId="49" xfId="0" applyAlignment="1" applyBorder="1" applyFont="1" applyNumberFormat="1">
      <alignment horizontal="center" vertical="center"/>
    </xf>
    <xf borderId="11" fillId="37"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vertical="center"/>
    </xf>
    <xf borderId="11" fillId="38" fontId="505" numFmtId="49" xfId="0" applyAlignment="1" applyBorder="1" applyFont="1" applyNumberFormat="1">
      <alignment horizontal="center" vertical="center"/>
    </xf>
    <xf borderId="11" fillId="36" fontId="505" numFmtId="49" xfId="0" applyAlignment="1" applyBorder="1" applyFont="1" applyNumberFormat="1">
      <alignment horizontal="center" vertical="center"/>
    </xf>
    <xf borderId="11" fillId="39" fontId="505" numFmtId="49" xfId="0" applyAlignment="1" applyBorder="1" applyFont="1" applyNumberFormat="1">
      <alignment horizontal="center" vertical="center"/>
    </xf>
    <xf borderId="11" fillId="36" fontId="505"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8" numFmtId="49" xfId="0" applyAlignment="1" applyBorder="1" applyFont="1" applyNumberFormat="1">
      <alignment horizontal="center"/>
    </xf>
    <xf borderId="11" fillId="0" fontId="548"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4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5" numFmtId="49" xfId="0" applyAlignment="1" applyBorder="1" applyFont="1" applyNumberFormat="1">
      <alignment horizontal="center" readingOrder="0" vertical="center"/>
    </xf>
    <xf borderId="0" fillId="0" fontId="550"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11" fillId="0" fontId="55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0" fontId="554" numFmtId="0" xfId="0" applyAlignment="1" applyFont="1">
      <alignment horizontal="center" readingOrder="0" vertical="center"/>
    </xf>
    <xf borderId="0" fillId="0" fontId="55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5"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1"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1" numFmtId="49" xfId="0" applyAlignment="1" applyFont="1" applyNumberFormat="1">
      <alignment horizontal="center" readingOrder="0" vertical="center"/>
    </xf>
    <xf borderId="0" fillId="10" fontId="491" numFmtId="49" xfId="0" applyAlignment="1" applyFont="1" applyNumberFormat="1">
      <alignment horizontal="center" readingOrder="0" vertical="center"/>
    </xf>
    <xf borderId="0" fillId="18"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22" fontId="491"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2" numFmtId="46" xfId="0" applyAlignment="1" applyFont="1" applyNumberFormat="1">
      <alignment horizontal="center" readingOrder="0" vertical="center"/>
    </xf>
    <xf borderId="0" fillId="72" fontId="492" numFmtId="4" xfId="0" applyAlignment="1" applyFont="1" applyNumberFormat="1">
      <alignment horizontal="center" readingOrder="0" vertical="center"/>
    </xf>
    <xf borderId="0" fillId="64" fontId="492" numFmtId="4" xfId="0" applyAlignment="1" applyFont="1" applyNumberFormat="1">
      <alignment horizontal="center" readingOrder="0" vertical="center"/>
    </xf>
    <xf borderId="0" fillId="73" fontId="556" numFmtId="4" xfId="0" applyAlignment="1" applyFont="1" applyNumberFormat="1">
      <alignment horizontal="center" readingOrder="0" vertical="center"/>
    </xf>
    <xf borderId="0" fillId="68" fontId="557" numFmtId="4" xfId="0" applyAlignment="1" applyFont="1" applyNumberFormat="1">
      <alignment horizontal="center" readingOrder="0" vertical="center"/>
    </xf>
    <xf borderId="0" fillId="74" fontId="492" numFmtId="4" xfId="0" applyAlignment="1" applyFont="1" applyNumberFormat="1">
      <alignment horizontal="center" readingOrder="0" vertical="center"/>
    </xf>
    <xf borderId="0" fillId="75" fontId="492" numFmtId="4" xfId="0" applyAlignment="1" applyFont="1" applyNumberFormat="1">
      <alignment horizontal="center" readingOrder="0" vertical="center"/>
    </xf>
    <xf borderId="0" fillId="76" fontId="492" numFmtId="4" xfId="0" applyAlignment="1" applyFont="1" applyNumberFormat="1">
      <alignment horizontal="center" readingOrder="0" vertical="center"/>
    </xf>
    <xf borderId="0" fillId="77" fontId="492" numFmtId="4" xfId="0" applyAlignment="1" applyFont="1" applyNumberFormat="1">
      <alignment horizontal="center" readingOrder="0" vertical="center"/>
    </xf>
    <xf borderId="0" fillId="5" fontId="492" numFmtId="46" xfId="0" applyAlignment="1" applyFont="1" applyNumberFormat="1">
      <alignment horizontal="center" readingOrder="0" vertical="center"/>
    </xf>
    <xf borderId="0" fillId="5" fontId="492" numFmtId="46" xfId="0" applyAlignment="1" applyFont="1" applyNumberFormat="1">
      <alignment horizontal="center" vertical="center"/>
    </xf>
    <xf borderId="0" fillId="7" fontId="500" numFmtId="46" xfId="0" applyAlignment="1" applyFont="1" applyNumberFormat="1">
      <alignment horizontal="center" readingOrder="0" vertical="center"/>
    </xf>
    <xf borderId="0" fillId="64" fontId="500" numFmtId="0" xfId="0" applyAlignment="1" applyFont="1">
      <alignment horizontal="center" readingOrder="0" vertical="center"/>
    </xf>
    <xf borderId="0" fillId="5" fontId="500" numFmtId="46" xfId="0" applyAlignment="1" applyFont="1" applyNumberFormat="1">
      <alignment horizontal="center" readingOrder="0" vertical="center"/>
    </xf>
    <xf borderId="0" fillId="5" fontId="500" numFmtId="46" xfId="0" applyAlignment="1" applyFont="1" applyNumberFormat="1">
      <alignment horizontal="center" vertical="center"/>
    </xf>
    <xf borderId="0" fillId="7" fontId="505" numFmtId="46" xfId="0" applyAlignment="1" applyFont="1" applyNumberFormat="1">
      <alignment horizontal="center" readingOrder="0" vertical="center"/>
    </xf>
    <xf borderId="0" fillId="64" fontId="505" numFmtId="166" xfId="0" applyAlignment="1" applyFont="1" applyNumberFormat="1">
      <alignment horizontal="center" readingOrder="0" vertical="center"/>
    </xf>
    <xf borderId="0" fillId="5" fontId="505" numFmtId="46" xfId="0" applyAlignment="1" applyFont="1" applyNumberFormat="1">
      <alignment horizontal="center" vertical="center"/>
    </xf>
    <xf borderId="0" fillId="30" fontId="514"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5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0" numFmtId="49" xfId="0" applyAlignment="1" applyBorder="1" applyFont="1" applyNumberFormat="1">
      <alignment horizontal="center" readingOrder="0" vertical="center"/>
    </xf>
    <xf borderId="10" fillId="34" fontId="500" numFmtId="49" xfId="0" applyAlignment="1" applyBorder="1" applyFont="1" applyNumberFormat="1">
      <alignment horizontal="center" readingOrder="0" vertical="center"/>
    </xf>
    <xf borderId="10" fillId="30" fontId="500" numFmtId="46" xfId="0" applyAlignment="1" applyBorder="1" applyFont="1" applyNumberFormat="1">
      <alignment horizontal="center" readingOrder="0" vertical="center"/>
    </xf>
    <xf borderId="0" fillId="30" fontId="560" numFmtId="49" xfId="0" applyAlignment="1" applyFont="1" applyNumberFormat="1">
      <alignment horizontal="center" readingOrder="0" vertical="center"/>
    </xf>
    <xf borderId="0" fillId="30" fontId="561"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5" numFmtId="49" xfId="0" applyAlignment="1" applyBorder="1" applyFont="1" applyNumberFormat="1">
      <alignment horizontal="center" readingOrder="0" vertical="center"/>
    </xf>
    <xf borderId="11" fillId="30" fontId="505" numFmtId="166" xfId="0" applyAlignment="1" applyBorder="1" applyFont="1" applyNumberFormat="1">
      <alignment horizontal="center" readingOrder="0" vertical="center"/>
    </xf>
    <xf borderId="11" fillId="30" fontId="505"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2"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2" numFmtId="49" xfId="0" applyAlignment="1" applyFont="1" applyNumberFormat="1">
      <alignment horizontal="center" readingOrder="0" vertical="center"/>
    </xf>
    <xf borderId="0" fillId="10" fontId="562" numFmtId="49" xfId="0" applyAlignment="1" applyFont="1" applyNumberFormat="1">
      <alignment horizontal="center" readingOrder="0" vertical="center"/>
    </xf>
    <xf borderId="0" fillId="18" fontId="562" numFmtId="49" xfId="0" applyAlignment="1" applyFont="1" applyNumberFormat="1">
      <alignment horizontal="center" readingOrder="0" vertical="center"/>
    </xf>
    <xf borderId="0" fillId="11" fontId="562" numFmtId="49" xfId="0" applyAlignment="1" applyFont="1" applyNumberFormat="1">
      <alignment horizontal="center" readingOrder="0" vertical="center"/>
    </xf>
    <xf borderId="0" fillId="22" fontId="562" numFmtId="49" xfId="0" applyAlignment="1" applyFont="1" applyNumberFormat="1">
      <alignment horizontal="center" readingOrder="0" vertical="center"/>
    </xf>
    <xf borderId="0" fillId="73" fontId="563" numFmtId="49" xfId="0" applyAlignment="1" applyFont="1" applyNumberFormat="1">
      <alignment horizontal="center" readingOrder="0" vertical="center"/>
    </xf>
    <xf borderId="0" fillId="68" fontId="564" numFmtId="49" xfId="0" applyAlignment="1" applyFont="1" applyNumberFormat="1">
      <alignment horizontal="center" readingOrder="0" vertical="center"/>
    </xf>
    <xf borderId="0" fillId="74" fontId="565" numFmtId="49" xfId="0" applyAlignment="1" applyFont="1" applyNumberFormat="1">
      <alignment horizontal="center" readingOrder="0" vertical="center"/>
    </xf>
    <xf borderId="0" fillId="5" fontId="350" numFmtId="49" xfId="0" applyAlignment="1" applyFont="1" applyNumberFormat="1">
      <alignment vertical="center"/>
    </xf>
    <xf borderId="0" fillId="5" fontId="505" numFmtId="46" xfId="0" applyAlignment="1" applyFont="1" applyNumberFormat="1">
      <alignment horizontal="center" readingOrder="0" vertical="center"/>
    </xf>
    <xf borderId="9" fillId="40" fontId="492" numFmtId="49" xfId="0" applyAlignment="1" applyBorder="1" applyFont="1" applyNumberFormat="1">
      <alignment horizontal="center" readingOrder="0" vertical="center"/>
    </xf>
    <xf borderId="9" fillId="5" fontId="492" numFmtId="49" xfId="0" applyAlignment="1" applyBorder="1" applyFont="1" applyNumberFormat="1">
      <alignment horizontal="center" readingOrder="0"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1"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3"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4" numFmtId="0" xfId="0" applyAlignment="1" applyBorder="1" applyFont="1">
      <alignment horizontal="center" readingOrder="0"/>
    </xf>
    <xf borderId="5" fillId="7" fontId="445" numFmtId="0" xfId="0" applyAlignment="1" applyBorder="1" applyFont="1">
      <alignment horizontal="center"/>
    </xf>
    <xf borderId="4" fillId="0" fontId="575" numFmtId="0" xfId="0" applyAlignment="1" applyBorder="1" applyFont="1">
      <alignment horizontal="center" readingOrder="0"/>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6" numFmtId="0" xfId="0" applyAlignment="1" applyBorder="1" applyFont="1">
      <alignment horizontal="center" readingOrder="0" vertical="center"/>
    </xf>
    <xf borderId="5" fillId="7" fontId="577" numFmtId="0" xfId="0" applyAlignment="1" applyBorder="1" applyFont="1">
      <alignment horizontal="center" readingOrder="0"/>
    </xf>
    <xf borderId="5" fillId="7" fontId="292" numFmtId="0" xfId="0" applyAlignment="1" applyBorder="1" applyFont="1">
      <alignment horizontal="center"/>
    </xf>
    <xf borderId="0" fillId="7" fontId="57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79" numFmtId="0" xfId="0" applyAlignment="1" applyBorder="1" applyFont="1">
      <alignment horizontal="center" readingOrder="0" vertical="center"/>
    </xf>
    <xf borderId="5" fillId="7" fontId="580" numFmtId="0" xfId="0" applyAlignment="1" applyBorder="1" applyFont="1">
      <alignment horizontal="center" readingOrder="0"/>
    </xf>
    <xf borderId="0" fillId="7" fontId="581"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2" numFmtId="0" xfId="0" applyAlignment="1" applyFont="1">
      <alignment readingOrder="0" vertical="bottom"/>
    </xf>
    <xf borderId="5" fillId="7" fontId="583" numFmtId="21" xfId="0" applyAlignment="1" applyBorder="1" applyFont="1" applyNumberFormat="1">
      <alignment horizontal="center" readingOrder="0"/>
    </xf>
    <xf borderId="0" fillId="7" fontId="6" numFmtId="0" xfId="0" applyAlignment="1" applyFont="1">
      <alignment readingOrder="0" vertical="bottom"/>
    </xf>
    <xf borderId="4" fillId="7" fontId="584" numFmtId="21" xfId="0" applyAlignment="1" applyBorder="1" applyFont="1" applyNumberFormat="1">
      <alignment horizontal="center" readingOrder="0"/>
    </xf>
    <xf borderId="4" fillId="7" fontId="585" numFmtId="21" xfId="0" applyAlignment="1" applyBorder="1" applyFont="1" applyNumberFormat="1">
      <alignment horizontal="center" readingOrder="0"/>
    </xf>
    <xf borderId="4" fillId="7" fontId="586" numFmtId="0" xfId="0" applyAlignment="1" applyBorder="1" applyFont="1">
      <alignment horizontal="center" readingOrder="0"/>
    </xf>
    <xf borderId="5" fillId="7" fontId="292" numFmtId="0" xfId="0" applyAlignment="1" applyBorder="1" applyFont="1">
      <alignment horizontal="center" readingOrder="0"/>
    </xf>
    <xf borderId="0" fillId="7" fontId="587" numFmtId="0" xfId="0" applyAlignment="1" applyFont="1">
      <alignment readingOrder="0" vertical="bottom"/>
    </xf>
    <xf quotePrefix="1" borderId="5" fillId="7" fontId="58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19" t="s">
        <v>149</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20" t="s">
        <v>6324</v>
      </c>
      <c r="B9" s="721" t="s">
        <v>6310</v>
      </c>
      <c r="C9" s="722"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20" t="s">
        <v>6329</v>
      </c>
      <c r="B10" s="721" t="s">
        <v>6312</v>
      </c>
      <c r="C10" s="723" t="s">
        <v>2273</v>
      </c>
      <c r="D10" s="724"/>
      <c r="E10" s="724"/>
      <c r="F10" s="705" t="s">
        <v>627</v>
      </c>
      <c r="G10" s="704"/>
      <c r="H10" s="724"/>
      <c r="I10" s="705" t="s">
        <v>1405</v>
      </c>
      <c r="J10" s="724"/>
      <c r="K10" s="724"/>
      <c r="L10" s="704"/>
      <c r="M10" s="704"/>
      <c r="N10" s="704"/>
      <c r="O10" s="724"/>
      <c r="P10" s="704"/>
      <c r="Q10" s="704"/>
      <c r="R10" s="724"/>
      <c r="S10" s="704"/>
      <c r="T10" s="724"/>
      <c r="U10" s="724"/>
      <c r="V10" s="704"/>
      <c r="W10" s="704"/>
      <c r="X10" s="712"/>
      <c r="Y10" s="704"/>
      <c r="Z10" s="724"/>
      <c r="AA10" s="724"/>
      <c r="AB10" s="711"/>
      <c r="AC10" s="724"/>
      <c r="AD10" s="705" t="s">
        <v>2573</v>
      </c>
      <c r="AE10" s="704"/>
      <c r="AF10" s="724"/>
      <c r="AG10" s="724"/>
      <c r="AH10" s="724"/>
      <c r="AI10" s="725"/>
      <c r="AJ10" s="724"/>
      <c r="AK10" s="726" t="s">
        <v>6330</v>
      </c>
      <c r="AL10" s="724"/>
      <c r="AM10" s="724"/>
      <c r="AN10" s="704"/>
      <c r="AO10" s="724"/>
      <c r="AP10" s="704"/>
      <c r="AQ10" s="724"/>
      <c r="AR10" s="724"/>
      <c r="AS10" s="703" t="s">
        <v>2273</v>
      </c>
      <c r="AT10" s="724"/>
      <c r="AU10" s="724"/>
      <c r="AV10" s="724"/>
      <c r="AW10" s="724"/>
      <c r="AX10" s="724"/>
      <c r="AY10" s="724"/>
      <c r="AZ10" s="724"/>
      <c r="BA10" s="714"/>
      <c r="BB10" s="714"/>
      <c r="BC10" s="714"/>
      <c r="BD10" s="724"/>
      <c r="BE10" s="724"/>
      <c r="BF10" s="724"/>
      <c r="BG10" s="724"/>
      <c r="BH10" s="714"/>
      <c r="BI10" s="714"/>
      <c r="BJ10" s="714"/>
    </row>
    <row r="11" ht="15.75" customHeight="1">
      <c r="A11" s="717"/>
      <c r="B11" s="718" t="s">
        <v>6321</v>
      </c>
      <c r="C11" s="722" t="s">
        <v>6331</v>
      </c>
      <c r="D11" s="703" t="s">
        <v>1237</v>
      </c>
      <c r="E11" s="704"/>
      <c r="F11" s="705" t="s">
        <v>6331</v>
      </c>
      <c r="G11" s="724"/>
      <c r="H11" s="704"/>
      <c r="I11" s="705" t="s">
        <v>2063</v>
      </c>
      <c r="J11" s="704"/>
      <c r="K11" s="704"/>
      <c r="L11" s="724"/>
      <c r="M11" s="724"/>
      <c r="N11" s="724"/>
      <c r="O11" s="704"/>
      <c r="P11" s="724"/>
      <c r="Q11" s="724"/>
      <c r="R11" s="704"/>
      <c r="S11" s="724"/>
      <c r="T11" s="704"/>
      <c r="U11" s="704"/>
      <c r="V11" s="705" t="s">
        <v>6332</v>
      </c>
      <c r="W11" s="724"/>
      <c r="X11" s="711"/>
      <c r="Y11" s="724"/>
      <c r="Z11" s="704"/>
      <c r="AA11" s="704"/>
      <c r="AB11" s="712"/>
      <c r="AC11" s="704"/>
      <c r="AD11" s="704"/>
      <c r="AE11" s="724"/>
      <c r="AF11" s="704"/>
      <c r="AG11" s="704"/>
      <c r="AH11" s="704"/>
      <c r="AI11" s="713"/>
      <c r="AJ11" s="704"/>
      <c r="AK11" s="704"/>
      <c r="AL11" s="704"/>
      <c r="AM11" s="704"/>
      <c r="AN11" s="724"/>
      <c r="AO11" s="704"/>
      <c r="AP11" s="724"/>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2" t="s">
        <v>3020</v>
      </c>
      <c r="D12" s="705" t="s">
        <v>3020</v>
      </c>
      <c r="E12" s="704" t="s">
        <v>4410</v>
      </c>
      <c r="F12" s="727"/>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8"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20" t="s">
        <v>6324</v>
      </c>
      <c r="B14" s="729" t="s">
        <v>6334</v>
      </c>
      <c r="C14" s="722" t="s">
        <v>5948</v>
      </c>
      <c r="D14" s="705" t="s">
        <v>5948</v>
      </c>
      <c r="E14" s="710" t="str">
        <f>HYPERLINK("https://www.youtube.com/watch?v=h3GaauXfeR4","14.16")</f>
        <v>14.16</v>
      </c>
      <c r="F14" s="709"/>
      <c r="G14" s="704"/>
      <c r="H14" s="730" t="s">
        <v>4356</v>
      </c>
      <c r="I14" s="705" t="str">
        <f>HYPERLINK("https://www.twitch.tv/videos/569558488","14.31")</f>
        <v>14.31</v>
      </c>
      <c r="J14" s="710" t="str">
        <f>HYPERLINK("https://youtu.be/F4XtupQ5d4o","14.33")</f>
        <v>14.33</v>
      </c>
      <c r="K14" s="731"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31" t="s">
        <v>4472</v>
      </c>
      <c r="AC14" s="709"/>
      <c r="AD14" s="709"/>
      <c r="AE14" s="704"/>
      <c r="AF14" s="705" t="s">
        <v>349</v>
      </c>
      <c r="AG14" s="709"/>
      <c r="AH14" s="709"/>
      <c r="AI14" s="732" t="s">
        <v>656</v>
      </c>
      <c r="AJ14" s="709"/>
      <c r="AK14" s="709"/>
      <c r="AL14" s="709"/>
      <c r="AM14" s="709"/>
      <c r="AN14" s="704"/>
      <c r="AO14" s="709"/>
      <c r="AP14" s="704"/>
      <c r="AQ14" s="709"/>
      <c r="AR14" s="709"/>
      <c r="AS14" s="703" t="s">
        <v>3852</v>
      </c>
      <c r="AT14" s="709"/>
      <c r="AU14" s="709"/>
      <c r="AV14" s="709"/>
      <c r="AW14" s="709"/>
      <c r="AX14" s="709"/>
      <c r="AY14" s="730" t="s">
        <v>5200</v>
      </c>
      <c r="AZ14" s="709"/>
      <c r="BA14" s="714"/>
      <c r="BB14" s="714"/>
      <c r="BC14" s="714"/>
      <c r="BD14" s="709"/>
      <c r="BE14" s="709"/>
      <c r="BF14" s="709"/>
      <c r="BG14" s="709"/>
      <c r="BH14" s="714"/>
      <c r="BI14" s="714"/>
      <c r="BJ14" s="714"/>
    </row>
    <row r="15" ht="15.75" customHeight="1">
      <c r="A15" s="717"/>
      <c r="B15" s="728" t="s">
        <v>6339</v>
      </c>
      <c r="C15" s="722"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31"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3"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20" t="s">
        <v>6329</v>
      </c>
      <c r="B16" s="734" t="s">
        <v>6344</v>
      </c>
      <c r="C16" s="735"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8" t="s">
        <v>6347</v>
      </c>
      <c r="C17" s="723" t="s">
        <v>6348</v>
      </c>
      <c r="D17" s="703" t="s">
        <v>1163</v>
      </c>
      <c r="E17" s="736"/>
      <c r="F17" s="705" t="s">
        <v>1839</v>
      </c>
      <c r="G17" s="704" t="s">
        <v>6349</v>
      </c>
      <c r="H17" s="704" t="s">
        <v>6350</v>
      </c>
      <c r="I17" s="705" t="s">
        <v>2204</v>
      </c>
      <c r="J17" s="704"/>
      <c r="K17" s="707" t="s">
        <v>6351</v>
      </c>
      <c r="L17" s="705" t="s">
        <v>6349</v>
      </c>
      <c r="M17" s="707" t="s">
        <v>6345</v>
      </c>
      <c r="N17" s="704"/>
      <c r="O17" s="704"/>
      <c r="P17" s="707" t="s">
        <v>6352</v>
      </c>
      <c r="Q17" s="736"/>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20" t="s">
        <v>6353</v>
      </c>
      <c r="B18" s="721" t="s">
        <v>6354</v>
      </c>
      <c r="C18" s="722"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2" t="s">
        <v>1696</v>
      </c>
      <c r="D19" s="705" t="s">
        <v>1103</v>
      </c>
      <c r="E19" s="705" t="s">
        <v>6358</v>
      </c>
      <c r="F19" s="704"/>
      <c r="G19" s="737"/>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8"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8" t="s">
        <v>6360</v>
      </c>
      <c r="C20" s="702" t="s">
        <v>3056</v>
      </c>
      <c r="D20" s="705" t="s">
        <v>965</v>
      </c>
      <c r="E20" s="704"/>
      <c r="F20" s="704"/>
      <c r="G20" s="704"/>
      <c r="H20" s="704"/>
      <c r="I20" s="704"/>
      <c r="J20" s="704"/>
      <c r="K20" s="704"/>
      <c r="L20" s="704"/>
      <c r="M20" s="704"/>
      <c r="N20" s="704"/>
      <c r="O20" s="703" t="s">
        <v>6361</v>
      </c>
      <c r="P20" s="739"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8" t="s">
        <v>6364</v>
      </c>
      <c r="C21" s="722" t="s">
        <v>6365</v>
      </c>
      <c r="D21" s="705" t="s">
        <v>6365</v>
      </c>
      <c r="E21" s="705" t="s">
        <v>583</v>
      </c>
      <c r="F21" s="708" t="s">
        <v>990</v>
      </c>
      <c r="G21" s="703" t="s">
        <v>619</v>
      </c>
      <c r="H21" s="703" t="s">
        <v>2396</v>
      </c>
      <c r="I21" s="740"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1"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2"/>
      <c r="F22" s="742"/>
      <c r="G22" s="742"/>
      <c r="H22" s="743"/>
      <c r="I22" s="743" t="s">
        <v>3997</v>
      </c>
      <c r="J22" s="742"/>
      <c r="K22" s="742"/>
      <c r="L22" s="742"/>
      <c r="M22" s="742"/>
      <c r="N22" s="742"/>
      <c r="O22" s="742"/>
      <c r="P22" s="742" t="s">
        <v>3042</v>
      </c>
      <c r="Q22" s="742"/>
      <c r="R22" s="742"/>
      <c r="S22" s="742"/>
      <c r="T22" s="742"/>
      <c r="U22" s="742"/>
      <c r="V22" s="742"/>
      <c r="W22" s="742"/>
      <c r="X22" s="711"/>
      <c r="Y22" s="742"/>
      <c r="Z22" s="742"/>
      <c r="AA22" s="742"/>
      <c r="AB22" s="711"/>
      <c r="AC22" s="742"/>
      <c r="AD22" s="742"/>
      <c r="AE22" s="742"/>
      <c r="AF22" s="742"/>
      <c r="AG22" s="742"/>
      <c r="AH22" s="742"/>
      <c r="AI22" s="744"/>
      <c r="AJ22" s="742"/>
      <c r="AK22" s="742"/>
      <c r="AL22" s="742"/>
      <c r="AM22" s="742"/>
      <c r="AN22" s="742"/>
      <c r="AO22" s="742"/>
      <c r="AP22" s="742"/>
      <c r="AQ22" s="742"/>
      <c r="AR22" s="742"/>
      <c r="AS22" s="742"/>
      <c r="AT22" s="742"/>
      <c r="AU22" s="742"/>
      <c r="AV22" s="742"/>
      <c r="AW22" s="742"/>
      <c r="AX22" s="742"/>
      <c r="AY22" s="742"/>
      <c r="AZ22" s="742"/>
      <c r="BA22" s="714"/>
      <c r="BB22" s="714"/>
      <c r="BC22" s="714"/>
      <c r="BD22" s="742"/>
      <c r="BE22" s="742"/>
      <c r="BF22" s="742"/>
      <c r="BG22" s="742"/>
      <c r="BH22" s="714"/>
      <c r="BI22" s="714"/>
      <c r="BJ22" s="714"/>
    </row>
    <row r="23" ht="15.75" customHeight="1">
      <c r="A23" s="717"/>
      <c r="B23" s="728" t="s">
        <v>6369</v>
      </c>
      <c r="C23" s="722" t="s">
        <v>6370</v>
      </c>
      <c r="D23" s="705" t="s">
        <v>3721</v>
      </c>
      <c r="E23" s="704"/>
      <c r="F23" s="704"/>
      <c r="G23" s="743" t="s">
        <v>781</v>
      </c>
      <c r="H23" s="707" t="s">
        <v>6371</v>
      </c>
      <c r="I23" s="742"/>
      <c r="J23" s="704"/>
      <c r="K23" s="704"/>
      <c r="L23" s="742"/>
      <c r="M23" s="742"/>
      <c r="N23" s="742"/>
      <c r="O23" s="704"/>
      <c r="P23" s="742" t="s">
        <v>6372</v>
      </c>
      <c r="Q23" s="742"/>
      <c r="R23" s="704"/>
      <c r="S23" s="742"/>
      <c r="T23" s="704"/>
      <c r="U23" s="704"/>
      <c r="V23" s="706" t="s">
        <v>6373</v>
      </c>
      <c r="W23" s="742"/>
      <c r="X23" s="711"/>
      <c r="Y23" s="706" t="s">
        <v>6370</v>
      </c>
      <c r="Z23" s="704"/>
      <c r="AA23" s="704"/>
      <c r="AB23" s="712"/>
      <c r="AC23" s="704"/>
      <c r="AD23" s="704"/>
      <c r="AE23" s="742"/>
      <c r="AF23" s="704"/>
      <c r="AG23" s="704"/>
      <c r="AH23" s="704"/>
      <c r="AI23" s="713"/>
      <c r="AJ23" s="704"/>
      <c r="AK23" s="704"/>
      <c r="AL23" s="704"/>
      <c r="AM23" s="704"/>
      <c r="AN23" s="742"/>
      <c r="AO23" s="704"/>
      <c r="AP23" s="742"/>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5"/>
      <c r="AU24" s="704"/>
      <c r="AV24" s="704"/>
      <c r="AW24" s="704"/>
      <c r="AX24" s="704"/>
      <c r="AY24" s="704"/>
      <c r="AZ24" s="704"/>
      <c r="BA24" s="714"/>
      <c r="BB24" s="714"/>
      <c r="BC24" s="714"/>
      <c r="BD24" s="704"/>
      <c r="BE24" s="704"/>
      <c r="BF24" s="704"/>
      <c r="BG24" s="704"/>
      <c r="BH24" s="714"/>
      <c r="BI24" s="714"/>
      <c r="BJ24" s="714"/>
    </row>
    <row r="25" ht="15.75" customHeight="1">
      <c r="A25" s="746"/>
      <c r="B25" s="728" t="s">
        <v>6378</v>
      </c>
      <c r="C25" s="722"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6"/>
      <c r="B26" s="728" t="s">
        <v>6380</v>
      </c>
      <c r="C26" s="722"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5" t="s">
        <v>4431</v>
      </c>
      <c r="AU26" s="704"/>
      <c r="AV26" s="704"/>
      <c r="AW26" s="704"/>
      <c r="AX26" s="704"/>
      <c r="AY26" s="704"/>
      <c r="AZ26" s="704"/>
      <c r="BA26" s="714"/>
      <c r="BB26" s="714"/>
      <c r="BC26" s="714"/>
      <c r="BD26" s="704"/>
      <c r="BE26" s="704"/>
      <c r="BF26" s="704"/>
      <c r="BG26" s="704"/>
      <c r="BH26" s="714"/>
      <c r="BI26" s="714"/>
      <c r="BJ26" s="714"/>
    </row>
    <row r="27" ht="15.75" customHeight="1">
      <c r="A27" s="746"/>
      <c r="B27" s="728" t="s">
        <v>6382</v>
      </c>
      <c r="C27" s="747"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20" t="s">
        <v>6324</v>
      </c>
      <c r="B28" s="721" t="s">
        <v>6389</v>
      </c>
      <c r="C28" s="722"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6"/>
      <c r="B29" s="728" t="s">
        <v>6391</v>
      </c>
      <c r="C29" s="722"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8"/>
      <c r="B30" s="728" t="s">
        <v>6393</v>
      </c>
      <c r="C30" s="723"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31"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8"/>
      <c r="B31" s="728" t="s">
        <v>6395</v>
      </c>
      <c r="C31" s="723"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8"/>
      <c r="B32" s="728" t="s">
        <v>6396</v>
      </c>
      <c r="C32" s="722"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8"/>
      <c r="B33" s="728" t="s">
        <v>6397</v>
      </c>
      <c r="C33" s="722"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8" t="s">
        <v>6398</v>
      </c>
      <c r="C34" s="723"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9"/>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8" t="s">
        <v>6400</v>
      </c>
      <c r="C35" s="735"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8"/>
      <c r="B36" s="728" t="s">
        <v>6402</v>
      </c>
      <c r="C36" s="723" t="s">
        <v>2263</v>
      </c>
      <c r="D36" s="705" t="s">
        <v>3024</v>
      </c>
      <c r="E36" s="705" t="s">
        <v>6401</v>
      </c>
      <c r="F36" s="750"/>
      <c r="G36" s="704"/>
      <c r="H36" s="704"/>
      <c r="I36" s="704"/>
      <c r="J36" s="704" t="s">
        <v>6403</v>
      </c>
      <c r="K36" s="704"/>
      <c r="L36" s="751"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8" t="s">
        <v>6404</v>
      </c>
      <c r="C37" s="723" t="s">
        <v>758</v>
      </c>
      <c r="D37" s="705" t="s">
        <v>3676</v>
      </c>
      <c r="E37" s="704"/>
      <c r="F37" s="705" t="s">
        <v>1884</v>
      </c>
      <c r="G37" s="704"/>
      <c r="H37" s="705" t="s">
        <v>758</v>
      </c>
      <c r="I37" s="705" t="s">
        <v>3411</v>
      </c>
      <c r="J37" s="705" t="s">
        <v>1884</v>
      </c>
      <c r="K37" s="707" t="s">
        <v>2438</v>
      </c>
      <c r="L37" s="752"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5" t="s">
        <v>472</v>
      </c>
      <c r="AU37" s="704"/>
      <c r="AV37" s="704"/>
      <c r="AW37" s="704"/>
      <c r="AX37" s="704"/>
      <c r="AY37" s="704"/>
      <c r="AZ37" s="704"/>
      <c r="BA37" s="716"/>
      <c r="BB37" s="716"/>
      <c r="BC37" s="716"/>
      <c r="BD37" s="704"/>
      <c r="BE37" s="704"/>
      <c r="BF37" s="704"/>
      <c r="BG37" s="704"/>
      <c r="BH37" s="716"/>
      <c r="BI37" s="716"/>
      <c r="BJ37" s="716"/>
    </row>
    <row r="38" ht="15.75" customHeight="1">
      <c r="A38" s="720" t="s">
        <v>6329</v>
      </c>
      <c r="B38" s="721"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3"/>
      <c r="B39" s="718" t="s">
        <v>6408</v>
      </c>
      <c r="C39" s="747" t="s">
        <v>2487</v>
      </c>
      <c r="D39" s="705" t="s">
        <v>3363</v>
      </c>
      <c r="E39" s="704"/>
      <c r="F39" s="704"/>
      <c r="G39" s="704"/>
      <c r="H39" s="726"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20" t="s">
        <v>6353</v>
      </c>
      <c r="B40" s="721" t="s">
        <v>6354</v>
      </c>
      <c r="C40" s="747"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3"/>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3"/>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3"/>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2" t="s">
        <v>997</v>
      </c>
      <c r="D44" s="705" t="s">
        <v>6416</v>
      </c>
      <c r="E44" s="704"/>
      <c r="F44" s="727"/>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8" t="s">
        <v>6417</v>
      </c>
      <c r="C45" s="754">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2" t="s">
        <v>4795</v>
      </c>
      <c r="D46" s="731"/>
      <c r="E46" s="730"/>
      <c r="F46" s="727"/>
      <c r="G46" s="704" t="s">
        <v>831</v>
      </c>
      <c r="H46" s="730"/>
      <c r="I46" s="704"/>
      <c r="J46" s="730"/>
      <c r="K46" s="730"/>
      <c r="L46" s="704"/>
      <c r="M46" s="704"/>
      <c r="N46" s="704"/>
      <c r="O46" s="730"/>
      <c r="P46" s="704"/>
      <c r="Q46" s="704"/>
      <c r="R46" s="730"/>
      <c r="S46" s="704"/>
      <c r="T46" s="730"/>
      <c r="U46" s="730"/>
      <c r="V46" s="704"/>
      <c r="W46" s="704"/>
      <c r="X46" s="712"/>
      <c r="Y46" s="704"/>
      <c r="Z46" s="730"/>
      <c r="AA46" s="730"/>
      <c r="AB46" s="712"/>
      <c r="AC46" s="730"/>
      <c r="AD46" s="730"/>
      <c r="AE46" s="704"/>
      <c r="AF46" s="730"/>
      <c r="AG46" s="730"/>
      <c r="AH46" s="730"/>
      <c r="AI46" s="732"/>
      <c r="AJ46" s="730"/>
      <c r="AK46" s="730"/>
      <c r="AL46" s="730"/>
      <c r="AM46" s="730"/>
      <c r="AN46" s="704"/>
      <c r="AO46" s="730"/>
      <c r="AP46" s="704"/>
      <c r="AQ46" s="730"/>
      <c r="AR46" s="708" t="s">
        <v>1729</v>
      </c>
      <c r="AS46" s="730"/>
      <c r="AT46" s="730"/>
      <c r="AU46" s="730"/>
      <c r="AV46" s="730"/>
      <c r="AW46" s="730"/>
      <c r="AX46" s="730"/>
      <c r="AY46" s="730"/>
      <c r="AZ46" s="730"/>
      <c r="BA46" s="714"/>
      <c r="BB46" s="714"/>
      <c r="BC46" s="714"/>
      <c r="BD46" s="730"/>
      <c r="BE46" s="730"/>
      <c r="BF46" s="730"/>
      <c r="BG46" s="730"/>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0"/>
      <c r="M47" s="730"/>
      <c r="N47" s="730"/>
      <c r="O47" s="704"/>
      <c r="P47" s="730"/>
      <c r="Q47" s="730"/>
      <c r="R47" s="704"/>
      <c r="S47" s="730"/>
      <c r="T47" s="704"/>
      <c r="U47" s="704"/>
      <c r="V47" s="730"/>
      <c r="W47" s="730"/>
      <c r="X47" s="712"/>
      <c r="Y47" s="730"/>
      <c r="Z47" s="704"/>
      <c r="AA47" s="704"/>
      <c r="AB47" s="712"/>
      <c r="AC47" s="704"/>
      <c r="AD47" s="704"/>
      <c r="AE47" s="730"/>
      <c r="AF47" s="704"/>
      <c r="AG47" s="704"/>
      <c r="AH47" s="704"/>
      <c r="AI47" s="713"/>
      <c r="AJ47" s="704"/>
      <c r="AK47" s="704"/>
      <c r="AL47" s="704"/>
      <c r="AM47" s="704"/>
      <c r="AN47" s="730"/>
      <c r="AO47" s="704"/>
      <c r="AP47" s="730"/>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5" t="s">
        <v>36</v>
      </c>
      <c r="D48" s="756"/>
      <c r="E48" s="756"/>
      <c r="F48" s="756"/>
      <c r="G48" s="756"/>
      <c r="H48" s="756"/>
      <c r="I48" s="756"/>
      <c r="J48" s="756"/>
      <c r="K48" s="756"/>
      <c r="L48" s="756"/>
      <c r="M48" s="756"/>
      <c r="N48" s="756"/>
      <c r="O48" s="756"/>
      <c r="P48" s="756"/>
      <c r="Q48" s="756"/>
      <c r="R48" s="756"/>
      <c r="S48" s="756"/>
      <c r="T48" s="756"/>
      <c r="U48" s="756"/>
      <c r="V48" s="756"/>
      <c r="W48" s="756"/>
      <c r="X48" s="756"/>
      <c r="Y48" s="756"/>
      <c r="Z48" s="756"/>
      <c r="AA48" s="756"/>
      <c r="AB48" s="756"/>
      <c r="AC48" s="756"/>
      <c r="AD48" s="756"/>
      <c r="AE48" s="756"/>
      <c r="AF48" s="756"/>
      <c r="AG48" s="756"/>
      <c r="AH48" s="756"/>
      <c r="AI48" s="757"/>
      <c r="AJ48" s="756"/>
      <c r="AK48" s="756"/>
      <c r="AL48" s="756"/>
      <c r="AM48" s="756"/>
      <c r="AN48" s="756"/>
      <c r="AO48" s="756"/>
      <c r="AP48" s="756"/>
      <c r="AQ48" s="756"/>
      <c r="AR48" s="758"/>
      <c r="AS48" s="756"/>
      <c r="AT48" s="756"/>
      <c r="AU48" s="756"/>
      <c r="AV48" s="756"/>
      <c r="AW48" s="756"/>
      <c r="AX48" s="756"/>
      <c r="AY48" s="756"/>
      <c r="AZ48" s="756"/>
      <c r="BA48" s="759"/>
      <c r="BB48" s="759"/>
      <c r="BC48" s="759"/>
      <c r="BD48" s="756"/>
      <c r="BE48" s="756"/>
      <c r="BF48" s="756"/>
      <c r="BG48" s="756"/>
      <c r="BH48" s="759"/>
      <c r="BI48" s="759"/>
      <c r="BJ48" s="759"/>
    </row>
    <row r="49" ht="15.75" customHeight="1">
      <c r="A49" s="760" t="s">
        <v>6420</v>
      </c>
      <c r="B49" s="761" t="s">
        <v>6421</v>
      </c>
      <c r="C49" s="762" t="s">
        <v>1971</v>
      </c>
      <c r="D49" s="705" t="s">
        <v>187</v>
      </c>
      <c r="E49" s="705" t="s">
        <v>749</v>
      </c>
      <c r="F49" s="763"/>
      <c r="G49" s="703" t="s">
        <v>833</v>
      </c>
      <c r="H49" s="763"/>
      <c r="I49" s="705" t="s">
        <v>1867</v>
      </c>
      <c r="J49" s="763" t="s">
        <v>5978</v>
      </c>
      <c r="K49" s="731" t="s">
        <v>3156</v>
      </c>
      <c r="L49" s="764" t="s">
        <v>1971</v>
      </c>
      <c r="M49" s="763"/>
      <c r="N49" s="765" t="s">
        <v>2816</v>
      </c>
      <c r="O49" s="731" t="s">
        <v>4506</v>
      </c>
      <c r="P49" s="763" t="s">
        <v>1067</v>
      </c>
      <c r="Q49" s="763"/>
      <c r="R49" s="763"/>
      <c r="S49" s="763"/>
      <c r="T49" s="763" t="s">
        <v>2643</v>
      </c>
      <c r="U49" s="763"/>
      <c r="V49" s="763"/>
      <c r="W49" s="763"/>
      <c r="X49" s="763"/>
      <c r="Y49" s="763"/>
      <c r="Z49" s="763"/>
      <c r="AA49" s="765" t="s">
        <v>1878</v>
      </c>
      <c r="AB49" s="763"/>
      <c r="AC49" s="763"/>
      <c r="AD49" s="763"/>
      <c r="AE49" s="763"/>
      <c r="AF49" s="763"/>
      <c r="AG49" s="763"/>
      <c r="AH49" s="763"/>
      <c r="AI49" s="766"/>
      <c r="AJ49" s="763"/>
      <c r="AK49" s="763"/>
      <c r="AL49" s="763"/>
      <c r="AM49" s="763"/>
      <c r="AN49" s="763"/>
      <c r="AO49" s="763"/>
      <c r="AP49" s="763"/>
      <c r="AQ49" s="763"/>
      <c r="AR49" s="765"/>
      <c r="AS49" s="751" t="s">
        <v>6422</v>
      </c>
      <c r="AT49" s="751" t="s">
        <v>3198</v>
      </c>
      <c r="AU49" s="763"/>
      <c r="AV49" s="763"/>
      <c r="AW49" s="763"/>
      <c r="AX49" s="763"/>
      <c r="AY49" s="763"/>
      <c r="AZ49" s="763"/>
      <c r="BA49" s="767"/>
      <c r="BB49" s="767"/>
      <c r="BC49" s="767"/>
      <c r="BD49" s="763"/>
      <c r="BE49" s="763"/>
      <c r="BF49" s="763"/>
      <c r="BG49" s="763"/>
      <c r="BH49" s="767"/>
      <c r="BI49" s="767"/>
      <c r="BJ49" s="767"/>
    </row>
    <row r="50" ht="15.75" customHeight="1">
      <c r="A50" s="768"/>
      <c r="B50" s="769" t="s">
        <v>6423</v>
      </c>
      <c r="C50" s="722" t="s">
        <v>4196</v>
      </c>
      <c r="D50" s="705" t="s">
        <v>4196</v>
      </c>
      <c r="E50" s="763"/>
      <c r="F50" s="705" t="s">
        <v>398</v>
      </c>
      <c r="G50" s="763"/>
      <c r="H50" s="763"/>
      <c r="I50" s="727"/>
      <c r="J50" s="763"/>
      <c r="K50" s="731" t="s">
        <v>157</v>
      </c>
      <c r="L50" s="763"/>
      <c r="M50" s="707" t="s">
        <v>5655</v>
      </c>
      <c r="N50" s="763"/>
      <c r="O50" s="763"/>
      <c r="P50" s="731" t="s">
        <v>798</v>
      </c>
      <c r="Q50" s="763"/>
      <c r="R50" s="763"/>
      <c r="S50" s="763"/>
      <c r="T50" s="763"/>
      <c r="U50" s="763"/>
      <c r="V50" s="763"/>
      <c r="W50" s="763"/>
      <c r="X50" s="763"/>
      <c r="Y50" s="763"/>
      <c r="Z50" s="763"/>
      <c r="AA50" s="763"/>
      <c r="AB50" s="763"/>
      <c r="AC50" s="763"/>
      <c r="AD50" s="763"/>
      <c r="AE50" s="763"/>
      <c r="AF50" s="763"/>
      <c r="AG50" s="763"/>
      <c r="AH50" s="770"/>
      <c r="AI50" s="766"/>
      <c r="AJ50" s="763"/>
      <c r="AK50" s="763"/>
      <c r="AL50" s="763"/>
      <c r="AM50" s="763"/>
      <c r="AN50" s="763"/>
      <c r="AO50" s="763"/>
      <c r="AP50" s="763"/>
      <c r="AQ50" s="763"/>
      <c r="AR50" s="763"/>
      <c r="AS50" s="763"/>
      <c r="AT50" s="763"/>
      <c r="AU50" s="763"/>
      <c r="AV50" s="763"/>
      <c r="AW50" s="763"/>
      <c r="AX50" s="763"/>
      <c r="AY50" s="763"/>
      <c r="AZ50" s="763"/>
      <c r="BA50" s="716"/>
      <c r="BB50" s="716"/>
      <c r="BC50" s="716"/>
      <c r="BD50" s="763"/>
      <c r="BE50" s="763"/>
      <c r="BF50" s="763"/>
      <c r="BG50" s="763"/>
      <c r="BH50" s="716"/>
      <c r="BI50" s="716"/>
      <c r="BJ50" s="716"/>
    </row>
    <row r="51" ht="15.75" customHeight="1">
      <c r="A51" s="768"/>
      <c r="B51" s="769" t="s">
        <v>6424</v>
      </c>
      <c r="C51" s="771">
        <v>52.89</v>
      </c>
      <c r="D51" s="727"/>
      <c r="E51" s="763"/>
      <c r="F51" s="763"/>
      <c r="G51" s="763"/>
      <c r="H51" s="763"/>
      <c r="I51" s="763"/>
      <c r="J51" s="763"/>
      <c r="K51" s="763"/>
      <c r="L51" s="763"/>
      <c r="M51" s="763"/>
      <c r="N51" s="765" t="s">
        <v>6425</v>
      </c>
      <c r="O51" s="763"/>
      <c r="P51" s="763"/>
      <c r="Q51" s="763"/>
      <c r="R51" s="763"/>
      <c r="S51" s="763"/>
      <c r="T51" s="763"/>
      <c r="U51" s="763"/>
      <c r="V51" s="763"/>
      <c r="W51" s="763"/>
      <c r="X51" s="763"/>
      <c r="Y51" s="763"/>
      <c r="Z51" s="763"/>
      <c r="AA51" s="763"/>
      <c r="AB51" s="763"/>
      <c r="AC51" s="763"/>
      <c r="AD51" s="763"/>
      <c r="AE51" s="763"/>
      <c r="AF51" s="763"/>
      <c r="AG51" s="763"/>
      <c r="AH51" s="763"/>
      <c r="AI51" s="766"/>
      <c r="AJ51" s="763"/>
      <c r="AK51" s="763"/>
      <c r="AL51" s="763"/>
      <c r="AM51" s="763"/>
      <c r="AN51" s="763"/>
      <c r="AO51" s="763"/>
      <c r="AP51" s="763"/>
      <c r="AQ51" s="763"/>
      <c r="AR51" s="765" t="s">
        <v>4519</v>
      </c>
      <c r="AS51" s="763"/>
      <c r="AT51" s="772" t="s">
        <v>1770</v>
      </c>
      <c r="AU51" s="763"/>
      <c r="AV51" s="763"/>
      <c r="AW51" s="763"/>
      <c r="AX51" s="763"/>
      <c r="AY51" s="763"/>
      <c r="AZ51" s="763"/>
      <c r="BA51" s="767"/>
      <c r="BB51" s="767"/>
      <c r="BC51" s="767"/>
      <c r="BD51" s="763"/>
      <c r="BE51" s="763"/>
      <c r="BF51" s="763"/>
      <c r="BG51" s="763"/>
      <c r="BH51" s="767"/>
      <c r="BI51" s="767"/>
      <c r="BJ51" s="767"/>
    </row>
    <row r="52" ht="15.75" customHeight="1">
      <c r="A52" s="768"/>
      <c r="B52" s="769" t="s">
        <v>6426</v>
      </c>
      <c r="C52" s="722" t="s">
        <v>237</v>
      </c>
      <c r="D52" s="707" t="s">
        <v>347</v>
      </c>
      <c r="E52" s="763"/>
      <c r="F52" s="773" t="s">
        <v>6427</v>
      </c>
      <c r="G52" s="763"/>
      <c r="H52" s="705" t="s">
        <v>363</v>
      </c>
      <c r="I52" s="705" t="s">
        <v>1266</v>
      </c>
      <c r="J52" s="763"/>
      <c r="K52" s="763"/>
      <c r="L52" s="763"/>
      <c r="M52" s="763"/>
      <c r="N52" s="765"/>
      <c r="O52" s="763"/>
      <c r="P52" s="763"/>
      <c r="Q52" s="763"/>
      <c r="R52" s="763"/>
      <c r="S52" s="763"/>
      <c r="T52" s="763"/>
      <c r="U52" s="763"/>
      <c r="V52" s="763"/>
      <c r="W52" s="763"/>
      <c r="X52" s="763"/>
      <c r="Y52" s="763"/>
      <c r="Z52" s="763"/>
      <c r="AA52" s="763"/>
      <c r="AB52" s="763"/>
      <c r="AC52" s="763"/>
      <c r="AD52" s="763"/>
      <c r="AE52" s="763"/>
      <c r="AF52" s="763"/>
      <c r="AG52" s="763"/>
      <c r="AH52" s="763"/>
      <c r="AI52" s="766"/>
      <c r="AJ52" s="763"/>
      <c r="AK52" s="763"/>
      <c r="AL52" s="763"/>
      <c r="AM52" s="763"/>
      <c r="AN52" s="763"/>
      <c r="AO52" s="763"/>
      <c r="AP52" s="763"/>
      <c r="AQ52" s="763"/>
      <c r="AR52" s="705" t="s">
        <v>486</v>
      </c>
      <c r="AS52" s="763"/>
      <c r="AT52" s="763"/>
      <c r="AU52" s="763"/>
      <c r="AV52" s="763"/>
      <c r="AW52" s="763"/>
      <c r="AX52" s="763"/>
      <c r="AY52" s="763"/>
      <c r="AZ52" s="763"/>
      <c r="BA52" s="716"/>
      <c r="BB52" s="716"/>
      <c r="BC52" s="716"/>
      <c r="BD52" s="763"/>
      <c r="BE52" s="763"/>
      <c r="BF52" s="763"/>
      <c r="BG52" s="763"/>
      <c r="BH52" s="716"/>
      <c r="BI52" s="716"/>
      <c r="BJ52" s="716"/>
    </row>
    <row r="53" ht="15.75" customHeight="1">
      <c r="A53" s="774" t="s">
        <v>6329</v>
      </c>
      <c r="B53" s="775" t="s">
        <v>6421</v>
      </c>
      <c r="C53" s="722" t="s">
        <v>3423</v>
      </c>
      <c r="D53" s="707" t="s">
        <v>4961</v>
      </c>
      <c r="E53" s="763"/>
      <c r="F53" s="763"/>
      <c r="G53" s="763"/>
      <c r="H53" s="763"/>
      <c r="I53" s="763"/>
      <c r="J53" s="763"/>
      <c r="K53" s="763"/>
      <c r="L53" s="763"/>
      <c r="M53" s="763"/>
      <c r="N53" s="765"/>
      <c r="O53" s="763"/>
      <c r="P53" s="763"/>
      <c r="Q53" s="763"/>
      <c r="R53" s="763"/>
      <c r="S53" s="763"/>
      <c r="T53" s="763"/>
      <c r="U53" s="763"/>
      <c r="V53" s="763"/>
      <c r="W53" s="763"/>
      <c r="X53" s="763"/>
      <c r="Y53" s="763"/>
      <c r="Z53" s="763"/>
      <c r="AA53" s="763"/>
      <c r="AB53" s="763"/>
      <c r="AC53" s="763"/>
      <c r="AD53" s="763"/>
      <c r="AE53" s="763"/>
      <c r="AF53" s="763"/>
      <c r="AG53" s="763"/>
      <c r="AH53" s="763"/>
      <c r="AI53" s="766"/>
      <c r="AJ53" s="763"/>
      <c r="AK53" s="763"/>
      <c r="AL53" s="763"/>
      <c r="AM53" s="763"/>
      <c r="AN53" s="763"/>
      <c r="AO53" s="763"/>
      <c r="AP53" s="763"/>
      <c r="AQ53" s="763"/>
      <c r="AR53" s="763"/>
      <c r="AS53" s="763"/>
      <c r="AT53" s="763"/>
      <c r="AU53" s="763"/>
      <c r="AV53" s="763"/>
      <c r="AW53" s="763"/>
      <c r="AX53" s="763"/>
      <c r="AY53" s="763"/>
      <c r="AZ53" s="763"/>
      <c r="BA53" s="767"/>
      <c r="BB53" s="767"/>
      <c r="BC53" s="767"/>
      <c r="BD53" s="763"/>
      <c r="BE53" s="763"/>
      <c r="BF53" s="763"/>
      <c r="BG53" s="763"/>
      <c r="BH53" s="767"/>
      <c r="BI53" s="767"/>
      <c r="BJ53" s="767"/>
    </row>
    <row r="54" ht="15.75" customHeight="1">
      <c r="A54" s="768"/>
      <c r="B54" s="769" t="s">
        <v>6423</v>
      </c>
      <c r="C54" s="722" t="s">
        <v>462</v>
      </c>
      <c r="D54" s="707" t="s">
        <v>6428</v>
      </c>
      <c r="E54" s="763"/>
      <c r="F54" s="763"/>
      <c r="G54" s="763"/>
      <c r="H54" s="707" t="s">
        <v>462</v>
      </c>
      <c r="I54" s="763"/>
      <c r="J54" s="763"/>
      <c r="K54" s="765" t="s">
        <v>6429</v>
      </c>
      <c r="L54" s="763"/>
      <c r="M54" s="763"/>
      <c r="N54" s="765"/>
      <c r="O54" s="763"/>
      <c r="P54" s="731" t="s">
        <v>2127</v>
      </c>
      <c r="Q54" s="763"/>
      <c r="R54" s="763"/>
      <c r="S54" s="763"/>
      <c r="T54" s="763"/>
      <c r="U54" s="763"/>
      <c r="V54" s="731" t="s">
        <v>3991</v>
      </c>
      <c r="W54" s="763"/>
      <c r="X54" s="763"/>
      <c r="Y54" s="763"/>
      <c r="Z54" s="763"/>
      <c r="AA54" s="763"/>
      <c r="AB54" s="763"/>
      <c r="AC54" s="763"/>
      <c r="AD54" s="763"/>
      <c r="AE54" s="763"/>
      <c r="AF54" s="763"/>
      <c r="AG54" s="763"/>
      <c r="AH54" s="763"/>
      <c r="AI54" s="766"/>
      <c r="AJ54" s="763"/>
      <c r="AK54" s="763"/>
      <c r="AL54" s="763"/>
      <c r="AM54" s="763"/>
      <c r="AN54" s="763"/>
      <c r="AO54" s="763"/>
      <c r="AP54" s="763"/>
      <c r="AQ54" s="763"/>
      <c r="AR54" s="763"/>
      <c r="AS54" s="763"/>
      <c r="AT54" s="763"/>
      <c r="AU54" s="763"/>
      <c r="AV54" s="763"/>
      <c r="AW54" s="763"/>
      <c r="AX54" s="763"/>
      <c r="AY54" s="763"/>
      <c r="AZ54" s="763"/>
      <c r="BA54" s="716"/>
      <c r="BB54" s="716"/>
      <c r="BC54" s="716"/>
      <c r="BD54" s="763"/>
      <c r="BE54" s="763"/>
      <c r="BF54" s="763"/>
      <c r="BG54" s="763"/>
      <c r="BH54" s="716"/>
      <c r="BI54" s="716"/>
      <c r="BJ54" s="716"/>
    </row>
    <row r="55" ht="15.75" customHeight="1">
      <c r="A55" s="768"/>
      <c r="B55" s="769" t="s">
        <v>6424</v>
      </c>
      <c r="C55" s="722" t="s">
        <v>1361</v>
      </c>
      <c r="D55" s="727"/>
      <c r="E55" s="763"/>
      <c r="F55" s="763"/>
      <c r="G55" s="763"/>
      <c r="H55" s="705" t="s">
        <v>666</v>
      </c>
      <c r="I55" s="763"/>
      <c r="J55" s="763"/>
      <c r="K55" s="763"/>
      <c r="L55" s="763"/>
      <c r="M55" s="763"/>
      <c r="N55" s="765"/>
      <c r="O55" s="763"/>
      <c r="P55" s="763"/>
      <c r="Q55" s="763"/>
      <c r="R55" s="763"/>
      <c r="S55" s="763"/>
      <c r="T55" s="763"/>
      <c r="U55" s="763"/>
      <c r="V55" s="763"/>
      <c r="W55" s="763"/>
      <c r="X55" s="727"/>
      <c r="Y55" s="763"/>
      <c r="Z55" s="763"/>
      <c r="AA55" s="763"/>
      <c r="AB55" s="763"/>
      <c r="AC55" s="763"/>
      <c r="AD55" s="763"/>
      <c r="AE55" s="763"/>
      <c r="AF55" s="763"/>
      <c r="AG55" s="763"/>
      <c r="AH55" s="763"/>
      <c r="AI55" s="766"/>
      <c r="AJ55" s="763"/>
      <c r="AK55" s="763"/>
      <c r="AL55" s="763"/>
      <c r="AM55" s="763"/>
      <c r="AN55" s="763"/>
      <c r="AO55" s="763"/>
      <c r="AP55" s="763"/>
      <c r="AQ55" s="763"/>
      <c r="AR55" s="765" t="s">
        <v>4883</v>
      </c>
      <c r="AS55" s="763"/>
      <c r="AT55" s="763"/>
      <c r="AU55" s="763"/>
      <c r="AV55" s="763"/>
      <c r="AW55" s="763"/>
      <c r="AX55" s="763"/>
      <c r="AY55" s="763"/>
      <c r="AZ55" s="763"/>
      <c r="BA55" s="767"/>
      <c r="BB55" s="767"/>
      <c r="BC55" s="767"/>
      <c r="BD55" s="763"/>
      <c r="BE55" s="763"/>
      <c r="BF55" s="763"/>
      <c r="BG55" s="763"/>
      <c r="BH55" s="767"/>
      <c r="BI55" s="767"/>
      <c r="BJ55" s="767"/>
    </row>
    <row r="56" ht="15.75" customHeight="1">
      <c r="A56" s="768"/>
      <c r="B56" s="769" t="s">
        <v>6426</v>
      </c>
      <c r="C56" s="723" t="s">
        <v>410</v>
      </c>
      <c r="D56" s="707" t="s">
        <v>135</v>
      </c>
      <c r="E56" s="763"/>
      <c r="F56" s="705" t="s">
        <v>3651</v>
      </c>
      <c r="G56" s="763"/>
      <c r="H56" s="705" t="s">
        <v>614</v>
      </c>
      <c r="I56" s="705" t="s">
        <v>6430</v>
      </c>
      <c r="J56" s="763"/>
      <c r="K56" s="731" t="s">
        <v>6431</v>
      </c>
      <c r="L56" s="763"/>
      <c r="M56" s="763"/>
      <c r="N56" s="765"/>
      <c r="O56" s="763"/>
      <c r="P56" s="776" t="s">
        <v>6362</v>
      </c>
      <c r="Q56" s="763"/>
      <c r="R56" s="763"/>
      <c r="S56" s="731" t="s">
        <v>3651</v>
      </c>
      <c r="T56" s="763"/>
      <c r="U56" s="763"/>
      <c r="V56" s="763"/>
      <c r="W56" s="763"/>
      <c r="X56" s="705" t="s">
        <v>765</v>
      </c>
      <c r="Y56" s="705" t="s">
        <v>410</v>
      </c>
      <c r="Z56" s="763"/>
      <c r="AA56" s="763"/>
      <c r="AB56" s="763"/>
      <c r="AC56" s="763"/>
      <c r="AD56" s="763"/>
      <c r="AE56" s="763"/>
      <c r="AF56" s="763"/>
      <c r="AG56" s="763"/>
      <c r="AH56" s="763"/>
      <c r="AI56" s="766"/>
      <c r="AJ56" s="763"/>
      <c r="AK56" s="763"/>
      <c r="AL56" s="763"/>
      <c r="AM56" s="763"/>
      <c r="AN56" s="763"/>
      <c r="AO56" s="763"/>
      <c r="AP56" s="763"/>
      <c r="AQ56" s="763"/>
      <c r="AR56" s="763"/>
      <c r="AS56" s="751" t="s">
        <v>765</v>
      </c>
      <c r="AT56" s="763"/>
      <c r="AU56" s="763"/>
      <c r="AV56" s="763"/>
      <c r="AW56" s="763"/>
      <c r="AX56" s="763"/>
      <c r="AY56" s="763"/>
      <c r="AZ56" s="763"/>
      <c r="BA56" s="716"/>
      <c r="BB56" s="716"/>
      <c r="BC56" s="716"/>
      <c r="BD56" s="763"/>
      <c r="BE56" s="763"/>
      <c r="BF56" s="763"/>
      <c r="BG56" s="763"/>
      <c r="BH56" s="716"/>
      <c r="BI56" s="716"/>
      <c r="BJ56" s="716"/>
    </row>
    <row r="57" ht="15.75" customHeight="1">
      <c r="A57" s="777" t="s">
        <v>6324</v>
      </c>
      <c r="B57" s="778" t="s">
        <v>6310</v>
      </c>
      <c r="C57" s="779" t="s">
        <v>3970</v>
      </c>
      <c r="D57" s="716"/>
      <c r="E57" s="716"/>
      <c r="F57" s="716"/>
      <c r="G57" s="716"/>
      <c r="H57" s="780"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1"/>
      <c r="AU57" s="716"/>
      <c r="AV57" s="716"/>
      <c r="AW57" s="716"/>
      <c r="AX57" s="716"/>
      <c r="AY57" s="716"/>
      <c r="AZ57" s="716"/>
      <c r="BA57" s="716"/>
      <c r="BB57" s="716"/>
      <c r="BC57" s="716"/>
      <c r="BD57" s="716"/>
      <c r="BE57" s="716"/>
      <c r="BF57" s="716"/>
      <c r="BG57" s="716"/>
      <c r="BH57" s="716"/>
      <c r="BI57" s="716"/>
      <c r="BJ57" s="716"/>
    </row>
    <row r="58" ht="15.75" customHeight="1">
      <c r="A58" s="760" t="s">
        <v>6311</v>
      </c>
      <c r="B58" s="761" t="s">
        <v>6310</v>
      </c>
      <c r="C58" s="723" t="s">
        <v>2008</v>
      </c>
      <c r="D58" s="731"/>
      <c r="E58" s="765"/>
      <c r="F58" s="763"/>
      <c r="G58" s="763"/>
      <c r="H58" s="707" t="s">
        <v>3933</v>
      </c>
      <c r="I58" s="763"/>
      <c r="J58" s="763"/>
      <c r="K58" s="731"/>
      <c r="L58" s="763"/>
      <c r="M58" s="763"/>
      <c r="N58" s="763"/>
      <c r="O58" s="705"/>
      <c r="P58" s="763"/>
      <c r="Q58" s="763"/>
      <c r="R58" s="763"/>
      <c r="S58" s="763"/>
      <c r="T58" s="763"/>
      <c r="U58" s="763"/>
      <c r="V58" s="782" t="s">
        <v>2008</v>
      </c>
      <c r="W58" s="763"/>
      <c r="X58" s="763"/>
      <c r="Y58" s="763"/>
      <c r="Z58" s="763"/>
      <c r="AA58" s="763"/>
      <c r="AB58" s="763"/>
      <c r="AC58" s="763"/>
      <c r="AD58" s="763"/>
      <c r="AE58" s="763"/>
      <c r="AF58" s="763"/>
      <c r="AG58" s="710"/>
      <c r="AH58" s="731"/>
      <c r="AI58" s="766"/>
      <c r="AJ58" s="763"/>
      <c r="AK58" s="763"/>
      <c r="AL58" s="763"/>
      <c r="AM58" s="763"/>
      <c r="AN58" s="763"/>
      <c r="AO58" s="763"/>
      <c r="AP58" s="763"/>
      <c r="AQ58" s="763"/>
      <c r="AR58" s="765" t="s">
        <v>6432</v>
      </c>
      <c r="AS58" s="763"/>
      <c r="AT58" s="763"/>
      <c r="AU58" s="763"/>
      <c r="AV58" s="763"/>
      <c r="AW58" s="763"/>
      <c r="AX58" s="763"/>
      <c r="AY58" s="763"/>
      <c r="AZ58" s="763"/>
      <c r="BA58" s="767"/>
      <c r="BB58" s="767"/>
      <c r="BC58" s="767"/>
      <c r="BD58" s="763"/>
      <c r="BE58" s="763"/>
      <c r="BF58" s="763"/>
      <c r="BG58" s="763"/>
      <c r="BH58" s="767"/>
      <c r="BI58" s="767"/>
      <c r="BJ58" s="767"/>
    </row>
    <row r="59" ht="15.75" customHeight="1">
      <c r="A59" s="783" t="s">
        <v>6324</v>
      </c>
      <c r="B59" s="784" t="s">
        <v>6433</v>
      </c>
      <c r="C59" s="785" t="s">
        <v>3318</v>
      </c>
      <c r="D59" s="731"/>
      <c r="E59" s="765"/>
      <c r="F59" s="763"/>
      <c r="G59" s="763"/>
      <c r="H59" s="786">
        <v>35.06</v>
      </c>
      <c r="I59" s="763"/>
      <c r="J59" s="763"/>
      <c r="K59" s="731"/>
      <c r="L59" s="763"/>
      <c r="M59" s="763"/>
      <c r="N59" s="763"/>
      <c r="O59" s="705"/>
      <c r="P59" s="763"/>
      <c r="Q59" s="763"/>
      <c r="R59" s="763"/>
      <c r="S59" s="763"/>
      <c r="T59" s="763"/>
      <c r="U59" s="763"/>
      <c r="V59" s="763"/>
      <c r="W59" s="763"/>
      <c r="X59" s="763"/>
      <c r="Y59" s="763"/>
      <c r="Z59" s="763"/>
      <c r="AA59" s="763"/>
      <c r="AB59" s="763"/>
      <c r="AC59" s="763"/>
      <c r="AD59" s="763"/>
      <c r="AE59" s="763"/>
      <c r="AF59" s="763"/>
      <c r="AG59" s="710"/>
      <c r="AH59" s="731"/>
      <c r="AI59" s="766"/>
      <c r="AJ59" s="763"/>
      <c r="AK59" s="763"/>
      <c r="AL59" s="763"/>
      <c r="AM59" s="763"/>
      <c r="AN59" s="763"/>
      <c r="AO59" s="763"/>
      <c r="AP59" s="763"/>
      <c r="AQ59" s="763"/>
      <c r="AR59" s="765"/>
      <c r="AS59" s="763"/>
      <c r="AT59" s="751" t="s">
        <v>6434</v>
      </c>
      <c r="AU59" s="763"/>
      <c r="AV59" s="763"/>
      <c r="AW59" s="763"/>
      <c r="AX59" s="763"/>
      <c r="AY59" s="763"/>
      <c r="AZ59" s="763"/>
      <c r="BA59" s="716"/>
      <c r="BB59" s="716"/>
      <c r="BC59" s="716"/>
      <c r="BD59" s="763"/>
      <c r="BE59" s="763"/>
      <c r="BF59" s="763"/>
      <c r="BG59" s="763"/>
      <c r="BH59" s="716"/>
      <c r="BI59" s="716"/>
      <c r="BJ59" s="716"/>
    </row>
    <row r="60" ht="15.75" customHeight="1">
      <c r="A60" s="787"/>
      <c r="B60" s="769" t="s">
        <v>6435</v>
      </c>
      <c r="C60" s="788" t="s">
        <v>1248</v>
      </c>
      <c r="D60" s="704"/>
      <c r="E60" s="704"/>
      <c r="F60" s="712"/>
      <c r="G60" s="712"/>
      <c r="H60" s="719" t="s">
        <v>1248</v>
      </c>
      <c r="I60" s="704"/>
      <c r="J60" s="712"/>
      <c r="K60" s="712"/>
      <c r="L60" s="704"/>
      <c r="M60" s="763"/>
      <c r="N60" s="712"/>
      <c r="O60" s="712"/>
      <c r="P60" s="712"/>
      <c r="Q60" s="712"/>
      <c r="R60" s="712"/>
      <c r="S60" s="730"/>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1" t="s">
        <v>2653</v>
      </c>
      <c r="AU60" s="712"/>
      <c r="AV60" s="712"/>
      <c r="AW60" s="712"/>
      <c r="AX60" s="712"/>
      <c r="AY60" s="712"/>
      <c r="AZ60" s="712"/>
      <c r="BA60" s="767"/>
      <c r="BB60" s="767"/>
      <c r="BC60" s="767"/>
      <c r="BD60" s="712"/>
      <c r="BE60" s="712"/>
      <c r="BF60" s="712"/>
      <c r="BG60" s="712"/>
      <c r="BH60" s="767"/>
      <c r="BI60" s="767"/>
      <c r="BJ60" s="767"/>
    </row>
    <row r="61" ht="15.75" customHeight="1">
      <c r="A61" s="783" t="s">
        <v>6329</v>
      </c>
      <c r="B61" s="784" t="s">
        <v>6433</v>
      </c>
      <c r="C61" s="723" t="s">
        <v>6057</v>
      </c>
      <c r="D61" s="704"/>
      <c r="E61" s="704"/>
      <c r="F61" s="712"/>
      <c r="G61" s="712"/>
      <c r="H61" s="712"/>
      <c r="I61" s="704"/>
      <c r="J61" s="712"/>
      <c r="K61" s="712"/>
      <c r="L61" s="703" t="s">
        <v>6057</v>
      </c>
      <c r="M61" s="763"/>
      <c r="N61" s="712"/>
      <c r="O61" s="712"/>
      <c r="P61" s="712"/>
      <c r="Q61" s="712"/>
      <c r="R61" s="712"/>
      <c r="S61" s="730"/>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1"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7"/>
      <c r="B62" s="769" t="s">
        <v>6435</v>
      </c>
      <c r="C62" s="785" t="s">
        <v>2275</v>
      </c>
      <c r="D62" s="705" t="s">
        <v>4214</v>
      </c>
      <c r="E62" s="705" t="s">
        <v>4214</v>
      </c>
      <c r="F62" s="763"/>
      <c r="G62" s="763"/>
      <c r="H62" s="705" t="s">
        <v>566</v>
      </c>
      <c r="I62" s="727"/>
      <c r="J62" s="763"/>
      <c r="K62" s="763"/>
      <c r="L62" s="751" t="s">
        <v>6436</v>
      </c>
      <c r="M62" s="705" t="s">
        <v>3033</v>
      </c>
      <c r="N62" s="763"/>
      <c r="O62" s="763"/>
      <c r="P62" s="763"/>
      <c r="Q62" s="763"/>
      <c r="R62" s="731" t="s">
        <v>3099</v>
      </c>
      <c r="S62" s="731" t="s">
        <v>4662</v>
      </c>
      <c r="T62" s="763"/>
      <c r="U62" s="763"/>
      <c r="V62" s="763"/>
      <c r="W62" s="763"/>
      <c r="X62" s="705" t="s">
        <v>3423</v>
      </c>
      <c r="Y62" s="763"/>
      <c r="Z62" s="763"/>
      <c r="AA62" s="763"/>
      <c r="AB62" s="731" t="s">
        <v>4982</v>
      </c>
      <c r="AC62" s="763"/>
      <c r="AD62" s="763"/>
      <c r="AE62" s="763"/>
      <c r="AF62" s="763"/>
      <c r="AG62" s="763"/>
      <c r="AH62" s="763"/>
      <c r="AI62" s="766"/>
      <c r="AJ62" s="763"/>
      <c r="AK62" s="763"/>
      <c r="AL62" s="763"/>
      <c r="AM62" s="763"/>
      <c r="AN62" s="763"/>
      <c r="AO62" s="763"/>
      <c r="AP62" s="763"/>
      <c r="AQ62" s="763"/>
      <c r="AR62" s="765" t="s">
        <v>2387</v>
      </c>
      <c r="AS62" s="763"/>
      <c r="AT62" s="763"/>
      <c r="AU62" s="763"/>
      <c r="AV62" s="763"/>
      <c r="AW62" s="763"/>
      <c r="AX62" s="763"/>
      <c r="AY62" s="763"/>
      <c r="AZ62" s="763"/>
      <c r="BA62" s="791" t="s">
        <v>2275</v>
      </c>
      <c r="BB62" s="767"/>
      <c r="BC62" s="767"/>
      <c r="BD62" s="763"/>
      <c r="BE62" s="763"/>
      <c r="BF62" s="763"/>
      <c r="BG62" s="763"/>
      <c r="BH62" s="767"/>
      <c r="BI62" s="767"/>
      <c r="BJ62" s="767"/>
    </row>
    <row r="63" ht="15.75" customHeight="1">
      <c r="A63" s="760" t="s">
        <v>6437</v>
      </c>
      <c r="B63" s="761" t="s">
        <v>6438</v>
      </c>
      <c r="C63" s="722" t="str">
        <f>HYPERLINK("https://youtu.be/4OqNmNgyDyw","16.24")</f>
        <v>16.24</v>
      </c>
      <c r="D63" s="726" t="s">
        <v>1203</v>
      </c>
      <c r="E63" s="763"/>
      <c r="F63" s="763"/>
      <c r="G63" s="763"/>
      <c r="H63" s="763"/>
      <c r="I63" s="763"/>
      <c r="J63" s="763"/>
      <c r="K63" s="763"/>
      <c r="L63" s="763"/>
      <c r="M63" s="763"/>
      <c r="N63" s="710" t="str">
        <f>HYPERLINK("https://youtu.be/4OqNmNgyDyw","16.24")</f>
        <v>16.24</v>
      </c>
      <c r="O63" s="763"/>
      <c r="P63" s="710" t="str">
        <f>HYPERLINK("https://clips.twitch.tv/ThankfulSpoopyHerdWOOP","16.58")</f>
        <v>16.58</v>
      </c>
      <c r="Q63" s="763"/>
      <c r="R63" s="763"/>
      <c r="S63" s="763"/>
      <c r="T63" s="763" t="s">
        <v>3110</v>
      </c>
      <c r="U63" s="763"/>
      <c r="V63" s="763"/>
      <c r="W63" s="763"/>
      <c r="X63" s="763"/>
      <c r="Y63" s="763"/>
      <c r="Z63" s="763"/>
      <c r="AA63" s="763"/>
      <c r="AB63" s="731" t="s">
        <v>3336</v>
      </c>
      <c r="AC63" s="763"/>
      <c r="AD63" s="763"/>
      <c r="AE63" s="763"/>
      <c r="AF63" s="763"/>
      <c r="AG63" s="763"/>
      <c r="AH63" s="763"/>
      <c r="AI63" s="766"/>
      <c r="AJ63" s="763"/>
      <c r="AK63" s="763"/>
      <c r="AL63" s="763"/>
      <c r="AM63" s="763"/>
      <c r="AN63" s="763"/>
      <c r="AO63" s="763"/>
      <c r="AP63" s="763"/>
      <c r="AQ63" s="763"/>
      <c r="AR63" s="763"/>
      <c r="AS63" s="763"/>
      <c r="AT63" s="763"/>
      <c r="AU63" s="763"/>
      <c r="AV63" s="763"/>
      <c r="AW63" s="763"/>
      <c r="AX63" s="763"/>
      <c r="AY63" s="763"/>
      <c r="AZ63" s="763"/>
      <c r="BA63" s="716"/>
      <c r="BB63" s="716"/>
      <c r="BC63" s="716"/>
      <c r="BD63" s="763"/>
      <c r="BE63" s="763"/>
      <c r="BF63" s="763"/>
      <c r="BG63" s="763"/>
      <c r="BH63" s="716"/>
      <c r="BI63" s="716"/>
      <c r="BJ63" s="716"/>
    </row>
    <row r="64" ht="15.75" customHeight="1">
      <c r="A64" s="768"/>
      <c r="B64" s="769" t="s">
        <v>6439</v>
      </c>
      <c r="C64" s="735" t="s">
        <v>4141</v>
      </c>
      <c r="D64" s="705"/>
      <c r="E64" s="763"/>
      <c r="F64" s="763"/>
      <c r="G64" s="763"/>
      <c r="H64" s="765" t="s">
        <v>3542</v>
      </c>
      <c r="I64" s="705" t="s">
        <v>2159</v>
      </c>
      <c r="J64" s="705" t="s">
        <v>400</v>
      </c>
      <c r="K64" s="763"/>
      <c r="L64" s="705" t="s">
        <v>3441</v>
      </c>
      <c r="M64" s="763"/>
      <c r="N64" s="710" t="str">
        <f>HYPERLINK("https://youtu.be/1clufi5ICPo","15.10")</f>
        <v>15.10</v>
      </c>
      <c r="O64" s="763"/>
      <c r="P64" s="763" t="s">
        <v>2705</v>
      </c>
      <c r="Q64" s="707"/>
      <c r="R64" s="763"/>
      <c r="S64" s="763"/>
      <c r="T64" s="763" t="s">
        <v>522</v>
      </c>
      <c r="U64" s="763"/>
      <c r="V64" s="763"/>
      <c r="W64" s="763"/>
      <c r="X64" s="763"/>
      <c r="Y64" s="763"/>
      <c r="Z64" s="763"/>
      <c r="AA64" s="763"/>
      <c r="AB64" s="763"/>
      <c r="AC64" s="763"/>
      <c r="AD64" s="763"/>
      <c r="AE64" s="763"/>
      <c r="AF64" s="763"/>
      <c r="AG64" s="763"/>
      <c r="AH64" s="763"/>
      <c r="AI64" s="766"/>
      <c r="AJ64" s="763"/>
      <c r="AK64" s="763"/>
      <c r="AL64" s="763"/>
      <c r="AM64" s="763"/>
      <c r="AN64" s="763"/>
      <c r="AO64" s="763"/>
      <c r="AP64" s="763"/>
      <c r="AQ64" s="763"/>
      <c r="AR64" s="765" t="s">
        <v>522</v>
      </c>
      <c r="AS64" s="763"/>
      <c r="AT64" s="763"/>
      <c r="AU64" s="763"/>
      <c r="AV64" s="763"/>
      <c r="AW64" s="763"/>
      <c r="AX64" s="763"/>
      <c r="AY64" s="763"/>
      <c r="AZ64" s="763"/>
      <c r="BA64" s="767"/>
      <c r="BB64" s="767"/>
      <c r="BC64" s="767"/>
      <c r="BD64" s="763"/>
      <c r="BE64" s="763"/>
      <c r="BF64" s="763"/>
      <c r="BG64" s="763"/>
      <c r="BH64" s="767"/>
      <c r="BI64" s="767"/>
      <c r="BJ64" s="767"/>
    </row>
    <row r="65" ht="15.75" customHeight="1">
      <c r="A65" s="768"/>
      <c r="B65" s="769" t="s">
        <v>6440</v>
      </c>
      <c r="C65" s="722" t="s">
        <v>656</v>
      </c>
      <c r="D65" s="731" t="s">
        <v>834</v>
      </c>
      <c r="E65" s="705" t="s">
        <v>5654</v>
      </c>
      <c r="F65" s="705" t="s">
        <v>6441</v>
      </c>
      <c r="G65" s="731" t="s">
        <v>2501</v>
      </c>
      <c r="H65" s="705" t="s">
        <v>1204</v>
      </c>
      <c r="I65" s="706" t="s">
        <v>1268</v>
      </c>
      <c r="J65" s="765" t="s">
        <v>1426</v>
      </c>
      <c r="K65" s="763"/>
      <c r="L65" s="708" t="s">
        <v>4229</v>
      </c>
      <c r="M65" s="763"/>
      <c r="N65" s="763" t="s">
        <v>355</v>
      </c>
      <c r="O65" s="705" t="s">
        <v>2931</v>
      </c>
      <c r="P65" s="763" t="s">
        <v>1809</v>
      </c>
      <c r="Q65" s="705" t="s">
        <v>1772</v>
      </c>
      <c r="R65" s="763"/>
      <c r="S65" s="763"/>
      <c r="T65" s="763"/>
      <c r="U65" s="705" t="s">
        <v>656</v>
      </c>
      <c r="V65" s="763"/>
      <c r="W65" s="763"/>
      <c r="X65" s="763"/>
      <c r="Y65" s="763"/>
      <c r="Z65" s="705" t="s">
        <v>4141</v>
      </c>
      <c r="AA65" s="765" t="s">
        <v>3111</v>
      </c>
      <c r="AB65" s="763"/>
      <c r="AC65" s="763"/>
      <c r="AD65" s="763"/>
      <c r="AE65" s="763"/>
      <c r="AF65" s="763"/>
      <c r="AG65" s="763"/>
      <c r="AH65" s="763"/>
      <c r="AI65" s="766"/>
      <c r="AJ65" s="763"/>
      <c r="AK65" s="763"/>
      <c r="AL65" s="763"/>
      <c r="AM65" s="763"/>
      <c r="AN65" s="763"/>
      <c r="AO65" s="763"/>
      <c r="AP65" s="763"/>
      <c r="AQ65" s="763"/>
      <c r="AR65" s="705" t="s">
        <v>1268</v>
      </c>
      <c r="AS65" s="763"/>
      <c r="AT65" s="763"/>
      <c r="AU65" s="763"/>
      <c r="AV65" s="763"/>
      <c r="AW65" s="763"/>
      <c r="AX65" s="763"/>
      <c r="AY65" s="763"/>
      <c r="AZ65" s="763"/>
      <c r="BA65" s="716"/>
      <c r="BB65" s="716"/>
      <c r="BC65" s="716"/>
      <c r="BD65" s="763"/>
      <c r="BE65" s="763"/>
      <c r="BF65" s="763"/>
      <c r="BG65" s="763"/>
      <c r="BH65" s="716"/>
      <c r="BI65" s="716"/>
      <c r="BJ65" s="716"/>
    </row>
    <row r="66" ht="15.75" customHeight="1">
      <c r="A66" s="760" t="s">
        <v>6442</v>
      </c>
      <c r="B66" s="761" t="s">
        <v>6443</v>
      </c>
      <c r="C66" s="722" t="s">
        <v>2142</v>
      </c>
      <c r="D66" s="705" t="s">
        <v>2142</v>
      </c>
      <c r="E66" s="763"/>
      <c r="F66" s="763"/>
      <c r="G66" s="763"/>
      <c r="H66" s="763"/>
      <c r="I66" s="705" t="s">
        <v>6219</v>
      </c>
      <c r="J66" s="763" t="s">
        <v>6444</v>
      </c>
      <c r="K66" s="763"/>
      <c r="L66" s="763"/>
      <c r="M66" s="763"/>
      <c r="N66" s="765" t="s">
        <v>6445</v>
      </c>
      <c r="O66" s="705" t="s">
        <v>6446</v>
      </c>
      <c r="P66" s="763"/>
      <c r="Q66" s="763"/>
      <c r="R66" s="763"/>
      <c r="S66" s="763"/>
      <c r="T66" s="763"/>
      <c r="U66" s="763"/>
      <c r="V66" s="763"/>
      <c r="W66" s="763"/>
      <c r="X66" s="763"/>
      <c r="Y66" s="763"/>
      <c r="Z66" s="763"/>
      <c r="AA66" s="763"/>
      <c r="AB66" s="763"/>
      <c r="AC66" s="763"/>
      <c r="AD66" s="763"/>
      <c r="AE66" s="763"/>
      <c r="AF66" s="763"/>
      <c r="AG66" s="763"/>
      <c r="AH66" s="763"/>
      <c r="AI66" s="766"/>
      <c r="AJ66" s="763"/>
      <c r="AK66" s="763"/>
      <c r="AL66" s="763"/>
      <c r="AM66" s="763"/>
      <c r="AN66" s="763"/>
      <c r="AO66" s="763"/>
      <c r="AP66" s="763"/>
      <c r="AQ66" s="763"/>
      <c r="AR66" s="763"/>
      <c r="AS66" s="763"/>
      <c r="AT66" s="763"/>
      <c r="AU66" s="763"/>
      <c r="AV66" s="763"/>
      <c r="AW66" s="763"/>
      <c r="AX66" s="763"/>
      <c r="AY66" s="763"/>
      <c r="AZ66" s="763"/>
      <c r="BA66" s="767"/>
      <c r="BB66" s="767"/>
      <c r="BC66" s="767"/>
      <c r="BD66" s="763"/>
      <c r="BE66" s="763"/>
      <c r="BF66" s="763"/>
      <c r="BG66" s="763"/>
      <c r="BH66" s="767"/>
      <c r="BI66" s="767"/>
      <c r="BJ66" s="767"/>
    </row>
    <row r="67" ht="15.75" customHeight="1">
      <c r="A67" s="768"/>
      <c r="B67" s="769" t="s">
        <v>6447</v>
      </c>
      <c r="C67" s="722" t="s">
        <v>350</v>
      </c>
      <c r="D67" s="705" t="s">
        <v>350</v>
      </c>
      <c r="E67" s="705" t="s">
        <v>751</v>
      </c>
      <c r="F67" s="705" t="s">
        <v>2272</v>
      </c>
      <c r="G67" s="703" t="s">
        <v>835</v>
      </c>
      <c r="H67" s="705" t="s">
        <v>1141</v>
      </c>
      <c r="I67" s="705" t="s">
        <v>1269</v>
      </c>
      <c r="J67" s="763" t="s">
        <v>1427</v>
      </c>
      <c r="K67" s="731" t="s">
        <v>1848</v>
      </c>
      <c r="L67" s="708" t="s">
        <v>4783</v>
      </c>
      <c r="M67" s="763"/>
      <c r="N67" s="763" t="s">
        <v>1354</v>
      </c>
      <c r="O67" s="705" t="s">
        <v>6448</v>
      </c>
      <c r="P67" s="763" t="s">
        <v>6449</v>
      </c>
      <c r="Q67" s="705" t="s">
        <v>4503</v>
      </c>
      <c r="R67" s="763"/>
      <c r="S67" s="763"/>
      <c r="T67" s="763"/>
      <c r="U67" s="763"/>
      <c r="V67" s="763"/>
      <c r="W67" s="763"/>
      <c r="X67" s="763"/>
      <c r="Y67" s="763"/>
      <c r="Z67" s="763"/>
      <c r="AA67" s="763"/>
      <c r="AB67" s="763"/>
      <c r="AC67" s="763"/>
      <c r="AD67" s="763"/>
      <c r="AE67" s="763"/>
      <c r="AF67" s="763"/>
      <c r="AG67" s="763"/>
      <c r="AH67" s="763"/>
      <c r="AI67" s="766"/>
      <c r="AJ67" s="763"/>
      <c r="AK67" s="763"/>
      <c r="AL67" s="763"/>
      <c r="AM67" s="763"/>
      <c r="AN67" s="763"/>
      <c r="AO67" s="763"/>
      <c r="AP67" s="763"/>
      <c r="AQ67" s="763"/>
      <c r="AR67" s="705" t="s">
        <v>251</v>
      </c>
      <c r="AS67" s="763"/>
      <c r="AT67" s="763"/>
      <c r="AU67" s="763"/>
      <c r="AV67" s="763"/>
      <c r="AW67" s="763"/>
      <c r="AX67" s="763"/>
      <c r="AY67" s="763"/>
      <c r="AZ67" s="763"/>
      <c r="BA67" s="716"/>
      <c r="BB67" s="716"/>
      <c r="BC67" s="716"/>
      <c r="BD67" s="763"/>
      <c r="BE67" s="763"/>
      <c r="BF67" s="763"/>
      <c r="BG67" s="763"/>
      <c r="BH67" s="716"/>
      <c r="BI67" s="716"/>
      <c r="BJ67" s="716"/>
    </row>
    <row r="68" ht="15.75" customHeight="1">
      <c r="A68" s="774" t="s">
        <v>6324</v>
      </c>
      <c r="B68" s="775" t="s">
        <v>6450</v>
      </c>
      <c r="C68" s="747" t="s">
        <v>5874</v>
      </c>
      <c r="D68" s="705" t="s">
        <v>752</v>
      </c>
      <c r="E68" s="705" t="s">
        <v>752</v>
      </c>
      <c r="F68" s="705" t="s">
        <v>1000</v>
      </c>
      <c r="G68" s="707" t="s">
        <v>118</v>
      </c>
      <c r="H68" s="719" t="s">
        <v>5874</v>
      </c>
      <c r="I68" s="705" t="s">
        <v>1270</v>
      </c>
      <c r="J68" s="710" t="str">
        <f>HYPERLINK("https://www.youtube.com/watch?v=Imyo7x5mfG4&amp;feature=youtu.be","30.15")</f>
        <v>30.15</v>
      </c>
      <c r="K68" s="731" t="s">
        <v>4258</v>
      </c>
      <c r="L68" s="708" t="s">
        <v>1561</v>
      </c>
      <c r="M68" s="763"/>
      <c r="N68" s="763" t="s">
        <v>118</v>
      </c>
      <c r="O68" s="705" t="s">
        <v>1814</v>
      </c>
      <c r="P68" s="731" t="s">
        <v>6451</v>
      </c>
      <c r="Q68" s="763"/>
      <c r="R68" s="763"/>
      <c r="S68" s="763"/>
      <c r="T68" s="763" t="s">
        <v>896</v>
      </c>
      <c r="U68" s="763"/>
      <c r="V68" s="763"/>
      <c r="W68" s="763"/>
      <c r="X68" s="763"/>
      <c r="Y68" s="763"/>
      <c r="Z68" s="763"/>
      <c r="AA68" s="705" t="s">
        <v>1774</v>
      </c>
      <c r="AB68" s="763"/>
      <c r="AC68" s="763"/>
      <c r="AD68" s="763"/>
      <c r="AE68" s="763"/>
      <c r="AF68" s="763"/>
      <c r="AG68" s="763"/>
      <c r="AH68" s="763"/>
      <c r="AI68" s="766"/>
      <c r="AJ68" s="763"/>
      <c r="AK68" s="763"/>
      <c r="AL68" s="763"/>
      <c r="AM68" s="763"/>
      <c r="AN68" s="763"/>
      <c r="AO68" s="763"/>
      <c r="AP68" s="763"/>
      <c r="AQ68" s="763"/>
      <c r="AR68" s="705" t="s">
        <v>1732</v>
      </c>
      <c r="AS68" s="763"/>
      <c r="AT68" s="751" t="s">
        <v>5634</v>
      </c>
      <c r="AU68" s="751" t="s">
        <v>6452</v>
      </c>
      <c r="AV68" s="763"/>
      <c r="AW68" s="763"/>
      <c r="AX68" s="763"/>
      <c r="AY68" s="763"/>
      <c r="AZ68" s="763"/>
      <c r="BA68" s="767"/>
      <c r="BB68" s="767"/>
      <c r="BC68" s="767"/>
      <c r="BD68" s="763"/>
      <c r="BE68" s="763"/>
      <c r="BF68" s="763"/>
      <c r="BG68" s="763"/>
      <c r="BH68" s="767"/>
      <c r="BI68" s="767"/>
      <c r="BJ68" s="767"/>
    </row>
    <row r="69" ht="15.75" customHeight="1">
      <c r="A69" s="774" t="s">
        <v>6329</v>
      </c>
      <c r="B69" s="775" t="s">
        <v>6443</v>
      </c>
      <c r="C69" s="722" t="s">
        <v>3792</v>
      </c>
      <c r="D69" s="705" t="s">
        <v>3792</v>
      </c>
      <c r="E69" s="763"/>
      <c r="F69" s="763"/>
      <c r="G69" s="765"/>
      <c r="H69" s="763"/>
      <c r="I69" s="705" t="s">
        <v>1735</v>
      </c>
      <c r="J69" s="763"/>
      <c r="K69" s="763"/>
      <c r="L69" s="763"/>
      <c r="M69" s="763"/>
      <c r="N69" s="770"/>
      <c r="O69" s="763"/>
      <c r="P69" s="763"/>
      <c r="Q69" s="763"/>
      <c r="R69" s="763"/>
      <c r="S69" s="763"/>
      <c r="T69" s="763"/>
      <c r="U69" s="763"/>
      <c r="V69" s="763"/>
      <c r="W69" s="763"/>
      <c r="X69" s="763"/>
      <c r="Y69" s="763"/>
      <c r="Z69" s="763"/>
      <c r="AA69" s="763"/>
      <c r="AB69" s="731" t="s">
        <v>3319</v>
      </c>
      <c r="AC69" s="763"/>
      <c r="AD69" s="731" t="s">
        <v>1809</v>
      </c>
      <c r="AE69" s="763"/>
      <c r="AF69" s="763"/>
      <c r="AG69" s="763"/>
      <c r="AH69" s="763"/>
      <c r="AI69" s="766"/>
      <c r="AJ69" s="763"/>
      <c r="AK69" s="763"/>
      <c r="AL69" s="763"/>
      <c r="AM69" s="763"/>
      <c r="AN69" s="763"/>
      <c r="AO69" s="763"/>
      <c r="AP69" s="763"/>
      <c r="AQ69" s="763"/>
      <c r="AR69" s="763"/>
      <c r="AS69" s="763"/>
      <c r="AT69" s="763"/>
      <c r="AU69" s="763"/>
      <c r="AV69" s="763"/>
      <c r="AW69" s="763"/>
      <c r="AX69" s="763"/>
      <c r="AY69" s="763"/>
      <c r="AZ69" s="763"/>
      <c r="BA69" s="716"/>
      <c r="BB69" s="716"/>
      <c r="BC69" s="716"/>
      <c r="BD69" s="763"/>
      <c r="BE69" s="763"/>
      <c r="BF69" s="763"/>
      <c r="BG69" s="763"/>
      <c r="BH69" s="716"/>
      <c r="BI69" s="716"/>
      <c r="BJ69" s="716"/>
    </row>
    <row r="70" ht="15.75" customHeight="1">
      <c r="A70" s="787"/>
      <c r="B70" s="769" t="s">
        <v>6453</v>
      </c>
      <c r="C70" s="702" t="s">
        <v>2718</v>
      </c>
      <c r="D70" s="705" t="s">
        <v>2317</v>
      </c>
      <c r="E70" s="765" t="s">
        <v>6454</v>
      </c>
      <c r="F70" s="763"/>
      <c r="G70" s="765"/>
      <c r="H70" s="731"/>
      <c r="I70" s="705" t="s">
        <v>6455</v>
      </c>
      <c r="J70" s="763"/>
      <c r="K70" s="731" t="s">
        <v>6456</v>
      </c>
      <c r="L70" s="763"/>
      <c r="M70" s="763"/>
      <c r="N70" s="770"/>
      <c r="O70" s="763"/>
      <c r="P70" s="763"/>
      <c r="Q70" s="705" t="s">
        <v>3635</v>
      </c>
      <c r="R70" s="731" t="s">
        <v>6456</v>
      </c>
      <c r="S70" s="736"/>
      <c r="T70" s="763"/>
      <c r="U70" s="763"/>
      <c r="V70" s="751" t="s">
        <v>2718</v>
      </c>
      <c r="W70" s="763"/>
      <c r="X70" s="763"/>
      <c r="Y70" s="763"/>
      <c r="Z70" s="763"/>
      <c r="AA70" s="763"/>
      <c r="AB70" s="765" t="s">
        <v>2078</v>
      </c>
      <c r="AC70" s="763"/>
      <c r="AD70" s="763"/>
      <c r="AE70" s="763"/>
      <c r="AF70" s="763"/>
      <c r="AG70" s="763"/>
      <c r="AH70" s="763"/>
      <c r="AI70" s="766"/>
      <c r="AJ70" s="763"/>
      <c r="AK70" s="763"/>
      <c r="AL70" s="763"/>
      <c r="AM70" s="763"/>
      <c r="AN70" s="763"/>
      <c r="AO70" s="763"/>
      <c r="AP70" s="763"/>
      <c r="AQ70" s="763"/>
      <c r="AR70" s="765" t="s">
        <v>1789</v>
      </c>
      <c r="AS70" s="763"/>
      <c r="AT70" s="763"/>
      <c r="AU70" s="763"/>
      <c r="AV70" s="763"/>
      <c r="AW70" s="763"/>
      <c r="AX70" s="763"/>
      <c r="AY70" s="763"/>
      <c r="AZ70" s="763"/>
      <c r="BA70" s="767"/>
      <c r="BB70" s="767"/>
      <c r="BC70" s="767"/>
      <c r="BD70" s="763"/>
      <c r="BE70" s="763"/>
      <c r="BF70" s="763"/>
      <c r="BG70" s="763"/>
      <c r="BH70" s="767"/>
      <c r="BI70" s="767"/>
      <c r="BJ70" s="767"/>
    </row>
    <row r="71" ht="15.75" customHeight="1">
      <c r="A71" s="787"/>
      <c r="B71" s="769" t="s">
        <v>6457</v>
      </c>
      <c r="C71" s="735" t="s">
        <v>2842</v>
      </c>
      <c r="D71" s="707"/>
      <c r="E71" s="765"/>
      <c r="F71" s="705" t="s">
        <v>2842</v>
      </c>
      <c r="G71" s="765"/>
      <c r="H71" s="705" t="s">
        <v>1585</v>
      </c>
      <c r="I71" s="763"/>
      <c r="J71" s="763"/>
      <c r="K71" s="731" t="s">
        <v>4807</v>
      </c>
      <c r="L71" s="763"/>
      <c r="M71" s="763"/>
      <c r="N71" s="770"/>
      <c r="O71" s="763"/>
      <c r="P71" s="763"/>
      <c r="Q71" s="763"/>
      <c r="R71" s="763"/>
      <c r="S71" s="705" t="s">
        <v>1904</v>
      </c>
      <c r="T71" s="763"/>
      <c r="U71" s="763"/>
      <c r="V71" s="763"/>
      <c r="W71" s="763"/>
      <c r="X71" s="763"/>
      <c r="Y71" s="763"/>
      <c r="Z71" s="763"/>
      <c r="AA71" s="763"/>
      <c r="AB71" s="763"/>
      <c r="AC71" s="763"/>
      <c r="AD71" s="763"/>
      <c r="AE71" s="763"/>
      <c r="AF71" s="763"/>
      <c r="AG71" s="763"/>
      <c r="AH71" s="763"/>
      <c r="AI71" s="766"/>
      <c r="AJ71" s="763"/>
      <c r="AK71" s="763"/>
      <c r="AL71" s="763"/>
      <c r="AM71" s="763"/>
      <c r="AN71" s="763"/>
      <c r="AO71" s="763"/>
      <c r="AP71" s="763"/>
      <c r="AQ71" s="763"/>
      <c r="AR71" s="763"/>
      <c r="AS71" s="763"/>
      <c r="AT71" s="763"/>
      <c r="AU71" s="763"/>
      <c r="AV71" s="763"/>
      <c r="AW71" s="763"/>
      <c r="AX71" s="763"/>
      <c r="AY71" s="763"/>
      <c r="AZ71" s="763"/>
      <c r="BA71" s="716"/>
      <c r="BB71" s="716"/>
      <c r="BC71" s="716"/>
      <c r="BD71" s="763"/>
      <c r="BE71" s="763"/>
      <c r="BF71" s="763"/>
      <c r="BG71" s="763"/>
      <c r="BH71" s="716"/>
      <c r="BI71" s="716"/>
      <c r="BJ71" s="716"/>
    </row>
    <row r="72" ht="15.75" customHeight="1">
      <c r="A72" s="774" t="s">
        <v>6353</v>
      </c>
      <c r="B72" s="775" t="s">
        <v>6354</v>
      </c>
      <c r="C72" s="722" t="s">
        <v>6458</v>
      </c>
      <c r="D72" s="705" t="s">
        <v>357</v>
      </c>
      <c r="E72" s="710" t="str">
        <f>HYPERLINK("https://www.youtube.com/watch?v=8BrDAvD-IV4","1:01.54")</f>
        <v>1:01.54</v>
      </c>
      <c r="F72" s="763"/>
      <c r="G72" s="765" t="s">
        <v>4088</v>
      </c>
      <c r="H72" s="763"/>
      <c r="I72" s="763"/>
      <c r="J72" s="763"/>
      <c r="K72" s="763"/>
      <c r="L72" s="763"/>
      <c r="M72" s="763"/>
      <c r="N72" s="705" t="s">
        <v>1566</v>
      </c>
      <c r="O72" s="763"/>
      <c r="P72" s="763"/>
      <c r="Q72" s="763"/>
      <c r="R72" s="763"/>
      <c r="S72" s="763"/>
      <c r="T72" s="763"/>
      <c r="U72" s="763"/>
      <c r="V72" s="763"/>
      <c r="W72" s="763"/>
      <c r="X72" s="763"/>
      <c r="Y72" s="763"/>
      <c r="Z72" s="763"/>
      <c r="AA72" s="763"/>
      <c r="AB72" s="763"/>
      <c r="AC72" s="763"/>
      <c r="AD72" s="763"/>
      <c r="AE72" s="763"/>
      <c r="AF72" s="763"/>
      <c r="AG72" s="763"/>
      <c r="AH72" s="763"/>
      <c r="AI72" s="766"/>
      <c r="AJ72" s="763"/>
      <c r="AK72" s="763"/>
      <c r="AL72" s="763"/>
      <c r="AM72" s="763"/>
      <c r="AN72" s="763"/>
      <c r="AO72" s="763"/>
      <c r="AP72" s="763"/>
      <c r="AQ72" s="763"/>
      <c r="AR72" s="765" t="s">
        <v>5930</v>
      </c>
      <c r="AS72" s="763"/>
      <c r="AT72" s="763"/>
      <c r="AU72" s="763"/>
      <c r="AV72" s="763"/>
      <c r="AW72" s="763"/>
      <c r="AX72" s="763"/>
      <c r="AY72" s="763"/>
      <c r="AZ72" s="763"/>
      <c r="BA72" s="767"/>
      <c r="BB72" s="767"/>
      <c r="BC72" s="767"/>
      <c r="BD72" s="763"/>
      <c r="BE72" s="763"/>
      <c r="BF72" s="763"/>
      <c r="BG72" s="763"/>
      <c r="BH72" s="767"/>
      <c r="BI72" s="767"/>
      <c r="BJ72" s="767"/>
    </row>
    <row r="73" ht="15.75" customHeight="1">
      <c r="A73" s="760" t="s">
        <v>6367</v>
      </c>
      <c r="B73" s="761" t="s">
        <v>6459</v>
      </c>
      <c r="C73" s="722" t="s">
        <v>2201</v>
      </c>
      <c r="D73" s="705" t="s">
        <v>2201</v>
      </c>
      <c r="E73" s="763"/>
      <c r="F73" s="763"/>
      <c r="G73" s="792"/>
      <c r="H73" s="763"/>
      <c r="I73" s="705" t="s">
        <v>6460</v>
      </c>
      <c r="J73" s="763"/>
      <c r="K73" s="763"/>
      <c r="L73" s="763"/>
      <c r="M73" s="763"/>
      <c r="N73" s="770"/>
      <c r="O73" s="763"/>
      <c r="P73" s="763"/>
      <c r="Q73" s="763"/>
      <c r="R73" s="763"/>
      <c r="S73" s="763"/>
      <c r="T73" s="763"/>
      <c r="U73" s="763"/>
      <c r="V73" s="763"/>
      <c r="W73" s="763"/>
      <c r="X73" s="763"/>
      <c r="Y73" s="763"/>
      <c r="Z73" s="763"/>
      <c r="AA73" s="763"/>
      <c r="AB73" s="763"/>
      <c r="AC73" s="763"/>
      <c r="AD73" s="763"/>
      <c r="AE73" s="763"/>
      <c r="AF73" s="763"/>
      <c r="AG73" s="763"/>
      <c r="AH73" s="763"/>
      <c r="AI73" s="766"/>
      <c r="AJ73" s="763"/>
      <c r="AK73" s="763"/>
      <c r="AL73" s="763"/>
      <c r="AM73" s="763"/>
      <c r="AN73" s="763"/>
      <c r="AO73" s="763"/>
      <c r="AP73" s="763"/>
      <c r="AQ73" s="763"/>
      <c r="AR73" s="763"/>
      <c r="AS73" s="763"/>
      <c r="AT73" s="763"/>
      <c r="AU73" s="763"/>
      <c r="AV73" s="763"/>
      <c r="AW73" s="763"/>
      <c r="AX73" s="763"/>
      <c r="AY73" s="763"/>
      <c r="AZ73" s="763"/>
      <c r="BA73" s="716"/>
      <c r="BB73" s="716"/>
      <c r="BC73" s="716"/>
      <c r="BD73" s="763"/>
      <c r="BE73" s="763"/>
      <c r="BF73" s="763"/>
      <c r="BG73" s="763"/>
      <c r="BH73" s="716"/>
      <c r="BI73" s="716"/>
      <c r="BJ73" s="716"/>
    </row>
    <row r="74" ht="15.75" customHeight="1">
      <c r="A74" s="768"/>
      <c r="B74" s="769" t="s">
        <v>6461</v>
      </c>
      <c r="C74" s="722" t="s">
        <v>2606</v>
      </c>
      <c r="D74" s="705" t="s">
        <v>2606</v>
      </c>
      <c r="E74" s="763"/>
      <c r="F74" s="763"/>
      <c r="G74" s="707" t="s">
        <v>5048</v>
      </c>
      <c r="H74" s="763"/>
      <c r="I74" s="763"/>
      <c r="J74" s="763"/>
      <c r="K74" s="731" t="s">
        <v>3410</v>
      </c>
      <c r="L74" s="763"/>
      <c r="M74" s="763"/>
      <c r="N74" s="710" t="str">
        <f>HYPERLINK("https://youtu.be/HUwmtKe7cOY","56.54")</f>
        <v>56.54</v>
      </c>
      <c r="O74" s="705" t="s">
        <v>6462</v>
      </c>
      <c r="P74" s="763"/>
      <c r="Q74" s="763"/>
      <c r="R74" s="763"/>
      <c r="S74" s="763"/>
      <c r="T74" s="763" t="s">
        <v>2227</v>
      </c>
      <c r="U74" s="763"/>
      <c r="V74" s="763"/>
      <c r="W74" s="763"/>
      <c r="X74" s="763"/>
      <c r="Y74" s="763"/>
      <c r="Z74" s="763"/>
      <c r="AA74" s="763"/>
      <c r="AB74" s="763"/>
      <c r="AC74" s="763"/>
      <c r="AD74" s="763"/>
      <c r="AE74" s="763"/>
      <c r="AF74" s="763"/>
      <c r="AG74" s="763"/>
      <c r="AH74" s="763"/>
      <c r="AI74" s="766"/>
      <c r="AJ74" s="763"/>
      <c r="AK74" s="763"/>
      <c r="AL74" s="763"/>
      <c r="AM74" s="763"/>
      <c r="AN74" s="763"/>
      <c r="AO74" s="763"/>
      <c r="AP74" s="763"/>
      <c r="AQ74" s="763"/>
      <c r="AR74" s="765" t="s">
        <v>3350</v>
      </c>
      <c r="AS74" s="763"/>
      <c r="AT74" s="745" t="s">
        <v>6463</v>
      </c>
      <c r="AU74" s="763"/>
      <c r="AV74" s="763"/>
      <c r="AW74" s="763"/>
      <c r="AX74" s="763"/>
      <c r="AY74" s="763"/>
      <c r="AZ74" s="763"/>
      <c r="BA74" s="767"/>
      <c r="BB74" s="767"/>
      <c r="BC74" s="767"/>
      <c r="BD74" s="763"/>
      <c r="BE74" s="763"/>
      <c r="BF74" s="763"/>
      <c r="BG74" s="763"/>
      <c r="BH74" s="767"/>
      <c r="BI74" s="767"/>
      <c r="BJ74" s="767"/>
    </row>
    <row r="75" ht="15.75" customHeight="1">
      <c r="A75" s="768"/>
      <c r="B75" s="769" t="s">
        <v>6464</v>
      </c>
      <c r="C75" s="747" t="s">
        <v>170</v>
      </c>
      <c r="D75" s="705" t="s">
        <v>5414</v>
      </c>
      <c r="E75" s="727"/>
      <c r="F75" s="705" t="s">
        <v>119</v>
      </c>
      <c r="G75" s="763"/>
      <c r="H75" s="719" t="s">
        <v>170</v>
      </c>
      <c r="I75" s="705" t="s">
        <v>1271</v>
      </c>
      <c r="J75" s="763" t="s">
        <v>2769</v>
      </c>
      <c r="K75" s="763"/>
      <c r="L75" s="705" t="s">
        <v>4207</v>
      </c>
      <c r="M75" s="703" t="s">
        <v>454</v>
      </c>
      <c r="N75" s="710" t="str">
        <f>HYPERLINK("https://youtu.be/vycxuqUj3Q4","56.44")</f>
        <v>56.44</v>
      </c>
      <c r="O75" s="763"/>
      <c r="P75" s="763"/>
      <c r="Q75" s="763"/>
      <c r="R75" s="763"/>
      <c r="S75" s="763"/>
      <c r="T75" s="763"/>
      <c r="U75" s="763"/>
      <c r="V75" s="763"/>
      <c r="W75" s="763"/>
      <c r="X75" s="763"/>
      <c r="Y75" s="763"/>
      <c r="Z75" s="763"/>
      <c r="AA75" s="763"/>
      <c r="AB75" s="763"/>
      <c r="AC75" s="763"/>
      <c r="AD75" s="763"/>
      <c r="AE75" s="763"/>
      <c r="AF75" s="763"/>
      <c r="AG75" s="763"/>
      <c r="AH75" s="763"/>
      <c r="AI75" s="766"/>
      <c r="AJ75" s="763"/>
      <c r="AK75" s="763"/>
      <c r="AL75" s="763"/>
      <c r="AM75" s="763"/>
      <c r="AN75" s="763"/>
      <c r="AO75" s="763"/>
      <c r="AP75" s="763"/>
      <c r="AQ75" s="763"/>
      <c r="AR75" s="705" t="s">
        <v>1733</v>
      </c>
      <c r="AS75" s="763"/>
      <c r="AT75" s="763"/>
      <c r="AU75" s="763"/>
      <c r="AV75" s="763"/>
      <c r="AW75" s="763"/>
      <c r="AX75" s="763"/>
      <c r="AY75" s="763"/>
      <c r="AZ75" s="763"/>
      <c r="BA75" s="716"/>
      <c r="BB75" s="716"/>
      <c r="BC75" s="716"/>
      <c r="BD75" s="763"/>
      <c r="BE75" s="763"/>
      <c r="BF75" s="763"/>
      <c r="BG75" s="763"/>
      <c r="BH75" s="716"/>
      <c r="BI75" s="716"/>
      <c r="BJ75" s="716"/>
    </row>
    <row r="76" ht="15.75" customHeight="1">
      <c r="A76" s="760" t="s">
        <v>6465</v>
      </c>
      <c r="B76" s="761" t="s">
        <v>6466</v>
      </c>
      <c r="C76" s="747" t="s">
        <v>3194</v>
      </c>
      <c r="D76" s="705" t="s">
        <v>6467</v>
      </c>
      <c r="E76" s="763"/>
      <c r="F76" s="763"/>
      <c r="G76" s="763"/>
      <c r="H76" s="763"/>
      <c r="I76" s="705" t="s">
        <v>5120</v>
      </c>
      <c r="J76" s="763"/>
      <c r="K76" s="763"/>
      <c r="L76" s="763"/>
      <c r="M76" s="763"/>
      <c r="N76" s="763"/>
      <c r="O76" s="763"/>
      <c r="P76" s="763"/>
      <c r="Q76" s="763"/>
      <c r="R76" s="763"/>
      <c r="S76" s="763"/>
      <c r="T76" s="763"/>
      <c r="U76" s="763"/>
      <c r="V76" s="763"/>
      <c r="W76" s="705" t="s">
        <v>3194</v>
      </c>
      <c r="X76" s="763"/>
      <c r="Y76" s="763"/>
      <c r="Z76" s="763"/>
      <c r="AA76" s="763"/>
      <c r="AB76" s="763"/>
      <c r="AC76" s="763"/>
      <c r="AD76" s="763"/>
      <c r="AE76" s="763"/>
      <c r="AF76" s="763"/>
      <c r="AG76" s="763"/>
      <c r="AH76" s="763"/>
      <c r="AI76" s="766"/>
      <c r="AJ76" s="763"/>
      <c r="AK76" s="763"/>
      <c r="AL76" s="763"/>
      <c r="AM76" s="763"/>
      <c r="AN76" s="763"/>
      <c r="AO76" s="763"/>
      <c r="AP76" s="763"/>
      <c r="AQ76" s="763"/>
      <c r="AR76" s="765"/>
      <c r="AS76" s="763"/>
      <c r="AT76" s="763"/>
      <c r="AU76" s="763"/>
      <c r="AV76" s="763"/>
      <c r="AW76" s="763"/>
      <c r="AX76" s="763"/>
      <c r="AY76" s="763"/>
      <c r="AZ76" s="763"/>
      <c r="BA76" s="767"/>
      <c r="BB76" s="767"/>
      <c r="BC76" s="767"/>
      <c r="BD76" s="763"/>
      <c r="BE76" s="763"/>
      <c r="BF76" s="763"/>
      <c r="BG76" s="763"/>
      <c r="BH76" s="767"/>
      <c r="BI76" s="767"/>
      <c r="BJ76" s="767"/>
    </row>
    <row r="77" ht="15.75" customHeight="1">
      <c r="A77" s="768"/>
      <c r="B77" s="769" t="s">
        <v>6468</v>
      </c>
      <c r="C77" s="705" t="s">
        <v>1734</v>
      </c>
      <c r="D77" s="727"/>
      <c r="E77" s="727"/>
      <c r="F77" s="763"/>
      <c r="G77" s="727"/>
      <c r="H77" s="727"/>
      <c r="I77" s="727"/>
      <c r="J77" s="763"/>
      <c r="K77" s="763"/>
      <c r="L77" s="763"/>
      <c r="M77" s="763"/>
      <c r="N77" s="727"/>
      <c r="O77" s="727"/>
      <c r="P77" s="763"/>
      <c r="Q77" s="763"/>
      <c r="R77" s="705" t="s">
        <v>2704</v>
      </c>
      <c r="S77" s="763"/>
      <c r="T77" s="763"/>
      <c r="U77" s="763"/>
      <c r="V77" s="763"/>
      <c r="W77" s="763"/>
      <c r="X77" s="763"/>
      <c r="Y77" s="763"/>
      <c r="Z77" s="763"/>
      <c r="AA77" s="763"/>
      <c r="AB77" s="763"/>
      <c r="AC77" s="763"/>
      <c r="AD77" s="763"/>
      <c r="AE77" s="763"/>
      <c r="AF77" s="763"/>
      <c r="AG77" s="763"/>
      <c r="AH77" s="763"/>
      <c r="AI77" s="793" t="s">
        <v>893</v>
      </c>
      <c r="AJ77" s="763"/>
      <c r="AK77" s="763"/>
      <c r="AL77" s="763"/>
      <c r="AM77" s="763"/>
      <c r="AN77" s="763"/>
      <c r="AO77" s="763"/>
      <c r="AP77" s="763"/>
      <c r="AQ77" s="763"/>
      <c r="AR77" s="705" t="s">
        <v>1734</v>
      </c>
      <c r="AS77" s="751" t="s">
        <v>893</v>
      </c>
      <c r="AT77" s="763"/>
      <c r="AU77" s="763"/>
      <c r="AV77" s="763"/>
      <c r="AW77" s="763"/>
      <c r="AX77" s="751" t="s">
        <v>6469</v>
      </c>
      <c r="AY77" s="763"/>
      <c r="AZ77" s="763"/>
      <c r="BA77" s="716"/>
      <c r="BB77" s="716"/>
      <c r="BC77" s="716"/>
      <c r="BD77" s="763"/>
      <c r="BE77" s="763"/>
      <c r="BF77" s="763"/>
      <c r="BG77" s="763"/>
      <c r="BH77" s="716"/>
      <c r="BI77" s="716"/>
      <c r="BJ77" s="716"/>
    </row>
    <row r="78" ht="15.75" customHeight="1">
      <c r="A78" s="768"/>
      <c r="B78" s="769" t="s">
        <v>6470</v>
      </c>
      <c r="C78" s="722" t="s">
        <v>1756</v>
      </c>
      <c r="D78" s="707" t="s">
        <v>6471</v>
      </c>
      <c r="E78" s="705" t="s">
        <v>755</v>
      </c>
      <c r="F78" s="705" t="s">
        <v>660</v>
      </c>
      <c r="G78" s="707" t="s">
        <v>755</v>
      </c>
      <c r="H78" s="705" t="s">
        <v>1143</v>
      </c>
      <c r="I78" s="705" t="s">
        <v>1273</v>
      </c>
      <c r="J78" s="763" t="s">
        <v>2935</v>
      </c>
      <c r="K78" s="731" t="s">
        <v>6472</v>
      </c>
      <c r="L78" s="763"/>
      <c r="M78" s="763"/>
      <c r="N78" s="705" t="s">
        <v>1756</v>
      </c>
      <c r="O78" s="705" t="s">
        <v>6473</v>
      </c>
      <c r="P78" s="763"/>
      <c r="Q78" s="763"/>
      <c r="R78" s="763"/>
      <c r="S78" s="763"/>
      <c r="T78" s="763"/>
      <c r="U78" s="770"/>
      <c r="V78" s="763"/>
      <c r="W78" s="763"/>
      <c r="X78" s="763"/>
      <c r="Y78" s="763"/>
      <c r="Z78" s="763"/>
      <c r="AA78" s="763"/>
      <c r="AB78" s="763"/>
      <c r="AC78" s="763"/>
      <c r="AD78" s="763"/>
      <c r="AE78" s="763"/>
      <c r="AF78" s="763"/>
      <c r="AG78" s="763"/>
      <c r="AH78" s="763"/>
      <c r="AI78" s="766"/>
      <c r="AJ78" s="763"/>
      <c r="AK78" s="763"/>
      <c r="AL78" s="763"/>
      <c r="AM78" s="763"/>
      <c r="AN78" s="763"/>
      <c r="AO78" s="763"/>
      <c r="AP78" s="763"/>
      <c r="AQ78" s="763"/>
      <c r="AR78" s="763"/>
      <c r="AS78" s="763"/>
      <c r="AT78" s="763"/>
      <c r="AU78" s="751" t="s">
        <v>6474</v>
      </c>
      <c r="AV78" s="763"/>
      <c r="AW78" s="763"/>
      <c r="AX78" s="763"/>
      <c r="AY78" s="763"/>
      <c r="AZ78" s="763"/>
      <c r="BA78" s="767"/>
      <c r="BB78" s="767"/>
      <c r="BC78" s="767"/>
      <c r="BD78" s="763"/>
      <c r="BE78" s="763"/>
      <c r="BF78" s="763"/>
      <c r="BG78" s="763"/>
      <c r="BH78" s="767"/>
      <c r="BI78" s="767"/>
      <c r="BJ78" s="767"/>
    </row>
    <row r="79" ht="15.75" customHeight="1">
      <c r="A79" s="794" t="s">
        <v>6475</v>
      </c>
      <c r="B79" s="795" t="s">
        <v>6310</v>
      </c>
      <c r="C79" s="722"/>
      <c r="D79" s="707"/>
      <c r="E79" s="705"/>
      <c r="F79" s="705"/>
      <c r="G79" s="707"/>
      <c r="H79" s="705"/>
      <c r="I79" s="705"/>
      <c r="J79" s="763"/>
      <c r="K79" s="731"/>
      <c r="L79" s="763"/>
      <c r="M79" s="763"/>
      <c r="N79" s="705"/>
      <c r="O79" s="705"/>
      <c r="P79" s="763"/>
      <c r="Q79" s="763"/>
      <c r="R79" s="763"/>
      <c r="S79" s="763"/>
      <c r="T79" s="763"/>
      <c r="U79" s="770"/>
      <c r="V79" s="763"/>
      <c r="W79" s="763"/>
      <c r="X79" s="763"/>
      <c r="Y79" s="763"/>
      <c r="Z79" s="763"/>
      <c r="AA79" s="763"/>
      <c r="AB79" s="763"/>
      <c r="AC79" s="763"/>
      <c r="AD79" s="763"/>
      <c r="AE79" s="763"/>
      <c r="AF79" s="763"/>
      <c r="AG79" s="763"/>
      <c r="AH79" s="763"/>
      <c r="AI79" s="766"/>
      <c r="AJ79" s="763"/>
      <c r="AK79" s="763"/>
      <c r="AL79" s="763"/>
      <c r="AM79" s="763"/>
      <c r="AN79" s="763"/>
      <c r="AO79" s="763"/>
      <c r="AP79" s="763"/>
      <c r="AQ79" s="763"/>
      <c r="AR79" s="765" t="s">
        <v>6476</v>
      </c>
      <c r="AS79" s="763"/>
      <c r="AT79" s="763"/>
      <c r="AU79" s="796"/>
      <c r="AV79" s="763"/>
      <c r="AW79" s="763"/>
      <c r="AX79" s="763"/>
      <c r="AY79" s="763"/>
      <c r="AZ79" s="763"/>
      <c r="BA79" s="767"/>
      <c r="BB79" s="767"/>
      <c r="BC79" s="767"/>
      <c r="BD79" s="763"/>
      <c r="BE79" s="763"/>
      <c r="BF79" s="763"/>
      <c r="BG79" s="763"/>
      <c r="BH79" s="767"/>
      <c r="BI79" s="767"/>
      <c r="BJ79" s="767"/>
    </row>
    <row r="80" ht="15.75" customHeight="1">
      <c r="A80" s="794" t="s">
        <v>6477</v>
      </c>
      <c r="B80" s="795" t="s">
        <v>6310</v>
      </c>
      <c r="C80" s="722"/>
      <c r="D80" s="707"/>
      <c r="E80" s="705"/>
      <c r="F80" s="705"/>
      <c r="G80" s="707"/>
      <c r="H80" s="705"/>
      <c r="I80" s="705"/>
      <c r="J80" s="763"/>
      <c r="K80" s="731"/>
      <c r="L80" s="763"/>
      <c r="M80" s="763"/>
      <c r="N80" s="705"/>
      <c r="O80" s="705"/>
      <c r="P80" s="763"/>
      <c r="Q80" s="763"/>
      <c r="R80" s="763"/>
      <c r="S80" s="763"/>
      <c r="T80" s="763"/>
      <c r="U80" s="770"/>
      <c r="V80" s="763"/>
      <c r="W80" s="763"/>
      <c r="X80" s="763"/>
      <c r="Y80" s="763"/>
      <c r="Z80" s="763"/>
      <c r="AA80" s="763"/>
      <c r="AB80" s="763"/>
      <c r="AC80" s="763"/>
      <c r="AD80" s="763"/>
      <c r="AE80" s="763"/>
      <c r="AF80" s="763"/>
      <c r="AG80" s="763"/>
      <c r="AH80" s="763"/>
      <c r="AI80" s="766"/>
      <c r="AJ80" s="763"/>
      <c r="AK80" s="763"/>
      <c r="AL80" s="763"/>
      <c r="AM80" s="763"/>
      <c r="AN80" s="763"/>
      <c r="AO80" s="763"/>
      <c r="AP80" s="763"/>
      <c r="AQ80" s="763"/>
      <c r="AR80" s="763"/>
      <c r="AS80" s="763"/>
      <c r="AT80" s="763"/>
      <c r="AU80" s="796"/>
      <c r="AV80" s="763"/>
      <c r="AW80" s="763"/>
      <c r="AX80" s="763"/>
      <c r="AY80" s="763"/>
      <c r="AZ80" s="763"/>
      <c r="BA80" s="767"/>
      <c r="BB80" s="767"/>
      <c r="BC80" s="767"/>
      <c r="BD80" s="763"/>
      <c r="BE80" s="763"/>
      <c r="BF80" s="763"/>
      <c r="BG80" s="763"/>
      <c r="BH80" s="767"/>
      <c r="BI80" s="767"/>
      <c r="BJ80" s="767"/>
    </row>
    <row r="81" ht="15.75" customHeight="1">
      <c r="A81" s="760" t="s">
        <v>6414</v>
      </c>
      <c r="B81" s="761" t="s">
        <v>6415</v>
      </c>
      <c r="C81" s="722" t="s">
        <v>5183</v>
      </c>
      <c r="D81" s="705" t="s">
        <v>5183</v>
      </c>
      <c r="E81" s="763" t="s">
        <v>3274</v>
      </c>
      <c r="F81" s="763"/>
      <c r="G81" s="763"/>
      <c r="H81" s="705" t="s">
        <v>5183</v>
      </c>
      <c r="I81" s="763"/>
      <c r="J81" s="763" t="s">
        <v>4934</v>
      </c>
      <c r="K81" s="731" t="s">
        <v>5064</v>
      </c>
      <c r="L81" s="763"/>
      <c r="M81" s="763"/>
      <c r="N81" s="710" t="str">
        <f>HYPERLINK("https://youtu.be/HjDDp_Mj_yI","16.74")</f>
        <v>16.74</v>
      </c>
      <c r="O81" s="731" t="s">
        <v>4596</v>
      </c>
      <c r="P81" s="763"/>
      <c r="Q81" s="763"/>
      <c r="R81" s="763"/>
      <c r="S81" s="763"/>
      <c r="T81" s="763" t="s">
        <v>4934</v>
      </c>
      <c r="U81" s="763"/>
      <c r="V81" s="763"/>
      <c r="W81" s="763"/>
      <c r="X81" s="763"/>
      <c r="Y81" s="763"/>
      <c r="Z81" s="763"/>
      <c r="AA81" s="763"/>
      <c r="AB81" s="763"/>
      <c r="AC81" s="763"/>
      <c r="AD81" s="763"/>
      <c r="AE81" s="763"/>
      <c r="AF81" s="705" t="s">
        <v>5463</v>
      </c>
      <c r="AG81" s="763"/>
      <c r="AH81" s="763"/>
      <c r="AI81" s="765" t="s">
        <v>5183</v>
      </c>
      <c r="AJ81" s="763"/>
      <c r="AK81" s="763"/>
      <c r="AL81" s="763"/>
      <c r="AM81" s="763"/>
      <c r="AN81" s="763"/>
      <c r="AO81" s="763"/>
      <c r="AP81" s="763"/>
      <c r="AQ81" s="763"/>
      <c r="AR81" s="765" t="s">
        <v>3115</v>
      </c>
      <c r="AS81" s="751" t="s">
        <v>5183</v>
      </c>
      <c r="AT81" s="763"/>
      <c r="AU81" s="763"/>
      <c r="AV81" s="763"/>
      <c r="AW81" s="763"/>
      <c r="AX81" s="763"/>
      <c r="AY81" s="763"/>
      <c r="AZ81" s="763"/>
      <c r="BA81" s="716"/>
      <c r="BB81" s="716"/>
      <c r="BC81" s="716"/>
      <c r="BD81" s="763"/>
      <c r="BE81" s="763"/>
      <c r="BF81" s="763"/>
      <c r="BG81" s="763"/>
      <c r="BH81" s="716"/>
      <c r="BI81" s="716"/>
      <c r="BJ81" s="716"/>
    </row>
    <row r="82" ht="15.75" customHeight="1">
      <c r="A82" s="768"/>
      <c r="B82" s="769" t="s">
        <v>6478</v>
      </c>
      <c r="C82" s="735" t="s">
        <v>1604</v>
      </c>
      <c r="D82" s="705" t="s">
        <v>1604</v>
      </c>
      <c r="E82" s="705" t="s">
        <v>1604</v>
      </c>
      <c r="F82" s="763"/>
      <c r="G82" s="763"/>
      <c r="H82" s="705" t="s">
        <v>1604</v>
      </c>
      <c r="I82" s="763"/>
      <c r="J82" s="763"/>
      <c r="K82" s="763"/>
      <c r="L82" s="763"/>
      <c r="M82" s="763"/>
      <c r="N82" s="763"/>
      <c r="O82" s="763"/>
      <c r="P82" s="731" t="s">
        <v>2746</v>
      </c>
      <c r="Q82" s="763"/>
      <c r="R82" s="763"/>
      <c r="S82" s="763"/>
      <c r="T82" s="763"/>
      <c r="U82" s="763"/>
      <c r="V82" s="763"/>
      <c r="W82" s="763"/>
      <c r="X82" s="763"/>
      <c r="Y82" s="763"/>
      <c r="Z82" s="763"/>
      <c r="AA82" s="763"/>
      <c r="AB82" s="763"/>
      <c r="AC82" s="763"/>
      <c r="AD82" s="763"/>
      <c r="AE82" s="763"/>
      <c r="AF82" s="763"/>
      <c r="AG82" s="763"/>
      <c r="AH82" s="763"/>
      <c r="AI82" s="765" t="s">
        <v>6479</v>
      </c>
      <c r="AJ82" s="763"/>
      <c r="AK82" s="763"/>
      <c r="AL82" s="763"/>
      <c r="AM82" s="763"/>
      <c r="AN82" s="763"/>
      <c r="AO82" s="763"/>
      <c r="AP82" s="763"/>
      <c r="AQ82" s="763"/>
      <c r="AR82" s="763"/>
      <c r="AS82" s="751" t="s">
        <v>1604</v>
      </c>
      <c r="AT82" s="763"/>
      <c r="AU82" s="763"/>
      <c r="AV82" s="763"/>
      <c r="AW82" s="763"/>
      <c r="AX82" s="763"/>
      <c r="AY82" s="763"/>
      <c r="AZ82" s="763"/>
      <c r="BA82" s="767"/>
      <c r="BB82" s="767"/>
      <c r="BC82" s="767"/>
      <c r="BD82" s="763"/>
      <c r="BE82" s="763"/>
      <c r="BF82" s="763"/>
      <c r="BG82" s="763"/>
      <c r="BH82" s="767"/>
      <c r="BI82" s="767"/>
      <c r="BJ82" s="767"/>
    </row>
    <row r="83" ht="15.75" customHeight="1">
      <c r="A83" s="768"/>
      <c r="B83" s="769" t="s">
        <v>6480</v>
      </c>
      <c r="C83" s="723" t="s">
        <v>291</v>
      </c>
      <c r="D83" s="705" t="s">
        <v>1311</v>
      </c>
      <c r="E83" s="765"/>
      <c r="F83" s="763"/>
      <c r="G83" s="763"/>
      <c r="H83" s="705" t="s">
        <v>291</v>
      </c>
      <c r="I83" s="763"/>
      <c r="J83" s="763"/>
      <c r="K83" s="763"/>
      <c r="L83" s="763"/>
      <c r="M83" s="763"/>
      <c r="N83" s="763"/>
      <c r="O83" s="763"/>
      <c r="P83" s="763"/>
      <c r="Q83" s="763"/>
      <c r="R83" s="763"/>
      <c r="S83" s="763"/>
      <c r="T83" s="763"/>
      <c r="U83" s="763"/>
      <c r="V83" s="763"/>
      <c r="W83" s="763"/>
      <c r="X83" s="763"/>
      <c r="Y83" s="763"/>
      <c r="Z83" s="763"/>
      <c r="AA83" s="763"/>
      <c r="AB83" s="763"/>
      <c r="AC83" s="763"/>
      <c r="AD83" s="763"/>
      <c r="AE83" s="763"/>
      <c r="AF83" s="763"/>
      <c r="AG83" s="763"/>
      <c r="AH83" s="705" t="s">
        <v>3682</v>
      </c>
      <c r="AI83" s="765" t="s">
        <v>522</v>
      </c>
      <c r="AJ83" s="763"/>
      <c r="AK83" s="763"/>
      <c r="AL83" s="763"/>
      <c r="AM83" s="763"/>
      <c r="AN83" s="763"/>
      <c r="AO83" s="763"/>
      <c r="AP83" s="763"/>
      <c r="AQ83" s="763"/>
      <c r="AR83" s="763"/>
      <c r="AS83" s="763"/>
      <c r="AT83" s="763"/>
      <c r="AU83" s="763"/>
      <c r="AV83" s="763"/>
      <c r="AW83" s="763"/>
      <c r="AX83" s="763"/>
      <c r="AY83" s="763"/>
      <c r="AZ83" s="763"/>
      <c r="BA83" s="716"/>
      <c r="BB83" s="716"/>
      <c r="BC83" s="716"/>
      <c r="BD83" s="763"/>
      <c r="BE83" s="763"/>
      <c r="BF83" s="763"/>
      <c r="BG83" s="763"/>
      <c r="BH83" s="716"/>
      <c r="BI83" s="716"/>
      <c r="BJ83" s="716"/>
    </row>
    <row r="84" ht="15.75" customHeight="1">
      <c r="A84" s="768"/>
      <c r="B84" s="769" t="s">
        <v>6481</v>
      </c>
      <c r="C84" s="735" t="s">
        <v>1144</v>
      </c>
      <c r="D84" s="703" t="s">
        <v>355</v>
      </c>
      <c r="E84" s="705" t="s">
        <v>5810</v>
      </c>
      <c r="F84" s="705" t="s">
        <v>837</v>
      </c>
      <c r="G84" s="731" t="s">
        <v>837</v>
      </c>
      <c r="H84" s="705" t="s">
        <v>1144</v>
      </c>
      <c r="I84" s="706" t="s">
        <v>122</v>
      </c>
      <c r="J84" s="763"/>
      <c r="K84" s="731" t="s">
        <v>837</v>
      </c>
      <c r="L84" s="708" t="s">
        <v>6482</v>
      </c>
      <c r="M84" s="763"/>
      <c r="N84" s="763"/>
      <c r="O84" s="763"/>
      <c r="P84" s="763"/>
      <c r="Q84" s="763"/>
      <c r="R84" s="763"/>
      <c r="S84" s="763"/>
      <c r="T84" s="763"/>
      <c r="U84" s="705" t="str">
        <f>HYPERLINK("https://clips.twitch.tv/TameArbitraryBurritoYouDontSay","15.00")</f>
        <v>15.00</v>
      </c>
      <c r="V84" s="763"/>
      <c r="W84" s="763"/>
      <c r="X84" s="763"/>
      <c r="Y84" s="763"/>
      <c r="Z84" s="763"/>
      <c r="AA84" s="763"/>
      <c r="AB84" s="763"/>
      <c r="AC84" s="763"/>
      <c r="AD84" s="763"/>
      <c r="AE84" s="763"/>
      <c r="AF84" s="763"/>
      <c r="AG84" s="763"/>
      <c r="AH84" s="763"/>
      <c r="AI84" s="797" t="s">
        <v>122</v>
      </c>
      <c r="AJ84" s="763"/>
      <c r="AK84" s="763"/>
      <c r="AL84" s="763"/>
      <c r="AM84" s="763"/>
      <c r="AN84" s="763"/>
      <c r="AO84" s="763"/>
      <c r="AP84" s="763"/>
      <c r="AQ84" s="763"/>
      <c r="AR84" s="765" t="s">
        <v>6483</v>
      </c>
      <c r="AS84" s="763"/>
      <c r="AT84" s="763"/>
      <c r="AU84" s="763"/>
      <c r="AV84" s="763"/>
      <c r="AW84" s="763"/>
      <c r="AX84" s="763"/>
      <c r="AY84" s="763"/>
      <c r="AZ84" s="763"/>
      <c r="BA84" s="767"/>
      <c r="BB84" s="767"/>
      <c r="BC84" s="767"/>
      <c r="BD84" s="763"/>
      <c r="BE84" s="763"/>
      <c r="BF84" s="763"/>
      <c r="BG84" s="763"/>
      <c r="BH84" s="767"/>
      <c r="BI84" s="767"/>
      <c r="BJ84" s="767"/>
    </row>
    <row r="85" ht="15.75" customHeight="1">
      <c r="A85" s="768"/>
      <c r="B85" s="769" t="s">
        <v>6484</v>
      </c>
      <c r="C85" s="705" t="s">
        <v>1735</v>
      </c>
      <c r="D85" s="705"/>
      <c r="E85" s="763"/>
      <c r="F85" s="763"/>
      <c r="G85" s="763"/>
      <c r="H85" s="765" t="s">
        <v>1039</v>
      </c>
      <c r="I85" s="705"/>
      <c r="J85" s="710"/>
      <c r="K85" s="763"/>
      <c r="L85" s="705"/>
      <c r="M85" s="763"/>
      <c r="N85" s="763"/>
      <c r="O85" s="763"/>
      <c r="P85" s="763"/>
      <c r="Q85" s="763"/>
      <c r="R85" s="763"/>
      <c r="S85" s="763"/>
      <c r="T85" s="763"/>
      <c r="U85" s="763"/>
      <c r="V85" s="763"/>
      <c r="W85" s="763"/>
      <c r="X85" s="763"/>
      <c r="Y85" s="763"/>
      <c r="Z85" s="763"/>
      <c r="AA85" s="763"/>
      <c r="AB85" s="763"/>
      <c r="AC85" s="763"/>
      <c r="AD85" s="763"/>
      <c r="AE85" s="763"/>
      <c r="AF85" s="763"/>
      <c r="AG85" s="763"/>
      <c r="AH85" s="763"/>
      <c r="AI85" s="766"/>
      <c r="AJ85" s="763"/>
      <c r="AK85" s="763"/>
      <c r="AL85" s="763"/>
      <c r="AM85" s="763"/>
      <c r="AN85" s="763"/>
      <c r="AO85" s="763"/>
      <c r="AP85" s="763"/>
      <c r="AQ85" s="763"/>
      <c r="AR85" s="705" t="s">
        <v>1735</v>
      </c>
      <c r="AS85" s="763"/>
      <c r="AT85" s="763"/>
      <c r="AU85" s="763"/>
      <c r="AV85" s="763"/>
      <c r="AW85" s="763"/>
      <c r="AX85" s="763"/>
      <c r="AY85" s="763"/>
      <c r="AZ85" s="763"/>
      <c r="BA85" s="716"/>
      <c r="BB85" s="716"/>
      <c r="BC85" s="716"/>
      <c r="BD85" s="763"/>
      <c r="BE85" s="763"/>
      <c r="BF85" s="763"/>
      <c r="BG85" s="763"/>
      <c r="BH85" s="716"/>
      <c r="BI85" s="716"/>
      <c r="BJ85" s="716"/>
    </row>
    <row r="86" ht="15.75" customHeight="1">
      <c r="A86" s="760" t="s">
        <v>6418</v>
      </c>
      <c r="B86" s="761" t="s">
        <v>6485</v>
      </c>
      <c r="C86" s="735" t="s">
        <v>356</v>
      </c>
      <c r="D86" s="705" t="s">
        <v>1582</v>
      </c>
      <c r="E86" s="763"/>
      <c r="F86" s="763"/>
      <c r="G86" s="763"/>
      <c r="H86" s="763"/>
      <c r="I86" s="705" t="s">
        <v>4853</v>
      </c>
      <c r="J86" s="710" t="str">
        <f>HYPERLINK("https://youtu.be/VjOXmvP4h2s","46.37")</f>
        <v>46.37</v>
      </c>
      <c r="K86" s="763"/>
      <c r="L86" s="705" t="s">
        <v>356</v>
      </c>
      <c r="M86" s="763"/>
      <c r="N86" s="763" t="s">
        <v>3156</v>
      </c>
      <c r="O86" s="763"/>
      <c r="P86" s="763"/>
      <c r="Q86" s="763"/>
      <c r="R86" s="763"/>
      <c r="S86" s="763"/>
      <c r="T86" s="763"/>
      <c r="U86" s="763"/>
      <c r="V86" s="763"/>
      <c r="W86" s="763"/>
      <c r="X86" s="763"/>
      <c r="Y86" s="763"/>
      <c r="Z86" s="763"/>
      <c r="AA86" s="763"/>
      <c r="AB86" s="763"/>
      <c r="AC86" s="763"/>
      <c r="AD86" s="763"/>
      <c r="AE86" s="763"/>
      <c r="AF86" s="763"/>
      <c r="AG86" s="763"/>
      <c r="AH86" s="763"/>
      <c r="AI86" s="766"/>
      <c r="AJ86" s="763"/>
      <c r="AK86" s="763"/>
      <c r="AL86" s="763"/>
      <c r="AM86" s="763"/>
      <c r="AN86" s="763"/>
      <c r="AO86" s="763"/>
      <c r="AP86" s="763"/>
      <c r="AQ86" s="763"/>
      <c r="AR86" s="763"/>
      <c r="AS86" s="763"/>
      <c r="AT86" s="763"/>
      <c r="AU86" s="763"/>
      <c r="AV86" s="763"/>
      <c r="AW86" s="763"/>
      <c r="AX86" s="763"/>
      <c r="AY86" s="763"/>
      <c r="AZ86" s="763"/>
      <c r="BA86" s="716"/>
      <c r="BB86" s="716"/>
      <c r="BC86" s="716"/>
      <c r="BD86" s="763"/>
      <c r="BE86" s="763"/>
      <c r="BF86" s="763"/>
      <c r="BG86" s="763"/>
      <c r="BH86" s="716"/>
      <c r="BI86" s="716"/>
      <c r="BJ86" s="716"/>
    </row>
    <row r="87" ht="15.75" customHeight="1">
      <c r="A87" s="760" t="s">
        <v>57</v>
      </c>
      <c r="B87" s="761" t="s">
        <v>6310</v>
      </c>
      <c r="C87" s="702" t="s">
        <v>358</v>
      </c>
      <c r="D87" s="703" t="s">
        <v>358</v>
      </c>
      <c r="E87" s="763"/>
      <c r="F87" s="763"/>
      <c r="G87" s="703" t="s">
        <v>841</v>
      </c>
      <c r="H87" s="763"/>
      <c r="I87" s="708" t="s">
        <v>1275</v>
      </c>
      <c r="J87" s="763"/>
      <c r="K87" s="763"/>
      <c r="L87" s="763"/>
      <c r="M87" s="763"/>
      <c r="N87" s="763"/>
      <c r="O87" s="763"/>
      <c r="P87" s="763"/>
      <c r="Q87" s="763"/>
      <c r="R87" s="763"/>
      <c r="S87" s="763"/>
      <c r="T87" s="763"/>
      <c r="U87" s="763"/>
      <c r="V87" s="763"/>
      <c r="W87" s="763"/>
      <c r="X87" s="763"/>
      <c r="Y87" s="763"/>
      <c r="Z87" s="763"/>
      <c r="AA87" s="763"/>
      <c r="AB87" s="763"/>
      <c r="AC87" s="763"/>
      <c r="AD87" s="763"/>
      <c r="AE87" s="763"/>
      <c r="AF87" s="763"/>
      <c r="AG87" s="763"/>
      <c r="AH87" s="763"/>
      <c r="AI87" s="766"/>
      <c r="AJ87" s="763"/>
      <c r="AK87" s="763"/>
      <c r="AL87" s="763"/>
      <c r="AM87" s="763"/>
      <c r="AN87" s="763"/>
      <c r="AO87" s="763"/>
      <c r="AP87" s="763"/>
      <c r="AQ87" s="763"/>
      <c r="AR87" s="763"/>
      <c r="AS87" s="763"/>
      <c r="AT87" s="763"/>
      <c r="AU87" s="763"/>
      <c r="AV87" s="763"/>
      <c r="AW87" s="763"/>
      <c r="AX87" s="763"/>
      <c r="AY87" s="763"/>
      <c r="AZ87" s="763"/>
      <c r="BA87" s="767"/>
      <c r="BB87" s="767"/>
      <c r="BC87" s="767"/>
      <c r="BD87" s="763"/>
      <c r="BE87" s="763"/>
      <c r="BF87" s="763"/>
      <c r="BG87" s="763"/>
      <c r="BH87" s="767"/>
      <c r="BI87" s="767"/>
      <c r="BJ87" s="767"/>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2"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3"/>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7" t="s">
        <v>1739</v>
      </c>
      <c r="AS90" s="815" t="s">
        <v>5600</v>
      </c>
      <c r="AT90" s="763"/>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2"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3"/>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7" t="s">
        <v>1747</v>
      </c>
      <c r="AS92" s="806"/>
      <c r="AT92" s="763"/>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2"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7" t="s">
        <v>1740</v>
      </c>
      <c r="AS93" s="806"/>
      <c r="AT93" s="763"/>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3"/>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2"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7" t="s">
        <v>1741</v>
      </c>
      <c r="AS95" s="806"/>
      <c r="AT95" s="763"/>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7" t="s">
        <v>1742</v>
      </c>
      <c r="AS96" s="806"/>
      <c r="AT96" s="763"/>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2"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3"/>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2"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3"/>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2"/>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3"/>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2"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3"/>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3"/>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3"/>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2"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3"/>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3"/>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1"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2" t="s">
        <v>6509</v>
      </c>
      <c r="D106" s="805" t="s">
        <v>6509</v>
      </c>
      <c r="E106" s="805" t="s">
        <v>766</v>
      </c>
      <c r="F106" s="805" t="s">
        <v>4580</v>
      </c>
      <c r="G106" s="806"/>
      <c r="H106" s="806"/>
      <c r="I106" s="806"/>
      <c r="J106" s="819" t="s">
        <v>256</v>
      </c>
      <c r="K106" s="809" t="s">
        <v>5858</v>
      </c>
      <c r="L106" s="764"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3"/>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2"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3"/>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2"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7" t="s">
        <v>1746</v>
      </c>
      <c r="AS108" s="806"/>
      <c r="AT108" s="763"/>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2"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3"/>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7"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3"/>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6"/>
      <c r="G112" s="806"/>
      <c r="H112" s="806"/>
      <c r="I112" s="824"/>
      <c r="J112" s="806"/>
      <c r="K112" s="806"/>
      <c r="L112" s="736"/>
      <c r="M112" s="806"/>
      <c r="N112" s="806"/>
      <c r="O112" s="736"/>
      <c r="P112" s="806"/>
      <c r="Q112" s="736"/>
      <c r="R112" s="806"/>
      <c r="S112" s="806"/>
      <c r="T112" s="806"/>
      <c r="U112" s="806"/>
      <c r="V112" s="806"/>
      <c r="W112" s="806"/>
      <c r="X112" s="736"/>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3"/>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2"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3"/>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2"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3"/>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2"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3"/>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2"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3"/>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3"/>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2"/>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3"/>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2"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3"/>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2"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3"/>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2"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3"/>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3"/>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2"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3"/>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2"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3"/>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2"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3"/>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3"/>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3"/>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7"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3"/>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2"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3"/>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2"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3"/>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2"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3"/>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2"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3"/>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3"/>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2"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3"/>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3"/>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3"/>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3"/>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2"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3"/>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2"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3"/>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2"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3"/>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3"/>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2"/>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3"/>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2"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3"/>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3"/>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2"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3"/>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2"/>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3"/>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3"/>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3"/>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3"/>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2"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7" t="s">
        <v>1754</v>
      </c>
      <c r="AS151" s="806"/>
      <c r="AT151" s="763"/>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2"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3"/>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3"/>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3"/>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3"/>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2"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7" t="s">
        <v>1755</v>
      </c>
      <c r="AS156" s="806"/>
      <c r="AT156" s="763"/>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2" t="s">
        <v>6606</v>
      </c>
      <c r="D158" s="705" t="s">
        <v>6607</v>
      </c>
      <c r="E158" s="705" t="s">
        <v>6608</v>
      </c>
      <c r="F158" s="763"/>
      <c r="G158" s="707" t="s">
        <v>6608</v>
      </c>
      <c r="H158" s="731" t="s">
        <v>6607</v>
      </c>
      <c r="I158" s="705" t="s">
        <v>6609</v>
      </c>
      <c r="J158" s="763"/>
      <c r="K158" s="707" t="s">
        <v>6607</v>
      </c>
      <c r="L158" s="703" t="s">
        <v>6610</v>
      </c>
      <c r="M158" s="763"/>
      <c r="N158" s="765"/>
      <c r="O158" s="705" t="s">
        <v>6611</v>
      </c>
      <c r="P158" s="763"/>
      <c r="Q158" s="705" t="s">
        <v>6612</v>
      </c>
      <c r="R158" s="763"/>
      <c r="S158" s="763"/>
      <c r="T158" s="763"/>
      <c r="U158" s="763"/>
      <c r="V158" s="763"/>
      <c r="W158" s="705" t="s">
        <v>6587</v>
      </c>
      <c r="X158" s="763"/>
      <c r="Y158" s="705" t="s">
        <v>6606</v>
      </c>
      <c r="Z158" s="763"/>
      <c r="AA158" s="763"/>
      <c r="AB158" s="763"/>
      <c r="AC158" s="763"/>
      <c r="AD158" s="731" t="s">
        <v>6609</v>
      </c>
      <c r="AE158" s="731" t="s">
        <v>6611</v>
      </c>
      <c r="AF158" s="763"/>
      <c r="AG158" s="763"/>
      <c r="AH158" s="763"/>
      <c r="AI158" s="766"/>
      <c r="AJ158" s="770"/>
      <c r="AK158" s="763"/>
      <c r="AL158" s="763"/>
      <c r="AM158" s="763"/>
      <c r="AN158" s="763"/>
      <c r="AO158" s="763"/>
      <c r="AP158" s="763"/>
      <c r="AQ158" s="763"/>
      <c r="AR158" s="765" t="s">
        <v>897</v>
      </c>
      <c r="AS158" s="751" t="s">
        <v>2509</v>
      </c>
      <c r="AT158" s="763"/>
      <c r="AU158" s="763"/>
      <c r="AV158" s="763"/>
      <c r="AW158" s="763"/>
      <c r="AX158" s="763"/>
      <c r="AY158" s="763"/>
      <c r="AZ158" s="763"/>
      <c r="BA158" s="862"/>
      <c r="BB158" s="862"/>
      <c r="BC158" s="862"/>
      <c r="BD158" s="763"/>
      <c r="BE158" s="763"/>
      <c r="BF158" s="763"/>
      <c r="BG158" s="763"/>
      <c r="BH158" s="862"/>
      <c r="BI158" s="862"/>
      <c r="BJ158" s="862"/>
    </row>
    <row r="159" ht="15.75" customHeight="1">
      <c r="A159" s="863"/>
      <c r="B159" s="864" t="s">
        <v>6613</v>
      </c>
      <c r="C159" s="747" t="s">
        <v>6614</v>
      </c>
      <c r="D159" s="705" t="s">
        <v>6610</v>
      </c>
      <c r="E159" s="763"/>
      <c r="F159" s="763"/>
      <c r="G159" s="763"/>
      <c r="H159" s="719" t="s">
        <v>6614</v>
      </c>
      <c r="I159" s="707"/>
      <c r="J159" s="763"/>
      <c r="K159" s="707" t="s">
        <v>6615</v>
      </c>
      <c r="L159" s="763"/>
      <c r="M159" s="707" t="s">
        <v>6610</v>
      </c>
      <c r="N159" s="765"/>
      <c r="O159" s="763"/>
      <c r="P159" s="763"/>
      <c r="Q159" s="763"/>
      <c r="R159" s="763"/>
      <c r="S159" s="705" t="s">
        <v>6607</v>
      </c>
      <c r="T159" s="763"/>
      <c r="U159" s="763"/>
      <c r="V159" s="763"/>
      <c r="W159" s="763"/>
      <c r="X159" s="763"/>
      <c r="Y159" s="763"/>
      <c r="Z159" s="763"/>
      <c r="AA159" s="763"/>
      <c r="AB159" s="763"/>
      <c r="AC159" s="763"/>
      <c r="AD159" s="763"/>
      <c r="AE159" s="763"/>
      <c r="AF159" s="763"/>
      <c r="AG159" s="763"/>
      <c r="AH159" s="763"/>
      <c r="AI159" s="766"/>
      <c r="AJ159" s="763"/>
      <c r="AK159" s="763"/>
      <c r="AL159" s="763"/>
      <c r="AM159" s="763"/>
      <c r="AN159" s="763"/>
      <c r="AO159" s="763"/>
      <c r="AP159" s="763"/>
      <c r="AQ159" s="763"/>
      <c r="AR159" s="763"/>
      <c r="AS159" s="763"/>
      <c r="AT159" s="763"/>
      <c r="AU159" s="763"/>
      <c r="AV159" s="763"/>
      <c r="AW159" s="763"/>
      <c r="AX159" s="763"/>
      <c r="AY159" s="763"/>
      <c r="AZ159" s="763"/>
      <c r="BA159" s="716"/>
      <c r="BB159" s="716"/>
      <c r="BC159" s="716"/>
      <c r="BD159" s="763"/>
      <c r="BE159" s="763"/>
      <c r="BF159" s="763"/>
      <c r="BG159" s="763"/>
      <c r="BH159" s="716"/>
      <c r="BI159" s="716"/>
      <c r="BJ159" s="716"/>
    </row>
    <row r="160" ht="15.75" customHeight="1">
      <c r="A160" s="860" t="s">
        <v>6616</v>
      </c>
      <c r="B160" s="861" t="s">
        <v>6310</v>
      </c>
      <c r="C160" s="722" t="s">
        <v>1981</v>
      </c>
      <c r="D160" s="705" t="s">
        <v>6617</v>
      </c>
      <c r="E160" s="763"/>
      <c r="F160" s="763"/>
      <c r="G160" s="707" t="s">
        <v>4405</v>
      </c>
      <c r="H160" s="731" t="s">
        <v>2822</v>
      </c>
      <c r="I160" s="705" t="s">
        <v>6618</v>
      </c>
      <c r="J160" s="763"/>
      <c r="K160" s="763"/>
      <c r="L160" s="763"/>
      <c r="M160" s="707" t="s">
        <v>2762</v>
      </c>
      <c r="N160" s="765"/>
      <c r="O160" s="763"/>
      <c r="P160" s="763"/>
      <c r="Q160" s="705" t="s">
        <v>4016</v>
      </c>
      <c r="R160" s="763"/>
      <c r="S160" s="763"/>
      <c r="T160" s="763"/>
      <c r="U160" s="763"/>
      <c r="V160" s="763"/>
      <c r="W160" s="705" t="s">
        <v>1981</v>
      </c>
      <c r="X160" s="763"/>
      <c r="Y160" s="763"/>
      <c r="Z160" s="763"/>
      <c r="AA160" s="763"/>
      <c r="AB160" s="763"/>
      <c r="AC160" s="763"/>
      <c r="AD160" s="763"/>
      <c r="AE160" s="763"/>
      <c r="AF160" s="763"/>
      <c r="AG160" s="763"/>
      <c r="AH160" s="763"/>
      <c r="AI160" s="766"/>
      <c r="AJ160" s="763"/>
      <c r="AK160" s="763"/>
      <c r="AL160" s="763"/>
      <c r="AM160" s="763"/>
      <c r="AN160" s="763"/>
      <c r="AO160" s="763"/>
      <c r="AP160" s="763"/>
      <c r="AQ160" s="763"/>
      <c r="AR160" s="765" t="s">
        <v>5269</v>
      </c>
      <c r="AS160" s="763"/>
      <c r="AT160" s="763"/>
      <c r="AU160" s="763"/>
      <c r="AV160" s="763"/>
      <c r="AW160" s="763"/>
      <c r="AX160" s="763"/>
      <c r="AY160" s="763"/>
      <c r="AZ160" s="763"/>
      <c r="BA160" s="862"/>
      <c r="BB160" s="862"/>
      <c r="BC160" s="862"/>
      <c r="BD160" s="763"/>
      <c r="BE160" s="763"/>
      <c r="BF160" s="763"/>
      <c r="BG160" s="763"/>
      <c r="BH160" s="862"/>
      <c r="BI160" s="862"/>
      <c r="BJ160" s="862"/>
    </row>
    <row r="161" ht="15.75" customHeight="1">
      <c r="A161" s="865" t="s">
        <v>6324</v>
      </c>
      <c r="B161" s="866" t="s">
        <v>6310</v>
      </c>
      <c r="C161" s="747" t="s">
        <v>6619</v>
      </c>
      <c r="D161" s="726" t="s">
        <v>6620</v>
      </c>
      <c r="E161" s="763"/>
      <c r="F161" s="763"/>
      <c r="G161" s="727"/>
      <c r="H161" s="719" t="s">
        <v>6619</v>
      </c>
      <c r="I161" s="727"/>
      <c r="J161" s="763"/>
      <c r="K161" s="763"/>
      <c r="L161" s="763"/>
      <c r="M161" s="727"/>
      <c r="N161" s="765"/>
      <c r="O161" s="763"/>
      <c r="P161" s="763"/>
      <c r="Q161" s="727"/>
      <c r="R161" s="763"/>
      <c r="S161" s="763"/>
      <c r="T161" s="763"/>
      <c r="U161" s="763"/>
      <c r="V161" s="763"/>
      <c r="W161" s="731"/>
      <c r="X161" s="763"/>
      <c r="Y161" s="763"/>
      <c r="Z161" s="763"/>
      <c r="AA161" s="763"/>
      <c r="AB161" s="763"/>
      <c r="AC161" s="763"/>
      <c r="AD161" s="763"/>
      <c r="AE161" s="763"/>
      <c r="AF161" s="763"/>
      <c r="AG161" s="763"/>
      <c r="AH161" s="763"/>
      <c r="AI161" s="766"/>
      <c r="AJ161" s="763"/>
      <c r="AK161" s="763"/>
      <c r="AL161" s="763"/>
      <c r="AM161" s="763"/>
      <c r="AN161" s="763"/>
      <c r="AO161" s="763"/>
      <c r="AP161" s="763"/>
      <c r="AQ161" s="763"/>
      <c r="AR161" s="763"/>
      <c r="AS161" s="763"/>
      <c r="AT161" s="763"/>
      <c r="AU161" s="763"/>
      <c r="AV161" s="763"/>
      <c r="AW161" s="763"/>
      <c r="AX161" s="763"/>
      <c r="AY161" s="763"/>
      <c r="AZ161" s="763"/>
      <c r="BA161" s="716"/>
      <c r="BB161" s="716"/>
      <c r="BC161" s="716"/>
      <c r="BD161" s="763"/>
      <c r="BE161" s="763"/>
      <c r="BF161" s="763"/>
      <c r="BG161" s="763"/>
      <c r="BH161" s="716"/>
      <c r="BI161" s="716"/>
      <c r="BJ161" s="716"/>
    </row>
    <row r="162" ht="15.75" customHeight="1">
      <c r="A162" s="860" t="s">
        <v>6311</v>
      </c>
      <c r="B162" s="867" t="s">
        <v>6621</v>
      </c>
      <c r="C162" s="722" t="s">
        <v>4977</v>
      </c>
      <c r="D162" s="770"/>
      <c r="E162" s="763"/>
      <c r="F162" s="731"/>
      <c r="G162" s="707"/>
      <c r="H162" s="763"/>
      <c r="I162" s="763"/>
      <c r="J162" s="763"/>
      <c r="K162" s="763"/>
      <c r="L162" s="705" t="s">
        <v>4977</v>
      </c>
      <c r="M162" s="763"/>
      <c r="N162" s="765"/>
      <c r="O162" s="763"/>
      <c r="P162" s="763"/>
      <c r="Q162" s="763"/>
      <c r="R162" s="763"/>
      <c r="S162" s="763"/>
      <c r="T162" s="763"/>
      <c r="U162" s="763"/>
      <c r="V162" s="763"/>
      <c r="W162" s="763"/>
      <c r="X162" s="763"/>
      <c r="Y162" s="763"/>
      <c r="Z162" s="763"/>
      <c r="AA162" s="763"/>
      <c r="AB162" s="763"/>
      <c r="AC162" s="763"/>
      <c r="AD162" s="763"/>
      <c r="AE162" s="763"/>
      <c r="AF162" s="763"/>
      <c r="AG162" s="763"/>
      <c r="AH162" s="763"/>
      <c r="AI162" s="766"/>
      <c r="AJ162" s="763"/>
      <c r="AK162" s="763"/>
      <c r="AL162" s="763"/>
      <c r="AM162" s="763"/>
      <c r="AN162" s="763"/>
      <c r="AO162" s="763"/>
      <c r="AP162" s="763"/>
      <c r="AQ162" s="763"/>
      <c r="AR162" s="765"/>
      <c r="AS162" s="763"/>
      <c r="AT162" s="763"/>
      <c r="AU162" s="763"/>
      <c r="AV162" s="763"/>
      <c r="AW162" s="763"/>
      <c r="AX162" s="763"/>
      <c r="AY162" s="763"/>
      <c r="AZ162" s="763"/>
      <c r="BA162" s="862"/>
      <c r="BB162" s="862"/>
      <c r="BC162" s="862"/>
      <c r="BD162" s="763"/>
      <c r="BE162" s="763"/>
      <c r="BF162" s="763"/>
      <c r="BG162" s="763"/>
      <c r="BH162" s="862"/>
      <c r="BI162" s="862"/>
      <c r="BJ162" s="862"/>
    </row>
    <row r="163" ht="15.75" customHeight="1">
      <c r="A163" s="863"/>
      <c r="B163" s="864" t="s">
        <v>6622</v>
      </c>
      <c r="C163" s="722" t="s">
        <v>4689</v>
      </c>
      <c r="D163" s="705" t="s">
        <v>4689</v>
      </c>
      <c r="E163" s="763"/>
      <c r="F163" s="705" t="s">
        <v>6623</v>
      </c>
      <c r="G163" s="763"/>
      <c r="H163" s="726" t="s">
        <v>5978</v>
      </c>
      <c r="I163" s="708" t="s">
        <v>157</v>
      </c>
      <c r="J163" s="763"/>
      <c r="K163" s="763"/>
      <c r="L163" s="708" t="s">
        <v>602</v>
      </c>
      <c r="M163" s="763"/>
      <c r="N163" s="765" t="s">
        <v>2451</v>
      </c>
      <c r="O163" s="705" t="s">
        <v>352</v>
      </c>
      <c r="P163" s="763"/>
      <c r="Q163" s="705" t="s">
        <v>2561</v>
      </c>
      <c r="R163" s="763"/>
      <c r="S163" s="763"/>
      <c r="T163" s="763"/>
      <c r="U163" s="763"/>
      <c r="V163" s="763"/>
      <c r="W163" s="763"/>
      <c r="X163" s="763"/>
      <c r="Y163" s="763"/>
      <c r="Z163" s="763"/>
      <c r="AA163" s="763"/>
      <c r="AB163" s="763"/>
      <c r="AC163" s="763"/>
      <c r="AD163" s="763"/>
      <c r="AE163" s="763"/>
      <c r="AF163" s="763"/>
      <c r="AG163" s="763"/>
      <c r="AH163" s="763"/>
      <c r="AI163" s="766"/>
      <c r="AJ163" s="763"/>
      <c r="AK163" s="763"/>
      <c r="AL163" s="763"/>
      <c r="AM163" s="763"/>
      <c r="AN163" s="763"/>
      <c r="AO163" s="763"/>
      <c r="AP163" s="763"/>
      <c r="AQ163" s="763"/>
      <c r="AR163" s="705" t="s">
        <v>1757</v>
      </c>
      <c r="AS163" s="763"/>
      <c r="AT163" s="763"/>
      <c r="AU163" s="763"/>
      <c r="AV163" s="763"/>
      <c r="AW163" s="763"/>
      <c r="AX163" s="763"/>
      <c r="AY163" s="763"/>
      <c r="AZ163" s="763"/>
      <c r="BA163" s="716"/>
      <c r="BB163" s="716"/>
      <c r="BC163" s="716"/>
      <c r="BD163" s="763"/>
      <c r="BE163" s="763"/>
      <c r="BF163" s="763"/>
      <c r="BG163" s="763"/>
      <c r="BH163" s="716"/>
      <c r="BI163" s="716"/>
      <c r="BJ163" s="716"/>
    </row>
    <row r="164" ht="15.75" customHeight="1">
      <c r="A164" s="865" t="s">
        <v>6324</v>
      </c>
      <c r="B164" s="868" t="s">
        <v>6624</v>
      </c>
      <c r="C164" s="722" t="s">
        <v>6625</v>
      </c>
      <c r="D164" s="707"/>
      <c r="E164" s="763"/>
      <c r="F164" s="763"/>
      <c r="G164" s="763"/>
      <c r="H164" s="763"/>
      <c r="I164" s="707"/>
      <c r="J164" s="763"/>
      <c r="K164" s="763"/>
      <c r="L164" s="705" t="s">
        <v>4180</v>
      </c>
      <c r="M164" s="763"/>
      <c r="N164" s="763"/>
      <c r="O164" s="763"/>
      <c r="P164" s="763"/>
      <c r="Q164" s="763"/>
      <c r="R164" s="763"/>
      <c r="S164" s="763"/>
      <c r="T164" s="763"/>
      <c r="U164" s="763"/>
      <c r="V164" s="763"/>
      <c r="W164" s="763"/>
      <c r="X164" s="763"/>
      <c r="Y164" s="763"/>
      <c r="Z164" s="763"/>
      <c r="AA164" s="763"/>
      <c r="AB164" s="731" t="s">
        <v>6626</v>
      </c>
      <c r="AC164" s="763"/>
      <c r="AD164" s="763"/>
      <c r="AE164" s="763"/>
      <c r="AF164" s="763"/>
      <c r="AG164" s="763"/>
      <c r="AH164" s="763"/>
      <c r="AI164" s="766"/>
      <c r="AJ164" s="763"/>
      <c r="AK164" s="763"/>
      <c r="AL164" s="763"/>
      <c r="AM164" s="763"/>
      <c r="AN164" s="763"/>
      <c r="AO164" s="763"/>
      <c r="AP164" s="763"/>
      <c r="AQ164" s="763"/>
      <c r="AR164" s="763"/>
      <c r="AS164" s="763"/>
      <c r="AT164" s="763"/>
      <c r="AU164" s="763"/>
      <c r="AV164" s="763"/>
      <c r="AW164" s="763"/>
      <c r="AX164" s="763"/>
      <c r="AY164" s="763"/>
      <c r="AZ164" s="763"/>
      <c r="BA164" s="862"/>
      <c r="BB164" s="862"/>
      <c r="BC164" s="862"/>
      <c r="BD164" s="763"/>
      <c r="BE164" s="763"/>
      <c r="BF164" s="763"/>
      <c r="BG164" s="763"/>
      <c r="BH164" s="862"/>
      <c r="BI164" s="862"/>
      <c r="BJ164" s="862"/>
    </row>
    <row r="165" ht="15.75" customHeight="1">
      <c r="A165" s="863"/>
      <c r="B165" s="864" t="s">
        <v>6627</v>
      </c>
      <c r="C165" s="702" t="s">
        <v>6628</v>
      </c>
      <c r="D165" s="705" t="s">
        <v>6628</v>
      </c>
      <c r="E165" s="705" t="s">
        <v>2809</v>
      </c>
      <c r="F165" s="705" t="s">
        <v>6629</v>
      </c>
      <c r="G165" s="703" t="s">
        <v>865</v>
      </c>
      <c r="H165" s="782" t="s">
        <v>6630</v>
      </c>
      <c r="I165" s="708" t="s">
        <v>1298</v>
      </c>
      <c r="J165" s="763" t="s">
        <v>1457</v>
      </c>
      <c r="K165" s="731" t="s">
        <v>1837</v>
      </c>
      <c r="L165" s="708" t="s">
        <v>2052</v>
      </c>
      <c r="M165" s="763"/>
      <c r="N165" s="763" t="s">
        <v>1837</v>
      </c>
      <c r="O165" s="705" t="s">
        <v>5225</v>
      </c>
      <c r="P165" s="763"/>
      <c r="Q165" s="763"/>
      <c r="R165" s="763"/>
      <c r="S165" s="763"/>
      <c r="T165" s="763" t="s">
        <v>6631</v>
      </c>
      <c r="U165" s="763"/>
      <c r="V165" s="763"/>
      <c r="W165" s="763"/>
      <c r="X165" s="763"/>
      <c r="Y165" s="763"/>
      <c r="Z165" s="763"/>
      <c r="AA165" s="763"/>
      <c r="AB165" s="763"/>
      <c r="AC165" s="763"/>
      <c r="AD165" s="763"/>
      <c r="AE165" s="763"/>
      <c r="AF165" s="763"/>
      <c r="AG165" s="763"/>
      <c r="AH165" s="763"/>
      <c r="AI165" s="766"/>
      <c r="AJ165" s="763"/>
      <c r="AK165" s="763"/>
      <c r="AL165" s="763"/>
      <c r="AM165" s="763"/>
      <c r="AN165" s="763"/>
      <c r="AO165" s="763"/>
      <c r="AP165" s="763"/>
      <c r="AQ165" s="763"/>
      <c r="AR165" s="705" t="s">
        <v>1758</v>
      </c>
      <c r="AS165" s="763"/>
      <c r="AT165" s="763"/>
      <c r="AU165" s="763"/>
      <c r="AV165" s="763"/>
      <c r="AW165" s="763"/>
      <c r="AX165" s="763"/>
      <c r="AY165" s="763"/>
      <c r="AZ165" s="763"/>
      <c r="BA165" s="716"/>
      <c r="BB165" s="716"/>
      <c r="BC165" s="716"/>
      <c r="BD165" s="763"/>
      <c r="BE165" s="763"/>
      <c r="BF165" s="763"/>
      <c r="BG165" s="763"/>
      <c r="BH165" s="716"/>
      <c r="BI165" s="716"/>
      <c r="BJ165" s="716"/>
    </row>
    <row r="166" ht="15.75" customHeight="1">
      <c r="A166" s="863"/>
      <c r="B166" s="864" t="s">
        <v>6632</v>
      </c>
      <c r="C166" s="722" t="s">
        <v>3685</v>
      </c>
      <c r="D166" s="705" t="s">
        <v>3685</v>
      </c>
      <c r="E166" s="705" t="s">
        <v>1025</v>
      </c>
      <c r="F166" s="708" t="s">
        <v>1025</v>
      </c>
      <c r="G166" s="763"/>
      <c r="H166" s="869"/>
      <c r="I166" s="763"/>
      <c r="J166" s="763" t="s">
        <v>5163</v>
      </c>
      <c r="K166" s="763"/>
      <c r="L166" s="763"/>
      <c r="M166" s="763"/>
      <c r="N166" s="763" t="s">
        <v>4261</v>
      </c>
      <c r="O166" s="763"/>
      <c r="P166" s="763"/>
      <c r="Q166" s="763"/>
      <c r="R166" s="763"/>
      <c r="S166" s="763"/>
      <c r="T166" s="763"/>
      <c r="U166" s="763"/>
      <c r="V166" s="763"/>
      <c r="W166" s="763"/>
      <c r="X166" s="763"/>
      <c r="Y166" s="763"/>
      <c r="Z166" s="763"/>
      <c r="AA166" s="763"/>
      <c r="AB166" s="763"/>
      <c r="AC166" s="763"/>
      <c r="AD166" s="763"/>
      <c r="AE166" s="763"/>
      <c r="AF166" s="763"/>
      <c r="AG166" s="763"/>
      <c r="AH166" s="763"/>
      <c r="AI166" s="766"/>
      <c r="AJ166" s="763"/>
      <c r="AK166" s="763"/>
      <c r="AL166" s="763"/>
      <c r="AM166" s="763"/>
      <c r="AN166" s="763"/>
      <c r="AO166" s="763"/>
      <c r="AP166" s="763"/>
      <c r="AQ166" s="763"/>
      <c r="AR166" s="763"/>
      <c r="AS166" s="763"/>
      <c r="AT166" s="763"/>
      <c r="AU166" s="763"/>
      <c r="AV166" s="763"/>
      <c r="AW166" s="763"/>
      <c r="AX166" s="763"/>
      <c r="AY166" s="763"/>
      <c r="AZ166" s="763"/>
      <c r="BA166" s="862"/>
      <c r="BB166" s="862"/>
      <c r="BC166" s="862"/>
      <c r="BD166" s="763"/>
      <c r="BE166" s="763"/>
      <c r="BF166" s="763"/>
      <c r="BG166" s="763"/>
      <c r="BH166" s="862"/>
      <c r="BI166" s="862"/>
      <c r="BJ166" s="862"/>
    </row>
    <row r="167" ht="15.75" customHeight="1">
      <c r="A167" s="865" t="s">
        <v>6633</v>
      </c>
      <c r="B167" s="868" t="s">
        <v>6438</v>
      </c>
      <c r="C167" s="722" t="s">
        <v>3861</v>
      </c>
      <c r="D167" s="770"/>
      <c r="E167" s="765"/>
      <c r="F167" s="763"/>
      <c r="G167" s="707" t="s">
        <v>3054</v>
      </c>
      <c r="H167" s="763"/>
      <c r="I167" s="763"/>
      <c r="J167" s="765"/>
      <c r="K167" s="763"/>
      <c r="L167" s="763"/>
      <c r="M167" s="763"/>
      <c r="N167" s="763"/>
      <c r="O167" s="763"/>
      <c r="P167" s="763"/>
      <c r="Q167" s="763"/>
      <c r="R167" s="763"/>
      <c r="S167" s="763"/>
      <c r="T167" s="763"/>
      <c r="U167" s="763"/>
      <c r="V167" s="763"/>
      <c r="W167" s="763"/>
      <c r="X167" s="763"/>
      <c r="Y167" s="763"/>
      <c r="Z167" s="731" t="s">
        <v>3264</v>
      </c>
      <c r="AA167" s="763"/>
      <c r="AB167" s="763"/>
      <c r="AC167" s="763"/>
      <c r="AD167" s="763"/>
      <c r="AE167" s="763"/>
      <c r="AF167" s="763"/>
      <c r="AG167" s="763"/>
      <c r="AH167" s="763"/>
      <c r="AI167" s="766"/>
      <c r="AJ167" s="763"/>
      <c r="AK167" s="763"/>
      <c r="AL167" s="763"/>
      <c r="AM167" s="763"/>
      <c r="AN167" s="763"/>
      <c r="AO167" s="763"/>
      <c r="AP167" s="763"/>
      <c r="AQ167" s="763"/>
      <c r="AR167" s="763"/>
      <c r="AS167" s="763"/>
      <c r="AT167" s="763"/>
      <c r="AU167" s="763"/>
      <c r="AV167" s="763"/>
      <c r="AW167" s="763"/>
      <c r="AX167" s="763"/>
      <c r="AY167" s="763"/>
      <c r="AZ167" s="763"/>
      <c r="BA167" s="716"/>
      <c r="BB167" s="716"/>
      <c r="BC167" s="716"/>
      <c r="BD167" s="763"/>
      <c r="BE167" s="763"/>
      <c r="BF167" s="763"/>
      <c r="BG167" s="763"/>
      <c r="BH167" s="716"/>
      <c r="BI167" s="716"/>
      <c r="BJ167" s="716"/>
    </row>
    <row r="168" ht="15.75" customHeight="1">
      <c r="A168" s="863"/>
      <c r="B168" s="864" t="s">
        <v>6634</v>
      </c>
      <c r="C168" s="722" t="s">
        <v>5033</v>
      </c>
      <c r="D168" s="705" t="s">
        <v>5033</v>
      </c>
      <c r="E168" s="765"/>
      <c r="F168" s="763"/>
      <c r="G168" s="763"/>
      <c r="H168" s="763"/>
      <c r="I168" s="705" t="s">
        <v>198</v>
      </c>
      <c r="J168" s="765"/>
      <c r="K168" s="763"/>
      <c r="L168" s="763"/>
      <c r="M168" s="763"/>
      <c r="N168" s="763"/>
      <c r="O168" s="763"/>
      <c r="P168" s="763"/>
      <c r="Q168" s="705" t="s">
        <v>1916</v>
      </c>
      <c r="R168" s="763"/>
      <c r="S168" s="731" t="s">
        <v>1176</v>
      </c>
      <c r="T168" s="763"/>
      <c r="U168" s="763"/>
      <c r="V168" s="705" t="s">
        <v>1039</v>
      </c>
      <c r="W168" s="763"/>
      <c r="X168" s="763"/>
      <c r="Y168" s="763"/>
      <c r="Z168" s="763"/>
      <c r="AA168" s="763"/>
      <c r="AB168" s="763"/>
      <c r="AC168" s="763"/>
      <c r="AD168" s="763"/>
      <c r="AE168" s="763"/>
      <c r="AF168" s="763"/>
      <c r="AG168" s="763"/>
      <c r="AH168" s="763"/>
      <c r="AI168" s="766"/>
      <c r="AJ168" s="763"/>
      <c r="AK168" s="763"/>
      <c r="AL168" s="763"/>
      <c r="AM168" s="763"/>
      <c r="AN168" s="763"/>
      <c r="AO168" s="763"/>
      <c r="AP168" s="763"/>
      <c r="AQ168" s="763"/>
      <c r="AR168" s="765" t="s">
        <v>4796</v>
      </c>
      <c r="AS168" s="763"/>
      <c r="AT168" s="763"/>
      <c r="AU168" s="763"/>
      <c r="AV168" s="763"/>
      <c r="AW168" s="763"/>
      <c r="AX168" s="763"/>
      <c r="AY168" s="763"/>
      <c r="AZ168" s="763"/>
      <c r="BA168" s="862"/>
      <c r="BB168" s="862"/>
      <c r="BC168" s="862"/>
      <c r="BD168" s="763"/>
      <c r="BE168" s="763"/>
      <c r="BF168" s="763"/>
      <c r="BG168" s="763"/>
      <c r="BH168" s="862"/>
      <c r="BI168" s="862"/>
      <c r="BJ168" s="862"/>
    </row>
    <row r="169" ht="15.75" customHeight="1">
      <c r="A169" s="865" t="s">
        <v>6635</v>
      </c>
      <c r="B169" s="868" t="s">
        <v>6438</v>
      </c>
      <c r="C169" s="702" t="s">
        <v>6636</v>
      </c>
      <c r="D169" s="770"/>
      <c r="E169" s="765"/>
      <c r="F169" s="763"/>
      <c r="G169" s="727"/>
      <c r="H169" s="719" t="s">
        <v>6636</v>
      </c>
      <c r="I169" s="763"/>
      <c r="J169" s="765"/>
      <c r="K169" s="763"/>
      <c r="L169" s="705" t="s">
        <v>6637</v>
      </c>
      <c r="M169" s="763"/>
      <c r="N169" s="763"/>
      <c r="O169" s="763"/>
      <c r="P169" s="763"/>
      <c r="Q169" s="763"/>
      <c r="R169" s="763"/>
      <c r="S169" s="763"/>
      <c r="T169" s="763"/>
      <c r="U169" s="763"/>
      <c r="V169" s="763"/>
      <c r="W169" s="763"/>
      <c r="X169" s="763"/>
      <c r="Y169" s="763"/>
      <c r="Z169" s="763"/>
      <c r="AA169" s="763"/>
      <c r="AB169" s="731" t="s">
        <v>6638</v>
      </c>
      <c r="AC169" s="763"/>
      <c r="AD169" s="763"/>
      <c r="AE169" s="763"/>
      <c r="AF169" s="763"/>
      <c r="AG169" s="763"/>
      <c r="AH169" s="763"/>
      <c r="AI169" s="766"/>
      <c r="AJ169" s="763"/>
      <c r="AK169" s="763"/>
      <c r="AL169" s="763"/>
      <c r="AM169" s="763"/>
      <c r="AN169" s="763"/>
      <c r="AO169" s="763"/>
      <c r="AP169" s="763"/>
      <c r="AQ169" s="763"/>
      <c r="AR169" s="763"/>
      <c r="AS169" s="763"/>
      <c r="AT169" s="763"/>
      <c r="AU169" s="763"/>
      <c r="AV169" s="763"/>
      <c r="AW169" s="763"/>
      <c r="AX169" s="763"/>
      <c r="AY169" s="763"/>
      <c r="AZ169" s="763"/>
      <c r="BA169" s="716"/>
      <c r="BB169" s="716"/>
      <c r="BC169" s="716"/>
      <c r="BD169" s="763"/>
      <c r="BE169" s="763"/>
      <c r="BF169" s="763"/>
      <c r="BG169" s="763"/>
      <c r="BH169" s="716"/>
      <c r="BI169" s="716"/>
      <c r="BJ169" s="716"/>
    </row>
    <row r="170" ht="15.75" customHeight="1">
      <c r="A170" s="870"/>
      <c r="B170" s="871" t="s">
        <v>6634</v>
      </c>
      <c r="C170" s="702" t="s">
        <v>6639</v>
      </c>
      <c r="D170" s="703" t="s">
        <v>6639</v>
      </c>
      <c r="E170" s="790"/>
      <c r="F170" s="712"/>
      <c r="G170" s="712"/>
      <c r="H170" s="731" t="s">
        <v>6639</v>
      </c>
      <c r="I170" s="704"/>
      <c r="J170" s="790"/>
      <c r="K170" s="712"/>
      <c r="L170" s="712"/>
      <c r="M170" s="712"/>
      <c r="N170" s="712"/>
      <c r="O170" s="712"/>
      <c r="P170" s="712"/>
      <c r="Q170" s="712"/>
      <c r="R170" s="712"/>
      <c r="S170" s="730"/>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2" t="str">
        <f>HYPERLINK("https://www.youtube.com/watch?v=_HQgQjbTLjM","1:11.32")</f>
        <v>1:11.32</v>
      </c>
      <c r="D171" s="770"/>
      <c r="E171" s="719" t="s">
        <v>883</v>
      </c>
      <c r="F171" s="763"/>
      <c r="G171" s="731" t="s">
        <v>874</v>
      </c>
      <c r="H171" s="763"/>
      <c r="I171" s="708" t="s">
        <v>1304</v>
      </c>
      <c r="J171" s="765" t="s">
        <v>1472</v>
      </c>
      <c r="K171" s="763"/>
      <c r="L171" s="708" t="s">
        <v>6643</v>
      </c>
      <c r="M171" s="763"/>
      <c r="N171" s="763"/>
      <c r="O171" s="705" t="s">
        <v>3360</v>
      </c>
      <c r="P171" s="763"/>
      <c r="Q171" s="763"/>
      <c r="R171" s="763"/>
      <c r="S171" s="763"/>
      <c r="T171" s="763"/>
      <c r="U171" s="763"/>
      <c r="V171" s="763"/>
      <c r="W171" s="763"/>
      <c r="X171" s="763"/>
      <c r="Y171" s="763"/>
      <c r="Z171" s="763"/>
      <c r="AA171" s="763"/>
      <c r="AB171" s="763"/>
      <c r="AC171" s="763"/>
      <c r="AD171" s="763"/>
      <c r="AE171" s="763"/>
      <c r="AF171" s="763"/>
      <c r="AG171" s="763"/>
      <c r="AH171" s="763"/>
      <c r="AI171" s="766"/>
      <c r="AJ171" s="763"/>
      <c r="AK171" s="763"/>
      <c r="AL171" s="763"/>
      <c r="AM171" s="763"/>
      <c r="AN171" s="763"/>
      <c r="AO171" s="763"/>
      <c r="AP171" s="763"/>
      <c r="AQ171" s="763"/>
      <c r="AR171" s="708" t="s">
        <v>1764</v>
      </c>
      <c r="AS171" s="763"/>
      <c r="AT171" s="763"/>
      <c r="AU171" s="763"/>
      <c r="AV171" s="763"/>
      <c r="AW171" s="763"/>
      <c r="AX171" s="763"/>
      <c r="AY171" s="763"/>
      <c r="AZ171" s="763"/>
      <c r="BA171" s="716"/>
      <c r="BB171" s="716"/>
      <c r="BC171" s="716"/>
      <c r="BD171" s="763"/>
      <c r="BE171" s="763"/>
      <c r="BF171" s="763"/>
      <c r="BG171" s="763"/>
      <c r="BH171" s="716"/>
      <c r="BI171" s="716"/>
      <c r="BJ171" s="716"/>
    </row>
    <row r="172" ht="15.75" customHeight="1">
      <c r="A172" s="865" t="s">
        <v>6644</v>
      </c>
      <c r="B172" s="868" t="s">
        <v>6310</v>
      </c>
      <c r="C172" s="762" t="s">
        <v>186</v>
      </c>
      <c r="D172" s="770"/>
      <c r="E172" s="872"/>
      <c r="F172" s="763"/>
      <c r="G172" s="731"/>
      <c r="H172" s="763"/>
      <c r="I172" s="708"/>
      <c r="J172" s="765"/>
      <c r="K172" s="763"/>
      <c r="L172" s="764" t="s">
        <v>186</v>
      </c>
      <c r="M172" s="763"/>
      <c r="N172" s="763"/>
      <c r="O172" s="705"/>
      <c r="P172" s="763"/>
      <c r="Q172" s="763"/>
      <c r="R172" s="763"/>
      <c r="S172" s="763"/>
      <c r="T172" s="763"/>
      <c r="U172" s="763"/>
      <c r="V172" s="763"/>
      <c r="W172" s="763"/>
      <c r="X172" s="763"/>
      <c r="Y172" s="763"/>
      <c r="Z172" s="763"/>
      <c r="AA172" s="763"/>
      <c r="AB172" s="763"/>
      <c r="AC172" s="763"/>
      <c r="AD172" s="763"/>
      <c r="AE172" s="763"/>
      <c r="AF172" s="763"/>
      <c r="AG172" s="763"/>
      <c r="AH172" s="763"/>
      <c r="AI172" s="766"/>
      <c r="AJ172" s="763"/>
      <c r="AK172" s="763"/>
      <c r="AL172" s="763"/>
      <c r="AM172" s="763"/>
      <c r="AN172" s="763"/>
      <c r="AO172" s="763"/>
      <c r="AP172" s="763"/>
      <c r="AQ172" s="763"/>
      <c r="AR172" s="763"/>
      <c r="AS172" s="763"/>
      <c r="AT172" s="763"/>
      <c r="AU172" s="763"/>
      <c r="AV172" s="763"/>
      <c r="AW172" s="763"/>
      <c r="AX172" s="763"/>
      <c r="AY172" s="763"/>
      <c r="AZ172" s="763"/>
      <c r="BA172" s="862"/>
      <c r="BB172" s="862"/>
      <c r="BC172" s="862"/>
      <c r="BD172" s="763"/>
      <c r="BE172" s="763"/>
      <c r="BF172" s="763"/>
      <c r="BG172" s="763"/>
      <c r="BH172" s="862"/>
      <c r="BI172" s="862"/>
      <c r="BJ172" s="862"/>
    </row>
    <row r="173" ht="15.75" customHeight="1">
      <c r="A173" s="865" t="s">
        <v>6645</v>
      </c>
      <c r="B173" s="868" t="s">
        <v>6646</v>
      </c>
      <c r="C173" s="762" t="s">
        <v>6647</v>
      </c>
      <c r="D173" s="770"/>
      <c r="E173" s="872"/>
      <c r="F173" s="763"/>
      <c r="G173" s="731"/>
      <c r="H173" s="763"/>
      <c r="I173" s="708"/>
      <c r="J173" s="765"/>
      <c r="K173" s="763"/>
      <c r="L173" s="764" t="s">
        <v>6647</v>
      </c>
      <c r="M173" s="763"/>
      <c r="N173" s="763"/>
      <c r="O173" s="705"/>
      <c r="P173" s="763"/>
      <c r="Q173" s="763"/>
      <c r="R173" s="763"/>
      <c r="S173" s="763"/>
      <c r="T173" s="763"/>
      <c r="U173" s="763"/>
      <c r="V173" s="763"/>
      <c r="W173" s="763"/>
      <c r="X173" s="763"/>
      <c r="Y173" s="763"/>
      <c r="Z173" s="763"/>
      <c r="AA173" s="763"/>
      <c r="AB173" s="763"/>
      <c r="AC173" s="763"/>
      <c r="AD173" s="763"/>
      <c r="AE173" s="763"/>
      <c r="AF173" s="763"/>
      <c r="AG173" s="763"/>
      <c r="AH173" s="763"/>
      <c r="AI173" s="766"/>
      <c r="AJ173" s="763"/>
      <c r="AK173" s="763"/>
      <c r="AL173" s="763"/>
      <c r="AM173" s="763"/>
      <c r="AN173" s="763"/>
      <c r="AO173" s="763"/>
      <c r="AP173" s="763"/>
      <c r="AQ173" s="763"/>
      <c r="AR173" s="763"/>
      <c r="AS173" s="763"/>
      <c r="AT173" s="763"/>
      <c r="AU173" s="763"/>
      <c r="AV173" s="763"/>
      <c r="AW173" s="763"/>
      <c r="AX173" s="763"/>
      <c r="AY173" s="763"/>
      <c r="AZ173" s="763"/>
      <c r="BA173" s="716"/>
      <c r="BB173" s="716"/>
      <c r="BC173" s="716"/>
      <c r="BD173" s="763"/>
      <c r="BE173" s="763"/>
      <c r="BF173" s="763"/>
      <c r="BG173" s="763"/>
      <c r="BH173" s="716"/>
      <c r="BI173" s="716"/>
      <c r="BJ173" s="716"/>
    </row>
    <row r="174" ht="15.75" customHeight="1">
      <c r="A174" s="870"/>
      <c r="B174" s="871" t="s">
        <v>6648</v>
      </c>
      <c r="C174" s="762" t="s">
        <v>2340</v>
      </c>
      <c r="D174" s="770"/>
      <c r="E174" s="872"/>
      <c r="F174" s="763"/>
      <c r="G174" s="731"/>
      <c r="H174" s="763"/>
      <c r="I174" s="708"/>
      <c r="J174" s="765"/>
      <c r="K174" s="763"/>
      <c r="L174" s="752" t="s">
        <v>2340</v>
      </c>
      <c r="M174" s="763"/>
      <c r="N174" s="763"/>
      <c r="O174" s="705"/>
      <c r="P174" s="763"/>
      <c r="Q174" s="763"/>
      <c r="R174" s="763"/>
      <c r="S174" s="763"/>
      <c r="T174" s="763"/>
      <c r="U174" s="763"/>
      <c r="V174" s="763"/>
      <c r="W174" s="763"/>
      <c r="X174" s="763"/>
      <c r="Y174" s="763"/>
      <c r="Z174" s="763"/>
      <c r="AA174" s="763"/>
      <c r="AB174" s="763"/>
      <c r="AC174" s="763"/>
      <c r="AD174" s="763"/>
      <c r="AE174" s="763"/>
      <c r="AF174" s="763"/>
      <c r="AG174" s="763"/>
      <c r="AH174" s="763"/>
      <c r="AI174" s="766"/>
      <c r="AJ174" s="763"/>
      <c r="AK174" s="763"/>
      <c r="AL174" s="763"/>
      <c r="AM174" s="763"/>
      <c r="AN174" s="763"/>
      <c r="AO174" s="763"/>
      <c r="AP174" s="763"/>
      <c r="AQ174" s="763"/>
      <c r="AR174" s="763"/>
      <c r="AS174" s="763"/>
      <c r="AT174" s="763"/>
      <c r="AU174" s="763"/>
      <c r="AV174" s="763"/>
      <c r="AW174" s="763"/>
      <c r="AX174" s="763"/>
      <c r="AY174" s="763"/>
      <c r="AZ174" s="763"/>
      <c r="BA174" s="862"/>
      <c r="BB174" s="862"/>
      <c r="BC174" s="862"/>
      <c r="BD174" s="763"/>
      <c r="BE174" s="763"/>
      <c r="BF174" s="763"/>
      <c r="BG174" s="763"/>
      <c r="BH174" s="862"/>
      <c r="BI174" s="862"/>
      <c r="BJ174" s="862"/>
    </row>
    <row r="175" ht="15.75" customHeight="1">
      <c r="A175" s="860" t="s">
        <v>6333</v>
      </c>
      <c r="B175" s="867" t="s">
        <v>6649</v>
      </c>
      <c r="C175" s="722" t="s">
        <v>2563</v>
      </c>
      <c r="D175" s="770"/>
      <c r="E175" s="763"/>
      <c r="F175" s="763"/>
      <c r="G175" s="763"/>
      <c r="H175" s="763"/>
      <c r="I175" s="705" t="s">
        <v>6650</v>
      </c>
      <c r="J175" s="707"/>
      <c r="K175" s="763"/>
      <c r="L175" s="763"/>
      <c r="M175" s="763"/>
      <c r="N175" s="765" t="s">
        <v>4445</v>
      </c>
      <c r="O175" s="765"/>
      <c r="P175" s="763"/>
      <c r="Q175" s="763"/>
      <c r="R175" s="763"/>
      <c r="S175" s="763"/>
      <c r="T175" s="763" t="s">
        <v>256</v>
      </c>
      <c r="U175" s="763"/>
      <c r="V175" s="763"/>
      <c r="W175" s="763"/>
      <c r="X175" s="763"/>
      <c r="Y175" s="763"/>
      <c r="Z175" s="763"/>
      <c r="AA175" s="763"/>
      <c r="AB175" s="763"/>
      <c r="AC175" s="763"/>
      <c r="AD175" s="763"/>
      <c r="AE175" s="763"/>
      <c r="AF175" s="763"/>
      <c r="AG175" s="763"/>
      <c r="AH175" s="763"/>
      <c r="AI175" s="766"/>
      <c r="AJ175" s="763"/>
      <c r="AK175" s="763"/>
      <c r="AL175" s="763"/>
      <c r="AM175" s="763"/>
      <c r="AN175" s="763"/>
      <c r="AO175" s="763"/>
      <c r="AP175" s="763"/>
      <c r="AQ175" s="763"/>
      <c r="AR175" s="763"/>
      <c r="AS175" s="763"/>
      <c r="AT175" s="763"/>
      <c r="AU175" s="763"/>
      <c r="AV175" s="763"/>
      <c r="AW175" s="763"/>
      <c r="AX175" s="763"/>
      <c r="AY175" s="763"/>
      <c r="AZ175" s="763"/>
      <c r="BA175" s="862"/>
      <c r="BB175" s="862"/>
      <c r="BC175" s="862"/>
      <c r="BD175" s="763"/>
      <c r="BE175" s="763"/>
      <c r="BF175" s="763"/>
      <c r="BG175" s="763"/>
      <c r="BH175" s="862"/>
      <c r="BI175" s="862"/>
      <c r="BJ175" s="862"/>
    </row>
    <row r="176" ht="15.75" customHeight="1">
      <c r="A176" s="863"/>
      <c r="B176" s="864" t="s">
        <v>6651</v>
      </c>
      <c r="C176" s="722" t="s">
        <v>816</v>
      </c>
      <c r="D176" s="770"/>
      <c r="E176" s="763"/>
      <c r="F176" s="763"/>
      <c r="G176" s="763"/>
      <c r="H176" s="763"/>
      <c r="I176" s="763"/>
      <c r="J176" s="719" t="s">
        <v>6652</v>
      </c>
      <c r="K176" s="763"/>
      <c r="L176" s="763"/>
      <c r="M176" s="763"/>
      <c r="N176" s="765" t="s">
        <v>6653</v>
      </c>
      <c r="O176" s="705" t="s">
        <v>3088</v>
      </c>
      <c r="P176" s="763"/>
      <c r="Q176" s="763"/>
      <c r="R176" s="763"/>
      <c r="S176" s="763"/>
      <c r="T176" s="763"/>
      <c r="U176" s="763"/>
      <c r="V176" s="763"/>
      <c r="W176" s="763"/>
      <c r="X176" s="763"/>
      <c r="Y176" s="763"/>
      <c r="Z176" s="763"/>
      <c r="AA176" s="763"/>
      <c r="AB176" s="763"/>
      <c r="AC176" s="763"/>
      <c r="AD176" s="763"/>
      <c r="AE176" s="763"/>
      <c r="AF176" s="763"/>
      <c r="AG176" s="763"/>
      <c r="AH176" s="763"/>
      <c r="AI176" s="766"/>
      <c r="AJ176" s="763"/>
      <c r="AK176" s="763"/>
      <c r="AL176" s="731" t="s">
        <v>3293</v>
      </c>
      <c r="AM176" s="763"/>
      <c r="AN176" s="763"/>
      <c r="AO176" s="763"/>
      <c r="AP176" s="763"/>
      <c r="AQ176" s="763"/>
      <c r="AR176" s="765" t="s">
        <v>3952</v>
      </c>
      <c r="AS176" s="763"/>
      <c r="AT176" s="763"/>
      <c r="AU176" s="763"/>
      <c r="AV176" s="763"/>
      <c r="AW176" s="763"/>
      <c r="AX176" s="763"/>
      <c r="AY176" s="765" t="s">
        <v>4486</v>
      </c>
      <c r="AZ176" s="763"/>
      <c r="BA176" s="716"/>
      <c r="BB176" s="716"/>
      <c r="BC176" s="716"/>
      <c r="BD176" s="763"/>
      <c r="BE176" s="763"/>
      <c r="BF176" s="763"/>
      <c r="BG176" s="763"/>
      <c r="BH176" s="716"/>
      <c r="BI176" s="716"/>
      <c r="BJ176" s="716"/>
    </row>
    <row r="177" ht="15.75" customHeight="1">
      <c r="A177" s="863"/>
      <c r="B177" s="864" t="s">
        <v>6654</v>
      </c>
      <c r="C177" s="702" t="s">
        <v>488</v>
      </c>
      <c r="D177" s="770"/>
      <c r="E177" s="763"/>
      <c r="F177" s="705" t="s">
        <v>1026</v>
      </c>
      <c r="G177" s="703" t="s">
        <v>866</v>
      </c>
      <c r="H177" s="705" t="s">
        <v>781</v>
      </c>
      <c r="I177" s="708" t="s">
        <v>623</v>
      </c>
      <c r="J177" s="763"/>
      <c r="K177" s="763"/>
      <c r="L177" s="708" t="s">
        <v>5441</v>
      </c>
      <c r="M177" s="703" t="s">
        <v>488</v>
      </c>
      <c r="N177" s="763"/>
      <c r="O177" s="763"/>
      <c r="P177" s="731" t="s">
        <v>6213</v>
      </c>
      <c r="Q177" s="763"/>
      <c r="R177" s="763"/>
      <c r="S177" s="705" t="s">
        <v>1518</v>
      </c>
      <c r="T177" s="763" t="s">
        <v>579</v>
      </c>
      <c r="U177" s="763"/>
      <c r="V177" s="763"/>
      <c r="W177" s="763"/>
      <c r="X177" s="763"/>
      <c r="Y177" s="763"/>
      <c r="Z177" s="763"/>
      <c r="AA177" s="763"/>
      <c r="AB177" s="763"/>
      <c r="AC177" s="763"/>
      <c r="AD177" s="763"/>
      <c r="AE177" s="763"/>
      <c r="AF177" s="763"/>
      <c r="AG177" s="763"/>
      <c r="AH177" s="763"/>
      <c r="AI177" s="766"/>
      <c r="AJ177" s="763"/>
      <c r="AK177" s="763"/>
      <c r="AL177" s="763"/>
      <c r="AM177" s="763"/>
      <c r="AN177" s="763"/>
      <c r="AO177" s="763"/>
      <c r="AP177" s="763"/>
      <c r="AQ177" s="763"/>
      <c r="AR177" s="705" t="s">
        <v>1759</v>
      </c>
      <c r="AS177" s="763"/>
      <c r="AT177" s="763"/>
      <c r="AU177" s="763"/>
      <c r="AV177" s="763"/>
      <c r="AW177" s="763"/>
      <c r="AX177" s="763"/>
      <c r="AY177" s="763"/>
      <c r="AZ177" s="763"/>
      <c r="BA177" s="862"/>
      <c r="BB177" s="862"/>
      <c r="BC177" s="862"/>
      <c r="BD177" s="763"/>
      <c r="BE177" s="763"/>
      <c r="BF177" s="763"/>
      <c r="BG177" s="763"/>
      <c r="BH177" s="862"/>
      <c r="BI177" s="862"/>
      <c r="BJ177" s="862"/>
    </row>
    <row r="178" ht="15.75" customHeight="1">
      <c r="A178" s="865" t="s">
        <v>6324</v>
      </c>
      <c r="B178" s="868" t="s">
        <v>6655</v>
      </c>
      <c r="C178" s="722"/>
      <c r="D178" s="770"/>
      <c r="E178" s="763"/>
      <c r="F178" s="763"/>
      <c r="G178" s="705"/>
      <c r="H178" s="763"/>
      <c r="I178" s="763"/>
      <c r="J178" s="763"/>
      <c r="K178" s="763"/>
      <c r="L178" s="763"/>
      <c r="M178" s="705"/>
      <c r="N178" s="763"/>
      <c r="O178" s="763"/>
      <c r="P178" s="763"/>
      <c r="Q178" s="763"/>
      <c r="R178" s="763"/>
      <c r="S178" s="705"/>
      <c r="T178" s="763"/>
      <c r="U178" s="763"/>
      <c r="V178" s="763"/>
      <c r="W178" s="763"/>
      <c r="X178" s="763"/>
      <c r="Y178" s="763"/>
      <c r="Z178" s="763"/>
      <c r="AA178" s="763"/>
      <c r="AB178" s="763"/>
      <c r="AC178" s="763"/>
      <c r="AD178" s="763"/>
      <c r="AE178" s="763"/>
      <c r="AF178" s="763"/>
      <c r="AG178" s="763"/>
      <c r="AH178" s="763"/>
      <c r="AI178" s="766"/>
      <c r="AJ178" s="763"/>
      <c r="AK178" s="763"/>
      <c r="AL178" s="763"/>
      <c r="AM178" s="763"/>
      <c r="AN178" s="763"/>
      <c r="AO178" s="763"/>
      <c r="AP178" s="763"/>
      <c r="AQ178" s="763"/>
      <c r="AR178" s="763"/>
      <c r="AS178" s="763"/>
      <c r="AT178" s="763"/>
      <c r="AU178" s="763"/>
      <c r="AV178" s="763"/>
      <c r="AW178" s="763"/>
      <c r="AX178" s="763"/>
      <c r="AY178" s="763"/>
      <c r="AZ178" s="763"/>
      <c r="BA178" s="716"/>
      <c r="BB178" s="716"/>
      <c r="BC178" s="716"/>
      <c r="BD178" s="763"/>
      <c r="BE178" s="763"/>
      <c r="BF178" s="763"/>
      <c r="BG178" s="763"/>
      <c r="BH178" s="716"/>
      <c r="BI178" s="716"/>
      <c r="BJ178" s="716"/>
    </row>
    <row r="179" ht="15.75" customHeight="1">
      <c r="A179" s="863"/>
      <c r="B179" s="864" t="s">
        <v>6656</v>
      </c>
      <c r="C179" s="702" t="s">
        <v>6657</v>
      </c>
      <c r="D179" s="770"/>
      <c r="E179" s="763"/>
      <c r="F179" s="763"/>
      <c r="G179" s="705"/>
      <c r="H179" s="763"/>
      <c r="I179" s="763"/>
      <c r="J179" s="763"/>
      <c r="K179" s="763"/>
      <c r="L179" s="763"/>
      <c r="M179" s="705"/>
      <c r="N179" s="763"/>
      <c r="O179" s="763"/>
      <c r="P179" s="763"/>
      <c r="Q179" s="763"/>
      <c r="R179" s="763"/>
      <c r="S179" s="705"/>
      <c r="T179" s="763"/>
      <c r="U179" s="763"/>
      <c r="V179" s="763"/>
      <c r="W179" s="763"/>
      <c r="X179" s="763"/>
      <c r="Y179" s="763"/>
      <c r="Z179" s="763"/>
      <c r="AA179" s="763"/>
      <c r="AB179" s="763"/>
      <c r="AC179" s="763"/>
      <c r="AD179" s="763"/>
      <c r="AE179" s="763"/>
      <c r="AF179" s="763"/>
      <c r="AG179" s="763"/>
      <c r="AH179" s="763"/>
      <c r="AI179" s="766"/>
      <c r="AJ179" s="763"/>
      <c r="AK179" s="763"/>
      <c r="AL179" s="763"/>
      <c r="AM179" s="763"/>
      <c r="AN179" s="763"/>
      <c r="AO179" s="763"/>
      <c r="AP179" s="763"/>
      <c r="AQ179" s="763"/>
      <c r="AR179" s="763"/>
      <c r="AS179" s="763"/>
      <c r="AT179" s="763"/>
      <c r="AU179" s="763"/>
      <c r="AV179" s="763"/>
      <c r="AW179" s="763"/>
      <c r="AX179" s="763"/>
      <c r="AY179" s="763"/>
      <c r="AZ179" s="763"/>
      <c r="BA179" s="862"/>
      <c r="BB179" s="862"/>
      <c r="BC179" s="862"/>
      <c r="BD179" s="763"/>
      <c r="BE179" s="763"/>
      <c r="BF179" s="763"/>
      <c r="BG179" s="763"/>
      <c r="BH179" s="862"/>
      <c r="BI179" s="862"/>
      <c r="BJ179" s="862"/>
    </row>
    <row r="180" ht="15.75" customHeight="1">
      <c r="A180" s="863"/>
      <c r="B180" s="864" t="s">
        <v>6658</v>
      </c>
      <c r="C180" s="702" t="s">
        <v>6659</v>
      </c>
      <c r="D180" s="770"/>
      <c r="E180" s="763"/>
      <c r="F180" s="763"/>
      <c r="G180" s="727"/>
      <c r="H180" s="763"/>
      <c r="I180" s="763"/>
      <c r="J180" s="763"/>
      <c r="K180" s="763"/>
      <c r="L180" s="763"/>
      <c r="M180" s="727"/>
      <c r="N180" s="763"/>
      <c r="O180" s="763"/>
      <c r="P180" s="763"/>
      <c r="Q180" s="763"/>
      <c r="R180" s="763"/>
      <c r="S180" s="727"/>
      <c r="T180" s="763"/>
      <c r="U180" s="763"/>
      <c r="V180" s="763"/>
      <c r="W180" s="763"/>
      <c r="X180" s="763"/>
      <c r="Y180" s="763"/>
      <c r="Z180" s="763"/>
      <c r="AA180" s="763"/>
      <c r="AB180" s="765" t="s">
        <v>1540</v>
      </c>
      <c r="AC180" s="763"/>
      <c r="AD180" s="731" t="s">
        <v>1904</v>
      </c>
      <c r="AE180" s="763"/>
      <c r="AF180" s="763"/>
      <c r="AG180" s="763"/>
      <c r="AH180" s="763"/>
      <c r="AI180" s="766"/>
      <c r="AJ180" s="763"/>
      <c r="AK180" s="763"/>
      <c r="AL180" s="763"/>
      <c r="AM180" s="763"/>
      <c r="AN180" s="763"/>
      <c r="AO180" s="763"/>
      <c r="AP180" s="763"/>
      <c r="AQ180" s="763"/>
      <c r="AR180" s="765" t="s">
        <v>1540</v>
      </c>
      <c r="AS180" s="763"/>
      <c r="AT180" s="763"/>
      <c r="AU180" s="763"/>
      <c r="AV180" s="763"/>
      <c r="AW180" s="763"/>
      <c r="AX180" s="763"/>
      <c r="AY180" s="763"/>
      <c r="AZ180" s="763"/>
      <c r="BA180" s="716"/>
      <c r="BB180" s="716"/>
      <c r="BC180" s="716"/>
      <c r="BD180" s="763"/>
      <c r="BE180" s="763"/>
      <c r="BF180" s="763"/>
      <c r="BG180" s="763"/>
      <c r="BH180" s="716"/>
      <c r="BI180" s="716"/>
      <c r="BJ180" s="716"/>
    </row>
    <row r="181" ht="15.75" customHeight="1">
      <c r="A181" s="863"/>
      <c r="B181" s="864" t="s">
        <v>6660</v>
      </c>
      <c r="C181" s="702" t="s">
        <v>2509</v>
      </c>
      <c r="D181" s="770"/>
      <c r="E181" s="763"/>
      <c r="F181" s="763"/>
      <c r="G181" s="727"/>
      <c r="H181" s="731" t="s">
        <v>2901</v>
      </c>
      <c r="I181" s="763"/>
      <c r="J181" s="763"/>
      <c r="K181" s="763"/>
      <c r="L181" s="763"/>
      <c r="M181" s="705" t="s">
        <v>2509</v>
      </c>
      <c r="N181" s="763"/>
      <c r="O181" s="763"/>
      <c r="P181" s="763"/>
      <c r="Q181" s="763"/>
      <c r="R181" s="763"/>
      <c r="S181" s="707" t="s">
        <v>683</v>
      </c>
      <c r="T181" s="763"/>
      <c r="U181" s="763"/>
      <c r="V181" s="763"/>
      <c r="W181" s="705" t="s">
        <v>2509</v>
      </c>
      <c r="X181" s="763"/>
      <c r="Y181" s="763"/>
      <c r="Z181" s="763"/>
      <c r="AA181" s="763"/>
      <c r="AB181" s="763"/>
      <c r="AC181" s="763"/>
      <c r="AD181" s="763"/>
      <c r="AE181" s="763"/>
      <c r="AF181" s="763"/>
      <c r="AG181" s="763"/>
      <c r="AH181" s="763"/>
      <c r="AI181" s="873" t="s">
        <v>1404</v>
      </c>
      <c r="AJ181" s="763"/>
      <c r="AK181" s="763"/>
      <c r="AL181" s="763"/>
      <c r="AM181" s="763"/>
      <c r="AN181" s="763"/>
      <c r="AO181" s="763"/>
      <c r="AP181" s="763"/>
      <c r="AQ181" s="763"/>
      <c r="AR181" s="763"/>
      <c r="AS181" s="763"/>
      <c r="AT181" s="763"/>
      <c r="AU181" s="763"/>
      <c r="AV181" s="763"/>
      <c r="AW181" s="763"/>
      <c r="AX181" s="763"/>
      <c r="AY181" s="763"/>
      <c r="AZ181" s="763"/>
      <c r="BA181" s="862"/>
      <c r="BB181" s="862"/>
      <c r="BC181" s="862"/>
      <c r="BD181" s="763"/>
      <c r="BE181" s="763"/>
      <c r="BF181" s="763"/>
      <c r="BG181" s="763"/>
      <c r="BH181" s="862"/>
      <c r="BI181" s="862"/>
      <c r="BJ181" s="862"/>
    </row>
    <row r="182" ht="15.75" customHeight="1">
      <c r="A182" s="860" t="s">
        <v>6442</v>
      </c>
      <c r="B182" s="874" t="s">
        <v>6661</v>
      </c>
      <c r="C182" s="702" t="s">
        <v>5270</v>
      </c>
      <c r="D182" s="770"/>
      <c r="E182" s="763"/>
      <c r="F182" s="763"/>
      <c r="G182" s="792"/>
      <c r="H182" s="763"/>
      <c r="I182" s="705" t="s">
        <v>3037</v>
      </c>
      <c r="J182" s="763"/>
      <c r="K182" s="763"/>
      <c r="L182" s="763"/>
      <c r="M182" s="763"/>
      <c r="N182" s="765"/>
      <c r="O182" s="763"/>
      <c r="P182" s="763"/>
      <c r="Q182" s="763"/>
      <c r="R182" s="763"/>
      <c r="S182" s="763"/>
      <c r="T182" s="763"/>
      <c r="U182" s="763"/>
      <c r="V182" s="763"/>
      <c r="W182" s="763"/>
      <c r="X182" s="763"/>
      <c r="Y182" s="763"/>
      <c r="Z182" s="763"/>
      <c r="AA182" s="763"/>
      <c r="AB182" s="763"/>
      <c r="AC182" s="763"/>
      <c r="AD182" s="763"/>
      <c r="AE182" s="763"/>
      <c r="AF182" s="763"/>
      <c r="AG182" s="763"/>
      <c r="AH182" s="763"/>
      <c r="AI182" s="766"/>
      <c r="AJ182" s="763"/>
      <c r="AK182" s="763"/>
      <c r="AL182" s="763"/>
      <c r="AM182" s="763"/>
      <c r="AN182" s="763"/>
      <c r="AO182" s="763"/>
      <c r="AP182" s="763"/>
      <c r="AQ182" s="763"/>
      <c r="AR182" s="763"/>
      <c r="AS182" s="763"/>
      <c r="AT182" s="763"/>
      <c r="AU182" s="763"/>
      <c r="AV182" s="763"/>
      <c r="AW182" s="763"/>
      <c r="AX182" s="763"/>
      <c r="AY182" s="763"/>
      <c r="AZ182" s="763"/>
      <c r="BA182" s="716"/>
      <c r="BB182" s="716"/>
      <c r="BC182" s="716"/>
      <c r="BD182" s="763"/>
      <c r="BE182" s="763"/>
      <c r="BF182" s="763"/>
      <c r="BG182" s="763"/>
      <c r="BH182" s="716"/>
      <c r="BI182" s="716"/>
      <c r="BJ182" s="716"/>
    </row>
    <row r="183" ht="15.75" customHeight="1">
      <c r="A183" s="863"/>
      <c r="B183" s="864" t="s">
        <v>6662</v>
      </c>
      <c r="C183" s="702" t="s">
        <v>5313</v>
      </c>
      <c r="D183" s="770"/>
      <c r="E183" s="763"/>
      <c r="F183" s="763"/>
      <c r="G183" s="707" t="s">
        <v>1589</v>
      </c>
      <c r="H183" s="763"/>
      <c r="I183" s="705" t="s">
        <v>6236</v>
      </c>
      <c r="J183" s="763"/>
      <c r="K183" s="763"/>
      <c r="L183" s="763"/>
      <c r="M183" s="707" t="s">
        <v>3188</v>
      </c>
      <c r="N183" s="765" t="s">
        <v>4555</v>
      </c>
      <c r="O183" s="705" t="s">
        <v>5494</v>
      </c>
      <c r="P183" s="763"/>
      <c r="Q183" s="763"/>
      <c r="R183" s="763"/>
      <c r="S183" s="763"/>
      <c r="T183" s="763" t="s">
        <v>6663</v>
      </c>
      <c r="U183" s="763"/>
      <c r="V183" s="763"/>
      <c r="W183" s="763"/>
      <c r="X183" s="763"/>
      <c r="Y183" s="763"/>
      <c r="Z183" s="763"/>
      <c r="AA183" s="763"/>
      <c r="AB183" s="763"/>
      <c r="AC183" s="763"/>
      <c r="AD183" s="763"/>
      <c r="AE183" s="763"/>
      <c r="AF183" s="763"/>
      <c r="AG183" s="763"/>
      <c r="AH183" s="763"/>
      <c r="AI183" s="766"/>
      <c r="AJ183" s="763"/>
      <c r="AK183" s="763"/>
      <c r="AL183" s="763"/>
      <c r="AM183" s="763"/>
      <c r="AN183" s="763"/>
      <c r="AO183" s="763"/>
      <c r="AP183" s="763"/>
      <c r="AQ183" s="763"/>
      <c r="AR183" s="765" t="s">
        <v>6020</v>
      </c>
      <c r="AS183" s="763"/>
      <c r="AT183" s="763"/>
      <c r="AU183" s="763"/>
      <c r="AV183" s="763"/>
      <c r="AW183" s="763"/>
      <c r="AX183" s="763"/>
      <c r="AY183" s="763"/>
      <c r="AZ183" s="763"/>
      <c r="BA183" s="862"/>
      <c r="BB183" s="862"/>
      <c r="BC183" s="862"/>
      <c r="BD183" s="763"/>
      <c r="BE183" s="763"/>
      <c r="BF183" s="763"/>
      <c r="BG183" s="763"/>
      <c r="BH183" s="862"/>
      <c r="BI183" s="862"/>
      <c r="BJ183" s="862"/>
    </row>
    <row r="184" ht="15.75" customHeight="1">
      <c r="A184" s="863"/>
      <c r="B184" s="864" t="s">
        <v>6664</v>
      </c>
      <c r="C184" s="702" t="s">
        <v>1093</v>
      </c>
      <c r="D184" s="770"/>
      <c r="E184" s="763"/>
      <c r="F184" s="763"/>
      <c r="G184" s="763"/>
      <c r="H184" s="763"/>
      <c r="I184" s="763"/>
      <c r="J184" s="705" t="s">
        <v>1093</v>
      </c>
      <c r="K184" s="763"/>
      <c r="L184" s="763"/>
      <c r="M184" s="763"/>
      <c r="N184" s="763"/>
      <c r="O184" s="763"/>
      <c r="P184" s="763"/>
      <c r="Q184" s="763"/>
      <c r="R184" s="763"/>
      <c r="S184" s="763"/>
      <c r="T184" s="763"/>
      <c r="U184" s="763"/>
      <c r="V184" s="763"/>
      <c r="W184" s="763"/>
      <c r="X184" s="763"/>
      <c r="Y184" s="763"/>
      <c r="Z184" s="763"/>
      <c r="AA184" s="763"/>
      <c r="AB184" s="763"/>
      <c r="AC184" s="763"/>
      <c r="AD184" s="763"/>
      <c r="AE184" s="763"/>
      <c r="AF184" s="763"/>
      <c r="AG184" s="763"/>
      <c r="AH184" s="763"/>
      <c r="AI184" s="766"/>
      <c r="AJ184" s="763"/>
      <c r="AK184" s="763"/>
      <c r="AL184" s="763"/>
      <c r="AM184" s="763"/>
      <c r="AN184" s="763"/>
      <c r="AO184" s="763"/>
      <c r="AP184" s="763"/>
      <c r="AQ184" s="763"/>
      <c r="AR184" s="763"/>
      <c r="AS184" s="763"/>
      <c r="AT184" s="763"/>
      <c r="AU184" s="763"/>
      <c r="AV184" s="763"/>
      <c r="AW184" s="763"/>
      <c r="AX184" s="763"/>
      <c r="AY184" s="763"/>
      <c r="AZ184" s="763"/>
      <c r="BA184" s="716"/>
      <c r="BB184" s="716"/>
      <c r="BC184" s="716"/>
      <c r="BD184" s="763"/>
      <c r="BE184" s="763"/>
      <c r="BF184" s="763"/>
      <c r="BG184" s="763"/>
      <c r="BH184" s="716"/>
      <c r="BI184" s="716"/>
      <c r="BJ184" s="716"/>
    </row>
    <row r="185" ht="15.75" customHeight="1">
      <c r="A185" s="863"/>
      <c r="B185" s="864" t="s">
        <v>6665</v>
      </c>
      <c r="C185" s="702" t="s">
        <v>363</v>
      </c>
      <c r="D185" s="703" t="s">
        <v>363</v>
      </c>
      <c r="E185" s="763"/>
      <c r="F185" s="763"/>
      <c r="G185" s="763"/>
      <c r="H185" s="763"/>
      <c r="I185" s="763"/>
      <c r="J185" s="763"/>
      <c r="K185" s="763"/>
      <c r="L185" s="708" t="s">
        <v>1589</v>
      </c>
      <c r="M185" s="763"/>
      <c r="N185" s="763"/>
      <c r="O185" s="763"/>
      <c r="P185" s="763"/>
      <c r="Q185" s="763"/>
      <c r="R185" s="763"/>
      <c r="S185" s="763"/>
      <c r="T185" s="763"/>
      <c r="U185" s="763"/>
      <c r="V185" s="763"/>
      <c r="W185" s="763"/>
      <c r="X185" s="763"/>
      <c r="Y185" s="763"/>
      <c r="Z185" s="763"/>
      <c r="AA185" s="763"/>
      <c r="AB185" s="763"/>
      <c r="AC185" s="763"/>
      <c r="AD185" s="763"/>
      <c r="AE185" s="763"/>
      <c r="AF185" s="763"/>
      <c r="AG185" s="763"/>
      <c r="AH185" s="763"/>
      <c r="AI185" s="766"/>
      <c r="AJ185" s="763"/>
      <c r="AK185" s="763"/>
      <c r="AL185" s="763"/>
      <c r="AM185" s="763"/>
      <c r="AN185" s="763"/>
      <c r="AO185" s="763"/>
      <c r="AP185" s="763"/>
      <c r="AQ185" s="763"/>
      <c r="AR185" s="763"/>
      <c r="AS185" s="763"/>
      <c r="AT185" s="763"/>
      <c r="AU185" s="763"/>
      <c r="AV185" s="763"/>
      <c r="AW185" s="763"/>
      <c r="AX185" s="763"/>
      <c r="AY185" s="763"/>
      <c r="AZ185" s="763"/>
      <c r="BA185" s="862"/>
      <c r="BB185" s="862"/>
      <c r="BC185" s="862"/>
      <c r="BD185" s="763"/>
      <c r="BE185" s="763"/>
      <c r="BF185" s="763"/>
      <c r="BG185" s="763"/>
      <c r="BH185" s="862"/>
      <c r="BI185" s="862"/>
      <c r="BJ185" s="862"/>
    </row>
    <row r="186" ht="15.75" customHeight="1">
      <c r="A186" s="863"/>
      <c r="B186" s="864" t="s">
        <v>6666</v>
      </c>
      <c r="C186" s="702" t="s">
        <v>867</v>
      </c>
      <c r="D186" s="731"/>
      <c r="E186" s="705" t="s">
        <v>782</v>
      </c>
      <c r="F186" s="763"/>
      <c r="G186" s="705" t="s">
        <v>867</v>
      </c>
      <c r="H186" s="705" t="s">
        <v>6667</v>
      </c>
      <c r="I186" s="705" t="s">
        <v>1299</v>
      </c>
      <c r="J186" s="763"/>
      <c r="K186" s="763"/>
      <c r="L186" s="705"/>
      <c r="M186" s="763"/>
      <c r="N186" s="763"/>
      <c r="O186" s="763"/>
      <c r="P186" s="763"/>
      <c r="Q186" s="763"/>
      <c r="R186" s="763"/>
      <c r="S186" s="763"/>
      <c r="T186" s="763"/>
      <c r="U186" s="763"/>
      <c r="V186" s="763"/>
      <c r="W186" s="763"/>
      <c r="X186" s="763"/>
      <c r="Y186" s="763"/>
      <c r="Z186" s="763"/>
      <c r="AA186" s="763"/>
      <c r="AB186" s="705"/>
      <c r="AC186" s="763"/>
      <c r="AD186" s="705"/>
      <c r="AE186" s="763"/>
      <c r="AF186" s="763"/>
      <c r="AG186" s="763"/>
      <c r="AH186" s="763"/>
      <c r="AI186" s="766"/>
      <c r="AJ186" s="763"/>
      <c r="AK186" s="763"/>
      <c r="AL186" s="763"/>
      <c r="AM186" s="763"/>
      <c r="AN186" s="763"/>
      <c r="AO186" s="763"/>
      <c r="AP186" s="763"/>
      <c r="AQ186" s="763"/>
      <c r="AR186" s="705" t="s">
        <v>160</v>
      </c>
      <c r="AS186" s="763"/>
      <c r="AT186" s="763"/>
      <c r="AU186" s="763"/>
      <c r="AV186" s="763"/>
      <c r="AW186" s="763"/>
      <c r="AX186" s="763"/>
      <c r="AY186" s="763"/>
      <c r="AZ186" s="763"/>
      <c r="BA186" s="716"/>
      <c r="BB186" s="716"/>
      <c r="BC186" s="716"/>
      <c r="BD186" s="763"/>
      <c r="BE186" s="763"/>
      <c r="BF186" s="763"/>
      <c r="BG186" s="763"/>
      <c r="BH186" s="716"/>
      <c r="BI186" s="716"/>
      <c r="BJ186" s="716"/>
    </row>
    <row r="187" ht="15.75" customHeight="1">
      <c r="A187" s="865" t="s">
        <v>6324</v>
      </c>
      <c r="B187" s="868" t="s">
        <v>6661</v>
      </c>
      <c r="C187" s="702" t="s">
        <v>1488</v>
      </c>
      <c r="D187" s="731"/>
      <c r="E187" s="763"/>
      <c r="F187" s="763"/>
      <c r="G187" s="765"/>
      <c r="H187" s="763"/>
      <c r="I187" s="707"/>
      <c r="J187" s="763"/>
      <c r="K187" s="763"/>
      <c r="L187" s="705" t="s">
        <v>5344</v>
      </c>
      <c r="M187" s="763"/>
      <c r="N187" s="763"/>
      <c r="O187" s="763"/>
      <c r="P187" s="763"/>
      <c r="Q187" s="763"/>
      <c r="R187" s="763"/>
      <c r="S187" s="763"/>
      <c r="T187" s="763"/>
      <c r="U187" s="763"/>
      <c r="V187" s="763"/>
      <c r="W187" s="763"/>
      <c r="X187" s="763"/>
      <c r="Y187" s="763"/>
      <c r="Z187" s="763"/>
      <c r="AA187" s="763"/>
      <c r="AB187" s="705" t="s">
        <v>929</v>
      </c>
      <c r="AC187" s="763"/>
      <c r="AD187" s="705" t="s">
        <v>6668</v>
      </c>
      <c r="AE187" s="763"/>
      <c r="AF187" s="763"/>
      <c r="AG187" s="763"/>
      <c r="AH187" s="763"/>
      <c r="AI187" s="766"/>
      <c r="AJ187" s="763"/>
      <c r="AK187" s="763"/>
      <c r="AL187" s="763"/>
      <c r="AM187" s="763"/>
      <c r="AN187" s="763"/>
      <c r="AO187" s="763"/>
      <c r="AP187" s="763"/>
      <c r="AQ187" s="763"/>
      <c r="AR187" s="763"/>
      <c r="AS187" s="763"/>
      <c r="AT187" s="763"/>
      <c r="AU187" s="763"/>
      <c r="AV187" s="763"/>
      <c r="AW187" s="765" t="s">
        <v>6669</v>
      </c>
      <c r="AX187" s="763"/>
      <c r="AY187" s="763"/>
      <c r="AZ187" s="763"/>
      <c r="BA187" s="862"/>
      <c r="BB187" s="862"/>
      <c r="BC187" s="862"/>
      <c r="BD187" s="763"/>
      <c r="BE187" s="763"/>
      <c r="BF187" s="763"/>
      <c r="BG187" s="763"/>
      <c r="BH187" s="862"/>
      <c r="BI187" s="862"/>
      <c r="BJ187" s="862"/>
    </row>
    <row r="188" ht="15.75" customHeight="1">
      <c r="A188" s="863"/>
      <c r="B188" s="864" t="s">
        <v>6662</v>
      </c>
      <c r="C188" s="702" t="s">
        <v>6670</v>
      </c>
      <c r="D188" s="731" t="s">
        <v>3418</v>
      </c>
      <c r="E188" s="763"/>
      <c r="F188" s="763"/>
      <c r="G188" s="765" t="s">
        <v>3418</v>
      </c>
      <c r="H188" s="763"/>
      <c r="I188" s="705" t="s">
        <v>6671</v>
      </c>
      <c r="J188" s="763" t="s">
        <v>6672</v>
      </c>
      <c r="K188" s="731" t="s">
        <v>3606</v>
      </c>
      <c r="L188" s="763"/>
      <c r="M188" s="763"/>
      <c r="N188" s="763" t="s">
        <v>6673</v>
      </c>
      <c r="O188" s="763"/>
      <c r="P188" s="763"/>
      <c r="Q188" s="763"/>
      <c r="R188" s="763"/>
      <c r="S188" s="763"/>
      <c r="T188" s="763" t="s">
        <v>2990</v>
      </c>
      <c r="U188" s="763"/>
      <c r="V188" s="763"/>
      <c r="W188" s="763"/>
      <c r="X188" s="763"/>
      <c r="Y188" s="763"/>
      <c r="Z188" s="763"/>
      <c r="AA188" s="763"/>
      <c r="AB188" s="731" t="s">
        <v>3885</v>
      </c>
      <c r="AC188" s="763"/>
      <c r="AD188" s="763"/>
      <c r="AE188" s="763"/>
      <c r="AF188" s="763"/>
      <c r="AG188" s="763"/>
      <c r="AH188" s="763"/>
      <c r="AI188" s="766"/>
      <c r="AJ188" s="763"/>
      <c r="AK188" s="763"/>
      <c r="AL188" s="763"/>
      <c r="AM188" s="763"/>
      <c r="AN188" s="763"/>
      <c r="AO188" s="763"/>
      <c r="AP188" s="763"/>
      <c r="AQ188" s="763"/>
      <c r="AR188" s="765" t="s">
        <v>325</v>
      </c>
      <c r="AS188" s="763"/>
      <c r="AT188" s="763"/>
      <c r="AU188" s="763"/>
      <c r="AV188" s="763"/>
      <c r="AW188" s="763"/>
      <c r="AX188" s="763"/>
      <c r="AY188" s="763"/>
      <c r="AZ188" s="763"/>
      <c r="BA188" s="716"/>
      <c r="BB188" s="716"/>
      <c r="BC188" s="716"/>
      <c r="BD188" s="763"/>
      <c r="BE188" s="763"/>
      <c r="BF188" s="763"/>
      <c r="BG188" s="763"/>
      <c r="BH188" s="716"/>
      <c r="BI188" s="716"/>
      <c r="BJ188" s="716"/>
    </row>
    <row r="189" ht="15.75" customHeight="1">
      <c r="A189" s="863"/>
      <c r="B189" s="864" t="s">
        <v>6664</v>
      </c>
      <c r="C189" s="722" t="s">
        <v>4758</v>
      </c>
      <c r="D189" s="770"/>
      <c r="E189" s="763"/>
      <c r="F189" s="763"/>
      <c r="G189" s="763"/>
      <c r="H189" s="763"/>
      <c r="I189" s="763"/>
      <c r="J189" s="710" t="str">
        <f>HYPERLINK("https://youtu.be/hsc9lXHQpts","23.75")</f>
        <v>23.75</v>
      </c>
      <c r="K189" s="763"/>
      <c r="L189" s="763"/>
      <c r="M189" s="763"/>
      <c r="N189" s="763"/>
      <c r="O189" s="763"/>
      <c r="P189" s="763"/>
      <c r="Q189" s="763"/>
      <c r="R189" s="763"/>
      <c r="S189" s="763"/>
      <c r="T189" s="763"/>
      <c r="U189" s="763"/>
      <c r="V189" s="763"/>
      <c r="W189" s="763"/>
      <c r="X189" s="763"/>
      <c r="Y189" s="763"/>
      <c r="Z189" s="763"/>
      <c r="AA189" s="763"/>
      <c r="AB189" s="731" t="s">
        <v>4610</v>
      </c>
      <c r="AC189" s="763"/>
      <c r="AD189" s="731" t="s">
        <v>536</v>
      </c>
      <c r="AE189" s="763"/>
      <c r="AF189" s="763"/>
      <c r="AG189" s="763"/>
      <c r="AH189" s="763"/>
      <c r="AI189" s="766"/>
      <c r="AJ189" s="763"/>
      <c r="AK189" s="763"/>
      <c r="AL189" s="763"/>
      <c r="AM189" s="763"/>
      <c r="AN189" s="763"/>
      <c r="AO189" s="763"/>
      <c r="AP189" s="763"/>
      <c r="AQ189" s="763"/>
      <c r="AR189" s="763"/>
      <c r="AS189" s="763"/>
      <c r="AT189" s="763"/>
      <c r="AU189" s="763"/>
      <c r="AV189" s="763"/>
      <c r="AW189" s="763"/>
      <c r="AX189" s="763"/>
      <c r="AY189" s="763"/>
      <c r="AZ189" s="763"/>
      <c r="BA189" s="862"/>
      <c r="BB189" s="862"/>
      <c r="BC189" s="862"/>
      <c r="BD189" s="763"/>
      <c r="BE189" s="763"/>
      <c r="BF189" s="763"/>
      <c r="BG189" s="763"/>
      <c r="BH189" s="862"/>
      <c r="BI189" s="862"/>
      <c r="BJ189" s="862"/>
    </row>
    <row r="190" ht="15.75" customHeight="1">
      <c r="A190" s="863"/>
      <c r="B190" s="864" t="s">
        <v>6665</v>
      </c>
      <c r="C190" s="722" t="s">
        <v>2750</v>
      </c>
      <c r="D190" s="705" t="s">
        <v>2750</v>
      </c>
      <c r="E190" s="705" t="s">
        <v>6674</v>
      </c>
      <c r="F190" s="705" t="s">
        <v>4669</v>
      </c>
      <c r="G190" s="770"/>
      <c r="H190" s="763"/>
      <c r="I190" s="763"/>
      <c r="J190" s="763" t="s">
        <v>1458</v>
      </c>
      <c r="K190" s="705" t="s">
        <v>6675</v>
      </c>
      <c r="L190" s="705" t="s">
        <v>6676</v>
      </c>
      <c r="M190" s="763"/>
      <c r="N190" s="763" t="s">
        <v>4411</v>
      </c>
      <c r="O190" s="705" t="s">
        <v>4073</v>
      </c>
      <c r="P190" s="763"/>
      <c r="Q190" s="763"/>
      <c r="R190" s="731" t="s">
        <v>2480</v>
      </c>
      <c r="S190" s="763"/>
      <c r="T190" s="763"/>
      <c r="U190" s="763"/>
      <c r="V190" s="763"/>
      <c r="W190" s="763"/>
      <c r="X190" s="763"/>
      <c r="Y190" s="763"/>
      <c r="Z190" s="763"/>
      <c r="AA190" s="705" t="s">
        <v>4669</v>
      </c>
      <c r="AB190" s="731" t="s">
        <v>6677</v>
      </c>
      <c r="AC190" s="763"/>
      <c r="AD190" s="763"/>
      <c r="AE190" s="763"/>
      <c r="AF190" s="763"/>
      <c r="AG190" s="763"/>
      <c r="AH190" s="763"/>
      <c r="AI190" s="766"/>
      <c r="AJ190" s="763"/>
      <c r="AK190" s="763"/>
      <c r="AL190" s="763"/>
      <c r="AM190" s="763"/>
      <c r="AN190" s="763"/>
      <c r="AO190" s="763"/>
      <c r="AP190" s="763"/>
      <c r="AQ190" s="763"/>
      <c r="AR190" s="763"/>
      <c r="AS190" s="792" t="s">
        <v>3913</v>
      </c>
      <c r="AT190" s="763"/>
      <c r="AU190" s="763"/>
      <c r="AV190" s="763"/>
      <c r="AW190" s="763"/>
      <c r="AX190" s="763"/>
      <c r="AY190" s="763"/>
      <c r="AZ190" s="763"/>
      <c r="BA190" s="716"/>
      <c r="BB190" s="716"/>
      <c r="BC190" s="716"/>
      <c r="BD190" s="763"/>
      <c r="BE190" s="763"/>
      <c r="BF190" s="763"/>
      <c r="BG190" s="763"/>
      <c r="BH190" s="716"/>
      <c r="BI190" s="716"/>
      <c r="BJ190" s="716"/>
    </row>
    <row r="191" ht="15.75" customHeight="1">
      <c r="A191" s="875"/>
      <c r="B191" s="876" t="s">
        <v>6666</v>
      </c>
      <c r="C191" s="702" t="s">
        <v>2117</v>
      </c>
      <c r="D191" s="877"/>
      <c r="E191" s="763"/>
      <c r="F191" s="763"/>
      <c r="G191" s="707"/>
      <c r="H191" s="705" t="s">
        <v>2117</v>
      </c>
      <c r="I191" s="705"/>
      <c r="J191" s="763"/>
      <c r="K191" s="763"/>
      <c r="L191" s="763"/>
      <c r="M191" s="705" t="s">
        <v>490</v>
      </c>
      <c r="N191" s="770"/>
      <c r="O191" s="763"/>
      <c r="P191" s="763"/>
      <c r="Q191" s="763"/>
      <c r="R191" s="731"/>
      <c r="S191" s="705" t="s">
        <v>2117</v>
      </c>
      <c r="T191" s="763"/>
      <c r="U191" s="763"/>
      <c r="V191" s="763"/>
      <c r="W191" s="707" t="s">
        <v>2117</v>
      </c>
      <c r="X191" s="763"/>
      <c r="Y191" s="763"/>
      <c r="Z191" s="763"/>
      <c r="AA191" s="763"/>
      <c r="AB191" s="763"/>
      <c r="AC191" s="763"/>
      <c r="AD191" s="763"/>
      <c r="AE191" s="763"/>
      <c r="AF191" s="763"/>
      <c r="AG191" s="763"/>
      <c r="AH191" s="763"/>
      <c r="AI191" s="766"/>
      <c r="AJ191" s="763"/>
      <c r="AK191" s="763"/>
      <c r="AL191" s="763"/>
      <c r="AM191" s="763"/>
      <c r="AN191" s="763"/>
      <c r="AO191" s="763"/>
      <c r="AP191" s="763"/>
      <c r="AQ191" s="763"/>
      <c r="AR191" s="705" t="s">
        <v>1760</v>
      </c>
      <c r="AS191" s="763"/>
      <c r="AT191" s="763"/>
      <c r="AU191" s="763"/>
      <c r="AV191" s="763"/>
      <c r="AW191" s="763"/>
      <c r="AX191" s="763"/>
      <c r="AY191" s="763"/>
      <c r="AZ191" s="763"/>
      <c r="BA191" s="862"/>
      <c r="BB191" s="862"/>
      <c r="BC191" s="862"/>
      <c r="BD191" s="763"/>
      <c r="BE191" s="763"/>
      <c r="BF191" s="763"/>
      <c r="BG191" s="763"/>
      <c r="BH191" s="862"/>
      <c r="BI191" s="862"/>
      <c r="BJ191" s="862"/>
    </row>
    <row r="192" ht="15.75" customHeight="1">
      <c r="A192" s="865" t="s">
        <v>6329</v>
      </c>
      <c r="B192" s="868" t="s">
        <v>6310</v>
      </c>
      <c r="C192" s="722" t="s">
        <v>977</v>
      </c>
      <c r="D192" s="703" t="s">
        <v>376</v>
      </c>
      <c r="E192" s="763"/>
      <c r="F192" s="763"/>
      <c r="G192" s="707" t="s">
        <v>6678</v>
      </c>
      <c r="H192" s="765" t="s">
        <v>6679</v>
      </c>
      <c r="I192" s="705" t="s">
        <v>6680</v>
      </c>
      <c r="J192" s="763"/>
      <c r="K192" s="763"/>
      <c r="L192" s="763"/>
      <c r="M192" s="763"/>
      <c r="N192" s="770"/>
      <c r="O192" s="763"/>
      <c r="P192" s="763"/>
      <c r="Q192" s="763"/>
      <c r="R192" s="731" t="s">
        <v>4215</v>
      </c>
      <c r="S192" s="705" t="s">
        <v>4215</v>
      </c>
      <c r="T192" s="763"/>
      <c r="U192" s="763"/>
      <c r="V192" s="763"/>
      <c r="W192" s="705" t="s">
        <v>977</v>
      </c>
      <c r="X192" s="763"/>
      <c r="Y192" s="763"/>
      <c r="Z192" s="763"/>
      <c r="AA192" s="763"/>
      <c r="AB192" s="763"/>
      <c r="AC192" s="763"/>
      <c r="AD192" s="763"/>
      <c r="AE192" s="763"/>
      <c r="AF192" s="763"/>
      <c r="AG192" s="763"/>
      <c r="AH192" s="763"/>
      <c r="AI192" s="766"/>
      <c r="AJ192" s="763"/>
      <c r="AK192" s="763"/>
      <c r="AL192" s="763"/>
      <c r="AM192" s="763"/>
      <c r="AN192" s="763"/>
      <c r="AO192" s="763"/>
      <c r="AP192" s="763"/>
      <c r="AQ192" s="763"/>
      <c r="AR192" s="765" t="s">
        <v>598</v>
      </c>
      <c r="AS192" s="763"/>
      <c r="AT192" s="763"/>
      <c r="AU192" s="763"/>
      <c r="AV192" s="763"/>
      <c r="AW192" s="763"/>
      <c r="AX192" s="763"/>
      <c r="AY192" s="763"/>
      <c r="AZ192" s="763"/>
      <c r="BA192" s="716"/>
      <c r="BB192" s="716"/>
      <c r="BC192" s="716"/>
      <c r="BD192" s="763"/>
      <c r="BE192" s="763"/>
      <c r="BF192" s="763"/>
      <c r="BG192" s="763"/>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3"/>
      <c r="F194" s="763"/>
      <c r="G194" s="731" t="s">
        <v>1442</v>
      </c>
      <c r="H194" s="763"/>
      <c r="I194" s="763"/>
      <c r="J194" s="763"/>
      <c r="K194" s="763"/>
      <c r="L194" s="708" t="s">
        <v>577</v>
      </c>
      <c r="M194" s="763"/>
      <c r="N194" s="710" t="str">
        <f>HYPERLINK("https://youtu.be/YAmVWTPAJZs","42.49")</f>
        <v>42.49</v>
      </c>
      <c r="O194" s="765" t="s">
        <v>3361</v>
      </c>
      <c r="P194" s="763"/>
      <c r="Q194" s="763"/>
      <c r="R194" s="763"/>
      <c r="S194" s="763"/>
      <c r="T194" s="763"/>
      <c r="U194" s="763"/>
      <c r="V194" s="763"/>
      <c r="W194" s="763"/>
      <c r="X194" s="763"/>
      <c r="Y194" s="763"/>
      <c r="Z194" s="763"/>
      <c r="AA194" s="763"/>
      <c r="AB194" s="763"/>
      <c r="AC194" s="763"/>
      <c r="AD194" s="763"/>
      <c r="AE194" s="705" t="s">
        <v>1063</v>
      </c>
      <c r="AF194" s="763"/>
      <c r="AG194" s="763"/>
      <c r="AH194" s="763"/>
      <c r="AI194" s="766"/>
      <c r="AJ194" s="763"/>
      <c r="AK194" s="763"/>
      <c r="AL194" s="763"/>
      <c r="AM194" s="763"/>
      <c r="AN194" s="763"/>
      <c r="AO194" s="763"/>
      <c r="AP194" s="763"/>
      <c r="AQ194" s="763"/>
      <c r="AR194" s="708" t="s">
        <v>138</v>
      </c>
      <c r="AS194" s="763"/>
      <c r="AT194" s="763"/>
      <c r="AU194" s="763"/>
      <c r="AV194" s="763"/>
      <c r="AW194" s="763"/>
      <c r="AX194" s="763"/>
      <c r="AY194" s="763"/>
      <c r="AZ194" s="763"/>
      <c r="BA194" s="716"/>
      <c r="BB194" s="716"/>
      <c r="BC194" s="716"/>
      <c r="BD194" s="763"/>
      <c r="BE194" s="763"/>
      <c r="BF194" s="763"/>
      <c r="BG194" s="763"/>
      <c r="BH194" s="716"/>
      <c r="BI194" s="716"/>
      <c r="BJ194" s="716"/>
    </row>
    <row r="195" ht="15.75" customHeight="1">
      <c r="A195" s="860" t="s">
        <v>6502</v>
      </c>
      <c r="B195" s="867" t="s">
        <v>6685</v>
      </c>
      <c r="C195" s="702" t="s">
        <v>6686</v>
      </c>
      <c r="D195" s="705" t="s">
        <v>6686</v>
      </c>
      <c r="E195" s="763"/>
      <c r="F195" s="763"/>
      <c r="G195" s="765"/>
      <c r="H195" s="731" t="s">
        <v>1165</v>
      </c>
      <c r="I195" s="708" t="s">
        <v>1301</v>
      </c>
      <c r="J195" s="763"/>
      <c r="K195" s="763"/>
      <c r="L195" s="763"/>
      <c r="M195" s="763"/>
      <c r="N195" s="763"/>
      <c r="O195" s="763"/>
      <c r="P195" s="763"/>
      <c r="Q195" s="727"/>
      <c r="R195" s="763"/>
      <c r="S195" s="763"/>
      <c r="T195" s="763"/>
      <c r="U195" s="763"/>
      <c r="V195" s="763"/>
      <c r="W195" s="763"/>
      <c r="X195" s="763"/>
      <c r="Y195" s="763"/>
      <c r="Z195" s="763"/>
      <c r="AA195" s="763"/>
      <c r="AB195" s="763"/>
      <c r="AC195" s="763"/>
      <c r="AD195" s="763"/>
      <c r="AE195" s="763"/>
      <c r="AF195" s="763"/>
      <c r="AG195" s="763"/>
      <c r="AH195" s="763"/>
      <c r="AI195" s="766"/>
      <c r="AJ195" s="763"/>
      <c r="AK195" s="763"/>
      <c r="AL195" s="763"/>
      <c r="AM195" s="763"/>
      <c r="AN195" s="763"/>
      <c r="AO195" s="763"/>
      <c r="AP195" s="763"/>
      <c r="AQ195" s="763"/>
      <c r="AR195" s="705" t="s">
        <v>1761</v>
      </c>
      <c r="AS195" s="763"/>
      <c r="AT195" s="763"/>
      <c r="AU195" s="763"/>
      <c r="AV195" s="763"/>
      <c r="AW195" s="763"/>
      <c r="AX195" s="763"/>
      <c r="AY195" s="763"/>
      <c r="AZ195" s="763"/>
      <c r="BA195" s="862"/>
      <c r="BB195" s="862"/>
      <c r="BC195" s="862"/>
      <c r="BD195" s="763"/>
      <c r="BE195" s="763"/>
      <c r="BF195" s="763"/>
      <c r="BG195" s="763"/>
      <c r="BH195" s="862"/>
      <c r="BI195" s="862"/>
      <c r="BJ195" s="862"/>
    </row>
    <row r="196" ht="15.75" customHeight="1">
      <c r="A196" s="865" t="s">
        <v>6329</v>
      </c>
      <c r="B196" s="868" t="s">
        <v>6310</v>
      </c>
      <c r="C196" s="722" t="s">
        <v>4366</v>
      </c>
      <c r="D196" s="705" t="s">
        <v>4366</v>
      </c>
      <c r="E196" s="763"/>
      <c r="F196" s="727"/>
      <c r="G196" s="765" t="s">
        <v>311</v>
      </c>
      <c r="H196" s="765" t="s">
        <v>1049</v>
      </c>
      <c r="I196" s="705" t="s">
        <v>894</v>
      </c>
      <c r="J196" s="763"/>
      <c r="K196" s="763"/>
      <c r="L196" s="763"/>
      <c r="M196" s="763"/>
      <c r="N196" s="763"/>
      <c r="O196" s="763"/>
      <c r="P196" s="763"/>
      <c r="Q196" s="705" t="s">
        <v>6687</v>
      </c>
      <c r="R196" s="705" t="s">
        <v>6688</v>
      </c>
      <c r="S196" s="763"/>
      <c r="T196" s="763"/>
      <c r="U196" s="763"/>
      <c r="V196" s="763"/>
      <c r="W196" s="763"/>
      <c r="X196" s="705" t="s">
        <v>971</v>
      </c>
      <c r="Y196" s="763"/>
      <c r="Z196" s="763"/>
      <c r="AA196" s="763"/>
      <c r="AB196" s="763"/>
      <c r="AC196" s="763"/>
      <c r="AD196" s="763"/>
      <c r="AE196" s="763"/>
      <c r="AF196" s="763"/>
      <c r="AG196" s="763"/>
      <c r="AH196" s="763"/>
      <c r="AI196" s="766"/>
      <c r="AJ196" s="763"/>
      <c r="AK196" s="763"/>
      <c r="AL196" s="763"/>
      <c r="AM196" s="763"/>
      <c r="AN196" s="763"/>
      <c r="AO196" s="763"/>
      <c r="AP196" s="763"/>
      <c r="AQ196" s="763"/>
      <c r="AR196" s="765" t="s">
        <v>3395</v>
      </c>
      <c r="AS196" s="763"/>
      <c r="AT196" s="763"/>
      <c r="AU196" s="763"/>
      <c r="AV196" s="763"/>
      <c r="AW196" s="763"/>
      <c r="AX196" s="763"/>
      <c r="AY196" s="763"/>
      <c r="AZ196" s="763"/>
      <c r="BA196" s="716"/>
      <c r="BB196" s="716"/>
      <c r="BC196" s="716"/>
      <c r="BD196" s="763"/>
      <c r="BE196" s="763"/>
      <c r="BF196" s="763"/>
      <c r="BG196" s="763"/>
      <c r="BH196" s="716"/>
      <c r="BI196" s="716"/>
      <c r="BJ196" s="716"/>
    </row>
    <row r="197" ht="15.75" customHeight="1">
      <c r="A197" s="860" t="s">
        <v>6374</v>
      </c>
      <c r="B197" s="867" t="s">
        <v>6689</v>
      </c>
      <c r="C197" s="722"/>
      <c r="D197" s="770"/>
      <c r="E197" s="763"/>
      <c r="F197" s="705"/>
      <c r="G197" s="763"/>
      <c r="H197" s="763"/>
      <c r="I197" s="705"/>
      <c r="J197" s="763"/>
      <c r="K197" s="731"/>
      <c r="L197" s="763"/>
      <c r="M197" s="763"/>
      <c r="N197" s="763"/>
      <c r="O197" s="731"/>
      <c r="P197" s="763"/>
      <c r="Q197" s="705"/>
      <c r="R197" s="763"/>
      <c r="S197" s="763"/>
      <c r="T197" s="763"/>
      <c r="U197" s="763"/>
      <c r="V197" s="763"/>
      <c r="W197" s="763"/>
      <c r="X197" s="763"/>
      <c r="Y197" s="763"/>
      <c r="Z197" s="763"/>
      <c r="AA197" s="763"/>
      <c r="AB197" s="763"/>
      <c r="AC197" s="763"/>
      <c r="AD197" s="763"/>
      <c r="AE197" s="763"/>
      <c r="AF197" s="763"/>
      <c r="AG197" s="763"/>
      <c r="AH197" s="763"/>
      <c r="AI197" s="766"/>
      <c r="AJ197" s="763"/>
      <c r="AK197" s="763"/>
      <c r="AL197" s="763"/>
      <c r="AM197" s="763"/>
      <c r="AN197" s="763"/>
      <c r="AO197" s="763"/>
      <c r="AP197" s="763"/>
      <c r="AQ197" s="763"/>
      <c r="AR197" s="765"/>
      <c r="AS197" s="796"/>
      <c r="AT197" s="763"/>
      <c r="AU197" s="763"/>
      <c r="AV197" s="763"/>
      <c r="AW197" s="763"/>
      <c r="AX197" s="763"/>
      <c r="AY197" s="763"/>
      <c r="AZ197" s="763"/>
      <c r="BA197" s="862"/>
      <c r="BB197" s="862"/>
      <c r="BC197" s="862"/>
      <c r="BD197" s="763"/>
      <c r="BE197" s="763"/>
      <c r="BF197" s="763"/>
      <c r="BG197" s="763"/>
      <c r="BH197" s="862"/>
      <c r="BI197" s="862"/>
      <c r="BJ197" s="862"/>
    </row>
    <row r="198" ht="15.75" customHeight="1">
      <c r="A198" s="863"/>
      <c r="B198" s="879" t="s">
        <v>6690</v>
      </c>
      <c r="C198" s="722"/>
      <c r="D198" s="770"/>
      <c r="E198" s="763"/>
      <c r="F198" s="705"/>
      <c r="G198" s="763"/>
      <c r="H198" s="765" t="s">
        <v>1524</v>
      </c>
      <c r="I198" s="705"/>
      <c r="J198" s="763"/>
      <c r="K198" s="731"/>
      <c r="L198" s="763"/>
      <c r="M198" s="763"/>
      <c r="N198" s="763"/>
      <c r="O198" s="731"/>
      <c r="P198" s="763"/>
      <c r="Q198" s="705"/>
      <c r="R198" s="763"/>
      <c r="S198" s="763"/>
      <c r="T198" s="763"/>
      <c r="U198" s="763"/>
      <c r="V198" s="763"/>
      <c r="W198" s="763"/>
      <c r="X198" s="763"/>
      <c r="Y198" s="763"/>
      <c r="Z198" s="763"/>
      <c r="AA198" s="763"/>
      <c r="AB198" s="763"/>
      <c r="AC198" s="763"/>
      <c r="AD198" s="763"/>
      <c r="AE198" s="763"/>
      <c r="AF198" s="763"/>
      <c r="AG198" s="763"/>
      <c r="AH198" s="763"/>
      <c r="AI198" s="766"/>
      <c r="AJ198" s="763"/>
      <c r="AK198" s="763"/>
      <c r="AL198" s="763"/>
      <c r="AM198" s="763"/>
      <c r="AN198" s="763"/>
      <c r="AO198" s="763"/>
      <c r="AP198" s="763"/>
      <c r="AQ198" s="763"/>
      <c r="AR198" s="765"/>
      <c r="AS198" s="796"/>
      <c r="AT198" s="763"/>
      <c r="AU198" s="763"/>
      <c r="AV198" s="763"/>
      <c r="AW198" s="763"/>
      <c r="AX198" s="763"/>
      <c r="AY198" s="763"/>
      <c r="AZ198" s="763"/>
      <c r="BA198" s="862"/>
      <c r="BB198" s="862"/>
      <c r="BC198" s="862"/>
      <c r="BD198" s="763"/>
      <c r="BE198" s="763"/>
      <c r="BF198" s="763"/>
      <c r="BG198" s="763"/>
      <c r="BH198" s="862"/>
      <c r="BI198" s="862"/>
      <c r="BJ198" s="862"/>
    </row>
    <row r="199" ht="15.75" customHeight="1">
      <c r="A199" s="860" t="s">
        <v>6414</v>
      </c>
      <c r="B199" s="867" t="s">
        <v>6691</v>
      </c>
      <c r="C199" s="722" t="s">
        <v>1995</v>
      </c>
      <c r="D199" s="770"/>
      <c r="E199" s="763"/>
      <c r="F199" s="705" t="s">
        <v>6692</v>
      </c>
      <c r="G199" s="763"/>
      <c r="H199" s="763"/>
      <c r="I199" s="705" t="s">
        <v>2948</v>
      </c>
      <c r="J199" s="763"/>
      <c r="K199" s="731" t="s">
        <v>6693</v>
      </c>
      <c r="L199" s="763"/>
      <c r="M199" s="763"/>
      <c r="N199" s="763" t="s">
        <v>6694</v>
      </c>
      <c r="O199" s="731" t="s">
        <v>1192</v>
      </c>
      <c r="P199" s="763"/>
      <c r="Q199" s="705" t="s">
        <v>6693</v>
      </c>
      <c r="R199" s="763"/>
      <c r="S199" s="763"/>
      <c r="T199" s="763"/>
      <c r="U199" s="763"/>
      <c r="V199" s="763"/>
      <c r="W199" s="763"/>
      <c r="X199" s="763"/>
      <c r="Y199" s="763"/>
      <c r="Z199" s="763"/>
      <c r="AA199" s="763"/>
      <c r="AB199" s="763"/>
      <c r="AC199" s="763"/>
      <c r="AD199" s="763"/>
      <c r="AE199" s="763"/>
      <c r="AF199" s="763"/>
      <c r="AG199" s="763"/>
      <c r="AH199" s="763"/>
      <c r="AI199" s="766"/>
      <c r="AJ199" s="763"/>
      <c r="AK199" s="763"/>
      <c r="AL199" s="763"/>
      <c r="AM199" s="763"/>
      <c r="AN199" s="763"/>
      <c r="AO199" s="763"/>
      <c r="AP199" s="763"/>
      <c r="AQ199" s="763"/>
      <c r="AR199" s="765" t="s">
        <v>3997</v>
      </c>
      <c r="AS199" s="751" t="s">
        <v>972</v>
      </c>
      <c r="AT199" s="763"/>
      <c r="AU199" s="763"/>
      <c r="AV199" s="763"/>
      <c r="AW199" s="763"/>
      <c r="AX199" s="763"/>
      <c r="AY199" s="763"/>
      <c r="AZ199" s="763"/>
      <c r="BA199" s="862"/>
      <c r="BB199" s="862"/>
      <c r="BC199" s="862"/>
      <c r="BD199" s="763"/>
      <c r="BE199" s="763"/>
      <c r="BF199" s="763"/>
      <c r="BG199" s="763"/>
      <c r="BH199" s="862"/>
      <c r="BI199" s="862"/>
      <c r="BJ199" s="862"/>
    </row>
    <row r="200" ht="15.75" customHeight="1">
      <c r="A200" s="863"/>
      <c r="B200" s="864" t="s">
        <v>6695</v>
      </c>
      <c r="C200" s="722" t="s">
        <v>390</v>
      </c>
      <c r="D200" s="770"/>
      <c r="E200" s="705" t="s">
        <v>165</v>
      </c>
      <c r="F200" s="705" t="s">
        <v>1843</v>
      </c>
      <c r="G200" s="703" t="s">
        <v>872</v>
      </c>
      <c r="H200" s="731"/>
      <c r="I200" s="705" t="s">
        <v>1303</v>
      </c>
      <c r="J200" s="763"/>
      <c r="K200" s="731" t="s">
        <v>1462</v>
      </c>
      <c r="L200" s="763"/>
      <c r="M200" s="707" t="s">
        <v>1163</v>
      </c>
      <c r="N200" s="763"/>
      <c r="O200" s="763"/>
      <c r="P200" s="763"/>
      <c r="Q200" s="763"/>
      <c r="R200" s="763"/>
      <c r="S200" s="763"/>
      <c r="T200" s="763"/>
      <c r="U200" s="763"/>
      <c r="V200" s="763"/>
      <c r="W200" s="763"/>
      <c r="X200" s="763"/>
      <c r="Y200" s="763"/>
      <c r="Z200" s="763"/>
      <c r="AA200" s="763"/>
      <c r="AB200" s="763"/>
      <c r="AC200" s="763"/>
      <c r="AD200" s="763"/>
      <c r="AE200" s="763"/>
      <c r="AF200" s="763"/>
      <c r="AG200" s="763"/>
      <c r="AH200" s="763"/>
      <c r="AI200" s="766"/>
      <c r="AJ200" s="763"/>
      <c r="AK200" s="763"/>
      <c r="AL200" s="763"/>
      <c r="AM200" s="763"/>
      <c r="AN200" s="763"/>
      <c r="AO200" s="763"/>
      <c r="AP200" s="763"/>
      <c r="AQ200" s="763"/>
      <c r="AR200" s="705" t="s">
        <v>1518</v>
      </c>
      <c r="AS200" s="751" t="s">
        <v>3222</v>
      </c>
      <c r="AT200" s="763"/>
      <c r="AU200" s="763"/>
      <c r="AV200" s="763"/>
      <c r="AW200" s="763"/>
      <c r="AX200" s="763"/>
      <c r="AY200" s="763"/>
      <c r="AZ200" s="763"/>
      <c r="BA200" s="716"/>
      <c r="BB200" s="716"/>
      <c r="BC200" s="716"/>
      <c r="BD200" s="763"/>
      <c r="BE200" s="763"/>
      <c r="BF200" s="763"/>
      <c r="BG200" s="763"/>
      <c r="BH200" s="716"/>
      <c r="BI200" s="716"/>
      <c r="BJ200" s="716"/>
    </row>
    <row r="201" ht="15.75" customHeight="1">
      <c r="A201" s="860" t="s">
        <v>6418</v>
      </c>
      <c r="B201" s="867" t="s">
        <v>6696</v>
      </c>
      <c r="C201" s="702" t="s">
        <v>1463</v>
      </c>
      <c r="D201" s="770"/>
      <c r="E201" s="763"/>
      <c r="F201" s="763"/>
      <c r="G201" s="763"/>
      <c r="H201" s="763"/>
      <c r="I201" s="731"/>
      <c r="J201" s="705" t="s">
        <v>1463</v>
      </c>
      <c r="K201" s="763"/>
      <c r="L201" s="708" t="s">
        <v>6697</v>
      </c>
      <c r="M201" s="763"/>
      <c r="N201" s="763"/>
      <c r="O201" s="731" t="s">
        <v>3359</v>
      </c>
      <c r="P201" s="763"/>
      <c r="Q201" s="763"/>
      <c r="R201" s="763"/>
      <c r="S201" s="763"/>
      <c r="T201" s="763"/>
      <c r="U201" s="763"/>
      <c r="V201" s="763"/>
      <c r="W201" s="763"/>
      <c r="X201" s="763"/>
      <c r="Y201" s="763"/>
      <c r="Z201" s="763"/>
      <c r="AA201" s="763"/>
      <c r="AB201" s="763"/>
      <c r="AC201" s="763"/>
      <c r="AD201" s="763"/>
      <c r="AE201" s="763"/>
      <c r="AF201" s="763"/>
      <c r="AG201" s="763"/>
      <c r="AH201" s="763"/>
      <c r="AI201" s="766"/>
      <c r="AJ201" s="763"/>
      <c r="AK201" s="763"/>
      <c r="AL201" s="763"/>
      <c r="AM201" s="763"/>
      <c r="AN201" s="763"/>
      <c r="AO201" s="763"/>
      <c r="AP201" s="763"/>
      <c r="AQ201" s="763"/>
      <c r="AR201" s="737" t="s">
        <v>1763</v>
      </c>
      <c r="AS201" s="763"/>
      <c r="AT201" s="763"/>
      <c r="AU201" s="763"/>
      <c r="AV201" s="763"/>
      <c r="AW201" s="763"/>
      <c r="AX201" s="763"/>
      <c r="AY201" s="763"/>
      <c r="AZ201" s="751" t="s">
        <v>6698</v>
      </c>
      <c r="BA201" s="862"/>
      <c r="BB201" s="862"/>
      <c r="BC201" s="862"/>
      <c r="BD201" s="763"/>
      <c r="BE201" s="763"/>
      <c r="BF201" s="763"/>
      <c r="BG201" s="763"/>
      <c r="BH201" s="862"/>
      <c r="BI201" s="862"/>
      <c r="BJ201" s="862"/>
    </row>
    <row r="202" ht="15.75" customHeight="1">
      <c r="A202" s="860" t="s">
        <v>57</v>
      </c>
      <c r="B202" s="867" t="s">
        <v>6699</v>
      </c>
      <c r="C202" s="722" t="s">
        <v>1465</v>
      </c>
      <c r="D202" s="770"/>
      <c r="E202" s="763"/>
      <c r="F202" s="763"/>
      <c r="G202" s="703" t="s">
        <v>876</v>
      </c>
      <c r="H202" s="763"/>
      <c r="I202" s="708" t="s">
        <v>1305</v>
      </c>
      <c r="J202" s="705" t="s">
        <v>1465</v>
      </c>
      <c r="K202" s="763"/>
      <c r="L202" s="763"/>
      <c r="M202" s="763"/>
      <c r="N202" s="763"/>
      <c r="O202" s="763"/>
      <c r="P202" s="763"/>
      <c r="Q202" s="763"/>
      <c r="R202" s="763"/>
      <c r="S202" s="763"/>
      <c r="T202" s="763"/>
      <c r="U202" s="763"/>
      <c r="V202" s="763"/>
      <c r="W202" s="763"/>
      <c r="X202" s="763"/>
      <c r="Y202" s="763"/>
      <c r="Z202" s="763"/>
      <c r="AA202" s="763"/>
      <c r="AB202" s="763"/>
      <c r="AC202" s="763"/>
      <c r="AD202" s="763"/>
      <c r="AE202" s="763"/>
      <c r="AF202" s="763"/>
      <c r="AG202" s="710" t="str">
        <f>HYPERLINK("https://youtu.be/fYWiIA5i7cs","2:29.99")</f>
        <v>2:29.99</v>
      </c>
      <c r="AH202" s="763"/>
      <c r="AI202" s="766"/>
      <c r="AJ202" s="763"/>
      <c r="AK202" s="763"/>
      <c r="AL202" s="763"/>
      <c r="AM202" s="763"/>
      <c r="AN202" s="763"/>
      <c r="AO202" s="763"/>
      <c r="AP202" s="763"/>
      <c r="AQ202" s="763"/>
      <c r="AR202" s="763"/>
      <c r="AS202" s="763"/>
      <c r="AT202" s="763"/>
      <c r="AU202" s="763"/>
      <c r="AV202" s="763"/>
      <c r="AW202" s="763"/>
      <c r="AX202" s="763"/>
      <c r="AY202" s="763"/>
      <c r="AZ202" s="763"/>
      <c r="BA202" s="716"/>
      <c r="BB202" s="716"/>
      <c r="BC202" s="716"/>
      <c r="BD202" s="763"/>
      <c r="BE202" s="763"/>
      <c r="BF202" s="763"/>
      <c r="BG202" s="763"/>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2"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3"/>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2"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3"/>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2"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3"/>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3"/>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2"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3"/>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7"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3"/>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2"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3"/>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2"/>
      <c r="D211" s="736"/>
      <c r="E211" s="806"/>
      <c r="F211" s="806"/>
      <c r="G211" s="736"/>
      <c r="H211" s="806"/>
      <c r="I211" s="805"/>
      <c r="J211" s="806"/>
      <c r="K211" s="806"/>
      <c r="L211" s="851"/>
      <c r="M211" s="806"/>
      <c r="N211" s="806"/>
      <c r="O211" s="806"/>
      <c r="P211" s="806"/>
      <c r="Q211" s="736"/>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3"/>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2" t="s">
        <v>6719</v>
      </c>
      <c r="D212" s="736"/>
      <c r="E212" s="806"/>
      <c r="F212" s="806"/>
      <c r="G212" s="736"/>
      <c r="H212" s="806"/>
      <c r="I212" s="805" t="s">
        <v>6720</v>
      </c>
      <c r="J212" s="806"/>
      <c r="K212" s="806"/>
      <c r="L212" s="829" t="s">
        <v>4479</v>
      </c>
      <c r="M212" s="806"/>
      <c r="N212" s="806"/>
      <c r="O212" s="806"/>
      <c r="P212" s="806"/>
      <c r="Q212" s="736"/>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3"/>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2"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3"/>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2"/>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3"/>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3"/>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3"/>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2"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3"/>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2"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3"/>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3"/>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3"/>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2" t="s">
        <v>4069</v>
      </c>
      <c r="D220" s="805" t="s">
        <v>4069</v>
      </c>
      <c r="E220" s="806"/>
      <c r="F220" s="806"/>
      <c r="G220" s="806"/>
      <c r="H220" s="806"/>
      <c r="I220" s="806"/>
      <c r="J220" s="806"/>
      <c r="K220" s="806"/>
      <c r="L220" s="806"/>
      <c r="M220" s="806"/>
      <c r="N220" s="806"/>
      <c r="O220" s="806"/>
      <c r="P220" s="763"/>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3"/>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3"/>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3"/>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2"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3"/>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3"/>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2"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3"/>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2"/>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3"/>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3"/>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3"/>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2"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3"/>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2"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3"/>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2"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3"/>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3"/>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3"/>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2"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3"/>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2"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3"/>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7" t="s">
        <v>1776</v>
      </c>
      <c r="AS235" s="806"/>
      <c r="AT235" s="763"/>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2"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3"/>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3"/>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3"/>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3"/>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7"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3"/>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2" t="s">
        <v>2146</v>
      </c>
      <c r="D242" s="805" t="s">
        <v>2146</v>
      </c>
      <c r="E242" s="806"/>
      <c r="F242" s="736"/>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3"/>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3"/>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2"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3"/>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2"/>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3"/>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2"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3"/>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5"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3"/>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2"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3"/>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2"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5"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3"/>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2" t="s">
        <v>4149</v>
      </c>
      <c r="D250" s="805" t="s">
        <v>3993</v>
      </c>
      <c r="E250" s="818" t="s">
        <v>6777</v>
      </c>
      <c r="F250" s="806"/>
      <c r="G250" s="817" t="s">
        <v>6778</v>
      </c>
      <c r="H250" s="806"/>
      <c r="I250" s="805" t="s">
        <v>6779</v>
      </c>
      <c r="J250" s="808" t="str">
        <f>HYPERLINK("https://youtu.be/fNmQmNF7N9I","46.93")</f>
        <v>46.93</v>
      </c>
      <c r="K250" s="806"/>
      <c r="L250" s="764"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3"/>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3"/>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2" t="s">
        <v>3106</v>
      </c>
      <c r="M252" s="818" t="s">
        <v>512</v>
      </c>
      <c r="N252" s="765"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3"/>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3"/>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3"/>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2"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3"/>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3"/>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3"/>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6"/>
      <c r="AT258" s="751"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2"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5"/>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2"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3"/>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2"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3"/>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6"/>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7" t="s">
        <v>1782</v>
      </c>
      <c r="AS262" s="806"/>
      <c r="AT262" s="763"/>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2"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3"/>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2"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3"/>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2"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3"/>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3"/>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2"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3"/>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2"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3"/>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2"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3"/>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2"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3"/>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3"/>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3"/>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2"/>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3"/>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2"/>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3"/>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3"/>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7"/>
      <c r="AS277" s="806"/>
      <c r="AT277" s="763"/>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2"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3"/>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2"/>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3"/>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2"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3"/>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2"/>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3"/>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2"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3"/>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2"/>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3"/>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2"/>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3"/>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2"/>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3"/>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2"/>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3"/>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2"/>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3"/>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7"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3"/>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2"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3"/>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7"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3"/>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2"/>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3"/>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3"/>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3"/>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3"/>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2"/>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3"/>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2"/>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3"/>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2"/>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3"/>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2"/>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3"/>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2"/>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3"/>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2"/>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3"/>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3"/>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2"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3"/>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3"/>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2"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3"/>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3"/>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3"/>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2"/>
      <c r="G308" s="705" t="s">
        <v>3162</v>
      </c>
      <c r="H308" s="702" t="s">
        <v>2302</v>
      </c>
      <c r="I308" s="704"/>
      <c r="J308" s="742"/>
      <c r="K308" s="742"/>
      <c r="L308" s="703" t="s">
        <v>1696</v>
      </c>
      <c r="M308" s="704"/>
      <c r="N308" s="704"/>
      <c r="O308" s="742"/>
      <c r="P308" s="704"/>
      <c r="Q308" s="704"/>
      <c r="R308" s="706" t="s">
        <v>2061</v>
      </c>
      <c r="S308" s="704"/>
      <c r="T308" s="742"/>
      <c r="U308" s="742"/>
      <c r="V308" s="705" t="s">
        <v>1430</v>
      </c>
      <c r="W308" s="704"/>
      <c r="X308" s="712"/>
      <c r="Y308" s="704"/>
      <c r="Z308" s="742"/>
      <c r="AA308" s="742"/>
      <c r="AB308" s="711"/>
      <c r="AC308" s="742"/>
      <c r="AD308" s="742"/>
      <c r="AE308" s="704"/>
      <c r="AF308" s="742"/>
      <c r="AG308" s="742"/>
      <c r="AH308" s="742"/>
      <c r="AI308" s="744"/>
      <c r="AJ308" s="742"/>
      <c r="AK308" s="742"/>
      <c r="AL308" s="742"/>
      <c r="AM308" s="742"/>
      <c r="AN308" s="704"/>
      <c r="AO308" s="742"/>
      <c r="AP308" s="704"/>
      <c r="AQ308" s="742"/>
      <c r="AR308" s="742"/>
      <c r="AS308" s="742"/>
      <c r="AT308" s="742"/>
      <c r="AU308" s="742"/>
      <c r="AV308" s="742"/>
      <c r="AW308" s="742"/>
      <c r="AX308" s="742"/>
      <c r="AY308" s="742"/>
      <c r="AZ308" s="742"/>
      <c r="BA308" s="930"/>
      <c r="BB308" s="930"/>
      <c r="BC308" s="930"/>
      <c r="BD308" s="742"/>
      <c r="BE308" s="742"/>
      <c r="BF308" s="742"/>
      <c r="BG308" s="742"/>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3"/>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3"/>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3"/>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3"/>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3"/>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3"/>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3"/>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3"/>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2"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3"/>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3"/>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3"/>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2"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3"/>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3"/>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3"/>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2"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3"/>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7"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3"/>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7"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6119</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7188</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7397</v>
      </c>
      <c r="BT27" s="1075" t="s">
        <v>316</v>
      </c>
      <c r="BU27" s="1048" t="s">
        <v>7456</v>
      </c>
      <c r="BV27" s="1019"/>
      <c r="BW27" s="1020" t="s">
        <v>3617</v>
      </c>
      <c r="BX27" s="1031"/>
      <c r="BY27" s="1025"/>
      <c r="BZ27" s="1025"/>
      <c r="CA27" s="1051"/>
      <c r="CB27" s="1051"/>
      <c r="CC27" s="1051"/>
      <c r="CD27" s="1025"/>
      <c r="CE27" s="1024" t="s">
        <v>7398</v>
      </c>
      <c r="CF27" s="1024" t="s">
        <v>7457</v>
      </c>
      <c r="CG27" s="1025"/>
      <c r="CH27" s="1025"/>
      <c r="CI27" s="1025"/>
      <c r="CJ27" s="1051"/>
      <c r="CK27" s="1051"/>
    </row>
    <row r="28">
      <c r="A28" s="1143" t="s">
        <v>5236</v>
      </c>
      <c r="B28" s="983" t="s">
        <v>7420</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7327</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7"/>
      <c r="I39" s="737"/>
      <c r="J39" s="737"/>
      <c r="K39" s="737"/>
      <c r="L39" s="737"/>
      <c r="M39" s="1152"/>
      <c r="N39" s="737"/>
      <c r="O39" s="988"/>
      <c r="P39" s="1031"/>
      <c r="Q39" s="994"/>
      <c r="R39" s="1152"/>
      <c r="S39" s="1152"/>
      <c r="T39" s="1152"/>
      <c r="U39" s="1152"/>
      <c r="V39" s="1152"/>
      <c r="W39" s="1153"/>
      <c r="X39" s="708" t="s">
        <v>1090</v>
      </c>
      <c r="Y39" s="737" t="s">
        <v>7582</v>
      </c>
      <c r="Z39" s="737"/>
      <c r="AA39" s="737"/>
      <c r="AB39" s="708" t="s">
        <v>4956</v>
      </c>
      <c r="AC39" s="737"/>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7"/>
      <c r="AX39" s="1152"/>
      <c r="AY39" s="1005"/>
      <c r="AZ39" s="992"/>
      <c r="BA39" s="1094"/>
      <c r="BB39" s="1152"/>
      <c r="BC39" s="1152"/>
      <c r="BD39" s="1152"/>
      <c r="BE39" s="1152"/>
      <c r="BF39" s="992"/>
      <c r="BG39" s="1017"/>
      <c r="BH39" s="1152"/>
      <c r="BI39" s="1152"/>
      <c r="BJ39" s="737"/>
      <c r="BK39" s="1152"/>
      <c r="BL39" s="1152"/>
      <c r="BM39" s="1017"/>
      <c r="BN39" s="1031"/>
      <c r="BO39" s="1019"/>
      <c r="BP39" s="1152"/>
      <c r="BQ39" s="1152"/>
      <c r="BR39" s="1152"/>
      <c r="BS39" s="1152"/>
      <c r="BT39" s="1152"/>
      <c r="BU39" s="737"/>
      <c r="BV39" s="737"/>
      <c r="BW39" s="1019"/>
      <c r="BX39" s="1031"/>
      <c r="BY39" s="1025"/>
      <c r="BZ39" s="1152"/>
      <c r="CA39" s="1152"/>
      <c r="CB39" s="1152"/>
      <c r="CC39" s="1152"/>
      <c r="CD39" s="1152"/>
      <c r="CE39" s="1152"/>
      <c r="CF39" s="1152"/>
      <c r="CG39" s="1152"/>
      <c r="CH39" s="1152"/>
      <c r="CI39" s="1152"/>
      <c r="CJ39" s="737"/>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7" t="s">
        <v>7740</v>
      </c>
      <c r="I3" s="1189" t="s">
        <v>7741</v>
      </c>
      <c r="J3" s="737" t="s">
        <v>7432</v>
      </c>
      <c r="K3" s="1190" t="s">
        <v>7742</v>
      </c>
      <c r="L3" s="1189" t="s">
        <v>3941</v>
      </c>
      <c r="M3" s="773" t="s">
        <v>7743</v>
      </c>
      <c r="N3" s="737" t="s">
        <v>7744</v>
      </c>
      <c r="O3" s="1191" t="s">
        <v>7745</v>
      </c>
      <c r="P3" s="1192" t="s">
        <v>7746</v>
      </c>
      <c r="Q3" s="1191" t="s">
        <v>7747</v>
      </c>
      <c r="R3" s="737" t="s">
        <v>7748</v>
      </c>
      <c r="S3" s="1193" t="s">
        <v>7749</v>
      </c>
      <c r="T3" s="708" t="s">
        <v>7750</v>
      </c>
      <c r="U3" s="1192" t="s">
        <v>7751</v>
      </c>
      <c r="V3" s="737" t="s">
        <v>7752</v>
      </c>
      <c r="W3" s="737" t="s">
        <v>2389</v>
      </c>
      <c r="X3" s="1193" t="s">
        <v>1689</v>
      </c>
      <c r="Y3" s="737" t="s">
        <v>1866</v>
      </c>
      <c r="Z3" s="1193" t="s">
        <v>7753</v>
      </c>
      <c r="AA3" s="737" t="s">
        <v>4370</v>
      </c>
      <c r="AB3" s="1193"/>
      <c r="AC3" s="737" t="s">
        <v>7754</v>
      </c>
      <c r="AD3" s="737" t="s">
        <v>3716</v>
      </c>
      <c r="AE3" s="737" t="s">
        <v>7755</v>
      </c>
      <c r="AF3" s="1193" t="s">
        <v>7756</v>
      </c>
      <c r="AG3" s="1193"/>
      <c r="AH3" s="1193" t="s">
        <v>7757</v>
      </c>
      <c r="AI3" s="1193" t="s">
        <v>7758</v>
      </c>
      <c r="AJ3" s="1194"/>
      <c r="AK3" s="1193"/>
      <c r="AL3" s="737"/>
      <c r="AM3" s="1193" t="s">
        <v>7759</v>
      </c>
      <c r="AN3" s="1192" t="s">
        <v>7760</v>
      </c>
      <c r="AO3" s="1192" t="s">
        <v>7761</v>
      </c>
      <c r="AP3" s="1192" t="s">
        <v>7762</v>
      </c>
      <c r="AQ3" s="1192" t="s">
        <v>7763</v>
      </c>
      <c r="AR3" s="1192" t="s">
        <v>7764</v>
      </c>
      <c r="AS3" s="1192" t="s">
        <v>7765</v>
      </c>
      <c r="AT3" s="773" t="s">
        <v>7766</v>
      </c>
      <c r="AU3" s="1192" t="s">
        <v>7767</v>
      </c>
      <c r="AV3" s="1192" t="s">
        <v>7768</v>
      </c>
      <c r="AW3" s="708" t="s">
        <v>7769</v>
      </c>
      <c r="AX3" s="1192" t="s">
        <v>7770</v>
      </c>
      <c r="AY3" s="1193" t="s">
        <v>7771</v>
      </c>
      <c r="AZ3" s="1193" t="s">
        <v>5020</v>
      </c>
      <c r="BA3" s="1192" t="s">
        <v>7772</v>
      </c>
      <c r="BB3" s="1193" t="s">
        <v>7773</v>
      </c>
      <c r="BC3" s="1193" t="s">
        <v>7774</v>
      </c>
      <c r="BD3" s="737" t="s">
        <v>7775</v>
      </c>
      <c r="BE3" s="1193"/>
      <c r="BF3" s="1192" t="s">
        <v>7776</v>
      </c>
      <c r="BG3" s="1193"/>
      <c r="BH3" s="1193"/>
      <c r="BI3" s="1193" t="s">
        <v>7777</v>
      </c>
      <c r="BJ3" s="1193"/>
      <c r="BK3" s="1193"/>
      <c r="BL3" s="737"/>
      <c r="BM3" s="1193" t="s">
        <v>7778</v>
      </c>
      <c r="BN3" s="1193"/>
      <c r="BO3" s="1193"/>
      <c r="BP3" s="1193"/>
      <c r="BQ3" s="737" t="s">
        <v>7779</v>
      </c>
      <c r="BR3" s="1194"/>
      <c r="BS3" s="737" t="s">
        <v>7780</v>
      </c>
      <c r="BT3" s="1194"/>
      <c r="BU3" s="737" t="s">
        <v>7781</v>
      </c>
      <c r="BV3" s="1152"/>
      <c r="BW3" s="1194"/>
      <c r="BX3" s="1193" t="s">
        <v>3914</v>
      </c>
      <c r="BY3" s="1194"/>
      <c r="BZ3" s="1152"/>
      <c r="CA3" s="1193" t="s">
        <v>6028</v>
      </c>
      <c r="CB3" s="1193" t="s">
        <v>368</v>
      </c>
      <c r="CC3" s="1193" t="s">
        <v>2301</v>
      </c>
      <c r="CD3" s="1193"/>
      <c r="CE3" s="737" t="s">
        <v>7782</v>
      </c>
      <c r="CF3" s="737" t="s">
        <v>7783</v>
      </c>
      <c r="CG3" s="1193"/>
      <c r="CH3" s="1193"/>
      <c r="CI3" s="1193"/>
      <c r="CJ3" s="1193"/>
      <c r="CK3" s="1193"/>
      <c r="CL3" s="1193"/>
      <c r="CM3" s="1193"/>
      <c r="CN3" s="737"/>
      <c r="CO3" s="1193"/>
      <c r="CP3" s="737" t="s">
        <v>7784</v>
      </c>
      <c r="CQ3" s="737"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7" t="s">
        <v>7790</v>
      </c>
      <c r="L4" s="1194"/>
      <c r="M4" s="1192" t="s">
        <v>7791</v>
      </c>
      <c r="N4" s="1152"/>
      <c r="O4" s="708" t="s">
        <v>7792</v>
      </c>
      <c r="P4" s="1191" t="s">
        <v>7793</v>
      </c>
      <c r="Q4" s="1194"/>
      <c r="R4" s="708" t="s">
        <v>7794</v>
      </c>
      <c r="S4" s="1152"/>
      <c r="T4" s="737" t="s">
        <v>7795</v>
      </c>
      <c r="U4" s="708" t="s">
        <v>7295</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7" t="s">
        <v>7801</v>
      </c>
      <c r="AO4" s="737" t="s">
        <v>7802</v>
      </c>
      <c r="AP4" s="1189" t="s">
        <v>7759</v>
      </c>
      <c r="AQ4" s="1152"/>
      <c r="AR4" s="737"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7" t="s">
        <v>7810</v>
      </c>
      <c r="I5" s="737" t="s">
        <v>7500</v>
      </c>
      <c r="J5" s="737"/>
      <c r="K5" s="1191" t="s">
        <v>7811</v>
      </c>
      <c r="L5" s="1192" t="s">
        <v>7812</v>
      </c>
      <c r="M5" s="737"/>
      <c r="N5" s="737"/>
      <c r="O5" s="1189" t="s">
        <v>7813</v>
      </c>
      <c r="P5" s="737" t="s">
        <v>7814</v>
      </c>
      <c r="Q5" s="737" t="s">
        <v>7815</v>
      </c>
      <c r="R5" s="1192" t="s">
        <v>7816</v>
      </c>
      <c r="S5" s="737"/>
      <c r="T5" s="1191" t="s">
        <v>7817</v>
      </c>
      <c r="U5" s="1191" t="s">
        <v>7818</v>
      </c>
      <c r="V5" s="737"/>
      <c r="W5" s="737" t="s">
        <v>6327</v>
      </c>
      <c r="X5" s="737"/>
      <c r="Y5" s="737" t="s">
        <v>1795</v>
      </c>
      <c r="Z5" s="1191" t="s">
        <v>1067</v>
      </c>
      <c r="AA5" s="842"/>
      <c r="AB5" s="842"/>
      <c r="AC5" s="737" t="s">
        <v>7819</v>
      </c>
      <c r="AD5" s="1152"/>
      <c r="AE5" s="737"/>
      <c r="AF5" s="737" t="s">
        <v>7820</v>
      </c>
      <c r="AG5" s="737"/>
      <c r="AH5" s="737" t="s">
        <v>7821</v>
      </c>
      <c r="AI5" s="737" t="s">
        <v>2009</v>
      </c>
      <c r="AJ5" s="1152"/>
      <c r="AK5" s="737"/>
      <c r="AL5" s="737"/>
      <c r="AM5" s="737" t="s">
        <v>7822</v>
      </c>
      <c r="AN5" s="1152"/>
      <c r="AO5" s="1152"/>
      <c r="AP5" s="737" t="s">
        <v>7823</v>
      </c>
      <c r="AQ5" s="1191" t="s">
        <v>7824</v>
      </c>
      <c r="AR5" s="737" t="s">
        <v>7825</v>
      </c>
      <c r="AS5" s="737"/>
      <c r="AT5" s="737" t="s">
        <v>7826</v>
      </c>
      <c r="AU5" s="708" t="s">
        <v>7827</v>
      </c>
      <c r="AV5" s="737"/>
      <c r="AW5" s="1200" t="s">
        <v>7828</v>
      </c>
      <c r="AX5" s="114"/>
      <c r="AY5" s="114" t="s">
        <v>7829</v>
      </c>
      <c r="AZ5" s="737" t="s">
        <v>2924</v>
      </c>
      <c r="BA5" s="737"/>
      <c r="BB5" s="737" t="s">
        <v>7809</v>
      </c>
      <c r="BC5" s="1192" t="s">
        <v>7830</v>
      </c>
      <c r="BD5" s="737" t="s">
        <v>7831</v>
      </c>
      <c r="BE5" s="737"/>
      <c r="BF5" s="737"/>
      <c r="BG5" s="737" t="s">
        <v>7832</v>
      </c>
      <c r="BH5" s="737"/>
      <c r="BI5" s="737"/>
      <c r="BJ5" s="737"/>
      <c r="BK5" s="737" t="s">
        <v>7833</v>
      </c>
      <c r="BL5" s="737"/>
      <c r="BM5" s="737"/>
      <c r="BN5" s="737"/>
      <c r="BO5" s="737"/>
      <c r="BP5" s="737" t="s">
        <v>7834</v>
      </c>
      <c r="BQ5" s="1152"/>
      <c r="BR5" s="1152"/>
      <c r="BS5" s="1152"/>
      <c r="BT5" s="1152"/>
      <c r="BU5" s="1152"/>
      <c r="BV5" s="737"/>
      <c r="BW5" s="737" t="s">
        <v>6546</v>
      </c>
      <c r="BX5" s="737"/>
      <c r="BY5" s="737"/>
      <c r="BZ5" s="737"/>
      <c r="CA5" s="737"/>
      <c r="CB5" s="737" t="s">
        <v>2336</v>
      </c>
      <c r="CC5" s="737"/>
      <c r="CD5" s="737"/>
      <c r="CE5" s="737"/>
      <c r="CF5" s="737"/>
      <c r="CG5" s="737"/>
      <c r="CH5" s="737"/>
      <c r="CI5" s="737"/>
      <c r="CJ5" s="737"/>
      <c r="CK5" s="737"/>
      <c r="CL5" s="737"/>
      <c r="CM5" s="737"/>
      <c r="CN5" s="737"/>
      <c r="CO5" s="737"/>
      <c r="CP5" s="737"/>
      <c r="CQ5" s="737"/>
      <c r="CR5" s="737"/>
      <c r="CS5" s="737"/>
      <c r="CT5" s="114"/>
    </row>
    <row r="6">
      <c r="A6" s="1201" t="s">
        <v>6284</v>
      </c>
      <c r="B6" s="983" t="s">
        <v>7835</v>
      </c>
      <c r="C6" s="984" t="s">
        <v>984</v>
      </c>
      <c r="D6" s="985" t="s">
        <v>1195</v>
      </c>
      <c r="E6" s="986" t="s">
        <v>1058</v>
      </c>
      <c r="F6" s="987" t="s">
        <v>4576</v>
      </c>
      <c r="G6" s="983" t="s">
        <v>6102</v>
      </c>
      <c r="H6" s="1191" t="s">
        <v>7836</v>
      </c>
      <c r="I6" s="708" t="s">
        <v>7837</v>
      </c>
      <c r="J6" s="737"/>
      <c r="K6" s="1189" t="s">
        <v>7838</v>
      </c>
      <c r="L6" s="708" t="s">
        <v>7839</v>
      </c>
      <c r="M6" s="1152"/>
      <c r="N6" s="1152"/>
      <c r="O6" s="708" t="s">
        <v>7840</v>
      </c>
      <c r="P6" s="1152"/>
      <c r="Q6" s="737" t="s">
        <v>7841</v>
      </c>
      <c r="R6" s="1191" t="s">
        <v>7842</v>
      </c>
      <c r="S6" s="1152"/>
      <c r="T6" s="1189" t="s">
        <v>7843</v>
      </c>
      <c r="U6" s="1189" t="s">
        <v>667</v>
      </c>
      <c r="V6" s="737" t="s">
        <v>7844</v>
      </c>
      <c r="W6" s="1152"/>
      <c r="X6" s="1189" t="s">
        <v>5919</v>
      </c>
      <c r="Y6" s="1191" t="s">
        <v>2489</v>
      </c>
      <c r="Z6" s="1152"/>
      <c r="AA6" s="1152"/>
      <c r="AB6" s="1152"/>
      <c r="AC6" s="1152"/>
      <c r="AD6" s="737" t="s">
        <v>7845</v>
      </c>
      <c r="AE6" s="842"/>
      <c r="AF6" s="708" t="s">
        <v>459</v>
      </c>
      <c r="AG6" s="842"/>
      <c r="AH6" s="1152"/>
      <c r="AI6" s="1152"/>
      <c r="AJ6" s="1192" t="s">
        <v>2200</v>
      </c>
      <c r="AK6" s="1191" t="s">
        <v>5908</v>
      </c>
      <c r="AL6" s="743" t="s">
        <v>7846</v>
      </c>
      <c r="AM6" s="1191" t="s">
        <v>7847</v>
      </c>
      <c r="AN6" s="1152"/>
      <c r="AO6" s="1152"/>
      <c r="AP6" s="737" t="s">
        <v>7759</v>
      </c>
      <c r="AQ6" s="737"/>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7"/>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7"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7" t="s">
        <v>7888</v>
      </c>
    </row>
    <row r="8">
      <c r="A8" s="1214" t="s">
        <v>7889</v>
      </c>
      <c r="B8" s="983" t="s">
        <v>7890</v>
      </c>
      <c r="C8" s="984" t="s">
        <v>736</v>
      </c>
      <c r="D8" s="985" t="s">
        <v>1058</v>
      </c>
      <c r="E8" s="986" t="s">
        <v>329</v>
      </c>
      <c r="F8" s="987" t="s">
        <v>219</v>
      </c>
      <c r="G8" s="983" t="s">
        <v>7181</v>
      </c>
      <c r="H8" s="708" t="s">
        <v>7891</v>
      </c>
      <c r="I8" s="708" t="s">
        <v>7892</v>
      </c>
      <c r="J8" s="842"/>
      <c r="K8" s="1152"/>
      <c r="L8" s="1194"/>
      <c r="M8" s="1152"/>
      <c r="N8" s="1152"/>
      <c r="O8" s="1152"/>
      <c r="P8" s="737" t="s">
        <v>7893</v>
      </c>
      <c r="Q8" s="1194"/>
      <c r="R8" s="1189" t="s">
        <v>7894</v>
      </c>
      <c r="S8" s="1152"/>
      <c r="T8" s="1152"/>
      <c r="U8" s="1210" t="s">
        <v>7895</v>
      </c>
      <c r="V8" s="1209"/>
      <c r="W8" s="773" t="s">
        <v>780</v>
      </c>
      <c r="X8" s="1209" t="s">
        <v>3493</v>
      </c>
      <c r="Y8" s="1215" t="s">
        <v>4897</v>
      </c>
      <c r="Z8" s="842"/>
      <c r="AA8" s="842" t="s">
        <v>7896</v>
      </c>
      <c r="AB8" s="1209"/>
      <c r="AC8" s="1189" t="s">
        <v>7897</v>
      </c>
      <c r="AD8" s="708" t="s">
        <v>814</v>
      </c>
      <c r="AE8" s="842"/>
      <c r="AF8" s="842"/>
      <c r="AG8" s="1209"/>
      <c r="AH8" s="1194"/>
      <c r="AI8" s="1194"/>
      <c r="AJ8" s="1194"/>
      <c r="AK8" s="1193" t="s">
        <v>322</v>
      </c>
      <c r="AL8" s="737"/>
      <c r="AM8" s="1192" t="s">
        <v>7898</v>
      </c>
      <c r="AN8" s="1193" t="s">
        <v>7899</v>
      </c>
      <c r="AO8" s="1152"/>
      <c r="AP8" s="708" t="s">
        <v>7875</v>
      </c>
      <c r="AQ8" s="842"/>
      <c r="AR8" s="1152"/>
      <c r="AS8" s="1152"/>
      <c r="AT8" s="708" t="s">
        <v>7900</v>
      </c>
      <c r="AU8" s="737"/>
      <c r="AV8" s="737"/>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7" t="s">
        <v>7907</v>
      </c>
      <c r="L9" s="708" t="s">
        <v>7908</v>
      </c>
      <c r="M9" s="737" t="s">
        <v>7909</v>
      </c>
      <c r="N9" s="1152"/>
      <c r="O9" s="737" t="s">
        <v>7910</v>
      </c>
      <c r="P9" s="737" t="s">
        <v>7911</v>
      </c>
      <c r="Q9" s="737" t="s">
        <v>7912</v>
      </c>
      <c r="R9" s="737" t="s">
        <v>7913</v>
      </c>
      <c r="S9" s="1191" t="s">
        <v>2854</v>
      </c>
      <c r="T9" s="1152"/>
      <c r="U9" s="737" t="s">
        <v>3673</v>
      </c>
      <c r="V9" s="1194"/>
      <c r="W9" s="737" t="s">
        <v>4851</v>
      </c>
      <c r="X9" s="708" t="s">
        <v>3120</v>
      </c>
      <c r="Y9" s="708" t="s">
        <v>7914</v>
      </c>
      <c r="Z9" s="1152"/>
      <c r="AA9" s="1192" t="s">
        <v>5554</v>
      </c>
      <c r="AB9" s="1194"/>
      <c r="AC9" s="737" t="s">
        <v>5728</v>
      </c>
      <c r="AD9" s="737" t="s">
        <v>158</v>
      </c>
      <c r="AE9" s="737"/>
      <c r="AF9" s="737" t="s">
        <v>5538</v>
      </c>
      <c r="AG9" s="1194"/>
      <c r="AH9" s="1194"/>
      <c r="AI9" s="1194"/>
      <c r="AJ9" s="1194"/>
      <c r="AK9" s="1152"/>
      <c r="AL9" s="1152"/>
      <c r="AM9" s="1193" t="s">
        <v>7880</v>
      </c>
      <c r="AN9" s="1152"/>
      <c r="AO9" s="1152"/>
      <c r="AP9" s="737" t="s">
        <v>7915</v>
      </c>
      <c r="AQ9" s="737" t="s">
        <v>7915</v>
      </c>
      <c r="AR9" s="737" t="s">
        <v>7916</v>
      </c>
      <c r="AS9" s="737" t="s">
        <v>7917</v>
      </c>
      <c r="AT9" s="737" t="s">
        <v>7917</v>
      </c>
      <c r="AU9" s="1191" t="s">
        <v>7918</v>
      </c>
      <c r="AV9" s="737" t="s">
        <v>7900</v>
      </c>
      <c r="AW9" s="737" t="s">
        <v>7874</v>
      </c>
      <c r="AX9" s="1152"/>
      <c r="AY9" s="1192" t="s">
        <v>7919</v>
      </c>
      <c r="AZ9" s="737" t="s">
        <v>5020</v>
      </c>
      <c r="BA9" s="737"/>
      <c r="BB9" s="737" t="s">
        <v>7884</v>
      </c>
      <c r="BC9" s="1193" t="s">
        <v>7920</v>
      </c>
      <c r="BD9" s="1193" t="s">
        <v>7921</v>
      </c>
      <c r="BE9" s="1193"/>
      <c r="BF9" s="737"/>
      <c r="BG9" s="1094"/>
      <c r="BH9" s="1094"/>
      <c r="BI9" s="1095"/>
      <c r="BJ9" s="1095"/>
      <c r="BK9" s="1095"/>
      <c r="BL9" s="1094"/>
      <c r="BM9" s="1094"/>
      <c r="BN9" s="1095"/>
      <c r="BO9" s="1095"/>
      <c r="BP9" s="1095"/>
      <c r="BQ9" s="1194"/>
      <c r="BR9" s="1194"/>
      <c r="BS9" s="1194"/>
      <c r="BT9" s="1194"/>
      <c r="BU9" s="1194"/>
      <c r="BV9" s="1224" t="s">
        <v>1298</v>
      </c>
      <c r="BW9" s="1194"/>
      <c r="BX9" s="737" t="s">
        <v>1517</v>
      </c>
      <c r="BY9" s="737" t="s">
        <v>2169</v>
      </c>
      <c r="BZ9" s="1152"/>
      <c r="CA9" s="1194"/>
      <c r="CB9" s="737"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7" t="s">
        <v>7925</v>
      </c>
      <c r="K10" s="737" t="s">
        <v>7926</v>
      </c>
      <c r="L10" s="737" t="s">
        <v>7927</v>
      </c>
      <c r="M10" s="737" t="s">
        <v>7928</v>
      </c>
      <c r="N10" s="737" t="s">
        <v>7929</v>
      </c>
      <c r="O10" s="737" t="s">
        <v>7930</v>
      </c>
      <c r="P10" s="737" t="s">
        <v>7931</v>
      </c>
      <c r="Q10" s="737" t="s">
        <v>7932</v>
      </c>
      <c r="R10" s="737" t="s">
        <v>7933</v>
      </c>
      <c r="S10" s="1189" t="s">
        <v>7934</v>
      </c>
      <c r="T10" s="737" t="s">
        <v>7935</v>
      </c>
      <c r="U10" s="737" t="s">
        <v>7936</v>
      </c>
      <c r="V10" s="1189" t="s">
        <v>7937</v>
      </c>
      <c r="W10" s="737" t="s">
        <v>3672</v>
      </c>
      <c r="X10" s="737" t="s">
        <v>4230</v>
      </c>
      <c r="Y10" s="1193" t="s">
        <v>158</v>
      </c>
      <c r="Z10" s="1152"/>
      <c r="AA10" s="1152"/>
      <c r="AB10" s="1194"/>
      <c r="AC10" s="1193" t="s">
        <v>7938</v>
      </c>
      <c r="AD10" s="1193" t="s">
        <v>5328</v>
      </c>
      <c r="AE10" s="1191" t="s">
        <v>2477</v>
      </c>
      <c r="AF10" s="1193" t="s">
        <v>7939</v>
      </c>
      <c r="AG10" s="737" t="s">
        <v>7940</v>
      </c>
      <c r="AH10" s="1194"/>
      <c r="AI10" s="1194"/>
      <c r="AJ10" s="1194"/>
      <c r="AK10" s="737" t="s">
        <v>7941</v>
      </c>
      <c r="AL10" s="737" t="s">
        <v>2745</v>
      </c>
      <c r="AM10" s="1152"/>
      <c r="AN10" s="1152"/>
      <c r="AO10" s="1152"/>
      <c r="AP10" s="1152"/>
      <c r="AQ10" s="1152"/>
      <c r="AR10" s="1152"/>
      <c r="AS10" s="1152"/>
      <c r="AT10" s="737" t="s">
        <v>7942</v>
      </c>
      <c r="AU10" s="737" t="s">
        <v>7884</v>
      </c>
      <c r="AV10" s="1152"/>
      <c r="AW10" s="737" t="s">
        <v>7882</v>
      </c>
      <c r="AX10" s="737" t="s">
        <v>7943</v>
      </c>
      <c r="AY10" s="1152"/>
      <c r="AZ10" s="737"/>
      <c r="BA10" s="737"/>
      <c r="BB10" s="842"/>
      <c r="BC10" s="737" t="s">
        <v>7920</v>
      </c>
      <c r="BD10" s="737" t="s">
        <v>7944</v>
      </c>
      <c r="BE10" s="737"/>
      <c r="BF10" s="737" t="s">
        <v>7945</v>
      </c>
      <c r="BG10" s="1194"/>
      <c r="BH10" s="1194"/>
      <c r="BI10" s="1194"/>
      <c r="BJ10" s="1194"/>
      <c r="BK10" s="1194"/>
      <c r="BL10" s="1152"/>
      <c r="BM10" s="1194"/>
      <c r="BN10" s="1194"/>
      <c r="BO10" s="1194"/>
      <c r="BP10" s="1194"/>
      <c r="BQ10" s="1194"/>
      <c r="BR10" s="1194"/>
      <c r="BS10" s="1194"/>
      <c r="BT10" s="1194"/>
      <c r="BU10" s="1194"/>
      <c r="BV10" s="737"/>
      <c r="BW10" s="1193" t="s">
        <v>170</v>
      </c>
      <c r="BX10" s="1193" t="s">
        <v>2162</v>
      </c>
      <c r="BY10" s="1193" t="s">
        <v>5756</v>
      </c>
      <c r="BZ10" s="737"/>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7" t="s">
        <v>7951</v>
      </c>
      <c r="L11" s="1194"/>
      <c r="M11" s="1152"/>
      <c r="N11" s="1152"/>
      <c r="O11" s="1152"/>
      <c r="P11" s="737" t="s">
        <v>7952</v>
      </c>
      <c r="Q11" s="1194"/>
      <c r="R11" s="1152"/>
      <c r="S11" s="1152"/>
      <c r="T11" s="737" t="s">
        <v>7953</v>
      </c>
      <c r="U11" s="737"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7"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2"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7"/>
      <c r="K12" s="737" t="s">
        <v>7963</v>
      </c>
      <c r="L12" s="1194"/>
      <c r="M12" s="1233" t="str">
        <f>HYPERLINK("https://youtu.be/muKa7MrNAp8","2:59.41")</f>
        <v>2:59.41</v>
      </c>
      <c r="N12" s="773"/>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7" t="s">
        <v>7965</v>
      </c>
      <c r="X12" s="737"/>
      <c r="Y12" s="737" t="s">
        <v>7966</v>
      </c>
      <c r="Z12" s="1152"/>
      <c r="AA12" s="1152"/>
      <c r="AB12" s="1194"/>
      <c r="AC12" s="1152"/>
      <c r="AD12" s="737" t="s">
        <v>193</v>
      </c>
      <c r="AE12" s="1152"/>
      <c r="AF12" s="1152"/>
      <c r="AG12" s="1194"/>
      <c r="AH12" s="737" t="s">
        <v>5853</v>
      </c>
      <c r="AI12" s="1193"/>
      <c r="AJ12" s="1193"/>
      <c r="AK12" s="1189" t="s">
        <v>7967</v>
      </c>
      <c r="AL12" s="842"/>
      <c r="AM12" s="1193" t="s">
        <v>7915</v>
      </c>
      <c r="AN12" s="1152"/>
      <c r="AO12" s="1152"/>
      <c r="AP12" s="1152"/>
      <c r="AQ12" s="1152"/>
      <c r="AR12" s="1152"/>
      <c r="AS12" s="1152"/>
      <c r="AT12" s="737" t="s">
        <v>7968</v>
      </c>
      <c r="AU12" s="737" t="s">
        <v>7969</v>
      </c>
      <c r="AV12" s="1152"/>
      <c r="AW12" s="1152"/>
      <c r="AX12" s="1152"/>
      <c r="AY12" s="1152"/>
      <c r="AZ12" s="737" t="s">
        <v>2924</v>
      </c>
      <c r="BA12" s="737"/>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7" t="s">
        <v>7972</v>
      </c>
      <c r="K13" s="737" t="s">
        <v>7973</v>
      </c>
      <c r="L13" s="1194"/>
      <c r="M13" s="737" t="s">
        <v>7974</v>
      </c>
      <c r="N13" s="737" t="s">
        <v>7975</v>
      </c>
      <c r="O13" s="1152"/>
      <c r="P13" s="737" t="s">
        <v>7976</v>
      </c>
      <c r="Q13" s="1194"/>
      <c r="R13" s="1193" t="s">
        <v>7977</v>
      </c>
      <c r="S13" s="737" t="s">
        <v>7978</v>
      </c>
      <c r="T13" s="737" t="s">
        <v>7856</v>
      </c>
      <c r="U13" s="737" t="s">
        <v>7979</v>
      </c>
      <c r="V13" s="737" t="s">
        <v>7980</v>
      </c>
      <c r="W13" s="737" t="s">
        <v>7981</v>
      </c>
      <c r="X13" s="737" t="s">
        <v>4711</v>
      </c>
      <c r="Y13" s="737" t="s">
        <v>373</v>
      </c>
      <c r="Z13" s="1193" t="s">
        <v>4738</v>
      </c>
      <c r="AA13" s="737" t="s">
        <v>7982</v>
      </c>
      <c r="AB13" s="1193"/>
      <c r="AC13" s="1193" t="s">
        <v>2197</v>
      </c>
      <c r="AD13" s="1193" t="s">
        <v>7983</v>
      </c>
      <c r="AE13" s="737" t="s">
        <v>5048</v>
      </c>
      <c r="AF13" s="737" t="s">
        <v>7984</v>
      </c>
      <c r="AG13" s="1194"/>
      <c r="AH13" s="1194"/>
      <c r="AI13" s="1194"/>
      <c r="AJ13" s="1194"/>
      <c r="AK13" s="1194"/>
      <c r="AL13" s="737" t="s">
        <v>5462</v>
      </c>
      <c r="AM13" s="1193" t="s">
        <v>7902</v>
      </c>
      <c r="AN13" s="1193" t="s">
        <v>7985</v>
      </c>
      <c r="AO13" s="1152"/>
      <c r="AP13" s="737" t="s">
        <v>7986</v>
      </c>
      <c r="AQ13" s="737" t="s">
        <v>7784</v>
      </c>
      <c r="AR13" s="1193" t="s">
        <v>7987</v>
      </c>
      <c r="AS13" s="737" t="s">
        <v>7988</v>
      </c>
      <c r="AT13" s="737" t="s">
        <v>7989</v>
      </c>
      <c r="AU13" s="737" t="s">
        <v>7990</v>
      </c>
      <c r="AV13" s="114" t="s">
        <v>7991</v>
      </c>
      <c r="AW13" s="737" t="s">
        <v>7992</v>
      </c>
      <c r="AX13" s="737" t="s">
        <v>7968</v>
      </c>
      <c r="AY13" s="1152"/>
      <c r="AZ13" s="1193" t="s">
        <v>1637</v>
      </c>
      <c r="BA13" s="737"/>
      <c r="BB13" s="1193" t="s">
        <v>7993</v>
      </c>
      <c r="BC13" s="1193" t="s">
        <v>7994</v>
      </c>
      <c r="BD13" s="737" t="s">
        <v>7995</v>
      </c>
      <c r="BE13" s="737"/>
      <c r="BF13" s="1152"/>
      <c r="BG13" s="1229"/>
      <c r="BH13" s="1229"/>
      <c r="BI13" s="1229"/>
      <c r="BJ13" s="1229"/>
      <c r="BK13" s="1229"/>
      <c r="BL13" s="1230"/>
      <c r="BM13" s="1229"/>
      <c r="BN13" s="1229"/>
      <c r="BO13" s="1229"/>
      <c r="BP13" s="1229"/>
      <c r="BQ13" s="1194"/>
      <c r="BR13" s="1194"/>
      <c r="BS13" s="1194"/>
      <c r="BT13" s="1194"/>
      <c r="BU13" s="1194"/>
      <c r="BV13" s="737" t="s">
        <v>7996</v>
      </c>
      <c r="BW13" s="1194"/>
      <c r="BX13" s="737" t="s">
        <v>4496</v>
      </c>
      <c r="BY13" s="737" t="s">
        <v>2937</v>
      </c>
      <c r="BZ13" s="1152"/>
      <c r="CA13" s="1194"/>
      <c r="CB13" s="737"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7" t="s">
        <v>4953</v>
      </c>
      <c r="X14" s="708" t="s">
        <v>8007</v>
      </c>
      <c r="Y14" s="1193" t="s">
        <v>2671</v>
      </c>
      <c r="Z14" s="1152"/>
      <c r="AA14" s="1152"/>
      <c r="AB14" s="1194"/>
      <c r="AC14" s="737" t="s">
        <v>8008</v>
      </c>
      <c r="AD14" s="1190" t="s">
        <v>193</v>
      </c>
      <c r="AE14" s="1152"/>
      <c r="AF14" s="1152"/>
      <c r="AG14" s="1194"/>
      <c r="AH14" s="1193" t="s">
        <v>5265</v>
      </c>
      <c r="AI14" s="1194"/>
      <c r="AJ14" s="1194"/>
      <c r="AK14" s="1193" t="s">
        <v>4665</v>
      </c>
      <c r="AL14" s="737"/>
      <c r="AM14" s="708" t="s">
        <v>7899</v>
      </c>
      <c r="AN14" s="1152"/>
      <c r="AO14" s="1152"/>
      <c r="AP14" s="708" t="s">
        <v>8009</v>
      </c>
      <c r="AQ14" s="1152"/>
      <c r="AR14" s="1152"/>
      <c r="AS14" s="1152"/>
      <c r="AT14" s="737"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7181</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7"/>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7"/>
      <c r="AR15" s="1193" t="s">
        <v>8019</v>
      </c>
      <c r="AS15" s="737"/>
      <c r="AT15" s="1152"/>
      <c r="AU15" s="1193" t="s">
        <v>7956</v>
      </c>
      <c r="AV15" s="737"/>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7" t="s">
        <v>8027</v>
      </c>
      <c r="M16" s="1152"/>
      <c r="N16" s="1192" t="s">
        <v>3276</v>
      </c>
      <c r="O16" s="1192" t="s">
        <v>8028</v>
      </c>
      <c r="P16" s="1152"/>
      <c r="Q16" s="737" t="s">
        <v>8029</v>
      </c>
      <c r="R16" s="737" t="s">
        <v>8030</v>
      </c>
      <c r="S16" s="1192" t="s">
        <v>8031</v>
      </c>
      <c r="T16" s="1192" t="s">
        <v>8032</v>
      </c>
      <c r="U16" s="737" t="s">
        <v>8033</v>
      </c>
      <c r="V16" s="737"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7"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7"/>
      <c r="K18" s="1193" t="s">
        <v>8043</v>
      </c>
      <c r="L18" s="1193"/>
      <c r="M18" s="1193" t="s">
        <v>8044</v>
      </c>
      <c r="N18" s="1152"/>
      <c r="O18" s="1193" t="s">
        <v>8045</v>
      </c>
      <c r="P18" s="1152"/>
      <c r="Q18" s="1194"/>
      <c r="R18" s="737" t="s">
        <v>8046</v>
      </c>
      <c r="S18" s="773" t="s">
        <v>3822</v>
      </c>
      <c r="T18" s="1193" t="s">
        <v>8047</v>
      </c>
      <c r="U18" s="737" t="s">
        <v>8048</v>
      </c>
      <c r="V18" s="1193"/>
      <c r="W18" s="1193" t="s">
        <v>4359</v>
      </c>
      <c r="X18" s="737" t="s">
        <v>3407</v>
      </c>
      <c r="Y18" s="1193" t="s">
        <v>3026</v>
      </c>
      <c r="Z18" s="1152"/>
      <c r="AA18" s="1152"/>
      <c r="AB18" s="1194"/>
      <c r="AC18" s="1193" t="s">
        <v>8049</v>
      </c>
      <c r="AD18" s="737" t="s">
        <v>2025</v>
      </c>
      <c r="AE18" s="737"/>
      <c r="AF18" s="1193" t="s">
        <v>8050</v>
      </c>
      <c r="AG18" s="1192" t="s">
        <v>8051</v>
      </c>
      <c r="AH18" s="1189" t="s">
        <v>1262</v>
      </c>
      <c r="AI18" s="1194"/>
      <c r="AJ18" s="1194"/>
      <c r="AK18" s="1193" t="s">
        <v>703</v>
      </c>
      <c r="AL18" s="1152"/>
      <c r="AM18" s="1193" t="s">
        <v>7959</v>
      </c>
      <c r="AN18" s="1152"/>
      <c r="AO18" s="1152"/>
      <c r="AP18" s="737" t="s">
        <v>7801</v>
      </c>
      <c r="AQ18" s="737"/>
      <c r="AR18" s="737" t="s">
        <v>7826</v>
      </c>
      <c r="AS18" s="737" t="s">
        <v>8052</v>
      </c>
      <c r="AT18" s="737" t="s">
        <v>8053</v>
      </c>
      <c r="AU18" s="737" t="s">
        <v>8054</v>
      </c>
      <c r="AV18" s="737"/>
      <c r="AW18" s="1152"/>
      <c r="AX18" s="1152"/>
      <c r="AY18" s="1152"/>
      <c r="AZ18" s="1193" t="s">
        <v>2493</v>
      </c>
      <c r="BA18" s="737"/>
      <c r="BB18" s="1193" t="s">
        <v>7956</v>
      </c>
      <c r="BC18" s="1193" t="s">
        <v>8055</v>
      </c>
      <c r="BD18" s="1193" t="s">
        <v>7856</v>
      </c>
      <c r="BE18" s="1193"/>
      <c r="BF18" s="737"/>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7" t="s">
        <v>2173</v>
      </c>
      <c r="BZ18" s="1152"/>
      <c r="CA18" s="1194"/>
      <c r="CB18" s="737"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7" t="s">
        <v>8061</v>
      </c>
      <c r="CR18" s="1193" t="s">
        <v>1938</v>
      </c>
      <c r="CS18" s="737" t="s">
        <v>8062</v>
      </c>
      <c r="CT18" s="92"/>
    </row>
    <row r="19">
      <c r="A19" s="1250" t="s">
        <v>4632</v>
      </c>
      <c r="B19" s="983" t="s">
        <v>8063</v>
      </c>
      <c r="C19" s="984" t="s">
        <v>1413</v>
      </c>
      <c r="D19" s="985" t="s">
        <v>1413</v>
      </c>
      <c r="E19" s="986" t="s">
        <v>1413</v>
      </c>
      <c r="F19" s="987" t="s">
        <v>736</v>
      </c>
      <c r="G19" s="983" t="s">
        <v>4084</v>
      </c>
      <c r="H19" s="1223"/>
      <c r="I19" s="1223" t="s">
        <v>8064</v>
      </c>
      <c r="J19" s="737"/>
      <c r="K19" s="737" t="s">
        <v>7012</v>
      </c>
      <c r="L19" s="1193"/>
      <c r="M19" s="1152"/>
      <c r="N19" s="1152"/>
      <c r="O19" s="1152"/>
      <c r="P19" s="1152"/>
      <c r="Q19" s="1194"/>
      <c r="R19" s="1193" t="s">
        <v>8065</v>
      </c>
      <c r="S19" s="1152"/>
      <c r="T19" s="1193" t="s">
        <v>8066</v>
      </c>
      <c r="U19" s="1193" t="s">
        <v>8067</v>
      </c>
      <c r="V19" s="1193" t="s">
        <v>8068</v>
      </c>
      <c r="W19" s="1193" t="s">
        <v>3234</v>
      </c>
      <c r="X19" s="737" t="s">
        <v>2569</v>
      </c>
      <c r="Y19" s="1193" t="s">
        <v>8069</v>
      </c>
      <c r="Z19" s="1152"/>
      <c r="AA19" s="1152"/>
      <c r="AB19" s="1194"/>
      <c r="AC19" s="708" t="s">
        <v>341</v>
      </c>
      <c r="AD19" s="1193" t="s">
        <v>1848</v>
      </c>
      <c r="AE19" s="737"/>
      <c r="AF19" s="1193" t="s">
        <v>8070</v>
      </c>
      <c r="AG19" s="1193"/>
      <c r="AH19" s="1193" t="s">
        <v>8071</v>
      </c>
      <c r="AI19" s="1194"/>
      <c r="AJ19" s="1194"/>
      <c r="AK19" s="1194"/>
      <c r="AL19" s="1152"/>
      <c r="AM19" s="1152"/>
      <c r="AN19" s="1152"/>
      <c r="AO19" s="1152"/>
      <c r="AP19" s="737" t="s">
        <v>7801</v>
      </c>
      <c r="AQ19" s="1152"/>
      <c r="AR19" s="737" t="s">
        <v>8072</v>
      </c>
      <c r="AS19" s="1152"/>
      <c r="AT19" s="1152"/>
      <c r="AU19" s="737" t="s">
        <v>8073</v>
      </c>
      <c r="AV19" s="737"/>
      <c r="AW19" s="737" t="s">
        <v>7831</v>
      </c>
      <c r="AX19" s="1152"/>
      <c r="AY19" s="1152"/>
      <c r="AZ19" s="1193" t="s">
        <v>2494</v>
      </c>
      <c r="BA19" s="737"/>
      <c r="BB19" s="1152"/>
      <c r="BC19" s="1193" t="s">
        <v>8074</v>
      </c>
      <c r="BD19" s="737"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7" t="s">
        <v>8078</v>
      </c>
      <c r="K20" s="1223" t="s">
        <v>8079</v>
      </c>
      <c r="L20" s="737" t="s">
        <v>8080</v>
      </c>
      <c r="M20" s="737" t="s">
        <v>7863</v>
      </c>
      <c r="N20" s="737" t="s">
        <v>8081</v>
      </c>
      <c r="O20" s="737" t="s">
        <v>8082</v>
      </c>
      <c r="P20" s="737" t="s">
        <v>8083</v>
      </c>
      <c r="Q20" s="1194"/>
      <c r="R20" s="737" t="s">
        <v>7964</v>
      </c>
      <c r="S20" s="114" t="s">
        <v>8084</v>
      </c>
      <c r="T20" s="1152"/>
      <c r="U20" s="1251" t="s">
        <v>8085</v>
      </c>
      <c r="V20" s="737" t="s">
        <v>8086</v>
      </c>
      <c r="W20" s="1193" t="s">
        <v>8087</v>
      </c>
      <c r="X20" s="737" t="s">
        <v>8088</v>
      </c>
      <c r="Y20" s="737" t="s">
        <v>245</v>
      </c>
      <c r="Z20" s="1152"/>
      <c r="AA20" s="1152"/>
      <c r="AB20" s="1194"/>
      <c r="AC20" s="1193" t="s">
        <v>8089</v>
      </c>
      <c r="AD20" s="737" t="s">
        <v>4009</v>
      </c>
      <c r="AE20" s="1152"/>
      <c r="AF20" s="1152"/>
      <c r="AG20" s="1194"/>
      <c r="AH20" s="1194"/>
      <c r="AI20" s="1194"/>
      <c r="AJ20" s="1194"/>
      <c r="AK20" s="1194"/>
      <c r="AL20" s="1152"/>
      <c r="AM20" s="737"/>
      <c r="AN20" s="1152"/>
      <c r="AO20" s="1152"/>
      <c r="AP20" s="737" t="s">
        <v>7877</v>
      </c>
      <c r="AQ20" s="737"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7"/>
      <c r="K21" s="1193" t="s">
        <v>8093</v>
      </c>
      <c r="L21" s="1193"/>
      <c r="M21" s="737"/>
      <c r="N21" s="737"/>
      <c r="O21" s="1193" t="s">
        <v>8094</v>
      </c>
      <c r="P21" s="737"/>
      <c r="Q21" s="1194"/>
      <c r="R21" s="1152"/>
      <c r="S21" s="1152"/>
      <c r="T21" s="737"/>
      <c r="U21" s="1193" t="s">
        <v>8095</v>
      </c>
      <c r="V21" s="1193"/>
      <c r="W21" s="1193" t="s">
        <v>2253</v>
      </c>
      <c r="X21" s="737"/>
      <c r="Y21" s="1193" t="s">
        <v>3164</v>
      </c>
      <c r="Z21" s="737"/>
      <c r="AA21" s="737"/>
      <c r="AB21" s="1193"/>
      <c r="AC21" s="1193" t="s">
        <v>8096</v>
      </c>
      <c r="AD21" s="1193" t="s">
        <v>4752</v>
      </c>
      <c r="AE21" s="737"/>
      <c r="AF21" s="737"/>
      <c r="AG21" s="1193"/>
      <c r="AH21" s="1194"/>
      <c r="AI21" s="1194"/>
      <c r="AJ21" s="1194"/>
      <c r="AK21" s="1194"/>
      <c r="AL21" s="1152"/>
      <c r="AM21" s="1193" t="s">
        <v>8009</v>
      </c>
      <c r="AN21" s="1152"/>
      <c r="AO21" s="1152"/>
      <c r="AP21" s="1193" t="s">
        <v>8097</v>
      </c>
      <c r="AQ21" s="737"/>
      <c r="AR21" s="1193" t="s">
        <v>8098</v>
      </c>
      <c r="AS21" s="737"/>
      <c r="AT21" s="1193" t="s">
        <v>8099</v>
      </c>
      <c r="AU21" s="1193" t="s">
        <v>8100</v>
      </c>
      <c r="AV21" s="737"/>
      <c r="AW21" s="737"/>
      <c r="AX21" s="1152"/>
      <c r="AY21" s="1152"/>
      <c r="AZ21" s="1193" t="s">
        <v>5020</v>
      </c>
      <c r="BA21" s="737"/>
      <c r="BB21" s="1193" t="s">
        <v>7832</v>
      </c>
      <c r="BC21" s="1193" t="s">
        <v>7954</v>
      </c>
      <c r="BD21" s="1193" t="s">
        <v>7995</v>
      </c>
      <c r="BE21" s="1193"/>
      <c r="BF21" s="737"/>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7"/>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7"/>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7"/>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7"/>
      <c r="K23" s="737" t="s">
        <v>8111</v>
      </c>
      <c r="L23" s="1193"/>
      <c r="M23" s="1152"/>
      <c r="N23" s="1194" t="s">
        <v>8112</v>
      </c>
      <c r="O23" s="1152"/>
      <c r="P23" s="1152"/>
      <c r="Q23" s="1194"/>
      <c r="R23" s="1193" t="s">
        <v>8113</v>
      </c>
      <c r="S23" s="1152"/>
      <c r="T23" s="1193" t="s">
        <v>8114</v>
      </c>
      <c r="U23" s="1193" t="s">
        <v>8115</v>
      </c>
      <c r="V23" s="1193"/>
      <c r="W23" s="1193" t="s">
        <v>5159</v>
      </c>
      <c r="X23" s="737"/>
      <c r="Y23" s="1193" t="s">
        <v>1013</v>
      </c>
      <c r="Z23" s="1194" t="s">
        <v>8116</v>
      </c>
      <c r="AA23" s="1152"/>
      <c r="AB23" s="1194"/>
      <c r="AC23" s="737"/>
      <c r="AD23" s="1193" t="s">
        <v>1828</v>
      </c>
      <c r="AE23" s="737"/>
      <c r="AF23" s="737"/>
      <c r="AG23" s="1193"/>
      <c r="AH23" s="1193"/>
      <c r="AI23" s="1194" t="s">
        <v>8117</v>
      </c>
      <c r="AJ23" s="1194"/>
      <c r="AK23" s="1194"/>
      <c r="AL23" s="1152"/>
      <c r="AM23" s="1194" t="s">
        <v>8118</v>
      </c>
      <c r="AN23" s="1152"/>
      <c r="AO23" s="1152"/>
      <c r="AP23" s="737" t="s">
        <v>8119</v>
      </c>
      <c r="AQ23" s="1152"/>
      <c r="AR23" s="1194" t="s">
        <v>8120</v>
      </c>
      <c r="AS23" s="1152"/>
      <c r="AT23" s="1194" t="s">
        <v>8121</v>
      </c>
      <c r="AU23" s="737" t="s">
        <v>8122</v>
      </c>
      <c r="AV23" s="737"/>
      <c r="AW23" s="737" t="s">
        <v>8009</v>
      </c>
      <c r="AX23" s="1152"/>
      <c r="AY23" s="1194" t="s">
        <v>8013</v>
      </c>
      <c r="AZ23" s="737"/>
      <c r="BA23" s="737"/>
      <c r="BB23" s="1194" t="s">
        <v>8123</v>
      </c>
      <c r="BC23" s="737"/>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7"/>
      <c r="N24" s="1193" t="s">
        <v>8126</v>
      </c>
      <c r="O24" s="1193" t="s">
        <v>8127</v>
      </c>
      <c r="P24" s="1193" t="s">
        <v>8128</v>
      </c>
      <c r="Q24" s="1193" t="s">
        <v>8129</v>
      </c>
      <c r="R24" s="1193" t="s">
        <v>8130</v>
      </c>
      <c r="S24" s="1193" t="s">
        <v>5158</v>
      </c>
      <c r="T24" s="1193" t="s">
        <v>8131</v>
      </c>
      <c r="U24" s="1193" t="s">
        <v>8132</v>
      </c>
      <c r="V24" s="1193"/>
      <c r="W24" s="1193" t="s">
        <v>5830</v>
      </c>
      <c r="X24" s="737"/>
      <c r="Y24" s="1152"/>
      <c r="Z24" s="1152"/>
      <c r="AA24" s="1152"/>
      <c r="AB24" s="1194"/>
      <c r="AC24" s="1193" t="s">
        <v>8133</v>
      </c>
      <c r="AD24" s="1193" t="s">
        <v>8134</v>
      </c>
      <c r="AE24" s="737"/>
      <c r="AF24" s="1193" t="s">
        <v>7247</v>
      </c>
      <c r="AG24" s="1193"/>
      <c r="AH24" s="1193" t="s">
        <v>8135</v>
      </c>
      <c r="AI24" s="1193"/>
      <c r="AJ24" s="1193"/>
      <c r="AK24" s="1194"/>
      <c r="AL24" s="1152"/>
      <c r="AM24" s="1193" t="s">
        <v>8136</v>
      </c>
      <c r="AN24" s="1193" t="s">
        <v>7969</v>
      </c>
      <c r="AO24" s="1193" t="s">
        <v>7900</v>
      </c>
      <c r="AP24" s="1193" t="s">
        <v>8137</v>
      </c>
      <c r="AQ24" s="737"/>
      <c r="AR24" s="1193" t="s">
        <v>8052</v>
      </c>
      <c r="AS24" s="737"/>
      <c r="AT24" s="1193" t="s">
        <v>8138</v>
      </c>
      <c r="AU24" s="1193" t="s">
        <v>8139</v>
      </c>
      <c r="AV24" s="737"/>
      <c r="AW24" s="1193" t="s">
        <v>7959</v>
      </c>
      <c r="AX24" s="737"/>
      <c r="AY24" s="1193" t="s">
        <v>8040</v>
      </c>
      <c r="AZ24" s="1152"/>
      <c r="BA24" s="1152"/>
      <c r="BB24" s="1193" t="s">
        <v>7985</v>
      </c>
      <c r="BC24" s="737" t="s">
        <v>8040</v>
      </c>
      <c r="BD24" s="1193" t="s">
        <v>8054</v>
      </c>
      <c r="BE24" s="1193"/>
      <c r="BF24" s="737"/>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40" t="s">
        <v>4749</v>
      </c>
    </row>
    <row r="25">
      <c r="A25" s="1214" t="s">
        <v>6275</v>
      </c>
      <c r="B25" s="983" t="s">
        <v>8147</v>
      </c>
      <c r="C25" s="984" t="s">
        <v>1413</v>
      </c>
      <c r="D25" s="985" t="s">
        <v>736</v>
      </c>
      <c r="E25" s="986" t="s">
        <v>1413</v>
      </c>
      <c r="F25" s="987" t="s">
        <v>1058</v>
      </c>
      <c r="G25" s="983" t="s">
        <v>4084</v>
      </c>
      <c r="H25" s="1223"/>
      <c r="I25" s="1223" t="s">
        <v>8148</v>
      </c>
      <c r="J25" s="737"/>
      <c r="K25" s="737" t="s">
        <v>8149</v>
      </c>
      <c r="L25" s="1191" t="s">
        <v>3482</v>
      </c>
      <c r="M25" s="1152"/>
      <c r="N25" s="1152"/>
      <c r="O25" s="1152"/>
      <c r="P25" s="737" t="s">
        <v>8150</v>
      </c>
      <c r="Q25" s="1194"/>
      <c r="R25" s="708" t="s">
        <v>8151</v>
      </c>
      <c r="S25" s="1152"/>
      <c r="T25" s="1152"/>
      <c r="U25" s="737" t="s">
        <v>748</v>
      </c>
      <c r="V25" s="1193"/>
      <c r="W25" s="1193" t="s">
        <v>4337</v>
      </c>
      <c r="X25" s="737" t="s">
        <v>3239</v>
      </c>
      <c r="Y25" s="708" t="s">
        <v>8152</v>
      </c>
      <c r="Z25" s="1152"/>
      <c r="AA25" s="1152"/>
      <c r="AB25" s="1194"/>
      <c r="AC25" s="1193" t="s">
        <v>8153</v>
      </c>
      <c r="AD25" s="1193" t="s">
        <v>8154</v>
      </c>
      <c r="AE25" s="737"/>
      <c r="AF25" s="1193" t="s">
        <v>8155</v>
      </c>
      <c r="AG25" s="1193"/>
      <c r="AH25" s="1193" t="s">
        <v>8156</v>
      </c>
      <c r="AI25" s="1194"/>
      <c r="AJ25" s="1194"/>
      <c r="AK25" s="740" t="s">
        <v>3530</v>
      </c>
      <c r="AL25" s="1208"/>
      <c r="AM25" s="1152"/>
      <c r="AN25" s="1152"/>
      <c r="AO25" s="1152"/>
      <c r="AP25" s="1152"/>
      <c r="AQ25" s="1152"/>
      <c r="AR25" s="1193" t="s">
        <v>8157</v>
      </c>
      <c r="AS25" s="737"/>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2"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7" t="s">
        <v>8160</v>
      </c>
      <c r="L27" s="1194"/>
      <c r="M27" s="1152"/>
      <c r="N27" s="1152"/>
      <c r="O27" s="1152"/>
      <c r="P27" s="737" t="s">
        <v>8161</v>
      </c>
      <c r="Q27" s="1194"/>
      <c r="R27" s="1152"/>
      <c r="S27" s="1152"/>
      <c r="T27" s="1152"/>
      <c r="U27" s="1190" t="s">
        <v>8162</v>
      </c>
      <c r="V27" s="1194"/>
      <c r="W27" s="1152"/>
      <c r="X27" s="737" t="s">
        <v>6463</v>
      </c>
      <c r="Y27" s="708" t="s">
        <v>3757</v>
      </c>
      <c r="Z27" s="1152"/>
      <c r="AA27" s="737" t="s">
        <v>8163</v>
      </c>
      <c r="AB27" s="1194"/>
      <c r="AC27" s="737" t="s">
        <v>8164</v>
      </c>
      <c r="AD27" s="737" t="s">
        <v>1880</v>
      </c>
      <c r="AE27" s="1189" t="s">
        <v>3569</v>
      </c>
      <c r="AF27" s="737" t="s">
        <v>1264</v>
      </c>
      <c r="AG27" s="737"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7"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7"/>
      <c r="BW28" s="1193"/>
      <c r="BX28" s="737"/>
      <c r="BY28" s="1193"/>
      <c r="BZ28" s="737"/>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7" t="s">
        <v>8166</v>
      </c>
      <c r="L29" s="1194"/>
      <c r="M29" s="737" t="s">
        <v>8167</v>
      </c>
      <c r="N29" s="1152"/>
      <c r="O29" s="1152"/>
      <c r="P29" s="1193" t="s">
        <v>8168</v>
      </c>
      <c r="Q29" s="1194"/>
      <c r="R29" s="1152"/>
      <c r="S29" s="737" t="s">
        <v>3567</v>
      </c>
      <c r="T29" s="737"/>
      <c r="U29" s="1193" t="s">
        <v>3470</v>
      </c>
      <c r="V29" s="1194"/>
      <c r="W29" s="1152"/>
      <c r="X29" s="737" t="s">
        <v>8169</v>
      </c>
      <c r="Y29" s="737" t="s">
        <v>4986</v>
      </c>
      <c r="Z29" s="1152"/>
      <c r="AA29" s="737" t="s">
        <v>8170</v>
      </c>
      <c r="AB29" s="1194"/>
      <c r="AC29" s="737" t="s">
        <v>8171</v>
      </c>
      <c r="AD29" s="737" t="s">
        <v>5911</v>
      </c>
      <c r="AE29" s="737" t="s">
        <v>8172</v>
      </c>
      <c r="AF29" s="737" t="s">
        <v>7515</v>
      </c>
      <c r="AG29" s="1194"/>
      <c r="AH29" s="1194"/>
      <c r="AI29" s="1194"/>
      <c r="AJ29" s="1194"/>
      <c r="AK29" s="1194"/>
      <c r="AL29" s="1152"/>
      <c r="AM29" s="1152"/>
      <c r="AN29" s="737" t="s">
        <v>8173</v>
      </c>
      <c r="AO29" s="1193" t="s">
        <v>8174</v>
      </c>
      <c r="AP29" s="1152"/>
      <c r="AQ29" s="737" t="s">
        <v>7899</v>
      </c>
      <c r="AR29" s="1152"/>
      <c r="AS29" s="1152"/>
      <c r="AT29" s="1152"/>
      <c r="AU29" s="737"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7"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4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0"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7"/>
      <c r="CS30" s="1194"/>
      <c r="CT30" s="92"/>
    </row>
    <row r="31">
      <c r="A31" s="1214" t="s">
        <v>4785</v>
      </c>
      <c r="B31" s="983" t="s">
        <v>1495</v>
      </c>
      <c r="C31" s="984" t="s">
        <v>1413</v>
      </c>
      <c r="D31" s="985" t="s">
        <v>1413</v>
      </c>
      <c r="E31" s="986" t="s">
        <v>1413</v>
      </c>
      <c r="F31" s="987" t="s">
        <v>1413</v>
      </c>
      <c r="G31" s="983" t="s">
        <v>330</v>
      </c>
      <c r="H31" s="1223"/>
      <c r="I31" s="1223" t="s">
        <v>6362</v>
      </c>
      <c r="J31" s="1152"/>
      <c r="K31" s="737" t="s">
        <v>8178</v>
      </c>
      <c r="L31" s="1194"/>
      <c r="M31" s="1152"/>
      <c r="N31" s="1152"/>
      <c r="O31" s="1152"/>
      <c r="P31" s="737" t="s">
        <v>8179</v>
      </c>
      <c r="Q31" s="1194"/>
      <c r="R31" s="1152"/>
      <c r="S31" s="1152"/>
      <c r="T31" s="737" t="s">
        <v>8180</v>
      </c>
      <c r="U31" s="737" t="s">
        <v>8181</v>
      </c>
      <c r="V31" s="1194"/>
      <c r="W31" s="737" t="s">
        <v>246</v>
      </c>
      <c r="X31" s="737" t="s">
        <v>8182</v>
      </c>
      <c r="Y31" s="737"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7" t="s">
        <v>8053</v>
      </c>
      <c r="AT31" s="1152"/>
      <c r="AU31" s="737" t="s">
        <v>8157</v>
      </c>
      <c r="AV31" s="1152"/>
      <c r="AW31" s="1152"/>
      <c r="AX31" s="1152"/>
      <c r="AY31" s="1152"/>
      <c r="AZ31" s="737" t="s">
        <v>2290</v>
      </c>
      <c r="BA31" s="1152"/>
      <c r="BB31" s="1190" t="s">
        <v>8183</v>
      </c>
      <c r="BC31" s="737" t="s">
        <v>7800</v>
      </c>
      <c r="BD31" s="737"/>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7"/>
      <c r="Y32" s="1193" t="s">
        <v>5812</v>
      </c>
      <c r="Z32" s="1152"/>
      <c r="AA32" s="1152"/>
      <c r="AB32" s="1194"/>
      <c r="AC32" s="1193" t="s">
        <v>8184</v>
      </c>
      <c r="AD32" s="737" t="s">
        <v>2106</v>
      </c>
      <c r="AE32" s="737"/>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7" t="s">
        <v>8187</v>
      </c>
      <c r="V33" s="737" t="s">
        <v>8188</v>
      </c>
      <c r="W33" s="1152"/>
      <c r="X33" s="737" t="s">
        <v>8189</v>
      </c>
      <c r="Y33" s="737" t="s">
        <v>8190</v>
      </c>
      <c r="Z33" s="1152"/>
      <c r="AA33" s="1152"/>
      <c r="AB33" s="1194"/>
      <c r="AC33" s="708" t="s">
        <v>1565</v>
      </c>
      <c r="AD33" s="737" t="s">
        <v>5392</v>
      </c>
      <c r="AE33" s="1152"/>
      <c r="AF33" s="1152"/>
      <c r="AG33" s="1194"/>
      <c r="AH33" s="1194"/>
      <c r="AI33" s="1194"/>
      <c r="AJ33" s="1194"/>
      <c r="AK33" s="1194"/>
      <c r="AL33" s="1152"/>
      <c r="AM33" s="737" t="s">
        <v>8191</v>
      </c>
      <c r="AN33" s="1152"/>
      <c r="AO33" s="1152"/>
      <c r="AP33" s="737" t="s">
        <v>7855</v>
      </c>
      <c r="AQ33" s="1152"/>
      <c r="AR33" s="1152"/>
      <c r="AS33" s="1152"/>
      <c r="AT33" s="1152"/>
      <c r="AU33" s="737"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7"/>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7"/>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7" t="s">
        <v>8196</v>
      </c>
      <c r="S40" s="1152"/>
      <c r="T40" s="1152"/>
      <c r="U40" s="737"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7"/>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7" t="s">
        <v>8199</v>
      </c>
      <c r="L42" s="1194"/>
      <c r="M42" s="1152"/>
      <c r="N42" s="1152"/>
      <c r="O42" s="1152"/>
      <c r="P42" s="1152"/>
      <c r="Q42" s="1194"/>
      <c r="R42" s="1152"/>
      <c r="S42" s="1152"/>
      <c r="T42" s="1152"/>
      <c r="U42" s="1152"/>
      <c r="V42" s="1194"/>
      <c r="W42" s="1193" t="s">
        <v>6173</v>
      </c>
      <c r="X42" s="737"/>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7" t="s">
        <v>7826</v>
      </c>
      <c r="AV42" s="737"/>
      <c r="AW42" s="1152"/>
      <c r="AX42" s="1152"/>
      <c r="AY42" s="1152"/>
      <c r="AZ42" s="1152"/>
      <c r="BA42" s="1152"/>
      <c r="BB42" s="1152"/>
      <c r="BC42" s="737"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3"/>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7"/>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7"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7" t="s">
        <v>4337</v>
      </c>
      <c r="X47" s="737"/>
      <c r="Y47" s="737"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7"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7"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7" t="s">
        <v>8207</v>
      </c>
      <c r="X50" s="737" t="s">
        <v>8207</v>
      </c>
      <c r="Y50" s="1152"/>
      <c r="Z50" s="1152"/>
      <c r="AA50" s="1152"/>
      <c r="AB50" s="1194"/>
      <c r="AC50" s="1152"/>
      <c r="AD50" s="1152"/>
      <c r="AE50" s="1152"/>
      <c r="AF50" s="1152"/>
      <c r="AG50" s="1194"/>
      <c r="AH50" s="1194"/>
      <c r="AI50" s="1194"/>
      <c r="AJ50" s="1194"/>
      <c r="AK50" s="1194"/>
      <c r="AL50" s="1152"/>
      <c r="AM50" s="1152"/>
      <c r="AN50" s="1152"/>
      <c r="AO50" s="1152"/>
      <c r="AP50" s="737"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7"/>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7"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7"/>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7"/>
      <c r="BD54" s="1152"/>
      <c r="BE54" s="1194"/>
      <c r="BF54" s="1152"/>
      <c r="BG54" s="1194"/>
      <c r="BH54" s="1194"/>
      <c r="BI54" s="1194"/>
      <c r="BJ54" s="1194"/>
      <c r="BK54" s="1194"/>
      <c r="BL54" s="1152"/>
      <c r="BM54" s="1194"/>
      <c r="BN54" s="1194"/>
      <c r="BO54" s="1194"/>
      <c r="BP54" s="1194"/>
      <c r="BQ54" s="1194"/>
      <c r="BR54" s="1194"/>
      <c r="BS54" s="1194"/>
      <c r="BT54" s="1194"/>
      <c r="BU54" s="1194"/>
      <c r="BV54" s="737"/>
      <c r="BW54" s="737"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7"/>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7"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186" t="s">
        <v>8219</v>
      </c>
      <c r="L2" s="1186" t="s">
        <v>8220</v>
      </c>
      <c r="M2" s="1186" t="s">
        <v>8221</v>
      </c>
      <c r="N2" s="1283" t="s">
        <v>54</v>
      </c>
      <c r="O2" s="1283"/>
      <c r="P2" s="1283"/>
      <c r="Q2" s="42" t="s">
        <v>48</v>
      </c>
      <c r="R2" s="42" t="s">
        <v>8222</v>
      </c>
      <c r="S2" s="42"/>
      <c r="T2" s="44" t="s">
        <v>50</v>
      </c>
      <c r="U2" s="44" t="s">
        <v>54</v>
      </c>
      <c r="V2" s="44" t="s">
        <v>62</v>
      </c>
      <c r="W2" s="45" t="s">
        <v>52</v>
      </c>
      <c r="X2" s="45"/>
      <c r="Y2" s="45"/>
      <c r="Z2" s="47" t="s">
        <v>51</v>
      </c>
      <c r="AA2" s="1284" t="s">
        <v>8223</v>
      </c>
      <c r="AB2" s="47"/>
      <c r="AC2" s="1285" t="s">
        <v>8224</v>
      </c>
      <c r="AD2" s="1285"/>
      <c r="AE2" s="1285"/>
      <c r="AF2" s="1286"/>
      <c r="AG2" s="1286"/>
    </row>
    <row r="3">
      <c r="A3" s="1287" t="s">
        <v>4082</v>
      </c>
      <c r="B3" s="1288" t="s">
        <v>219</v>
      </c>
      <c r="C3" s="1289" t="s">
        <v>736</v>
      </c>
      <c r="D3" s="1290" t="s">
        <v>736</v>
      </c>
      <c r="E3" s="1291" t="s">
        <v>433</v>
      </c>
      <c r="F3" s="1292" t="s">
        <v>1058</v>
      </c>
      <c r="G3" s="1288" t="s">
        <v>1058</v>
      </c>
      <c r="H3" s="1209"/>
      <c r="I3" s="1293"/>
      <c r="J3" s="1294"/>
      <c r="K3" s="1295"/>
      <c r="L3" s="1152"/>
      <c r="M3" s="1152"/>
      <c r="N3" s="1194"/>
      <c r="O3" s="1194"/>
      <c r="P3" s="1194"/>
      <c r="Q3" s="1192" t="s">
        <v>5948</v>
      </c>
      <c r="R3" s="842"/>
      <c r="S3" s="842"/>
      <c r="T3" s="1256" t="s">
        <v>6647</v>
      </c>
      <c r="U3" s="1194"/>
      <c r="V3" s="1194"/>
      <c r="W3" s="1256" t="s">
        <v>8225</v>
      </c>
      <c r="X3" s="1194"/>
      <c r="Y3" s="1194"/>
      <c r="Z3" s="1296" t="s">
        <v>8226</v>
      </c>
      <c r="AA3" s="1194"/>
      <c r="AB3" s="1152"/>
      <c r="AC3" s="1194"/>
      <c r="AD3" s="1194"/>
      <c r="AE3" s="1194"/>
      <c r="AF3" s="1297"/>
      <c r="AG3" s="1297"/>
    </row>
    <row r="4">
      <c r="A4" s="1298" t="s">
        <v>5307</v>
      </c>
      <c r="B4" s="1288" t="s">
        <v>985</v>
      </c>
      <c r="C4" s="1289" t="s">
        <v>736</v>
      </c>
      <c r="D4" s="1290" t="s">
        <v>736</v>
      </c>
      <c r="E4" s="1291" t="s">
        <v>736</v>
      </c>
      <c r="F4" s="1292" t="s">
        <v>1058</v>
      </c>
      <c r="G4" s="1288" t="s">
        <v>1058</v>
      </c>
      <c r="H4" s="1194"/>
      <c r="I4" s="92"/>
      <c r="J4" s="101"/>
      <c r="K4" s="1152"/>
      <c r="L4" s="1152"/>
      <c r="M4" s="1152"/>
      <c r="N4" s="1194"/>
      <c r="O4" s="1194"/>
      <c r="P4" s="1194"/>
      <c r="Q4" s="1189" t="s">
        <v>5825</v>
      </c>
      <c r="R4" s="1152"/>
      <c r="S4" s="1152"/>
      <c r="T4" s="1191" t="s">
        <v>2096</v>
      </c>
      <c r="U4" s="1194"/>
      <c r="V4" s="1194"/>
      <c r="W4" s="1192" t="s">
        <v>8227</v>
      </c>
      <c r="X4" s="1194"/>
      <c r="Y4" s="1194"/>
      <c r="Z4" s="708" t="s">
        <v>1240</v>
      </c>
      <c r="AA4" s="1194"/>
      <c r="AB4" s="1152"/>
      <c r="AC4" s="1194"/>
      <c r="AD4" s="1194"/>
      <c r="AE4" s="1194"/>
      <c r="AF4" s="1297"/>
      <c r="AG4" s="1297"/>
    </row>
    <row r="5">
      <c r="A5" s="1287" t="s">
        <v>3788</v>
      </c>
      <c r="B5" s="1288" t="s">
        <v>1195</v>
      </c>
      <c r="C5" s="1289" t="s">
        <v>1413</v>
      </c>
      <c r="D5" s="1290" t="s">
        <v>736</v>
      </c>
      <c r="E5" s="1291" t="s">
        <v>1413</v>
      </c>
      <c r="F5" s="1292" t="s">
        <v>539</v>
      </c>
      <c r="G5" s="1288" t="s">
        <v>329</v>
      </c>
      <c r="H5" s="1194"/>
      <c r="I5" s="92"/>
      <c r="J5" s="101"/>
      <c r="K5" s="1152"/>
      <c r="L5" s="1152"/>
      <c r="M5" s="1152"/>
      <c r="N5" s="1194"/>
      <c r="O5" s="1194"/>
      <c r="P5" s="1194"/>
      <c r="Q5" s="1191" t="s">
        <v>4472</v>
      </c>
      <c r="R5" s="1211" t="s">
        <v>1575</v>
      </c>
      <c r="S5" s="1152"/>
      <c r="T5" s="708" t="s">
        <v>1039</v>
      </c>
      <c r="U5" s="1194"/>
      <c r="V5" s="1194"/>
      <c r="W5" s="708" t="s">
        <v>8228</v>
      </c>
      <c r="X5" s="1194"/>
      <c r="Y5" s="1194"/>
      <c r="Z5" s="1193" t="s">
        <v>8229</v>
      </c>
      <c r="AA5" s="1194"/>
      <c r="AB5" s="1152"/>
      <c r="AC5" s="1194"/>
      <c r="AD5" s="1194"/>
      <c r="AE5" s="1194"/>
      <c r="AF5" s="1297"/>
      <c r="AG5" s="1297"/>
    </row>
    <row r="6">
      <c r="A6" s="1287" t="s">
        <v>2409</v>
      </c>
      <c r="B6" s="1288" t="s">
        <v>1195</v>
      </c>
      <c r="C6" s="1289" t="s">
        <v>736</v>
      </c>
      <c r="D6" s="1290" t="s">
        <v>736</v>
      </c>
      <c r="E6" s="1291" t="s">
        <v>1413</v>
      </c>
      <c r="F6" s="1292" t="s">
        <v>539</v>
      </c>
      <c r="G6" s="1288" t="s">
        <v>539</v>
      </c>
      <c r="H6" s="1194"/>
      <c r="I6" s="92"/>
      <c r="J6" s="1294"/>
      <c r="K6" s="1152"/>
      <c r="L6" s="1152"/>
      <c r="M6" s="1152"/>
      <c r="N6" s="1194"/>
      <c r="O6" s="1194"/>
      <c r="P6" s="1194"/>
      <c r="Q6" s="1194"/>
      <c r="R6" s="1152"/>
      <c r="S6" s="1152"/>
      <c r="T6" s="1200" t="s">
        <v>1648</v>
      </c>
      <c r="U6" s="92"/>
      <c r="V6" s="706" t="s">
        <v>7504</v>
      </c>
      <c r="W6" s="1152"/>
      <c r="X6" s="1194"/>
      <c r="Y6" s="1194"/>
      <c r="Z6" s="1194"/>
      <c r="AA6" s="1194"/>
      <c r="AB6" s="1152"/>
      <c r="AC6" s="708" t="s">
        <v>214</v>
      </c>
      <c r="AD6" s="1194"/>
      <c r="AE6" s="1194"/>
      <c r="AF6" s="1297"/>
      <c r="AG6" s="1297"/>
    </row>
    <row r="7">
      <c r="A7" s="1157" t="s">
        <v>7627</v>
      </c>
      <c r="B7" s="1288" t="s">
        <v>910</v>
      </c>
      <c r="C7" s="1289" t="s">
        <v>1413</v>
      </c>
      <c r="D7" s="1290" t="s">
        <v>1413</v>
      </c>
      <c r="E7" s="1291" t="s">
        <v>736</v>
      </c>
      <c r="F7" s="1292" t="s">
        <v>1058</v>
      </c>
      <c r="G7" s="1288" t="s">
        <v>1058</v>
      </c>
      <c r="H7" s="1209"/>
      <c r="I7" s="1293"/>
      <c r="J7" s="1294"/>
      <c r="K7" s="1295"/>
      <c r="L7" s="1295"/>
      <c r="M7" s="1299"/>
      <c r="N7" s="1300"/>
      <c r="O7" s="1300"/>
      <c r="P7" s="1300"/>
      <c r="Q7" s="708" t="s">
        <v>355</v>
      </c>
      <c r="R7" s="842"/>
      <c r="S7" s="842"/>
      <c r="T7" s="740" t="s">
        <v>1604</v>
      </c>
      <c r="U7" s="1194"/>
      <c r="V7" s="1194"/>
      <c r="W7" s="740" t="s">
        <v>637</v>
      </c>
      <c r="X7" s="1300"/>
      <c r="Y7" s="1300"/>
      <c r="Z7" s="1256" t="s">
        <v>6595</v>
      </c>
      <c r="AA7" s="1300"/>
      <c r="AB7" s="1299"/>
      <c r="AC7" s="1194"/>
      <c r="AD7" s="1300"/>
      <c r="AE7" s="1300"/>
      <c r="AF7" s="1301"/>
      <c r="AG7" s="1301"/>
    </row>
    <row r="8">
      <c r="A8" s="1287" t="s">
        <v>982</v>
      </c>
      <c r="B8" s="1288" t="s">
        <v>910</v>
      </c>
      <c r="C8" s="1289" t="s">
        <v>433</v>
      </c>
      <c r="D8" s="1290" t="s">
        <v>736</v>
      </c>
      <c r="E8" s="1291" t="s">
        <v>1413</v>
      </c>
      <c r="F8" s="1292" t="s">
        <v>539</v>
      </c>
      <c r="G8" s="1288" t="s">
        <v>539</v>
      </c>
      <c r="H8" s="1194"/>
      <c r="I8" s="92"/>
      <c r="J8" s="101"/>
      <c r="K8" s="842"/>
      <c r="L8" s="842"/>
      <c r="M8" s="737"/>
      <c r="N8" s="941"/>
      <c r="O8" s="1194"/>
      <c r="P8" s="1194"/>
      <c r="Q8" s="1194"/>
      <c r="R8" s="1191" t="s">
        <v>4140</v>
      </c>
      <c r="S8" s="1152"/>
      <c r="T8" s="1194"/>
      <c r="U8" s="1194"/>
      <c r="V8" s="1194"/>
      <c r="W8" s="1152"/>
      <c r="X8" s="1194"/>
      <c r="Y8" s="1194"/>
      <c r="Z8" s="1192" t="s">
        <v>8230</v>
      </c>
      <c r="AA8" s="1192" t="s">
        <v>6116</v>
      </c>
      <c r="AB8" s="1152"/>
      <c r="AC8" s="1194"/>
      <c r="AD8" s="1194"/>
      <c r="AE8" s="1194"/>
      <c r="AF8" s="1297"/>
      <c r="AG8" s="1297"/>
    </row>
    <row r="9">
      <c r="A9" s="1027" t="s">
        <v>822</v>
      </c>
      <c r="B9" s="1288" t="s">
        <v>434</v>
      </c>
      <c r="C9" s="1289" t="s">
        <v>1413</v>
      </c>
      <c r="D9" s="1290" t="s">
        <v>736</v>
      </c>
      <c r="E9" s="1291" t="s">
        <v>1413</v>
      </c>
      <c r="F9" s="1292" t="s">
        <v>433</v>
      </c>
      <c r="G9" s="1288" t="s">
        <v>433</v>
      </c>
      <c r="H9" s="1302"/>
      <c r="I9" s="92"/>
      <c r="J9" s="101"/>
      <c r="K9" s="1152"/>
      <c r="L9" s="1152"/>
      <c r="M9" s="1152"/>
      <c r="N9" s="1194"/>
      <c r="O9" s="1194"/>
      <c r="P9" s="1194"/>
      <c r="Q9" s="1302"/>
      <c r="R9" s="1303"/>
      <c r="S9" s="1303"/>
      <c r="T9" s="1209"/>
      <c r="U9" s="92"/>
      <c r="V9" s="1191" t="s">
        <v>8231</v>
      </c>
      <c r="W9" s="1152"/>
      <c r="X9" s="1194"/>
      <c r="Y9" s="1194"/>
      <c r="Z9" s="1194"/>
      <c r="AA9" s="1194"/>
      <c r="AB9" s="1152"/>
      <c r="AC9" s="1191" t="s">
        <v>8232</v>
      </c>
      <c r="AD9" s="1194"/>
      <c r="AE9" s="1194"/>
      <c r="AF9" s="1297"/>
      <c r="AG9" s="1297"/>
    </row>
    <row r="10">
      <c r="A10" s="1027" t="s">
        <v>431</v>
      </c>
      <c r="B10" s="1288" t="s">
        <v>640</v>
      </c>
      <c r="C10" s="1289" t="s">
        <v>736</v>
      </c>
      <c r="D10" s="1290" t="s">
        <v>1413</v>
      </c>
      <c r="E10" s="1291" t="s">
        <v>1413</v>
      </c>
      <c r="F10" s="1292" t="s">
        <v>736</v>
      </c>
      <c r="G10" s="1288" t="s">
        <v>736</v>
      </c>
      <c r="H10" s="1194"/>
      <c r="I10" s="92"/>
      <c r="J10" s="101"/>
      <c r="K10" s="1152"/>
      <c r="L10" s="1152"/>
      <c r="M10" s="1152"/>
      <c r="N10" s="1194"/>
      <c r="O10" s="1194"/>
      <c r="P10" s="1194"/>
      <c r="Q10" s="1194"/>
      <c r="R10" s="1152"/>
      <c r="S10" s="1152"/>
      <c r="T10" s="1194"/>
      <c r="U10" s="92"/>
      <c r="V10" s="1194"/>
      <c r="W10" s="1152"/>
      <c r="X10" s="1194"/>
      <c r="Y10" s="1194"/>
      <c r="Z10" s="1194"/>
      <c r="AA10" s="1194"/>
      <c r="AB10" s="1152"/>
      <c r="AC10" s="1304" t="s">
        <v>6620</v>
      </c>
      <c r="AD10" s="1194"/>
      <c r="AE10" s="1194"/>
      <c r="AF10" s="1297"/>
      <c r="AG10" s="1297"/>
    </row>
    <row r="11">
      <c r="A11" s="1157" t="s">
        <v>4412</v>
      </c>
      <c r="B11" s="1288" t="s">
        <v>640</v>
      </c>
      <c r="C11" s="1289" t="s">
        <v>736</v>
      </c>
      <c r="D11" s="1290" t="s">
        <v>1413</v>
      </c>
      <c r="E11" s="1291" t="s">
        <v>1413</v>
      </c>
      <c r="F11" s="1292" t="s">
        <v>736</v>
      </c>
      <c r="G11" s="1288" t="s">
        <v>736</v>
      </c>
      <c r="H11" s="1194"/>
      <c r="I11" s="92"/>
      <c r="J11" s="101"/>
      <c r="K11" s="1152"/>
      <c r="L11" s="1152"/>
      <c r="M11" s="1152"/>
      <c r="N11" s="1194"/>
      <c r="O11" s="1194"/>
      <c r="P11" s="1194"/>
      <c r="Q11" s="1194"/>
      <c r="R11" s="1152"/>
      <c r="S11" s="1152"/>
      <c r="T11" s="1209"/>
      <c r="U11" s="1194"/>
      <c r="V11" s="708" t="s">
        <v>8233</v>
      </c>
      <c r="W11" s="1152"/>
      <c r="X11" s="1194"/>
      <c r="Y11" s="1194"/>
      <c r="Z11" s="1194"/>
      <c r="AA11" s="1194"/>
      <c r="AB11" s="1152"/>
      <c r="AC11" s="1194"/>
      <c r="AD11" s="1194"/>
      <c r="AE11" s="1194"/>
      <c r="AF11" s="1297"/>
      <c r="AG11" s="1297"/>
    </row>
    <row r="12">
      <c r="A12" s="1287" t="s">
        <v>1128</v>
      </c>
      <c r="B12" s="1288" t="s">
        <v>640</v>
      </c>
      <c r="C12" s="1289" t="s">
        <v>433</v>
      </c>
      <c r="D12" s="1290" t="s">
        <v>1413</v>
      </c>
      <c r="E12" s="1291" t="s">
        <v>1413</v>
      </c>
      <c r="F12" s="1292" t="s">
        <v>433</v>
      </c>
      <c r="G12" s="1288" t="s">
        <v>433</v>
      </c>
      <c r="H12" s="1194"/>
      <c r="I12" s="92"/>
      <c r="J12" s="101"/>
      <c r="K12" s="1192" t="s">
        <v>8234</v>
      </c>
      <c r="L12" s="1152"/>
      <c r="M12" s="1152"/>
      <c r="N12" s="1194"/>
      <c r="O12" s="1194"/>
      <c r="P12" s="1194"/>
      <c r="Q12" s="1194"/>
      <c r="R12" s="1152"/>
      <c r="S12" s="1152"/>
      <c r="T12" s="1194"/>
      <c r="U12" s="1194"/>
      <c r="V12" s="1194"/>
      <c r="W12" s="1192" t="s">
        <v>8227</v>
      </c>
      <c r="X12" s="1194"/>
      <c r="Y12" s="1194"/>
      <c r="Z12" s="1194"/>
      <c r="AA12" s="1194"/>
      <c r="AB12" s="1152"/>
      <c r="AC12" s="1194"/>
      <c r="AD12" s="1194"/>
      <c r="AE12" s="1194"/>
      <c r="AF12" s="1297"/>
      <c r="AG12" s="1297"/>
    </row>
    <row r="13">
      <c r="A13" s="1287" t="s">
        <v>1056</v>
      </c>
      <c r="B13" s="1288" t="s">
        <v>1058</v>
      </c>
      <c r="C13" s="1289" t="s">
        <v>1413</v>
      </c>
      <c r="D13" s="1290" t="s">
        <v>1413</v>
      </c>
      <c r="E13" s="1291" t="s">
        <v>736</v>
      </c>
      <c r="F13" s="1292" t="s">
        <v>736</v>
      </c>
      <c r="G13" s="1288" t="s">
        <v>736</v>
      </c>
      <c r="H13" s="1194"/>
      <c r="I13" s="92"/>
      <c r="J13" s="101"/>
      <c r="K13" s="842"/>
      <c r="L13" s="737"/>
      <c r="M13" s="941"/>
      <c r="N13" s="1194"/>
      <c r="O13" s="1194"/>
      <c r="P13" s="1194"/>
      <c r="Q13" s="1194"/>
      <c r="R13" s="1152"/>
      <c r="S13" s="1152"/>
      <c r="T13" s="1194"/>
      <c r="U13" s="92"/>
      <c r="V13" s="1194"/>
      <c r="W13" s="1152"/>
      <c r="X13" s="1194"/>
      <c r="Y13" s="1194"/>
      <c r="Z13" s="1194"/>
      <c r="AA13" s="1194"/>
      <c r="AB13" s="1152"/>
      <c r="AC13" s="1189" t="s">
        <v>8235</v>
      </c>
      <c r="AD13" s="1194"/>
      <c r="AE13" s="1194"/>
      <c r="AF13" s="1297"/>
      <c r="AG13" s="1297"/>
    </row>
    <row r="14">
      <c r="A14" s="1027" t="s">
        <v>638</v>
      </c>
      <c r="B14" s="1288" t="s">
        <v>1058</v>
      </c>
      <c r="C14" s="1289" t="s">
        <v>1413</v>
      </c>
      <c r="D14" s="1290" t="s">
        <v>1413</v>
      </c>
      <c r="E14" s="1291" t="s">
        <v>736</v>
      </c>
      <c r="F14" s="1292" t="s">
        <v>736</v>
      </c>
      <c r="G14" s="1288" t="s">
        <v>736</v>
      </c>
      <c r="H14" s="1194"/>
      <c r="I14" s="92"/>
      <c r="J14" s="101"/>
      <c r="K14" s="1152"/>
      <c r="L14" s="1152"/>
      <c r="M14" s="1152"/>
      <c r="N14" s="1194"/>
      <c r="O14" s="1194"/>
      <c r="P14" s="1194"/>
      <c r="Q14" s="1194"/>
      <c r="R14" s="1152"/>
      <c r="S14" s="1152"/>
      <c r="T14" s="1209"/>
      <c r="U14" s="92"/>
      <c r="V14" s="708" t="s">
        <v>5538</v>
      </c>
      <c r="W14" s="1152"/>
      <c r="X14" s="1194"/>
      <c r="Y14" s="1194"/>
      <c r="Z14" s="1194"/>
      <c r="AA14" s="1194"/>
      <c r="AB14" s="1152"/>
      <c r="AC14" s="1194"/>
      <c r="AD14" s="1194"/>
      <c r="AE14" s="1194"/>
      <c r="AF14" s="1297"/>
      <c r="AG14" s="1297"/>
    </row>
    <row r="15">
      <c r="A15" s="1287" t="s">
        <v>8035</v>
      </c>
      <c r="B15" s="1288" t="s">
        <v>1058</v>
      </c>
      <c r="C15" s="1289" t="s">
        <v>736</v>
      </c>
      <c r="D15" s="1290" t="s">
        <v>1413</v>
      </c>
      <c r="E15" s="1291" t="s">
        <v>1413</v>
      </c>
      <c r="F15" s="1292" t="s">
        <v>736</v>
      </c>
      <c r="G15" s="1288" t="s">
        <v>736</v>
      </c>
      <c r="H15" s="1194"/>
      <c r="I15" s="92"/>
      <c r="J15" s="101"/>
      <c r="K15" s="1152"/>
      <c r="L15" s="1152"/>
      <c r="M15" s="1152"/>
      <c r="N15" s="1194"/>
      <c r="O15" s="1194"/>
      <c r="P15" s="1194"/>
      <c r="Q15" s="1194"/>
      <c r="R15" s="1192" t="s">
        <v>5264</v>
      </c>
      <c r="S15" s="1152"/>
      <c r="T15" s="1194"/>
      <c r="U15" s="1194"/>
      <c r="V15" s="1194"/>
      <c r="W15" s="1152"/>
      <c r="X15" s="1194"/>
      <c r="Y15" s="1194"/>
      <c r="Z15" s="1194"/>
      <c r="AA15" s="1194"/>
      <c r="AB15" s="1152"/>
      <c r="AC15" s="1194"/>
      <c r="AD15" s="1194"/>
      <c r="AE15" s="1194"/>
      <c r="AF15" s="1297"/>
      <c r="AG15" s="1297"/>
    </row>
    <row r="16">
      <c r="A16" s="1157" t="s">
        <v>5336</v>
      </c>
      <c r="B16" s="1288" t="s">
        <v>539</v>
      </c>
      <c r="C16" s="1289" t="s">
        <v>1413</v>
      </c>
      <c r="D16" s="1290" t="s">
        <v>1413</v>
      </c>
      <c r="E16" s="1291" t="s">
        <v>1413</v>
      </c>
      <c r="F16" s="1292" t="s">
        <v>539</v>
      </c>
      <c r="G16" s="1288" t="s">
        <v>539</v>
      </c>
      <c r="H16" s="842"/>
      <c r="I16" s="1294"/>
      <c r="J16" s="1294"/>
      <c r="K16" s="1295"/>
      <c r="L16" s="1295"/>
      <c r="M16" s="1295"/>
      <c r="N16" s="1295"/>
      <c r="O16" s="1295"/>
      <c r="P16" s="1295"/>
      <c r="Q16" s="708" t="s">
        <v>3319</v>
      </c>
      <c r="R16" s="842"/>
      <c r="S16" s="842"/>
      <c r="T16" s="740" t="s">
        <v>6416</v>
      </c>
      <c r="U16" s="1152"/>
      <c r="V16" s="1152"/>
      <c r="W16" s="740" t="s">
        <v>1339</v>
      </c>
      <c r="X16" s="1295"/>
      <c r="Y16" s="1295"/>
      <c r="Z16" s="1299"/>
      <c r="AA16" s="1295"/>
      <c r="AB16" s="1295"/>
      <c r="AC16" s="737"/>
      <c r="AD16" s="1305"/>
      <c r="AE16" s="1305"/>
      <c r="AF16" s="1306"/>
      <c r="AG16" s="1307"/>
    </row>
    <row r="17">
      <c r="A17" s="1027" t="s">
        <v>1411</v>
      </c>
      <c r="B17" s="1288" t="s">
        <v>539</v>
      </c>
      <c r="C17" s="1289" t="s">
        <v>1413</v>
      </c>
      <c r="D17" s="1290" t="s">
        <v>1413</v>
      </c>
      <c r="E17" s="1291" t="s">
        <v>1413</v>
      </c>
      <c r="F17" s="1292" t="s">
        <v>736</v>
      </c>
      <c r="G17" s="1288" t="s">
        <v>736</v>
      </c>
      <c r="H17" s="1194"/>
      <c r="I17" s="92"/>
      <c r="J17" s="101"/>
      <c r="K17" s="1152"/>
      <c r="L17" s="842"/>
      <c r="M17" s="842"/>
      <c r="N17" s="842"/>
      <c r="O17" s="1194"/>
      <c r="P17" s="1194"/>
      <c r="Q17" s="1194"/>
      <c r="R17" s="1152"/>
      <c r="S17" s="1152"/>
      <c r="T17" s="1194"/>
      <c r="U17" s="92"/>
      <c r="V17" s="1194"/>
      <c r="W17" s="1152"/>
      <c r="X17" s="1194"/>
      <c r="Y17" s="1194"/>
      <c r="Z17" s="1194"/>
      <c r="AA17" s="1193"/>
      <c r="AB17" s="1152"/>
      <c r="AC17" s="706" t="s">
        <v>8236</v>
      </c>
      <c r="AD17" s="1194"/>
      <c r="AE17" s="1194"/>
      <c r="AF17" s="1297"/>
      <c r="AG17" s="1297"/>
    </row>
    <row r="18">
      <c r="A18" s="1027" t="s">
        <v>6221</v>
      </c>
      <c r="B18" s="1288" t="s">
        <v>539</v>
      </c>
      <c r="C18" s="1289" t="s">
        <v>1413</v>
      </c>
      <c r="D18" s="1290" t="s">
        <v>1413</v>
      </c>
      <c r="E18" s="1291" t="s">
        <v>1413</v>
      </c>
      <c r="F18" s="1292" t="s">
        <v>736</v>
      </c>
      <c r="G18" s="1288" t="s">
        <v>736</v>
      </c>
      <c r="H18" s="1194"/>
      <c r="I18" s="92"/>
      <c r="J18" s="1294"/>
      <c r="K18" s="842"/>
      <c r="L18" s="737"/>
      <c r="M18" s="941"/>
      <c r="N18" s="1194"/>
      <c r="O18" s="1194"/>
      <c r="P18" s="1194"/>
      <c r="Q18" s="1194"/>
      <c r="R18" s="1152"/>
      <c r="S18" s="1152"/>
      <c r="T18" s="1209"/>
      <c r="U18" s="92"/>
      <c r="V18" s="1189" t="s">
        <v>8237</v>
      </c>
      <c r="W18" s="1152"/>
      <c r="X18" s="1194"/>
      <c r="Y18" s="1194"/>
      <c r="Z18" s="1194"/>
      <c r="AA18" s="1194"/>
      <c r="AB18" s="1152"/>
      <c r="AC18" s="1194"/>
      <c r="AD18" s="1194"/>
      <c r="AE18" s="1194"/>
      <c r="AF18" s="1297"/>
      <c r="AG18" s="1297"/>
    </row>
    <row r="19">
      <c r="A19" s="1287" t="s">
        <v>1874</v>
      </c>
      <c r="B19" s="1288" t="s">
        <v>433</v>
      </c>
      <c r="C19" s="1289" t="s">
        <v>1413</v>
      </c>
      <c r="D19" s="1290" t="s">
        <v>1413</v>
      </c>
      <c r="E19" s="1291" t="s">
        <v>1413</v>
      </c>
      <c r="F19" s="1292" t="s">
        <v>736</v>
      </c>
      <c r="G19" s="1288" t="s">
        <v>736</v>
      </c>
      <c r="H19" s="1194"/>
      <c r="I19" s="92"/>
      <c r="J19" s="101"/>
      <c r="K19" s="1152"/>
      <c r="L19" s="1152"/>
      <c r="M19" s="1152"/>
      <c r="N19" s="1194"/>
      <c r="O19" s="1194"/>
      <c r="P19" s="1194"/>
      <c r="Q19" s="1194"/>
      <c r="R19" s="1152"/>
      <c r="S19" s="1152"/>
      <c r="T19" s="1194"/>
      <c r="U19" s="92"/>
      <c r="V19" s="1194"/>
      <c r="W19" s="1152"/>
      <c r="X19" s="1194"/>
      <c r="Y19" s="1194"/>
      <c r="Z19" s="1194"/>
      <c r="AA19" s="1194"/>
      <c r="AB19" s="1152"/>
      <c r="AC19" s="706" t="s">
        <v>8238</v>
      </c>
      <c r="AD19" s="1194"/>
      <c r="AE19" s="1194"/>
      <c r="AF19" s="1297"/>
      <c r="AG19" s="1297"/>
    </row>
    <row r="20">
      <c r="A20" s="1287" t="s">
        <v>6260</v>
      </c>
      <c r="B20" s="1288" t="s">
        <v>433</v>
      </c>
      <c r="C20" s="1289" t="s">
        <v>1413</v>
      </c>
      <c r="D20" s="1290" t="s">
        <v>1413</v>
      </c>
      <c r="E20" s="1291" t="s">
        <v>736</v>
      </c>
      <c r="F20" s="1292" t="s">
        <v>736</v>
      </c>
      <c r="G20" s="1288" t="s">
        <v>736</v>
      </c>
      <c r="H20" s="1194"/>
      <c r="I20" s="92"/>
      <c r="J20" s="101"/>
      <c r="K20" s="1152"/>
      <c r="L20" s="1152"/>
      <c r="M20" s="1152"/>
      <c r="N20" s="1194"/>
      <c r="O20" s="1194"/>
      <c r="P20" s="1194"/>
      <c r="Q20" s="1194"/>
      <c r="R20" s="1189" t="s">
        <v>765</v>
      </c>
      <c r="S20" s="1152"/>
      <c r="T20" s="1194"/>
      <c r="U20" s="1194"/>
      <c r="V20" s="1194"/>
      <c r="W20" s="1152"/>
      <c r="X20" s="1194"/>
      <c r="Y20" s="1194"/>
      <c r="Z20" s="1194"/>
      <c r="AA20" s="1194"/>
      <c r="AB20" s="1152"/>
      <c r="AC20" s="1194"/>
      <c r="AD20" s="1194"/>
      <c r="AE20" s="1194"/>
      <c r="AF20" s="1297"/>
      <c r="AG20" s="1297"/>
    </row>
    <row r="21">
      <c r="A21" s="1287" t="s">
        <v>215</v>
      </c>
      <c r="B21" s="1288" t="s">
        <v>736</v>
      </c>
      <c r="C21" s="1289" t="s">
        <v>1413</v>
      </c>
      <c r="D21" s="1290" t="s">
        <v>1413</v>
      </c>
      <c r="E21" s="1291" t="s">
        <v>1413</v>
      </c>
      <c r="F21" s="1292" t="s">
        <v>736</v>
      </c>
      <c r="G21" s="1288" t="s">
        <v>736</v>
      </c>
      <c r="H21" s="1302"/>
      <c r="I21" s="92"/>
      <c r="J21" s="101"/>
      <c r="K21" s="1152"/>
      <c r="L21" s="1152"/>
      <c r="M21" s="1152"/>
      <c r="N21" s="1194"/>
      <c r="O21" s="1194"/>
      <c r="P21" s="1194"/>
      <c r="Q21" s="1302"/>
      <c r="R21" s="1303"/>
      <c r="S21" s="1303"/>
      <c r="T21" s="1308"/>
      <c r="U21" s="92"/>
      <c r="V21" s="1200" t="s">
        <v>8239</v>
      </c>
      <c r="W21" s="1152"/>
      <c r="X21" s="1194"/>
      <c r="Y21" s="1194"/>
      <c r="Z21" s="1194"/>
      <c r="AA21" s="1194"/>
      <c r="AB21" s="1152"/>
      <c r="AC21" s="1194"/>
      <c r="AD21" s="1194"/>
      <c r="AE21" s="1194"/>
      <c r="AF21" s="1297"/>
      <c r="AG21" s="1297"/>
    </row>
    <row r="22">
      <c r="A22" s="1287" t="s">
        <v>2525</v>
      </c>
      <c r="B22" s="1288" t="s">
        <v>736</v>
      </c>
      <c r="C22" s="1289" t="s">
        <v>736</v>
      </c>
      <c r="D22" s="1290" t="s">
        <v>1413</v>
      </c>
      <c r="E22" s="1291" t="s">
        <v>1413</v>
      </c>
      <c r="F22" s="1292" t="s">
        <v>736</v>
      </c>
      <c r="G22" s="1288" t="s">
        <v>736</v>
      </c>
      <c r="H22" s="1194"/>
      <c r="I22" s="92"/>
      <c r="J22" s="101"/>
      <c r="K22" s="1152"/>
      <c r="L22" s="1152"/>
      <c r="M22" s="1152"/>
      <c r="N22" s="1194"/>
      <c r="O22" s="1194"/>
      <c r="P22" s="1194"/>
      <c r="Q22" s="1194"/>
      <c r="R22" s="1152"/>
      <c r="S22" s="1152"/>
      <c r="T22" s="1194"/>
      <c r="U22" s="1192" t="s">
        <v>8240</v>
      </c>
      <c r="V22" s="1194"/>
      <c r="W22" s="1152"/>
      <c r="X22" s="1194"/>
      <c r="Y22" s="1194"/>
      <c r="Z22" s="1194"/>
      <c r="AA22" s="1194"/>
      <c r="AB22" s="1152"/>
      <c r="AC22" s="1194"/>
      <c r="AD22" s="1194"/>
      <c r="AE22" s="1194"/>
      <c r="AF22" s="1297"/>
      <c r="AG22" s="1297"/>
    </row>
    <row r="23">
      <c r="A23" s="1157" t="s">
        <v>6030</v>
      </c>
      <c r="B23" s="1288" t="s">
        <v>736</v>
      </c>
      <c r="C23" s="1289" t="s">
        <v>736</v>
      </c>
      <c r="D23" s="1290" t="s">
        <v>1413</v>
      </c>
      <c r="E23" s="1291" t="s">
        <v>1413</v>
      </c>
      <c r="F23" s="1292" t="s">
        <v>736</v>
      </c>
      <c r="G23" s="1288" t="s">
        <v>736</v>
      </c>
      <c r="H23" s="1194"/>
      <c r="I23" s="92"/>
      <c r="J23" s="101"/>
      <c r="K23" s="1152"/>
      <c r="L23" s="1152"/>
      <c r="M23" s="1152"/>
      <c r="N23" s="1192" t="s">
        <v>2792</v>
      </c>
      <c r="O23" s="1194"/>
      <c r="P23" s="1194"/>
      <c r="Q23" s="1194"/>
      <c r="R23" s="1152"/>
      <c r="S23" s="1152"/>
      <c r="T23" s="1194"/>
      <c r="U23" s="1194"/>
      <c r="V23" s="1194"/>
      <c r="W23" s="1152"/>
      <c r="X23" s="1194"/>
      <c r="Y23" s="1194"/>
      <c r="Z23" s="1194"/>
      <c r="AA23" s="1194"/>
      <c r="AB23" s="1152"/>
      <c r="AC23" s="1194"/>
      <c r="AD23" s="1194"/>
      <c r="AE23" s="1194"/>
      <c r="AF23" s="1297"/>
      <c r="AG23" s="1297"/>
    </row>
    <row r="24">
      <c r="A24" s="1287" t="s">
        <v>8241</v>
      </c>
      <c r="B24" s="1288" t="s">
        <v>1413</v>
      </c>
      <c r="C24" s="1289" t="s">
        <v>1413</v>
      </c>
      <c r="D24" s="1290" t="s">
        <v>1413</v>
      </c>
      <c r="E24" s="1291" t="s">
        <v>1413</v>
      </c>
      <c r="F24" s="1292" t="s">
        <v>1413</v>
      </c>
      <c r="G24" s="1288" t="s">
        <v>1413</v>
      </c>
      <c r="H24" s="1194"/>
      <c r="I24" s="92"/>
      <c r="J24" s="101"/>
      <c r="K24" s="1152"/>
      <c r="L24" s="1152"/>
      <c r="M24" s="1152"/>
      <c r="N24" s="1194"/>
      <c r="O24" s="1194"/>
      <c r="P24" s="1194"/>
      <c r="Q24" s="1194"/>
      <c r="R24" s="1152"/>
      <c r="S24" s="1152"/>
      <c r="T24" s="1194"/>
      <c r="U24" s="1194"/>
      <c r="V24" s="1194"/>
      <c r="W24" s="1152"/>
      <c r="X24" s="1194"/>
      <c r="Y24" s="1194"/>
      <c r="Z24" s="1194"/>
      <c r="AA24" s="1194"/>
      <c r="AB24" s="1152"/>
      <c r="AC24" s="1194"/>
      <c r="AD24" s="1194"/>
      <c r="AE24" s="1194"/>
      <c r="AF24" s="1297"/>
      <c r="AG24" s="1297"/>
    </row>
    <row r="25">
      <c r="A25" s="1287"/>
      <c r="B25" s="1288" t="s">
        <v>1413</v>
      </c>
      <c r="C25" s="1289" t="s">
        <v>1413</v>
      </c>
      <c r="D25" s="1290" t="s">
        <v>1413</v>
      </c>
      <c r="E25" s="1291" t="s">
        <v>1413</v>
      </c>
      <c r="F25" s="1292" t="s">
        <v>1413</v>
      </c>
      <c r="G25" s="1288" t="s">
        <v>1413</v>
      </c>
      <c r="H25" s="1194"/>
      <c r="I25" s="92"/>
      <c r="J25" s="101"/>
      <c r="K25" s="1152"/>
      <c r="L25" s="1152"/>
      <c r="M25" s="1152"/>
      <c r="N25" s="1194"/>
      <c r="O25" s="1194"/>
      <c r="P25" s="1194"/>
      <c r="Q25" s="1194"/>
      <c r="R25" s="1152"/>
      <c r="S25" s="1152"/>
      <c r="T25" s="1194"/>
      <c r="U25" s="1194"/>
      <c r="V25" s="1194"/>
      <c r="W25" s="1152"/>
      <c r="X25" s="1194"/>
      <c r="Y25" s="1194"/>
      <c r="Z25" s="1194"/>
      <c r="AA25" s="1194"/>
      <c r="AB25" s="1152"/>
      <c r="AC25" s="1194"/>
      <c r="AD25" s="1194"/>
      <c r="AE25" s="1194"/>
      <c r="AF25" s="1297"/>
      <c r="AG25" s="1297"/>
    </row>
    <row r="26">
      <c r="A26" s="1287"/>
      <c r="B26" s="1288" t="s">
        <v>1413</v>
      </c>
      <c r="C26" s="1289" t="s">
        <v>1413</v>
      </c>
      <c r="D26" s="1290" t="s">
        <v>1413</v>
      </c>
      <c r="E26" s="1291" t="s">
        <v>1413</v>
      </c>
      <c r="F26" s="1292" t="s">
        <v>1413</v>
      </c>
      <c r="G26" s="1288" t="s">
        <v>1413</v>
      </c>
      <c r="H26" s="1194"/>
      <c r="I26" s="92"/>
      <c r="J26" s="101"/>
      <c r="K26" s="1152"/>
      <c r="L26" s="1152"/>
      <c r="M26" s="1152"/>
      <c r="N26" s="1194"/>
      <c r="O26" s="1194"/>
      <c r="P26" s="1194"/>
      <c r="Q26" s="1194"/>
      <c r="R26" s="1152"/>
      <c r="S26" s="1152"/>
      <c r="T26" s="1194"/>
      <c r="U26" s="1194"/>
      <c r="V26" s="1194"/>
      <c r="W26" s="1152"/>
      <c r="X26" s="1194"/>
      <c r="Y26" s="1194"/>
      <c r="Z26" s="1194"/>
      <c r="AA26" s="1194"/>
      <c r="AB26" s="1152"/>
      <c r="AC26" s="1194"/>
      <c r="AD26" s="1194"/>
      <c r="AE26" s="1194"/>
      <c r="AF26" s="1297"/>
      <c r="AG26" s="1297"/>
    </row>
    <row r="27">
      <c r="A27" s="1287"/>
      <c r="B27" s="1288" t="s">
        <v>1413</v>
      </c>
      <c r="C27" s="1289" t="s">
        <v>1413</v>
      </c>
      <c r="D27" s="1290" t="s">
        <v>1413</v>
      </c>
      <c r="E27" s="1291" t="s">
        <v>1413</v>
      </c>
      <c r="F27" s="1292" t="s">
        <v>1413</v>
      </c>
      <c r="G27" s="1288" t="s">
        <v>1413</v>
      </c>
      <c r="H27" s="1194"/>
      <c r="I27" s="92"/>
      <c r="J27" s="101"/>
      <c r="K27" s="1152"/>
      <c r="L27" s="1152"/>
      <c r="M27" s="1152"/>
      <c r="N27" s="1194"/>
      <c r="O27" s="1194"/>
      <c r="P27" s="1194"/>
      <c r="Q27" s="1194"/>
      <c r="R27" s="1152"/>
      <c r="S27" s="1152"/>
      <c r="T27" s="1194"/>
      <c r="U27" s="1194"/>
      <c r="V27" s="1194"/>
      <c r="W27" s="1152"/>
      <c r="X27" s="1194"/>
      <c r="Y27" s="1194"/>
      <c r="Z27" s="1194"/>
      <c r="AA27" s="1194"/>
      <c r="AB27" s="1152"/>
      <c r="AC27" s="1194"/>
      <c r="AD27" s="1194"/>
      <c r="AE27" s="1194"/>
      <c r="AF27" s="1297"/>
      <c r="AG27" s="1297"/>
    </row>
    <row r="28">
      <c r="A28" s="1287"/>
      <c r="B28" s="1288" t="s">
        <v>1413</v>
      </c>
      <c r="C28" s="1289" t="s">
        <v>1413</v>
      </c>
      <c r="D28" s="1290" t="s">
        <v>1413</v>
      </c>
      <c r="E28" s="1291" t="s">
        <v>1413</v>
      </c>
      <c r="F28" s="1292" t="s">
        <v>1413</v>
      </c>
      <c r="G28" s="1288" t="s">
        <v>1413</v>
      </c>
      <c r="H28" s="1194"/>
      <c r="I28" s="92"/>
      <c r="J28" s="101"/>
      <c r="K28" s="1152"/>
      <c r="L28" s="1152"/>
      <c r="M28" s="1152"/>
      <c r="N28" s="1194"/>
      <c r="O28" s="1194"/>
      <c r="P28" s="1194"/>
      <c r="Q28" s="1194"/>
      <c r="R28" s="1152"/>
      <c r="S28" s="1152"/>
      <c r="T28" s="1194"/>
      <c r="U28" s="1194"/>
      <c r="V28" s="1194"/>
      <c r="W28" s="1152"/>
      <c r="X28" s="1194"/>
      <c r="Y28" s="1194"/>
      <c r="Z28" s="1194"/>
      <c r="AA28" s="1194"/>
      <c r="AB28" s="1152"/>
      <c r="AC28" s="1194"/>
      <c r="AD28" s="1194"/>
      <c r="AE28" s="1194"/>
      <c r="AF28" s="1297"/>
      <c r="AG28" s="1297"/>
    </row>
    <row r="29">
      <c r="A29" s="1287"/>
      <c r="B29" s="1288" t="s">
        <v>1413</v>
      </c>
      <c r="C29" s="1289" t="s">
        <v>1413</v>
      </c>
      <c r="D29" s="1290" t="s">
        <v>1413</v>
      </c>
      <c r="E29" s="1291" t="s">
        <v>1413</v>
      </c>
      <c r="F29" s="1292" t="s">
        <v>1413</v>
      </c>
      <c r="G29" s="1288" t="s">
        <v>1413</v>
      </c>
      <c r="H29" s="1194"/>
      <c r="I29" s="92"/>
      <c r="J29" s="101"/>
      <c r="K29" s="1152"/>
      <c r="L29" s="1152"/>
      <c r="M29" s="1152"/>
      <c r="N29" s="1194"/>
      <c r="O29" s="1194"/>
      <c r="P29" s="1194"/>
      <c r="Q29" s="1194"/>
      <c r="R29" s="1152"/>
      <c r="S29" s="1152"/>
      <c r="T29" s="1194"/>
      <c r="U29" s="1194"/>
      <c r="V29" s="1194"/>
      <c r="W29" s="1152"/>
      <c r="X29" s="1194"/>
      <c r="Y29" s="1194"/>
      <c r="Z29" s="1194"/>
      <c r="AA29" s="1194"/>
      <c r="AB29" s="1152"/>
      <c r="AC29" s="1194"/>
      <c r="AD29" s="1194"/>
      <c r="AE29" s="1194"/>
      <c r="AF29" s="1297"/>
      <c r="AG29" s="1297"/>
    </row>
    <row r="30">
      <c r="A30" s="1287"/>
      <c r="B30" s="1288" t="s">
        <v>1413</v>
      </c>
      <c r="C30" s="1289" t="s">
        <v>1413</v>
      </c>
      <c r="D30" s="1290" t="s">
        <v>1413</v>
      </c>
      <c r="E30" s="1291" t="s">
        <v>1413</v>
      </c>
      <c r="F30" s="1292" t="s">
        <v>1413</v>
      </c>
      <c r="G30" s="1288" t="s">
        <v>1413</v>
      </c>
      <c r="H30" s="1194"/>
      <c r="I30" s="92"/>
      <c r="J30" s="101"/>
      <c r="K30" s="1152"/>
      <c r="L30" s="1152"/>
      <c r="M30" s="1152"/>
      <c r="N30" s="1194"/>
      <c r="O30" s="1194"/>
      <c r="P30" s="1194"/>
      <c r="Q30" s="1194"/>
      <c r="R30" s="1152"/>
      <c r="S30" s="1152"/>
      <c r="T30" s="1194"/>
      <c r="U30" s="1194"/>
      <c r="V30" s="1194"/>
      <c r="W30" s="1152"/>
      <c r="X30" s="1194"/>
      <c r="Y30" s="1194"/>
      <c r="Z30" s="1194"/>
      <c r="AA30" s="1194"/>
      <c r="AB30" s="1152"/>
      <c r="AC30" s="1194"/>
      <c r="AD30" s="1194"/>
      <c r="AE30" s="1194"/>
      <c r="AF30" s="1297"/>
      <c r="AG30" s="1297"/>
    </row>
    <row r="31">
      <c r="A31" s="1287"/>
      <c r="B31" s="1288" t="s">
        <v>1413</v>
      </c>
      <c r="C31" s="1289" t="s">
        <v>1413</v>
      </c>
      <c r="D31" s="1290" t="s">
        <v>1413</v>
      </c>
      <c r="E31" s="1291" t="s">
        <v>1413</v>
      </c>
      <c r="F31" s="1292" t="s">
        <v>1413</v>
      </c>
      <c r="G31" s="1288" t="s">
        <v>1413</v>
      </c>
      <c r="H31" s="1194"/>
      <c r="I31" s="92"/>
      <c r="J31" s="101"/>
      <c r="K31" s="1152"/>
      <c r="L31" s="1152"/>
      <c r="M31" s="1152"/>
      <c r="N31" s="1194"/>
      <c r="O31" s="1194"/>
      <c r="P31" s="1194"/>
      <c r="Q31" s="1194"/>
      <c r="R31" s="1152"/>
      <c r="S31" s="1152"/>
      <c r="T31" s="1194"/>
      <c r="U31" s="1194"/>
      <c r="V31" s="1194"/>
      <c r="W31" s="1152"/>
      <c r="X31" s="1194"/>
      <c r="Y31" s="1194"/>
      <c r="Z31" s="1194"/>
      <c r="AA31" s="1194"/>
      <c r="AB31" s="1152"/>
      <c r="AC31" s="1194"/>
      <c r="AD31" s="1194"/>
      <c r="AE31" s="1194"/>
      <c r="AF31" s="1297"/>
      <c r="AG31" s="1297"/>
    </row>
    <row r="32">
      <c r="A32" s="1287"/>
      <c r="B32" s="1288" t="s">
        <v>1413</v>
      </c>
      <c r="C32" s="1289" t="s">
        <v>1413</v>
      </c>
      <c r="D32" s="1290" t="s">
        <v>1413</v>
      </c>
      <c r="E32" s="1291" t="s">
        <v>1413</v>
      </c>
      <c r="F32" s="1292" t="s">
        <v>1413</v>
      </c>
      <c r="G32" s="1288" t="s">
        <v>1413</v>
      </c>
      <c r="H32" s="1194"/>
      <c r="I32" s="92"/>
      <c r="J32" s="101"/>
      <c r="K32" s="1152"/>
      <c r="L32" s="1152"/>
      <c r="M32" s="1152"/>
      <c r="N32" s="1194"/>
      <c r="O32" s="1194"/>
      <c r="P32" s="1194"/>
      <c r="Q32" s="1194"/>
      <c r="R32" s="1152"/>
      <c r="S32" s="1152"/>
      <c r="T32" s="1194"/>
      <c r="U32" s="1194"/>
      <c r="V32" s="1194"/>
      <c r="W32" s="1152"/>
      <c r="X32" s="1194"/>
      <c r="Y32" s="1194"/>
      <c r="Z32" s="1194"/>
      <c r="AA32" s="1194"/>
      <c r="AB32" s="1152"/>
      <c r="AC32" s="1194"/>
      <c r="AD32" s="1194"/>
      <c r="AE32" s="1194"/>
      <c r="AF32" s="1297"/>
      <c r="AG32" s="1297"/>
    </row>
    <row r="33">
      <c r="A33" s="1287"/>
      <c r="B33" s="1288" t="s">
        <v>1413</v>
      </c>
      <c r="C33" s="1289" t="s">
        <v>1413</v>
      </c>
      <c r="D33" s="1290" t="s">
        <v>1413</v>
      </c>
      <c r="E33" s="1291" t="s">
        <v>1413</v>
      </c>
      <c r="F33" s="1292" t="s">
        <v>1413</v>
      </c>
      <c r="G33" s="1288" t="s">
        <v>1413</v>
      </c>
      <c r="H33" s="1194"/>
      <c r="I33" s="92"/>
      <c r="J33" s="101"/>
      <c r="K33" s="1152"/>
      <c r="L33" s="1152"/>
      <c r="M33" s="1152"/>
      <c r="N33" s="1194"/>
      <c r="O33" s="1194"/>
      <c r="P33" s="1194"/>
      <c r="Q33" s="1194"/>
      <c r="R33" s="1152"/>
      <c r="S33" s="1152"/>
      <c r="T33" s="1194"/>
      <c r="U33" s="1194"/>
      <c r="V33" s="1194"/>
      <c r="W33" s="1152"/>
      <c r="X33" s="1194"/>
      <c r="Y33" s="1194"/>
      <c r="Z33" s="1194"/>
      <c r="AA33" s="1194"/>
      <c r="AB33" s="1152"/>
      <c r="AC33" s="1194"/>
      <c r="AD33" s="1194"/>
      <c r="AE33" s="1194"/>
      <c r="AF33" s="1297"/>
      <c r="AG33" s="1297"/>
    </row>
    <row r="34">
      <c r="A34" s="1287"/>
      <c r="B34" s="1288" t="s">
        <v>1413</v>
      </c>
      <c r="C34" s="1289" t="s">
        <v>1413</v>
      </c>
      <c r="D34" s="1290" t="s">
        <v>1413</v>
      </c>
      <c r="E34" s="1291" t="s">
        <v>1413</v>
      </c>
      <c r="F34" s="1292" t="s">
        <v>1413</v>
      </c>
      <c r="G34" s="1288" t="s">
        <v>1413</v>
      </c>
      <c r="H34" s="1194"/>
      <c r="I34" s="92"/>
      <c r="J34" s="101"/>
      <c r="K34" s="1152"/>
      <c r="L34" s="1152"/>
      <c r="M34" s="1152"/>
      <c r="N34" s="1194"/>
      <c r="O34" s="1194"/>
      <c r="P34" s="1194"/>
      <c r="Q34" s="1194"/>
      <c r="R34" s="1152"/>
      <c r="S34" s="1152"/>
      <c r="T34" s="1194"/>
      <c r="U34" s="1194"/>
      <c r="V34" s="1194"/>
      <c r="W34" s="1152"/>
      <c r="X34" s="1194"/>
      <c r="Y34" s="1194"/>
      <c r="Z34" s="1194"/>
      <c r="AA34" s="1194"/>
      <c r="AB34" s="1152"/>
      <c r="AC34" s="1194"/>
      <c r="AD34" s="1194"/>
      <c r="AE34" s="1194"/>
      <c r="AF34" s="1297"/>
      <c r="AG34" s="1297"/>
    </row>
    <row r="35">
      <c r="A35" s="1287"/>
      <c r="B35" s="1288" t="s">
        <v>1413</v>
      </c>
      <c r="C35" s="1289" t="s">
        <v>1413</v>
      </c>
      <c r="D35" s="1290" t="s">
        <v>1413</v>
      </c>
      <c r="E35" s="1291" t="s">
        <v>1413</v>
      </c>
      <c r="F35" s="1292" t="s">
        <v>1413</v>
      </c>
      <c r="G35" s="1288" t="s">
        <v>1413</v>
      </c>
      <c r="H35" s="1194"/>
      <c r="I35" s="92"/>
      <c r="J35" s="101"/>
      <c r="K35" s="1152"/>
      <c r="L35" s="1152"/>
      <c r="M35" s="1152"/>
      <c r="N35" s="1194"/>
      <c r="O35" s="1194"/>
      <c r="P35" s="1194"/>
      <c r="Q35" s="1194"/>
      <c r="R35" s="1152"/>
      <c r="S35" s="1152"/>
      <c r="T35" s="1194"/>
      <c r="U35" s="1194"/>
      <c r="V35" s="1194"/>
      <c r="W35" s="1152"/>
      <c r="X35" s="1194"/>
      <c r="Y35" s="1194"/>
      <c r="Z35" s="1194"/>
      <c r="AA35" s="1194"/>
      <c r="AB35" s="1152"/>
      <c r="AC35" s="1194"/>
      <c r="AD35" s="1194"/>
      <c r="AE35" s="1194"/>
      <c r="AF35" s="1297"/>
      <c r="AG35" s="1297"/>
    </row>
    <row r="36">
      <c r="A36" s="1287"/>
      <c r="B36" s="1288" t="s">
        <v>1413</v>
      </c>
      <c r="C36" s="1289" t="s">
        <v>1413</v>
      </c>
      <c r="D36" s="1290" t="s">
        <v>1413</v>
      </c>
      <c r="E36" s="1291" t="s">
        <v>1413</v>
      </c>
      <c r="F36" s="1292" t="s">
        <v>1413</v>
      </c>
      <c r="G36" s="1288" t="s">
        <v>1413</v>
      </c>
      <c r="H36" s="1194"/>
      <c r="I36" s="92"/>
      <c r="J36" s="101"/>
      <c r="K36" s="1152"/>
      <c r="L36" s="1152"/>
      <c r="M36" s="1152"/>
      <c r="N36" s="1194"/>
      <c r="O36" s="1194"/>
      <c r="P36" s="1194"/>
      <c r="Q36" s="1194"/>
      <c r="R36" s="1152"/>
      <c r="S36" s="1152"/>
      <c r="T36" s="1194"/>
      <c r="U36" s="1194"/>
      <c r="V36" s="1194"/>
      <c r="W36" s="1152"/>
      <c r="X36" s="1194"/>
      <c r="Y36" s="1194"/>
      <c r="Z36" s="1194"/>
      <c r="AA36" s="1194"/>
      <c r="AB36" s="1152"/>
      <c r="AC36" s="1194"/>
      <c r="AD36" s="1194"/>
      <c r="AE36" s="1194"/>
      <c r="AF36" s="1297"/>
      <c r="AG36" s="1297"/>
    </row>
    <row r="37">
      <c r="A37" s="1287"/>
      <c r="B37" s="1288" t="s">
        <v>1413</v>
      </c>
      <c r="C37" s="1289" t="s">
        <v>1413</v>
      </c>
      <c r="D37" s="1290" t="s">
        <v>1413</v>
      </c>
      <c r="E37" s="1291" t="s">
        <v>1413</v>
      </c>
      <c r="F37" s="1292" t="s">
        <v>1413</v>
      </c>
      <c r="G37" s="1288" t="s">
        <v>1413</v>
      </c>
      <c r="H37" s="1194"/>
      <c r="I37" s="92"/>
      <c r="J37" s="101"/>
      <c r="K37" s="1152"/>
      <c r="L37" s="1152"/>
      <c r="M37" s="1152"/>
      <c r="N37" s="1194"/>
      <c r="O37" s="1194"/>
      <c r="P37" s="1194"/>
      <c r="Q37" s="1194"/>
      <c r="R37" s="1152"/>
      <c r="S37" s="1152"/>
      <c r="T37" s="1194"/>
      <c r="U37" s="1194"/>
      <c r="V37" s="1194"/>
      <c r="W37" s="1152"/>
      <c r="X37" s="1194"/>
      <c r="Y37" s="1194"/>
      <c r="Z37" s="1194"/>
      <c r="AA37" s="1194"/>
      <c r="AB37" s="1152"/>
      <c r="AC37" s="1194"/>
      <c r="AD37" s="1194"/>
      <c r="AE37" s="1194"/>
      <c r="AF37" s="1297"/>
      <c r="AG37" s="1297"/>
    </row>
    <row r="38">
      <c r="A38" s="1287"/>
      <c r="B38" s="1288" t="s">
        <v>1413</v>
      </c>
      <c r="C38" s="1289" t="s">
        <v>1413</v>
      </c>
      <c r="D38" s="1290" t="s">
        <v>1413</v>
      </c>
      <c r="E38" s="1291" t="s">
        <v>1413</v>
      </c>
      <c r="F38" s="1292" t="s">
        <v>1413</v>
      </c>
      <c r="G38" s="1288" t="s">
        <v>1413</v>
      </c>
      <c r="H38" s="1194"/>
      <c r="I38" s="92"/>
      <c r="J38" s="101"/>
      <c r="K38" s="1152"/>
      <c r="L38" s="1152"/>
      <c r="M38" s="1152"/>
      <c r="N38" s="1194"/>
      <c r="O38" s="1194"/>
      <c r="P38" s="1194"/>
      <c r="Q38" s="1194"/>
      <c r="R38" s="1152"/>
      <c r="S38" s="1152"/>
      <c r="T38" s="1194"/>
      <c r="U38" s="1194"/>
      <c r="V38" s="1194"/>
      <c r="W38" s="1152"/>
      <c r="X38" s="1194"/>
      <c r="Y38" s="1194"/>
      <c r="Z38" s="1194"/>
      <c r="AA38" s="1194"/>
      <c r="AB38" s="1152"/>
      <c r="AC38" s="1194"/>
      <c r="AD38" s="1194"/>
      <c r="AE38" s="1194"/>
      <c r="AF38" s="1297"/>
      <c r="AG38" s="1297"/>
    </row>
    <row r="39">
      <c r="A39" s="1287"/>
      <c r="B39" s="1288" t="s">
        <v>1413</v>
      </c>
      <c r="C39" s="1289" t="s">
        <v>1413</v>
      </c>
      <c r="D39" s="1290" t="s">
        <v>1413</v>
      </c>
      <c r="E39" s="1291" t="s">
        <v>1413</v>
      </c>
      <c r="F39" s="1292" t="s">
        <v>1413</v>
      </c>
      <c r="G39" s="1288" t="s">
        <v>1413</v>
      </c>
      <c r="H39" s="1194"/>
      <c r="I39" s="92"/>
      <c r="J39" s="101"/>
      <c r="K39" s="1152"/>
      <c r="L39" s="1152"/>
      <c r="M39" s="1152"/>
      <c r="N39" s="1194"/>
      <c r="O39" s="1194"/>
      <c r="P39" s="1194"/>
      <c r="Q39" s="1194"/>
      <c r="R39" s="1152"/>
      <c r="S39" s="1152"/>
      <c r="T39" s="1194"/>
      <c r="U39" s="1194"/>
      <c r="V39" s="1194"/>
      <c r="W39" s="1152"/>
      <c r="X39" s="1194"/>
      <c r="Y39" s="1194"/>
      <c r="Z39" s="1194"/>
      <c r="AA39" s="1194"/>
      <c r="AB39" s="1152"/>
      <c r="AC39" s="1194"/>
      <c r="AD39" s="1194"/>
      <c r="AE39" s="1194"/>
      <c r="AF39" s="1297"/>
      <c r="AG39" s="1297"/>
    </row>
    <row r="40">
      <c r="A40" s="1287"/>
      <c r="B40" s="1288" t="s">
        <v>1413</v>
      </c>
      <c r="C40" s="1289" t="s">
        <v>1413</v>
      </c>
      <c r="D40" s="1290" t="s">
        <v>1413</v>
      </c>
      <c r="E40" s="1291" t="s">
        <v>1413</v>
      </c>
      <c r="F40" s="1292" t="s">
        <v>1413</v>
      </c>
      <c r="G40" s="1288" t="s">
        <v>1413</v>
      </c>
      <c r="H40" s="1194"/>
      <c r="I40" s="92"/>
      <c r="J40" s="101"/>
      <c r="K40" s="1152"/>
      <c r="L40" s="1152"/>
      <c r="M40" s="1152"/>
      <c r="N40" s="1194"/>
      <c r="O40" s="1194"/>
      <c r="P40" s="1194"/>
      <c r="Q40" s="1194"/>
      <c r="R40" s="1152"/>
      <c r="S40" s="1152"/>
      <c r="T40" s="1194"/>
      <c r="U40" s="1194"/>
      <c r="V40" s="1194"/>
      <c r="W40" s="1152"/>
      <c r="X40" s="1194"/>
      <c r="Y40" s="1194"/>
      <c r="Z40" s="1194"/>
      <c r="AA40" s="1194"/>
      <c r="AB40" s="1152"/>
      <c r="AC40" s="1194"/>
      <c r="AD40" s="1194"/>
      <c r="AE40" s="1194"/>
      <c r="AF40" s="1297"/>
      <c r="AG40" s="1297"/>
    </row>
    <row r="41">
      <c r="A41" s="1287"/>
      <c r="B41" s="1288" t="s">
        <v>1413</v>
      </c>
      <c r="C41" s="1289" t="s">
        <v>1413</v>
      </c>
      <c r="D41" s="1290" t="s">
        <v>1413</v>
      </c>
      <c r="E41" s="1291" t="s">
        <v>1413</v>
      </c>
      <c r="F41" s="1292" t="s">
        <v>1413</v>
      </c>
      <c r="G41" s="1288" t="s">
        <v>1413</v>
      </c>
      <c r="H41" s="1194"/>
      <c r="I41" s="92"/>
      <c r="J41" s="101"/>
      <c r="K41" s="1152"/>
      <c r="L41" s="1152"/>
      <c r="M41" s="1152"/>
      <c r="N41" s="1194"/>
      <c r="O41" s="1194"/>
      <c r="P41" s="1194"/>
      <c r="Q41" s="1194"/>
      <c r="R41" s="1152"/>
      <c r="S41" s="1152"/>
      <c r="T41" s="1194"/>
      <c r="U41" s="1194"/>
      <c r="V41" s="1194"/>
      <c r="W41" s="1152"/>
      <c r="X41" s="1194"/>
      <c r="Y41" s="1194"/>
      <c r="Z41" s="1194"/>
      <c r="AA41" s="1194"/>
      <c r="AB41" s="1152"/>
      <c r="AC41" s="1194"/>
      <c r="AD41" s="1194"/>
      <c r="AE41" s="1194"/>
      <c r="AF41" s="1297"/>
      <c r="AG41" s="1297"/>
    </row>
    <row r="42">
      <c r="A42" s="1287"/>
      <c r="B42" s="1288" t="s">
        <v>1413</v>
      </c>
      <c r="C42" s="1289" t="s">
        <v>1413</v>
      </c>
      <c r="D42" s="1290" t="s">
        <v>1413</v>
      </c>
      <c r="E42" s="1291" t="s">
        <v>1413</v>
      </c>
      <c r="F42" s="1292" t="s">
        <v>1413</v>
      </c>
      <c r="G42" s="1288" t="s">
        <v>1413</v>
      </c>
      <c r="H42" s="1194"/>
      <c r="I42" s="92"/>
      <c r="J42" s="101"/>
      <c r="K42" s="1152"/>
      <c r="L42" s="1152"/>
      <c r="M42" s="1152"/>
      <c r="N42" s="1194"/>
      <c r="O42" s="1194"/>
      <c r="P42" s="1194"/>
      <c r="Q42" s="1194"/>
      <c r="R42" s="1152"/>
      <c r="S42" s="1152"/>
      <c r="T42" s="1194"/>
      <c r="U42" s="1194"/>
      <c r="V42" s="1194"/>
      <c r="W42" s="1152"/>
      <c r="X42" s="1194"/>
      <c r="Y42" s="1194"/>
      <c r="Z42" s="1194"/>
      <c r="AA42" s="1194"/>
      <c r="AB42" s="1152"/>
      <c r="AC42" s="1194"/>
      <c r="AD42" s="1194"/>
      <c r="AE42" s="1194"/>
      <c r="AF42" s="1297"/>
      <c r="AG42" s="1297"/>
    </row>
    <row r="43">
      <c r="A43" s="1287"/>
      <c r="B43" s="1288" t="s">
        <v>1413</v>
      </c>
      <c r="C43" s="1289" t="s">
        <v>1413</v>
      </c>
      <c r="D43" s="1290" t="s">
        <v>1413</v>
      </c>
      <c r="E43" s="1291" t="s">
        <v>1413</v>
      </c>
      <c r="F43" s="1292" t="s">
        <v>1413</v>
      </c>
      <c r="G43" s="1288" t="s">
        <v>1413</v>
      </c>
      <c r="H43" s="1194"/>
      <c r="I43" s="92"/>
      <c r="J43" s="101"/>
      <c r="K43" s="1152"/>
      <c r="L43" s="1152"/>
      <c r="M43" s="1152"/>
      <c r="N43" s="1194"/>
      <c r="O43" s="1194"/>
      <c r="P43" s="1194"/>
      <c r="Q43" s="1194"/>
      <c r="R43" s="1152"/>
      <c r="S43" s="1152"/>
      <c r="T43" s="1194"/>
      <c r="U43" s="1194"/>
      <c r="V43" s="1194"/>
      <c r="W43" s="1152"/>
      <c r="X43" s="1194"/>
      <c r="Y43" s="1194"/>
      <c r="Z43" s="1194"/>
      <c r="AA43" s="1194"/>
      <c r="AB43" s="1152"/>
      <c r="AC43" s="1194"/>
      <c r="AD43" s="1194"/>
      <c r="AE43" s="1194"/>
      <c r="AF43" s="1297"/>
      <c r="AG43" s="1297"/>
    </row>
    <row r="44">
      <c r="A44" s="1287"/>
      <c r="B44" s="1288" t="s">
        <v>1413</v>
      </c>
      <c r="C44" s="1289" t="s">
        <v>1413</v>
      </c>
      <c r="D44" s="1290" t="s">
        <v>1413</v>
      </c>
      <c r="E44" s="1291" t="s">
        <v>1413</v>
      </c>
      <c r="F44" s="1292" t="s">
        <v>1413</v>
      </c>
      <c r="G44" s="1288" t="s">
        <v>1413</v>
      </c>
      <c r="H44" s="1194"/>
      <c r="I44" s="92"/>
      <c r="J44" s="101"/>
      <c r="K44" s="1152"/>
      <c r="L44" s="1152"/>
      <c r="M44" s="1152"/>
      <c r="N44" s="1194"/>
      <c r="O44" s="1194"/>
      <c r="P44" s="1194"/>
      <c r="Q44" s="1194"/>
      <c r="R44" s="1152"/>
      <c r="S44" s="1152"/>
      <c r="T44" s="1194"/>
      <c r="U44" s="1194"/>
      <c r="V44" s="1194"/>
      <c r="W44" s="1152"/>
      <c r="X44" s="1194"/>
      <c r="Y44" s="1194"/>
      <c r="Z44" s="1194"/>
      <c r="AA44" s="1194"/>
      <c r="AB44" s="1152"/>
      <c r="AC44" s="1194"/>
      <c r="AD44" s="1194"/>
      <c r="AE44" s="1194"/>
      <c r="AF44" s="1297"/>
      <c r="AG44" s="1297"/>
    </row>
    <row r="45">
      <c r="A45" s="1287"/>
      <c r="B45" s="1288" t="s">
        <v>1413</v>
      </c>
      <c r="C45" s="1289" t="s">
        <v>1413</v>
      </c>
      <c r="D45" s="1290" t="s">
        <v>1413</v>
      </c>
      <c r="E45" s="1291" t="s">
        <v>1413</v>
      </c>
      <c r="F45" s="1292" t="s">
        <v>1413</v>
      </c>
      <c r="G45" s="1288" t="s">
        <v>1413</v>
      </c>
      <c r="H45" s="1194"/>
      <c r="I45" s="92"/>
      <c r="J45" s="101"/>
      <c r="K45" s="1152"/>
      <c r="L45" s="1152"/>
      <c r="M45" s="1152"/>
      <c r="N45" s="1194"/>
      <c r="O45" s="1194"/>
      <c r="P45" s="1194"/>
      <c r="Q45" s="1194"/>
      <c r="R45" s="1152"/>
      <c r="S45" s="1152"/>
      <c r="T45" s="1194"/>
      <c r="U45" s="1194"/>
      <c r="V45" s="1194"/>
      <c r="W45" s="1152"/>
      <c r="X45" s="1194"/>
      <c r="Y45" s="1194"/>
      <c r="Z45" s="1194"/>
      <c r="AA45" s="1194"/>
      <c r="AB45" s="1152"/>
      <c r="AC45" s="1194"/>
      <c r="AD45" s="1194"/>
      <c r="AE45" s="1194"/>
      <c r="AF45" s="1297"/>
      <c r="AG45" s="1297"/>
    </row>
    <row r="46">
      <c r="A46" s="1287"/>
      <c r="B46" s="1288" t="s">
        <v>1413</v>
      </c>
      <c r="C46" s="1289" t="s">
        <v>1413</v>
      </c>
      <c r="D46" s="1290" t="s">
        <v>1413</v>
      </c>
      <c r="E46" s="1291" t="s">
        <v>1413</v>
      </c>
      <c r="F46" s="1292" t="s">
        <v>1413</v>
      </c>
      <c r="G46" s="1288" t="s">
        <v>1413</v>
      </c>
      <c r="H46" s="1194"/>
      <c r="I46" s="92"/>
      <c r="J46" s="101"/>
      <c r="K46" s="1152"/>
      <c r="L46" s="1152"/>
      <c r="M46" s="1152"/>
      <c r="N46" s="1194"/>
      <c r="O46" s="1194"/>
      <c r="P46" s="1194"/>
      <c r="Q46" s="1194"/>
      <c r="R46" s="1152"/>
      <c r="S46" s="1152"/>
      <c r="T46" s="1194"/>
      <c r="U46" s="1194"/>
      <c r="V46" s="1194"/>
      <c r="W46" s="1152"/>
      <c r="X46" s="1194"/>
      <c r="Y46" s="1194"/>
      <c r="Z46" s="1194"/>
      <c r="AA46" s="1194"/>
      <c r="AB46" s="1152"/>
      <c r="AC46" s="1194"/>
      <c r="AD46" s="1194"/>
      <c r="AE46" s="1194"/>
      <c r="AF46" s="1297"/>
      <c r="AG46" s="1297"/>
    </row>
    <row r="47">
      <c r="A47" s="1287"/>
      <c r="B47" s="1288" t="s">
        <v>1413</v>
      </c>
      <c r="C47" s="1289" t="s">
        <v>1413</v>
      </c>
      <c r="D47" s="1290" t="s">
        <v>1413</v>
      </c>
      <c r="E47" s="1291" t="s">
        <v>1413</v>
      </c>
      <c r="F47" s="1292" t="s">
        <v>1413</v>
      </c>
      <c r="G47" s="1288" t="s">
        <v>1413</v>
      </c>
      <c r="H47" s="1194"/>
      <c r="I47" s="92"/>
      <c r="J47" s="101"/>
      <c r="K47" s="1152"/>
      <c r="L47" s="1152"/>
      <c r="M47" s="1152"/>
      <c r="N47" s="1194"/>
      <c r="O47" s="1194"/>
      <c r="P47" s="1194"/>
      <c r="Q47" s="1194"/>
      <c r="R47" s="1152"/>
      <c r="S47" s="1152"/>
      <c r="T47" s="1194"/>
      <c r="U47" s="1194"/>
      <c r="V47" s="1194"/>
      <c r="W47" s="1152"/>
      <c r="X47" s="1194"/>
      <c r="Y47" s="1194"/>
      <c r="Z47" s="1194"/>
      <c r="AA47" s="1194"/>
      <c r="AB47" s="1152"/>
      <c r="AC47" s="1194"/>
      <c r="AD47" s="1194"/>
      <c r="AE47" s="1194"/>
      <c r="AF47" s="1297"/>
      <c r="AG47" s="1297"/>
    </row>
    <row r="48">
      <c r="A48" s="1287"/>
      <c r="B48" s="1288" t="s">
        <v>1413</v>
      </c>
      <c r="C48" s="1289" t="s">
        <v>1413</v>
      </c>
      <c r="D48" s="1290" t="s">
        <v>1413</v>
      </c>
      <c r="E48" s="1291" t="s">
        <v>1413</v>
      </c>
      <c r="F48" s="1292" t="s">
        <v>1413</v>
      </c>
      <c r="G48" s="1288" t="s">
        <v>1413</v>
      </c>
      <c r="H48" s="1194"/>
      <c r="I48" s="92"/>
      <c r="J48" s="101"/>
      <c r="K48" s="1152"/>
      <c r="L48" s="1152"/>
      <c r="M48" s="1152"/>
      <c r="N48" s="1194"/>
      <c r="O48" s="1194"/>
      <c r="P48" s="1194"/>
      <c r="Q48" s="1194"/>
      <c r="R48" s="1152"/>
      <c r="S48" s="1152"/>
      <c r="T48" s="1194"/>
      <c r="U48" s="1194"/>
      <c r="V48" s="1194"/>
      <c r="W48" s="1152"/>
      <c r="X48" s="1194"/>
      <c r="Y48" s="1194"/>
      <c r="Z48" s="1194"/>
      <c r="AA48" s="1194"/>
      <c r="AB48" s="1152"/>
      <c r="AC48" s="1194"/>
      <c r="AD48" s="1194"/>
      <c r="AE48" s="1194"/>
      <c r="AF48" s="1297"/>
      <c r="AG48" s="1297"/>
    </row>
    <row r="49">
      <c r="A49" s="1287"/>
      <c r="B49" s="1288" t="s">
        <v>1413</v>
      </c>
      <c r="C49" s="1289" t="s">
        <v>1413</v>
      </c>
      <c r="D49" s="1290" t="s">
        <v>1413</v>
      </c>
      <c r="E49" s="1291" t="s">
        <v>1413</v>
      </c>
      <c r="F49" s="1292" t="s">
        <v>1413</v>
      </c>
      <c r="G49" s="1288" t="s">
        <v>1413</v>
      </c>
      <c r="H49" s="1194"/>
      <c r="I49" s="92"/>
      <c r="J49" s="101"/>
      <c r="K49" s="1152"/>
      <c r="L49" s="1152"/>
      <c r="M49" s="1152"/>
      <c r="N49" s="1194"/>
      <c r="O49" s="1194"/>
      <c r="P49" s="1194"/>
      <c r="Q49" s="1194"/>
      <c r="R49" s="1152"/>
      <c r="S49" s="1152"/>
      <c r="T49" s="1194"/>
      <c r="U49" s="1194"/>
      <c r="V49" s="1194"/>
      <c r="W49" s="1152"/>
      <c r="X49" s="1194"/>
      <c r="Y49" s="1194"/>
      <c r="Z49" s="1194"/>
      <c r="AA49" s="1194"/>
      <c r="AB49" s="1152"/>
      <c r="AC49" s="1194"/>
      <c r="AD49" s="1194"/>
      <c r="AE49" s="1194"/>
      <c r="AF49" s="1297"/>
      <c r="AG49" s="1297"/>
    </row>
    <row r="50">
      <c r="A50" s="1287"/>
      <c r="B50" s="1288" t="s">
        <v>1413</v>
      </c>
      <c r="C50" s="1289" t="s">
        <v>1413</v>
      </c>
      <c r="D50" s="1290" t="s">
        <v>1413</v>
      </c>
      <c r="E50" s="1291" t="s">
        <v>1413</v>
      </c>
      <c r="F50" s="1292" t="s">
        <v>1413</v>
      </c>
      <c r="G50" s="1288" t="s">
        <v>1413</v>
      </c>
      <c r="H50" s="1194"/>
      <c r="I50" s="92"/>
      <c r="J50" s="101"/>
      <c r="K50" s="1152"/>
      <c r="L50" s="1152"/>
      <c r="M50" s="1152"/>
      <c r="N50" s="1194"/>
      <c r="O50" s="1194"/>
      <c r="P50" s="1194"/>
      <c r="Q50" s="1194"/>
      <c r="R50" s="1152"/>
      <c r="S50" s="1152"/>
      <c r="T50" s="1194"/>
      <c r="U50" s="1194"/>
      <c r="V50" s="1194"/>
      <c r="W50" s="1152"/>
      <c r="X50" s="1194"/>
      <c r="Y50" s="1194"/>
      <c r="Z50" s="1194"/>
      <c r="AA50" s="1194"/>
      <c r="AB50" s="1152"/>
      <c r="AC50" s="1194"/>
      <c r="AD50" s="1194"/>
      <c r="AE50" s="1194"/>
      <c r="AF50" s="1297"/>
      <c r="AG50" s="1297"/>
    </row>
    <row r="51">
      <c r="A51" s="1287"/>
      <c r="B51" s="1288" t="s">
        <v>1413</v>
      </c>
      <c r="C51" s="1289" t="s">
        <v>1413</v>
      </c>
      <c r="D51" s="1290" t="s">
        <v>1413</v>
      </c>
      <c r="E51" s="1291" t="s">
        <v>1413</v>
      </c>
      <c r="F51" s="1292" t="s">
        <v>1413</v>
      </c>
      <c r="G51" s="1288" t="s">
        <v>1413</v>
      </c>
      <c r="H51" s="1194"/>
      <c r="I51" s="92"/>
      <c r="J51" s="101"/>
      <c r="K51" s="1152"/>
      <c r="L51" s="1152"/>
      <c r="M51" s="1152"/>
      <c r="N51" s="1194"/>
      <c r="O51" s="1194"/>
      <c r="P51" s="1194"/>
      <c r="Q51" s="1194"/>
      <c r="R51" s="1152"/>
      <c r="S51" s="1152"/>
      <c r="T51" s="1194"/>
      <c r="U51" s="1194"/>
      <c r="V51" s="1194"/>
      <c r="W51" s="1152"/>
      <c r="X51" s="1194"/>
      <c r="Y51" s="1194"/>
      <c r="Z51" s="1194"/>
      <c r="AA51" s="1194"/>
      <c r="AB51" s="1152"/>
      <c r="AC51" s="1194"/>
      <c r="AD51" s="1194"/>
      <c r="AE51" s="1194"/>
      <c r="AF51" s="1297"/>
      <c r="AG51" s="1297"/>
    </row>
    <row r="52">
      <c r="A52" s="1287"/>
      <c r="B52" s="1288"/>
      <c r="C52" s="1289"/>
      <c r="D52" s="1290"/>
      <c r="E52" s="1291"/>
      <c r="F52" s="1292"/>
      <c r="G52" s="1288"/>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297"/>
      <c r="AG52" s="1297"/>
    </row>
    <row r="53">
      <c r="A53" s="1287"/>
      <c r="B53" s="1288"/>
      <c r="C53" s="1289"/>
      <c r="D53" s="1290"/>
      <c r="E53" s="1291"/>
      <c r="F53" s="1292"/>
      <c r="G53" s="1288"/>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297"/>
      <c r="AG53" s="1297"/>
    </row>
    <row r="54">
      <c r="A54" s="1287"/>
      <c r="B54" s="1288"/>
      <c r="C54" s="1289"/>
      <c r="D54" s="1290"/>
      <c r="E54" s="1291"/>
      <c r="F54" s="1292"/>
      <c r="G54" s="1288"/>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297"/>
      <c r="AG54" s="1297"/>
    </row>
    <row r="55">
      <c r="A55" s="1287"/>
      <c r="B55" s="1288"/>
      <c r="C55" s="1289"/>
      <c r="D55" s="1290"/>
      <c r="E55" s="1291"/>
      <c r="F55" s="1292"/>
      <c r="G55" s="1288"/>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297"/>
      <c r="AG55" s="1297"/>
    </row>
    <row r="56">
      <c r="A56" s="1287"/>
      <c r="B56" s="1288"/>
      <c r="C56" s="1289"/>
      <c r="D56" s="1290"/>
      <c r="E56" s="1291"/>
      <c r="F56" s="1292"/>
      <c r="G56" s="1288"/>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297"/>
      <c r="AG56" s="1297"/>
    </row>
    <row r="57">
      <c r="A57" s="1287"/>
      <c r="B57" s="1288"/>
      <c r="C57" s="1289"/>
      <c r="D57" s="1290"/>
      <c r="E57" s="1291"/>
      <c r="F57" s="1292"/>
      <c r="G57" s="1288"/>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297"/>
      <c r="AG57" s="1297"/>
    </row>
    <row r="58">
      <c r="A58" s="1287"/>
      <c r="B58" s="1288"/>
      <c r="C58" s="1289"/>
      <c r="D58" s="1290"/>
      <c r="E58" s="1291"/>
      <c r="F58" s="1292"/>
      <c r="G58" s="1288"/>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297"/>
      <c r="AG58" s="1297"/>
    </row>
    <row r="59">
      <c r="A59" s="1287"/>
      <c r="B59" s="1288"/>
      <c r="C59" s="1289"/>
      <c r="D59" s="1290"/>
      <c r="E59" s="1291"/>
      <c r="F59" s="1292"/>
      <c r="G59" s="1288"/>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297"/>
      <c r="AG59" s="1297"/>
    </row>
    <row r="60">
      <c r="A60" s="1287"/>
      <c r="B60" s="1288"/>
      <c r="C60" s="1289"/>
      <c r="D60" s="1290"/>
      <c r="E60" s="1291"/>
      <c r="F60" s="1292"/>
      <c r="G60" s="1288"/>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297"/>
      <c r="AG60" s="1297"/>
    </row>
    <row r="61">
      <c r="A61" s="1287"/>
      <c r="B61" s="1288"/>
      <c r="C61" s="1289"/>
      <c r="D61" s="1290"/>
      <c r="E61" s="1291"/>
      <c r="F61" s="1292"/>
      <c r="G61" s="1288"/>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297"/>
      <c r="AG61" s="1297"/>
    </row>
    <row r="62">
      <c r="A62" s="1287"/>
      <c r="B62" s="1288"/>
      <c r="C62" s="1289"/>
      <c r="D62" s="1290"/>
      <c r="E62" s="1291"/>
      <c r="F62" s="1292"/>
      <c r="G62" s="1288"/>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297"/>
      <c r="AG62" s="1297"/>
    </row>
    <row r="63">
      <c r="A63" s="1287"/>
      <c r="B63" s="1288"/>
      <c r="C63" s="1289"/>
      <c r="D63" s="1290"/>
      <c r="E63" s="1291"/>
      <c r="F63" s="1292"/>
      <c r="G63" s="1288"/>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297"/>
      <c r="AG63" s="1297"/>
    </row>
    <row r="64">
      <c r="A64" s="1287"/>
      <c r="B64" s="1288"/>
      <c r="C64" s="1289"/>
      <c r="D64" s="1290"/>
      <c r="E64" s="1291"/>
      <c r="F64" s="1292"/>
      <c r="G64" s="1288"/>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297"/>
      <c r="AG64" s="1297"/>
    </row>
    <row r="65">
      <c r="A65" s="1287"/>
      <c r="B65" s="1288"/>
      <c r="C65" s="1289"/>
      <c r="D65" s="1290"/>
      <c r="E65" s="1291"/>
      <c r="F65" s="1292"/>
      <c r="G65" s="1288"/>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297"/>
      <c r="AG65" s="1297"/>
    </row>
    <row r="66">
      <c r="A66" s="1287"/>
      <c r="B66" s="1288"/>
      <c r="C66" s="1289"/>
      <c r="D66" s="1290"/>
      <c r="E66" s="1291"/>
      <c r="F66" s="1292"/>
      <c r="G66" s="1288"/>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297"/>
      <c r="AG66" s="1297"/>
    </row>
    <row r="67">
      <c r="A67" s="1287"/>
      <c r="B67" s="1288"/>
      <c r="C67" s="1289"/>
      <c r="D67" s="1290"/>
      <c r="E67" s="1291"/>
      <c r="F67" s="1292"/>
      <c r="G67" s="1288"/>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297"/>
      <c r="AG67" s="1297"/>
    </row>
    <row r="68">
      <c r="A68" s="1287"/>
      <c r="B68" s="1288"/>
      <c r="C68" s="1289"/>
      <c r="D68" s="1290"/>
      <c r="E68" s="1291"/>
      <c r="F68" s="1292"/>
      <c r="G68" s="1288"/>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297"/>
      <c r="AG68" s="1297"/>
    </row>
    <row r="69">
      <c r="A69" s="1287"/>
      <c r="B69" s="1288"/>
      <c r="C69" s="1289"/>
      <c r="D69" s="1290"/>
      <c r="E69" s="1291"/>
      <c r="F69" s="1292"/>
      <c r="G69" s="1288"/>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297"/>
      <c r="AG69" s="1297"/>
    </row>
    <row r="70">
      <c r="A70" s="1287"/>
      <c r="B70" s="1288"/>
      <c r="C70" s="1289"/>
      <c r="D70" s="1290"/>
      <c r="E70" s="1291"/>
      <c r="F70" s="1292"/>
      <c r="G70" s="1288"/>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297"/>
      <c r="AG70" s="1297"/>
    </row>
    <row r="71">
      <c r="A71" s="1287"/>
      <c r="B71" s="1288"/>
      <c r="C71" s="1289"/>
      <c r="D71" s="1290"/>
      <c r="E71" s="1291"/>
      <c r="F71" s="1292"/>
      <c r="G71" s="1288"/>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297"/>
      <c r="AG71" s="1297"/>
    </row>
    <row r="72">
      <c r="A72" s="1287"/>
      <c r="B72" s="1288"/>
      <c r="C72" s="1289"/>
      <c r="D72" s="1290"/>
      <c r="E72" s="1291"/>
      <c r="F72" s="1292"/>
      <c r="G72" s="1288"/>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297"/>
      <c r="AG72" s="1297"/>
    </row>
    <row r="73">
      <c r="A73" s="1287"/>
      <c r="B73" s="1288"/>
      <c r="C73" s="1289"/>
      <c r="D73" s="1290"/>
      <c r="E73" s="1291"/>
      <c r="F73" s="1292"/>
      <c r="G73" s="1288"/>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297"/>
      <c r="AG73" s="1297"/>
    </row>
    <row r="74">
      <c r="A74" s="1287"/>
      <c r="B74" s="1288"/>
      <c r="C74" s="1289"/>
      <c r="D74" s="1290"/>
      <c r="E74" s="1291"/>
      <c r="F74" s="1292"/>
      <c r="G74" s="1288"/>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297"/>
      <c r="AG74" s="1297"/>
    </row>
    <row r="75">
      <c r="A75" s="1287"/>
      <c r="B75" s="1288"/>
      <c r="C75" s="1289"/>
      <c r="D75" s="1290"/>
      <c r="E75" s="1291"/>
      <c r="F75" s="1292"/>
      <c r="G75" s="1288"/>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297"/>
      <c r="AG75" s="1297"/>
    </row>
    <row r="76">
      <c r="A76" s="1287"/>
      <c r="B76" s="1288"/>
      <c r="C76" s="1289"/>
      <c r="D76" s="1290"/>
      <c r="E76" s="1291"/>
      <c r="F76" s="1292"/>
      <c r="G76" s="1288"/>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297"/>
      <c r="AG76" s="1297"/>
    </row>
    <row r="77">
      <c r="A77" s="1287"/>
      <c r="B77" s="1288"/>
      <c r="C77" s="1289"/>
      <c r="D77" s="1290"/>
      <c r="E77" s="1291"/>
      <c r="F77" s="1292"/>
      <c r="G77" s="1288"/>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297"/>
      <c r="AG77" s="1297"/>
    </row>
    <row r="78">
      <c r="A78" s="1287"/>
      <c r="B78" s="1288"/>
      <c r="C78" s="1289"/>
      <c r="D78" s="1290"/>
      <c r="E78" s="1291"/>
      <c r="F78" s="1292"/>
      <c r="G78" s="1288"/>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297"/>
      <c r="AG78" s="1297"/>
    </row>
    <row r="79">
      <c r="A79" s="1287"/>
      <c r="B79" s="1288"/>
      <c r="C79" s="1289"/>
      <c r="D79" s="1290"/>
      <c r="E79" s="1291"/>
      <c r="F79" s="1292"/>
      <c r="G79" s="1288"/>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297"/>
      <c r="AG79" s="1297"/>
    </row>
    <row r="80">
      <c r="A80" s="1287"/>
      <c r="B80" s="1288"/>
      <c r="C80" s="1289"/>
      <c r="D80" s="1290"/>
      <c r="E80" s="1291"/>
      <c r="F80" s="1292"/>
      <c r="G80" s="1288"/>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297"/>
      <c r="AG80" s="1297"/>
    </row>
    <row r="81">
      <c r="A81" s="1287"/>
      <c r="B81" s="1288"/>
      <c r="C81" s="1289"/>
      <c r="D81" s="1290"/>
      <c r="E81" s="1291"/>
      <c r="F81" s="1292"/>
      <c r="G81" s="1288"/>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297"/>
      <c r="AG81" s="1297"/>
    </row>
    <row r="82">
      <c r="A82" s="1287"/>
      <c r="B82" s="1288"/>
      <c r="C82" s="1289"/>
      <c r="D82" s="1290"/>
      <c r="E82" s="1291"/>
      <c r="F82" s="1292"/>
      <c r="G82" s="1288"/>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297"/>
      <c r="AG82" s="1297"/>
    </row>
    <row r="83">
      <c r="A83" s="1287"/>
      <c r="B83" s="1288"/>
      <c r="C83" s="1289"/>
      <c r="D83" s="1290"/>
      <c r="E83" s="1291"/>
      <c r="F83" s="1292"/>
      <c r="G83" s="1288"/>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297"/>
      <c r="AG83" s="1297"/>
    </row>
    <row r="84">
      <c r="A84" s="1287"/>
      <c r="B84" s="1288"/>
      <c r="C84" s="1289"/>
      <c r="D84" s="1290"/>
      <c r="E84" s="1291"/>
      <c r="F84" s="1292"/>
      <c r="G84" s="1288"/>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297"/>
      <c r="AG84" s="1297"/>
    </row>
    <row r="85">
      <c r="A85" s="1287"/>
      <c r="B85" s="1288"/>
      <c r="C85" s="1289"/>
      <c r="D85" s="1290"/>
      <c r="E85" s="1291"/>
      <c r="F85" s="1292"/>
      <c r="G85" s="1288"/>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297"/>
      <c r="AG85" s="1297"/>
    </row>
    <row r="86">
      <c r="A86" s="1287"/>
      <c r="B86" s="1288"/>
      <c r="C86" s="1289"/>
      <c r="D86" s="1290"/>
      <c r="E86" s="1291"/>
      <c r="F86" s="1292"/>
      <c r="G86" s="1288"/>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297"/>
      <c r="AG86" s="1297"/>
    </row>
    <row r="87">
      <c r="A87" s="1287"/>
      <c r="B87" s="1288"/>
      <c r="C87" s="1289"/>
      <c r="D87" s="1290"/>
      <c r="E87" s="1291"/>
      <c r="F87" s="1292"/>
      <c r="G87" s="1288"/>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297"/>
      <c r="AG87" s="1297"/>
    </row>
    <row r="88">
      <c r="A88" s="1287"/>
      <c r="B88" s="1288"/>
      <c r="C88" s="1289"/>
      <c r="D88" s="1290"/>
      <c r="E88" s="1291"/>
      <c r="F88" s="1292"/>
      <c r="G88" s="1288"/>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297"/>
      <c r="AG88" s="1297"/>
    </row>
    <row r="89">
      <c r="A89" s="1287"/>
      <c r="B89" s="1288"/>
      <c r="C89" s="1289"/>
      <c r="D89" s="1290"/>
      <c r="E89" s="1291"/>
      <c r="F89" s="1292"/>
      <c r="G89" s="1288"/>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297"/>
      <c r="AG89" s="1297"/>
    </row>
    <row r="90">
      <c r="A90" s="1287"/>
      <c r="B90" s="1288"/>
      <c r="C90" s="1289"/>
      <c r="D90" s="1290"/>
      <c r="E90" s="1291"/>
      <c r="F90" s="1292"/>
      <c r="G90" s="1288"/>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297"/>
      <c r="AG90" s="1297"/>
    </row>
    <row r="91">
      <c r="A91" s="1287"/>
      <c r="B91" s="1288"/>
      <c r="C91" s="1289"/>
      <c r="D91" s="1290"/>
      <c r="E91" s="1291"/>
      <c r="F91" s="1292"/>
      <c r="G91" s="1288"/>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297"/>
      <c r="AG91" s="1297"/>
    </row>
    <row r="92">
      <c r="A92" s="1287"/>
      <c r="B92" s="1288"/>
      <c r="C92" s="1289"/>
      <c r="D92" s="1290"/>
      <c r="E92" s="1291"/>
      <c r="F92" s="1292"/>
      <c r="G92" s="1288"/>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297"/>
      <c r="AG92" s="1297"/>
    </row>
    <row r="93">
      <c r="A93" s="1287"/>
      <c r="B93" s="1288"/>
      <c r="C93" s="1289"/>
      <c r="D93" s="1290"/>
      <c r="E93" s="1291"/>
      <c r="F93" s="1292"/>
      <c r="G93" s="1288"/>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297"/>
      <c r="AG93" s="1297"/>
    </row>
    <row r="94">
      <c r="A94" s="1287"/>
      <c r="B94" s="1288"/>
      <c r="C94" s="1289"/>
      <c r="D94" s="1290"/>
      <c r="E94" s="1291"/>
      <c r="F94" s="1292"/>
      <c r="G94" s="1288"/>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297"/>
      <c r="AG94" s="1297"/>
    </row>
    <row r="95">
      <c r="A95" s="1287"/>
      <c r="B95" s="1288"/>
      <c r="C95" s="1289"/>
      <c r="D95" s="1290"/>
      <c r="E95" s="1291"/>
      <c r="F95" s="1292"/>
      <c r="G95" s="1288"/>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297"/>
      <c r="AG95" s="1297"/>
    </row>
    <row r="96">
      <c r="A96" s="1287"/>
      <c r="B96" s="1288"/>
      <c r="C96" s="1289"/>
      <c r="D96" s="1290"/>
      <c r="E96" s="1291"/>
      <c r="F96" s="1292"/>
      <c r="G96" s="1288"/>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297"/>
      <c r="AG96" s="1297"/>
    </row>
    <row r="97">
      <c r="A97" s="1287"/>
      <c r="B97" s="1288"/>
      <c r="C97" s="1289"/>
      <c r="D97" s="1290"/>
      <c r="E97" s="1291"/>
      <c r="F97" s="1292"/>
      <c r="G97" s="1288"/>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297"/>
      <c r="AG97" s="1297"/>
    </row>
    <row r="98">
      <c r="A98" s="1287"/>
      <c r="B98" s="1288"/>
      <c r="C98" s="1289"/>
      <c r="D98" s="1290"/>
      <c r="E98" s="1291"/>
      <c r="F98" s="1292"/>
      <c r="G98" s="1288"/>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297"/>
      <c r="AG98" s="1297"/>
    </row>
    <row r="99">
      <c r="A99" s="1287"/>
      <c r="B99" s="1288"/>
      <c r="C99" s="1289"/>
      <c r="D99" s="1290"/>
      <c r="E99" s="1291"/>
      <c r="F99" s="1292"/>
      <c r="G99" s="1288"/>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297"/>
      <c r="AG99" s="1297"/>
    </row>
    <row r="100">
      <c r="A100" s="1287"/>
      <c r="B100" s="1288"/>
      <c r="C100" s="1289"/>
      <c r="D100" s="1290"/>
      <c r="E100" s="1291"/>
      <c r="F100" s="1292"/>
      <c r="G100" s="1288"/>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297"/>
      <c r="AG100" s="1297"/>
    </row>
    <row r="101">
      <c r="A101" s="1287"/>
      <c r="B101" s="1288"/>
      <c r="C101" s="1289"/>
      <c r="D101" s="1290"/>
      <c r="E101" s="1291"/>
      <c r="F101" s="1292"/>
      <c r="G101" s="1288"/>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297"/>
      <c r="AG101" s="1297"/>
    </row>
    <row r="102">
      <c r="A102" s="1287"/>
      <c r="B102" s="1288"/>
      <c r="C102" s="1289"/>
      <c r="D102" s="1290"/>
      <c r="E102" s="1291"/>
      <c r="F102" s="1292"/>
      <c r="G102" s="1288"/>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297"/>
      <c r="AG102" s="1297"/>
    </row>
    <row r="103">
      <c r="A103" s="1287"/>
      <c r="B103" s="1288"/>
      <c r="C103" s="1289"/>
      <c r="D103" s="1290"/>
      <c r="E103" s="1291"/>
      <c r="F103" s="1292"/>
      <c r="G103" s="1288"/>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297"/>
      <c r="AG103" s="1297"/>
    </row>
    <row r="104">
      <c r="A104" s="1287"/>
      <c r="B104" s="1288"/>
      <c r="C104" s="1289"/>
      <c r="D104" s="1290"/>
      <c r="E104" s="1291"/>
      <c r="F104" s="1292"/>
      <c r="G104" s="1288"/>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297"/>
      <c r="AG104" s="1297"/>
    </row>
    <row r="105">
      <c r="A105" s="1287"/>
      <c r="B105" s="1288"/>
      <c r="C105" s="1289"/>
      <c r="D105" s="1290"/>
      <c r="E105" s="1291"/>
      <c r="F105" s="1292"/>
      <c r="G105" s="1288"/>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297"/>
      <c r="AG105" s="1297"/>
    </row>
    <row r="106">
      <c r="A106" s="1287"/>
      <c r="B106" s="1288"/>
      <c r="C106" s="1289"/>
      <c r="D106" s="1290"/>
      <c r="E106" s="1291"/>
      <c r="F106" s="1292"/>
      <c r="G106" s="1288"/>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297"/>
      <c r="AG106" s="1297"/>
    </row>
    <row r="107">
      <c r="A107" s="1287"/>
      <c r="B107" s="1288"/>
      <c r="C107" s="1289"/>
      <c r="D107" s="1290"/>
      <c r="E107" s="1291"/>
      <c r="F107" s="1292"/>
      <c r="G107" s="1288"/>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297"/>
      <c r="AG107" s="1297"/>
    </row>
    <row r="108">
      <c r="A108" s="1287"/>
      <c r="B108" s="1288"/>
      <c r="C108" s="1289"/>
      <c r="D108" s="1290"/>
      <c r="E108" s="1291"/>
      <c r="F108" s="1292"/>
      <c r="G108" s="1288"/>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297"/>
      <c r="AG108" s="1297"/>
    </row>
    <row r="109">
      <c r="A109" s="1287"/>
      <c r="B109" s="1288"/>
      <c r="C109" s="1289"/>
      <c r="D109" s="1290"/>
      <c r="E109" s="1291"/>
      <c r="F109" s="1292"/>
      <c r="G109" s="1288"/>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297"/>
      <c r="AG109" s="1297"/>
    </row>
    <row r="110">
      <c r="A110" s="1287"/>
      <c r="B110" s="1288"/>
      <c r="C110" s="1289"/>
      <c r="D110" s="1290"/>
      <c r="E110" s="1291"/>
      <c r="F110" s="1292"/>
      <c r="G110" s="1288"/>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297"/>
      <c r="AG110" s="1297"/>
    </row>
    <row r="111">
      <c r="A111" s="1287"/>
      <c r="B111" s="1288"/>
      <c r="C111" s="1289"/>
      <c r="D111" s="1290"/>
      <c r="E111" s="1291"/>
      <c r="F111" s="1292"/>
      <c r="G111" s="1288"/>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297"/>
      <c r="AG111" s="1297"/>
    </row>
    <row r="112">
      <c r="A112" s="1287"/>
      <c r="B112" s="1288"/>
      <c r="C112" s="1289"/>
      <c r="D112" s="1290"/>
      <c r="E112" s="1291"/>
      <c r="F112" s="1292"/>
      <c r="G112" s="1288"/>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297"/>
      <c r="AG112" s="1297"/>
    </row>
    <row r="113">
      <c r="A113" s="1287"/>
      <c r="B113" s="1288"/>
      <c r="C113" s="1289"/>
      <c r="D113" s="1290"/>
      <c r="E113" s="1291"/>
      <c r="F113" s="1292"/>
      <c r="G113" s="1288"/>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297"/>
      <c r="AG113" s="1297"/>
    </row>
    <row r="114">
      <c r="A114" s="1287"/>
      <c r="B114" s="1288"/>
      <c r="C114" s="1289"/>
      <c r="D114" s="1290"/>
      <c r="E114" s="1291"/>
      <c r="F114" s="1292"/>
      <c r="G114" s="1288"/>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297"/>
      <c r="AG114" s="1297"/>
    </row>
    <row r="115">
      <c r="A115" s="1287"/>
      <c r="B115" s="1288"/>
      <c r="C115" s="1289"/>
      <c r="D115" s="1290"/>
      <c r="E115" s="1291"/>
      <c r="F115" s="1292"/>
      <c r="G115" s="1288"/>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297"/>
      <c r="AG115" s="1297"/>
    </row>
    <row r="116">
      <c r="A116" s="1287"/>
      <c r="B116" s="1288"/>
      <c r="C116" s="1289"/>
      <c r="D116" s="1290"/>
      <c r="E116" s="1291"/>
      <c r="F116" s="1292"/>
      <c r="G116" s="1288"/>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297"/>
      <c r="AG116" s="1297"/>
    </row>
    <row r="117">
      <c r="A117" s="1287"/>
      <c r="B117" s="1288"/>
      <c r="C117" s="1289"/>
      <c r="D117" s="1290"/>
      <c r="E117" s="1291"/>
      <c r="F117" s="1292"/>
      <c r="G117" s="1288"/>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297"/>
      <c r="AG117" s="1297"/>
    </row>
    <row r="118">
      <c r="A118" s="1287"/>
      <c r="B118" s="1288"/>
      <c r="C118" s="1289"/>
      <c r="D118" s="1290"/>
      <c r="E118" s="1291"/>
      <c r="F118" s="1292"/>
      <c r="G118" s="1288"/>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297"/>
      <c r="AG118" s="1297"/>
    </row>
    <row r="119">
      <c r="A119" s="1287"/>
      <c r="B119" s="1288"/>
      <c r="C119" s="1289"/>
      <c r="D119" s="1290"/>
      <c r="E119" s="1291"/>
      <c r="F119" s="1292"/>
      <c r="G119" s="1288"/>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297"/>
      <c r="AG119" s="1297"/>
    </row>
    <row r="120">
      <c r="A120" s="1287"/>
      <c r="B120" s="1288"/>
      <c r="C120" s="1289"/>
      <c r="D120" s="1290"/>
      <c r="E120" s="1291"/>
      <c r="F120" s="1292"/>
      <c r="G120" s="1288"/>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297"/>
      <c r="AG120" s="1297"/>
    </row>
    <row r="121">
      <c r="A121" s="1287"/>
      <c r="B121" s="1288"/>
      <c r="C121" s="1289"/>
      <c r="D121" s="1290"/>
      <c r="E121" s="1291"/>
      <c r="F121" s="1292"/>
      <c r="G121" s="1288"/>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297"/>
      <c r="AG121" s="1297"/>
    </row>
    <row r="122">
      <c r="A122" s="1287"/>
      <c r="B122" s="1288"/>
      <c r="C122" s="1289"/>
      <c r="D122" s="1290"/>
      <c r="E122" s="1291"/>
      <c r="F122" s="1292"/>
      <c r="G122" s="1288"/>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297"/>
      <c r="AG122" s="1297"/>
    </row>
    <row r="123">
      <c r="A123" s="1287"/>
      <c r="B123" s="1288"/>
      <c r="C123" s="1289"/>
      <c r="D123" s="1290"/>
      <c r="E123" s="1291"/>
      <c r="F123" s="1292"/>
      <c r="G123" s="1288"/>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297"/>
      <c r="AG123" s="1297"/>
    </row>
    <row r="124">
      <c r="A124" s="1287"/>
      <c r="B124" s="1288"/>
      <c r="C124" s="1289"/>
      <c r="D124" s="1290"/>
      <c r="E124" s="1291"/>
      <c r="F124" s="1292"/>
      <c r="G124" s="1288"/>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297"/>
      <c r="AG124" s="1297"/>
    </row>
    <row r="125">
      <c r="A125" s="1287"/>
      <c r="B125" s="1288"/>
      <c r="C125" s="1289"/>
      <c r="D125" s="1290"/>
      <c r="E125" s="1291"/>
      <c r="F125" s="1292"/>
      <c r="G125" s="1288"/>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297"/>
      <c r="AG125" s="1297"/>
    </row>
    <row r="126">
      <c r="A126" s="1287"/>
      <c r="B126" s="1288"/>
      <c r="C126" s="1289"/>
      <c r="D126" s="1290"/>
      <c r="E126" s="1291"/>
      <c r="F126" s="1292"/>
      <c r="G126" s="1288"/>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297"/>
      <c r="AG126" s="1297"/>
    </row>
    <row r="127">
      <c r="A127" s="1287"/>
      <c r="B127" s="1288"/>
      <c r="C127" s="1289"/>
      <c r="D127" s="1290"/>
      <c r="E127" s="1291"/>
      <c r="F127" s="1292"/>
      <c r="G127" s="1288"/>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297"/>
      <c r="AG127" s="1297"/>
    </row>
    <row r="128">
      <c r="A128" s="1287"/>
      <c r="B128" s="1288"/>
      <c r="C128" s="1289"/>
      <c r="D128" s="1290"/>
      <c r="E128" s="1291"/>
      <c r="F128" s="1292"/>
      <c r="G128" s="1288"/>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297"/>
      <c r="AG128" s="1297"/>
    </row>
    <row r="129">
      <c r="A129" s="1287"/>
      <c r="B129" s="1288"/>
      <c r="C129" s="1289"/>
      <c r="D129" s="1290"/>
      <c r="E129" s="1291"/>
      <c r="F129" s="1292"/>
      <c r="G129" s="1288"/>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297"/>
      <c r="AG129" s="1297"/>
    </row>
    <row r="130">
      <c r="A130" s="1287"/>
      <c r="B130" s="1288"/>
      <c r="C130" s="1289"/>
      <c r="D130" s="1290"/>
      <c r="E130" s="1291"/>
      <c r="F130" s="1292"/>
      <c r="G130" s="1288"/>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297"/>
      <c r="AG130" s="1297"/>
    </row>
    <row r="131">
      <c r="A131" s="1287"/>
      <c r="B131" s="1288"/>
      <c r="C131" s="1289"/>
      <c r="D131" s="1290"/>
      <c r="E131" s="1291"/>
      <c r="F131" s="1292"/>
      <c r="G131" s="1288"/>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297"/>
      <c r="AG131" s="1297"/>
    </row>
    <row r="132">
      <c r="A132" s="1287"/>
      <c r="B132" s="1288"/>
      <c r="C132" s="1289"/>
      <c r="D132" s="1290"/>
      <c r="E132" s="1291"/>
      <c r="F132" s="1292"/>
      <c r="G132" s="1288"/>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297"/>
      <c r="AG132" s="1297"/>
    </row>
    <row r="133">
      <c r="A133" s="1287"/>
      <c r="B133" s="1288"/>
      <c r="C133" s="1289"/>
      <c r="D133" s="1290"/>
      <c r="E133" s="1291"/>
      <c r="F133" s="1292"/>
      <c r="G133" s="1288"/>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297"/>
      <c r="AG133" s="1297"/>
    </row>
    <row r="134">
      <c r="A134" s="1287"/>
      <c r="B134" s="1288"/>
      <c r="C134" s="1289"/>
      <c r="D134" s="1290"/>
      <c r="E134" s="1291"/>
      <c r="F134" s="1292"/>
      <c r="G134" s="1288"/>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297"/>
      <c r="AG134" s="1297"/>
    </row>
    <row r="135">
      <c r="A135" s="1287"/>
      <c r="B135" s="1288"/>
      <c r="C135" s="1289"/>
      <c r="D135" s="1290"/>
      <c r="E135" s="1291"/>
      <c r="F135" s="1292"/>
      <c r="G135" s="1288"/>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297"/>
      <c r="AG135" s="1297"/>
    </row>
    <row r="136">
      <c r="A136" s="1287"/>
      <c r="B136" s="1288"/>
      <c r="C136" s="1289"/>
      <c r="D136" s="1290"/>
      <c r="E136" s="1291"/>
      <c r="F136" s="1292"/>
      <c r="G136" s="1288"/>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297"/>
      <c r="AG136" s="1297"/>
    </row>
    <row r="137">
      <c r="A137" s="1287"/>
      <c r="B137" s="1288"/>
      <c r="C137" s="1289"/>
      <c r="D137" s="1290"/>
      <c r="E137" s="1291"/>
      <c r="F137" s="1292"/>
      <c r="G137" s="1288"/>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297"/>
      <c r="AG137" s="1297"/>
    </row>
    <row r="138">
      <c r="A138" s="1287"/>
      <c r="B138" s="1288"/>
      <c r="C138" s="1289"/>
      <c r="D138" s="1290"/>
      <c r="E138" s="1291"/>
      <c r="F138" s="1292"/>
      <c r="G138" s="1288"/>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297"/>
      <c r="AG138" s="1297"/>
    </row>
    <row r="139">
      <c r="A139" s="1287"/>
      <c r="B139" s="1288"/>
      <c r="C139" s="1289"/>
      <c r="D139" s="1290"/>
      <c r="E139" s="1291"/>
      <c r="F139" s="1292"/>
      <c r="G139" s="1288"/>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297"/>
      <c r="AG139" s="1297"/>
    </row>
    <row r="140">
      <c r="A140" s="1287"/>
      <c r="B140" s="1288"/>
      <c r="C140" s="1289"/>
      <c r="D140" s="1290"/>
      <c r="E140" s="1291"/>
      <c r="F140" s="1292"/>
      <c r="G140" s="1288"/>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297"/>
      <c r="AG140" s="1297"/>
    </row>
  </sheetData>
  <mergeCells count="13">
    <mergeCell ref="T1:V1"/>
    <mergeCell ref="W1:Y1"/>
    <mergeCell ref="Z1:AB1"/>
    <mergeCell ref="AC1:AE1"/>
    <mergeCell ref="C2:E2"/>
    <mergeCell ref="F2:G2"/>
    <mergeCell ref="A1:B1"/>
    <mergeCell ref="C1:E1"/>
    <mergeCell ref="F1:G1"/>
    <mergeCell ref="H1:J1"/>
    <mergeCell ref="N1:P1"/>
    <mergeCell ref="Q1:S1"/>
    <mergeCell ref="K1:M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c r="B1" s="1310" t="s">
        <v>8242</v>
      </c>
      <c r="C1" s="1311" t="s">
        <v>8243</v>
      </c>
      <c r="D1" s="1312" t="s">
        <v>8244</v>
      </c>
      <c r="E1" s="1312" t="s">
        <v>7655</v>
      </c>
      <c r="F1" s="1312" t="s">
        <v>7656</v>
      </c>
      <c r="G1" s="1312" t="s">
        <v>8245</v>
      </c>
      <c r="H1" s="1313" t="s">
        <v>8246</v>
      </c>
      <c r="I1" s="1313" t="s">
        <v>8247</v>
      </c>
      <c r="J1" s="1314" t="s">
        <v>7667</v>
      </c>
      <c r="K1" s="1314" t="s">
        <v>8248</v>
      </c>
      <c r="L1" s="1314" t="s">
        <v>8249</v>
      </c>
      <c r="M1" s="1314" t="s">
        <v>8250</v>
      </c>
      <c r="N1" s="1314" t="s">
        <v>7730</v>
      </c>
      <c r="O1" s="1314" t="s">
        <v>8251</v>
      </c>
      <c r="P1" s="1314" t="s">
        <v>8252</v>
      </c>
      <c r="Q1" s="1315" t="s">
        <v>8253</v>
      </c>
      <c r="R1" s="1315" t="s">
        <v>7663</v>
      </c>
      <c r="S1" s="1315" t="s">
        <v>8254</v>
      </c>
      <c r="T1" s="1315" t="s">
        <v>8255</v>
      </c>
      <c r="U1" s="1315" t="s">
        <v>8256</v>
      </c>
      <c r="V1" s="1315" t="s">
        <v>8257</v>
      </c>
      <c r="W1" s="1316" t="s">
        <v>7657</v>
      </c>
      <c r="X1" s="1316" t="s">
        <v>7658</v>
      </c>
      <c r="Y1" s="1316" t="s">
        <v>8258</v>
      </c>
      <c r="Z1" s="1316" t="s">
        <v>8259</v>
      </c>
      <c r="AA1" s="1316" t="s">
        <v>7660</v>
      </c>
      <c r="AB1" s="1316" t="s">
        <v>8260</v>
      </c>
      <c r="AC1" s="1316" t="s">
        <v>8261</v>
      </c>
      <c r="AD1" s="1312" t="s">
        <v>8262</v>
      </c>
      <c r="AE1" s="1312" t="s">
        <v>8263</v>
      </c>
      <c r="AF1" s="1317" t="s">
        <v>7664</v>
      </c>
      <c r="AG1" s="1317" t="s">
        <v>8264</v>
      </c>
      <c r="AH1" s="1317" t="s">
        <v>8265</v>
      </c>
      <c r="AI1" s="1317" t="s">
        <v>7665</v>
      </c>
      <c r="AJ1" s="1317" t="s">
        <v>8266</v>
      </c>
      <c r="AK1" s="1317" t="s">
        <v>8267</v>
      </c>
      <c r="AL1" s="1317" t="s">
        <v>8268</v>
      </c>
      <c r="AM1" s="1318" t="s">
        <v>7666</v>
      </c>
      <c r="AN1" s="1318" t="s">
        <v>8269</v>
      </c>
      <c r="AO1" s="1318" t="s">
        <v>8270</v>
      </c>
      <c r="AP1" s="1318" t="s">
        <v>8271</v>
      </c>
      <c r="AQ1" s="1318" t="s">
        <v>8272</v>
      </c>
      <c r="AR1" s="1318" t="s">
        <v>8273</v>
      </c>
      <c r="AS1" s="1318" t="s">
        <v>8274</v>
      </c>
      <c r="AT1" s="1319" t="s">
        <v>8275</v>
      </c>
      <c r="AU1" s="1309" t="s">
        <v>8276</v>
      </c>
      <c r="AV1" s="1320" t="s">
        <v>8277</v>
      </c>
      <c r="AW1" s="1321" t="s">
        <v>8278</v>
      </c>
    </row>
    <row r="2" ht="15.75" customHeight="1">
      <c r="A2" s="1322" t="s">
        <v>8279</v>
      </c>
      <c r="B2" s="1323" t="s">
        <v>8280</v>
      </c>
      <c r="C2" s="1324" t="s">
        <v>8281</v>
      </c>
      <c r="D2" s="1325" t="s">
        <v>8282</v>
      </c>
      <c r="E2" s="1326" t="s">
        <v>8283</v>
      </c>
      <c r="F2" s="1325" t="s">
        <v>8284</v>
      </c>
      <c r="G2" s="1326" t="s">
        <v>8285</v>
      </c>
      <c r="H2" s="1327" t="s">
        <v>8286</v>
      </c>
      <c r="I2" s="1328">
        <v>47.34</v>
      </c>
      <c r="J2" s="1329" t="s">
        <v>8287</v>
      </c>
      <c r="K2" s="1330" t="s">
        <v>4043</v>
      </c>
      <c r="L2" s="1330" t="s">
        <v>231</v>
      </c>
      <c r="M2" s="1331" t="s">
        <v>8288</v>
      </c>
      <c r="N2" s="1331" t="s">
        <v>8289</v>
      </c>
      <c r="O2" s="1329" t="s">
        <v>8290</v>
      </c>
      <c r="P2" s="1330" t="s">
        <v>1279</v>
      </c>
      <c r="Q2" s="1332" t="s">
        <v>8291</v>
      </c>
      <c r="R2" s="1333" t="s">
        <v>4368</v>
      </c>
      <c r="S2" s="1332" t="s">
        <v>812</v>
      </c>
      <c r="T2" s="1333" t="s">
        <v>8292</v>
      </c>
      <c r="U2" s="1332" t="s">
        <v>8293</v>
      </c>
      <c r="V2" s="1334">
        <v>58.55</v>
      </c>
      <c r="W2" s="1335" t="s">
        <v>8294</v>
      </c>
      <c r="X2" s="1336" t="s">
        <v>8295</v>
      </c>
      <c r="Y2" s="1336">
        <v>46.63</v>
      </c>
      <c r="Z2" s="1337" t="s">
        <v>8296</v>
      </c>
      <c r="AA2" s="1336" t="s">
        <v>3291</v>
      </c>
      <c r="AB2" s="1336" t="s">
        <v>8297</v>
      </c>
      <c r="AC2" s="1337" t="s">
        <v>3829</v>
      </c>
      <c r="AD2" s="1326" t="s">
        <v>760</v>
      </c>
      <c r="AE2" s="1325" t="s">
        <v>3824</v>
      </c>
      <c r="AF2" s="1338" t="s">
        <v>8298</v>
      </c>
      <c r="AG2" s="1338" t="s">
        <v>8299</v>
      </c>
      <c r="AH2" s="1338" t="s">
        <v>3598</v>
      </c>
      <c r="AI2" s="1339" t="s">
        <v>8300</v>
      </c>
      <c r="AJ2" s="1339" t="s">
        <v>8301</v>
      </c>
      <c r="AK2" s="1339" t="s">
        <v>8302</v>
      </c>
      <c r="AL2" s="1340" t="s">
        <v>5968</v>
      </c>
      <c r="AM2" s="1341" t="s">
        <v>3461</v>
      </c>
      <c r="AN2" s="1341" t="s">
        <v>5247</v>
      </c>
      <c r="AO2" s="1342" t="s">
        <v>5707</v>
      </c>
      <c r="AP2" s="1343" t="s">
        <v>8303</v>
      </c>
      <c r="AQ2" s="1341" t="s">
        <v>8304</v>
      </c>
      <c r="AR2" s="1342" t="s">
        <v>411</v>
      </c>
      <c r="AS2" s="1341">
        <v>42.83</v>
      </c>
      <c r="AT2" s="1344" t="s">
        <v>8305</v>
      </c>
      <c r="AU2" s="1345" t="s">
        <v>8306</v>
      </c>
      <c r="AV2" s="1345" t="str">
        <f t="shared" ref="AV2:AV78" si="1">TEXT(AU2-C2,"m:ss")</f>
        <v>2:34</v>
      </c>
      <c r="AW2" s="1346"/>
    </row>
    <row r="3" ht="15.75" customHeight="1">
      <c r="A3" s="1347" t="s">
        <v>8307</v>
      </c>
      <c r="B3" s="1348" t="s">
        <v>8308</v>
      </c>
      <c r="C3" s="1349">
        <v>0.04946180555555556</v>
      </c>
      <c r="D3" s="1350" t="s">
        <v>8309</v>
      </c>
      <c r="E3" s="1350" t="s">
        <v>8310</v>
      </c>
      <c r="F3" s="1350" t="s">
        <v>8311</v>
      </c>
      <c r="G3" s="1350" t="s">
        <v>8312</v>
      </c>
      <c r="H3" s="1351" t="s">
        <v>8313</v>
      </c>
      <c r="I3" s="1351" t="s">
        <v>8314</v>
      </c>
      <c r="J3" s="1352" t="s">
        <v>8315</v>
      </c>
      <c r="K3" s="1352" t="s">
        <v>1160</v>
      </c>
      <c r="L3" s="1352" t="s">
        <v>4232</v>
      </c>
      <c r="M3" s="1352" t="s">
        <v>8316</v>
      </c>
      <c r="N3" s="1352" t="s">
        <v>3592</v>
      </c>
      <c r="O3" s="1352" t="s">
        <v>8317</v>
      </c>
      <c r="P3" s="1352" t="s">
        <v>5415</v>
      </c>
      <c r="Q3" s="1353" t="s">
        <v>8318</v>
      </c>
      <c r="R3" s="1353" t="s">
        <v>7042</v>
      </c>
      <c r="S3" s="1353" t="s">
        <v>8289</v>
      </c>
      <c r="T3" s="1353" t="s">
        <v>8319</v>
      </c>
      <c r="U3" s="1354" t="s">
        <v>7604</v>
      </c>
      <c r="V3" s="1353" t="s">
        <v>8320</v>
      </c>
      <c r="W3" s="1355" t="s">
        <v>8321</v>
      </c>
      <c r="X3" s="1356" t="s">
        <v>2557</v>
      </c>
      <c r="Y3" s="1356" t="s">
        <v>3892</v>
      </c>
      <c r="Z3" s="1356" t="s">
        <v>8322</v>
      </c>
      <c r="AA3" s="1356" t="s">
        <v>8323</v>
      </c>
      <c r="AB3" s="1355" t="s">
        <v>2806</v>
      </c>
      <c r="AC3" s="1356" t="s">
        <v>4966</v>
      </c>
      <c r="AD3" s="1350" t="s">
        <v>8324</v>
      </c>
      <c r="AE3" s="1350" t="s">
        <v>8325</v>
      </c>
      <c r="AF3" s="1357" t="s">
        <v>8326</v>
      </c>
      <c r="AG3" s="1358" t="s">
        <v>8327</v>
      </c>
      <c r="AH3" s="1358" t="s">
        <v>2782</v>
      </c>
      <c r="AI3" s="1358" t="s">
        <v>3999</v>
      </c>
      <c r="AJ3" s="1357" t="s">
        <v>8328</v>
      </c>
      <c r="AK3" s="1358" t="s">
        <v>8329</v>
      </c>
      <c r="AL3" s="1358" t="s">
        <v>5912</v>
      </c>
      <c r="AM3" s="1359" t="s">
        <v>2316</v>
      </c>
      <c r="AN3" s="1359" t="s">
        <v>3559</v>
      </c>
      <c r="AO3" s="1360" t="s">
        <v>8330</v>
      </c>
      <c r="AP3" s="1360" t="s">
        <v>8331</v>
      </c>
      <c r="AQ3" s="1360" t="s">
        <v>8332</v>
      </c>
      <c r="AR3" s="1360" t="s">
        <v>7269</v>
      </c>
      <c r="AS3" s="1359" t="s">
        <v>5100</v>
      </c>
      <c r="AT3" s="1361" t="s">
        <v>8333</v>
      </c>
      <c r="AU3" s="1362" t="s">
        <v>8334</v>
      </c>
      <c r="AV3" s="1362" t="str">
        <f t="shared" si="1"/>
        <v>3:54</v>
      </c>
    </row>
    <row r="4" ht="15.75" customHeight="1">
      <c r="A4" s="1363" t="s">
        <v>8335</v>
      </c>
      <c r="B4" s="1364" t="s">
        <v>8336</v>
      </c>
      <c r="C4" s="1365">
        <v>0.05005081018518519</v>
      </c>
      <c r="D4" s="1366" t="s">
        <v>8337</v>
      </c>
      <c r="E4" s="1366" t="s">
        <v>8338</v>
      </c>
      <c r="F4" s="1366" t="s">
        <v>8339</v>
      </c>
      <c r="G4" s="1366" t="s">
        <v>8340</v>
      </c>
      <c r="H4" s="1367" t="s">
        <v>8341</v>
      </c>
      <c r="I4" s="1367" t="s">
        <v>347</v>
      </c>
      <c r="J4" s="1368" t="s">
        <v>8342</v>
      </c>
      <c r="K4" s="1368" t="s">
        <v>6004</v>
      </c>
      <c r="L4" s="1368" t="s">
        <v>3529</v>
      </c>
      <c r="M4" s="1368" t="s">
        <v>8343</v>
      </c>
      <c r="N4" s="1368" t="s">
        <v>8344</v>
      </c>
      <c r="O4" s="1368" t="s">
        <v>8345</v>
      </c>
      <c r="P4" s="1368" t="s">
        <v>8346</v>
      </c>
      <c r="Q4" s="1369" t="s">
        <v>8347</v>
      </c>
      <c r="R4" s="1369" t="s">
        <v>8348</v>
      </c>
      <c r="S4" s="1369" t="s">
        <v>2215</v>
      </c>
      <c r="T4" s="1369" t="s">
        <v>8349</v>
      </c>
      <c r="U4" s="1369" t="s">
        <v>8350</v>
      </c>
      <c r="V4" s="1369" t="s">
        <v>8351</v>
      </c>
      <c r="W4" s="1370" t="s">
        <v>8352</v>
      </c>
      <c r="X4" s="1370" t="s">
        <v>8353</v>
      </c>
      <c r="Y4" s="1370">
        <v>47.93</v>
      </c>
      <c r="Z4" s="1370" t="s">
        <v>8354</v>
      </c>
      <c r="AA4" s="1370" t="s">
        <v>8355</v>
      </c>
      <c r="AB4" s="1370" t="s">
        <v>8356</v>
      </c>
      <c r="AC4" s="1370">
        <v>49.24</v>
      </c>
      <c r="AD4" s="1371" t="s">
        <v>8357</v>
      </c>
      <c r="AE4" s="1366" t="s">
        <v>8358</v>
      </c>
      <c r="AF4" s="1372" t="s">
        <v>3309</v>
      </c>
      <c r="AG4" s="1372" t="s">
        <v>4521</v>
      </c>
      <c r="AH4" s="1372" t="s">
        <v>5103</v>
      </c>
      <c r="AI4" s="1372" t="s">
        <v>8359</v>
      </c>
      <c r="AJ4" s="1372" t="s">
        <v>8360</v>
      </c>
      <c r="AK4" s="1372" t="s">
        <v>8361</v>
      </c>
      <c r="AL4" s="1372" t="s">
        <v>8362</v>
      </c>
      <c r="AM4" s="1373" t="s">
        <v>8363</v>
      </c>
      <c r="AN4" s="1374" t="s">
        <v>8364</v>
      </c>
      <c r="AO4" s="1373" t="s">
        <v>8365</v>
      </c>
      <c r="AP4" s="1374" t="s">
        <v>8366</v>
      </c>
      <c r="AQ4" s="1373" t="s">
        <v>8367</v>
      </c>
      <c r="AR4" s="1373" t="s">
        <v>6315</v>
      </c>
      <c r="AS4" s="1373" t="s">
        <v>751</v>
      </c>
      <c r="AT4" s="1375" t="s">
        <v>8368</v>
      </c>
      <c r="AU4" s="1376" t="s">
        <v>8369</v>
      </c>
      <c r="AV4" s="1377" t="str">
        <f t="shared" si="1"/>
        <v>3:29</v>
      </c>
    </row>
    <row r="5" ht="15.75" customHeight="1">
      <c r="A5" s="1378" t="s">
        <v>1128</v>
      </c>
      <c r="B5" s="1379" t="s">
        <v>8280</v>
      </c>
      <c r="C5" s="1380">
        <v>0.04922453703703704</v>
      </c>
      <c r="D5" s="1381" t="s">
        <v>8370</v>
      </c>
      <c r="E5" s="1382" t="s">
        <v>8283</v>
      </c>
      <c r="F5" s="1381" t="s">
        <v>8371</v>
      </c>
      <c r="G5" s="1381" t="s">
        <v>8372</v>
      </c>
      <c r="H5" s="1381" t="s">
        <v>6032</v>
      </c>
      <c r="I5" s="1381" t="s">
        <v>4422</v>
      </c>
      <c r="J5" s="1381" t="s">
        <v>5468</v>
      </c>
      <c r="K5" s="1383" t="s">
        <v>2071</v>
      </c>
      <c r="L5" s="1384" t="s">
        <v>8373</v>
      </c>
      <c r="M5" s="1385" t="s">
        <v>8288</v>
      </c>
      <c r="N5" s="1385" t="s">
        <v>8289</v>
      </c>
      <c r="O5" s="1386" t="s">
        <v>8374</v>
      </c>
      <c r="P5" s="1383" t="s">
        <v>4025</v>
      </c>
      <c r="Q5" s="1385" t="s">
        <v>8291</v>
      </c>
      <c r="R5" s="1387" t="s">
        <v>7321</v>
      </c>
      <c r="S5" s="1385" t="s">
        <v>812</v>
      </c>
      <c r="T5" s="1381" t="s">
        <v>8375</v>
      </c>
      <c r="U5" s="1385" t="s">
        <v>8293</v>
      </c>
      <c r="V5" s="1383" t="s">
        <v>8376</v>
      </c>
      <c r="W5" s="1381" t="s">
        <v>3857</v>
      </c>
      <c r="X5" s="1381" t="s">
        <v>8377</v>
      </c>
      <c r="Y5" s="1381" t="s">
        <v>7272</v>
      </c>
      <c r="Z5" s="1388" t="s">
        <v>3805</v>
      </c>
      <c r="AA5" s="1381" t="s">
        <v>5263</v>
      </c>
      <c r="AB5" s="1384" t="s">
        <v>516</v>
      </c>
      <c r="AC5" s="1385" t="s">
        <v>3829</v>
      </c>
      <c r="AD5" s="1384" t="s">
        <v>8378</v>
      </c>
      <c r="AE5" s="1389" t="s">
        <v>8379</v>
      </c>
      <c r="AF5" s="1389" t="s">
        <v>8380</v>
      </c>
      <c r="AG5" s="1390" t="s">
        <v>3759</v>
      </c>
      <c r="AH5" s="1381" t="s">
        <v>8381</v>
      </c>
      <c r="AI5" s="1385" t="s">
        <v>8300</v>
      </c>
      <c r="AJ5" s="1384" t="s">
        <v>8382</v>
      </c>
      <c r="AK5" s="1385" t="s">
        <v>8302</v>
      </c>
      <c r="AL5" s="1381" t="s">
        <v>4443</v>
      </c>
      <c r="AM5" s="1381" t="s">
        <v>8038</v>
      </c>
      <c r="AN5" s="1381" t="s">
        <v>5181</v>
      </c>
      <c r="AO5" s="1387" t="s">
        <v>8383</v>
      </c>
      <c r="AP5" s="1381" t="s">
        <v>8384</v>
      </c>
      <c r="AQ5" s="1381" t="s">
        <v>8385</v>
      </c>
      <c r="AR5" s="1390" t="s">
        <v>1092</v>
      </c>
      <c r="AS5" s="1381" t="s">
        <v>878</v>
      </c>
      <c r="AT5" s="1391" t="s">
        <v>2059</v>
      </c>
      <c r="AU5" s="1392" t="s">
        <v>8386</v>
      </c>
      <c r="AV5" s="1389" t="str">
        <f t="shared" si="1"/>
        <v>2:24</v>
      </c>
      <c r="AW5" s="1393" t="s">
        <v>8387</v>
      </c>
    </row>
    <row r="6" ht="15.75" customHeight="1">
      <c r="A6" s="1394" t="s">
        <v>431</v>
      </c>
      <c r="B6" s="1379" t="s">
        <v>8280</v>
      </c>
      <c r="C6" s="1380">
        <v>0.0493287037037037</v>
      </c>
      <c r="D6" s="1395" t="s">
        <v>8282</v>
      </c>
      <c r="E6" s="1396" t="s">
        <v>2555</v>
      </c>
      <c r="F6" s="1396" t="s">
        <v>8388</v>
      </c>
      <c r="G6" s="1396" t="s">
        <v>8389</v>
      </c>
      <c r="H6" s="1396" t="s">
        <v>8390</v>
      </c>
      <c r="I6" s="1387" t="s">
        <v>8391</v>
      </c>
      <c r="J6" s="1397" t="s">
        <v>8287</v>
      </c>
      <c r="K6" s="1396" t="s">
        <v>778</v>
      </c>
      <c r="L6" s="1396" t="s">
        <v>8392</v>
      </c>
      <c r="M6" s="1396" t="s">
        <v>8393</v>
      </c>
      <c r="N6" s="1396" t="s">
        <v>8394</v>
      </c>
      <c r="O6" s="1396" t="s">
        <v>8395</v>
      </c>
      <c r="P6" s="1397" t="s">
        <v>1279</v>
      </c>
      <c r="Q6" s="1383" t="s">
        <v>8396</v>
      </c>
      <c r="R6" s="1397" t="s">
        <v>4368</v>
      </c>
      <c r="S6" s="1396" t="s">
        <v>8287</v>
      </c>
      <c r="T6" s="1397" t="s">
        <v>8292</v>
      </c>
      <c r="U6" s="1383" t="s">
        <v>8303</v>
      </c>
      <c r="V6" s="1391" t="s">
        <v>8107</v>
      </c>
      <c r="W6" s="1397" t="s">
        <v>8294</v>
      </c>
      <c r="X6" s="1397" t="s">
        <v>8295</v>
      </c>
      <c r="Y6" s="1398">
        <v>46.72</v>
      </c>
      <c r="Z6" s="1398" t="s">
        <v>3278</v>
      </c>
      <c r="AA6" s="1397" t="s">
        <v>3291</v>
      </c>
      <c r="AB6" s="1397" t="s">
        <v>8297</v>
      </c>
      <c r="AC6" s="1396" t="s">
        <v>5396</v>
      </c>
      <c r="AD6" s="1396" t="s">
        <v>7193</v>
      </c>
      <c r="AE6" s="1399" t="s">
        <v>3824</v>
      </c>
      <c r="AF6" s="1398" t="s">
        <v>8397</v>
      </c>
      <c r="AG6" s="1391" t="s">
        <v>8398</v>
      </c>
      <c r="AH6" s="1397" t="s">
        <v>3598</v>
      </c>
      <c r="AI6" s="1396" t="s">
        <v>5800</v>
      </c>
      <c r="AJ6" s="1398" t="s">
        <v>8399</v>
      </c>
      <c r="AK6" s="1398" t="s">
        <v>5689</v>
      </c>
      <c r="AL6" s="1399" t="s">
        <v>5968</v>
      </c>
      <c r="AM6" s="1397" t="s">
        <v>3461</v>
      </c>
      <c r="AN6" s="1391" t="s">
        <v>4076</v>
      </c>
      <c r="AO6" s="1391" t="s">
        <v>7151</v>
      </c>
      <c r="AP6" s="1391" t="s">
        <v>8400</v>
      </c>
      <c r="AQ6" s="1389" t="s">
        <v>8401</v>
      </c>
      <c r="AR6" s="1391" t="s">
        <v>8402</v>
      </c>
      <c r="AS6" s="1391" t="s">
        <v>8403</v>
      </c>
      <c r="AT6" s="1391" t="s">
        <v>8404</v>
      </c>
      <c r="AU6" s="1392" t="s">
        <v>8386</v>
      </c>
      <c r="AV6" s="1389" t="str">
        <f t="shared" si="1"/>
        <v>2:15</v>
      </c>
      <c r="AW6" s="1393"/>
    </row>
    <row r="7" ht="15.75" customHeight="1">
      <c r="A7" s="1378" t="s">
        <v>6266</v>
      </c>
      <c r="B7" s="1379" t="s">
        <v>8280</v>
      </c>
      <c r="C7" s="1380">
        <v>0.049444444444444444</v>
      </c>
      <c r="D7" s="1381" t="s">
        <v>8405</v>
      </c>
      <c r="E7" s="1381" t="s">
        <v>8406</v>
      </c>
      <c r="F7" s="1387" t="s">
        <v>8407</v>
      </c>
      <c r="G7" s="1385" t="s">
        <v>8285</v>
      </c>
      <c r="H7" s="1387" t="s">
        <v>8408</v>
      </c>
      <c r="I7" s="1387" t="s">
        <v>2774</v>
      </c>
      <c r="J7" s="1381" t="s">
        <v>8409</v>
      </c>
      <c r="K7" s="1387" t="s">
        <v>3218</v>
      </c>
      <c r="L7" s="1387" t="s">
        <v>4027</v>
      </c>
      <c r="M7" s="1387" t="s">
        <v>6216</v>
      </c>
      <c r="N7" s="1386" t="s">
        <v>8410</v>
      </c>
      <c r="O7" s="1387" t="s">
        <v>8411</v>
      </c>
      <c r="P7" s="1389" t="s">
        <v>6780</v>
      </c>
      <c r="Q7" s="1381" t="s">
        <v>8412</v>
      </c>
      <c r="R7" s="1387" t="s">
        <v>7078</v>
      </c>
      <c r="S7" s="1387" t="s">
        <v>3169</v>
      </c>
      <c r="T7" s="1389" t="s">
        <v>3557</v>
      </c>
      <c r="U7" s="1387" t="s">
        <v>8413</v>
      </c>
      <c r="V7" s="1387" t="s">
        <v>5093</v>
      </c>
      <c r="W7" s="1400" t="s">
        <v>8414</v>
      </c>
      <c r="X7" s="1389" t="s">
        <v>8415</v>
      </c>
      <c r="Y7" s="1401" t="s">
        <v>8416</v>
      </c>
      <c r="Z7" s="1387" t="s">
        <v>7429</v>
      </c>
      <c r="AA7" s="1402" t="str">
        <f>HYPERLINK("https://www.twitch.tv/videos/571775470","1:28.03")</f>
        <v>1:28.03</v>
      </c>
      <c r="AB7" s="1389" t="s">
        <v>411</v>
      </c>
      <c r="AC7" s="1403" t="str">
        <f>HYPERLINK("https://clips.twitch.tv/HelpfulSaltyCoyoteHoneyBadger","47.31")</f>
        <v>47.31</v>
      </c>
      <c r="AD7" s="1385" t="str">
        <f>HYPERLINK("https://www.twitch.tv/videos/625954575","1:47.79")</f>
        <v>1:47.79</v>
      </c>
      <c r="AE7" s="1389" t="s">
        <v>3898</v>
      </c>
      <c r="AF7" s="1389" t="s">
        <v>8417</v>
      </c>
      <c r="AG7" s="1402" t="str">
        <f>HYPERLINK("https://www.twitch.tv/videos/566334947","1:28.73")</f>
        <v>1:28.73</v>
      </c>
      <c r="AH7" s="1387" t="s">
        <v>8418</v>
      </c>
      <c r="AI7" s="1404" t="str">
        <f>HYPERLINK("https://www.twitch.tv/videos/584107631","1:27.68")</f>
        <v>1:27.68</v>
      </c>
      <c r="AJ7" s="1389" t="s">
        <v>8419</v>
      </c>
      <c r="AK7" s="1387" t="s">
        <v>7007</v>
      </c>
      <c r="AL7" s="1387" t="s">
        <v>8420</v>
      </c>
      <c r="AM7" s="1381" t="s">
        <v>4414</v>
      </c>
      <c r="AN7" s="1381" t="s">
        <v>2643</v>
      </c>
      <c r="AO7" s="1405" t="s">
        <v>5707</v>
      </c>
      <c r="AP7" s="1387" t="s">
        <v>8421</v>
      </c>
      <c r="AQ7" s="1389" t="s">
        <v>8422</v>
      </c>
      <c r="AR7" s="1384" t="s">
        <v>8423</v>
      </c>
      <c r="AS7" s="1403" t="str">
        <f>HYPERLINK("https://www.twitch.tv/videos/571767101","42.91")</f>
        <v>42.91</v>
      </c>
      <c r="AT7" s="1406" t="s">
        <v>8424</v>
      </c>
      <c r="AU7" s="1392" t="s">
        <v>8425</v>
      </c>
      <c r="AV7" s="1389" t="str">
        <f t="shared" si="1"/>
        <v>2:32</v>
      </c>
      <c r="AW7" s="1407" t="s">
        <v>8426</v>
      </c>
    </row>
    <row r="8" ht="15.75" customHeight="1">
      <c r="A8" s="1378" t="s">
        <v>1936</v>
      </c>
      <c r="B8" s="1379" t="s">
        <v>8280</v>
      </c>
      <c r="C8" s="1380">
        <v>0.04949074074074074</v>
      </c>
      <c r="D8" s="1401" t="s">
        <v>8427</v>
      </c>
      <c r="E8" s="1401" t="s">
        <v>8428</v>
      </c>
      <c r="F8" s="1401" t="s">
        <v>2114</v>
      </c>
      <c r="G8" s="1401" t="s">
        <v>8429</v>
      </c>
      <c r="H8" s="1385" t="s">
        <v>8286</v>
      </c>
      <c r="I8" s="1397">
        <v>47.34</v>
      </c>
      <c r="J8" s="1401" t="s">
        <v>642</v>
      </c>
      <c r="K8" s="1401" t="s">
        <v>8430</v>
      </c>
      <c r="L8" s="1401">
        <v>55.97</v>
      </c>
      <c r="M8" s="1401" t="s">
        <v>1898</v>
      </c>
      <c r="N8" s="1401" t="s">
        <v>8431</v>
      </c>
      <c r="O8" s="1397" t="s">
        <v>8290</v>
      </c>
      <c r="P8" s="1401">
        <v>47.49</v>
      </c>
      <c r="Q8" s="1401" t="s">
        <v>8432</v>
      </c>
      <c r="R8" s="1401" t="s">
        <v>1222</v>
      </c>
      <c r="S8" s="1408" t="s">
        <v>1957</v>
      </c>
      <c r="T8" s="1401" t="s">
        <v>8433</v>
      </c>
      <c r="U8" s="1381" t="s">
        <v>8434</v>
      </c>
      <c r="V8" s="1401">
        <v>59.32</v>
      </c>
      <c r="W8" s="1401" t="s">
        <v>8435</v>
      </c>
      <c r="X8" s="1401" t="s">
        <v>6716</v>
      </c>
      <c r="Y8" s="1401">
        <v>46.65</v>
      </c>
      <c r="Z8" s="1401" t="s">
        <v>8436</v>
      </c>
      <c r="AA8" s="1401" t="s">
        <v>2444</v>
      </c>
      <c r="AB8" s="1401" t="s">
        <v>8437</v>
      </c>
      <c r="AC8" s="1401">
        <v>47.89</v>
      </c>
      <c r="AD8" s="1401" t="s">
        <v>1956</v>
      </c>
      <c r="AE8" s="1401">
        <v>47.98</v>
      </c>
      <c r="AF8" s="1401" t="s">
        <v>8438</v>
      </c>
      <c r="AG8" s="1401" t="s">
        <v>8439</v>
      </c>
      <c r="AH8" s="1401">
        <v>57.45</v>
      </c>
      <c r="AI8" s="1398" t="s">
        <v>6943</v>
      </c>
      <c r="AJ8" s="1409" t="s">
        <v>8440</v>
      </c>
      <c r="AK8" s="1401" t="s">
        <v>5365</v>
      </c>
      <c r="AL8" s="1401">
        <v>56.23</v>
      </c>
      <c r="AM8" s="1401" t="s">
        <v>8319</v>
      </c>
      <c r="AN8" s="1401">
        <v>55.73</v>
      </c>
      <c r="AO8" s="1401" t="s">
        <v>8441</v>
      </c>
      <c r="AP8" s="1401" t="s">
        <v>8442</v>
      </c>
      <c r="AQ8" s="1401" t="s">
        <v>8443</v>
      </c>
      <c r="AR8" s="1401" t="s">
        <v>4268</v>
      </c>
      <c r="AS8" s="1401">
        <v>46.19</v>
      </c>
      <c r="AT8" s="1401" t="s">
        <v>8444</v>
      </c>
      <c r="AU8" s="1401" t="s">
        <v>8445</v>
      </c>
      <c r="AV8" s="1389" t="str">
        <f t="shared" si="1"/>
        <v>1:52</v>
      </c>
      <c r="AW8" s="1407" t="s">
        <v>8446</v>
      </c>
    </row>
    <row r="9" ht="15.75" customHeight="1">
      <c r="A9" s="1394" t="s">
        <v>327</v>
      </c>
      <c r="B9" s="1379" t="s">
        <v>8280</v>
      </c>
      <c r="C9" s="1380">
        <v>0.04957175925925926</v>
      </c>
      <c r="D9" s="1410" t="s">
        <v>8447</v>
      </c>
      <c r="E9" s="1396" t="s">
        <v>8448</v>
      </c>
      <c r="F9" s="1411" t="s">
        <v>8284</v>
      </c>
      <c r="G9" s="1391" t="s">
        <v>8449</v>
      </c>
      <c r="H9" s="1412" t="s">
        <v>5277</v>
      </c>
      <c r="I9" s="1391" t="s">
        <v>1381</v>
      </c>
      <c r="J9" s="1413" t="s">
        <v>8450</v>
      </c>
      <c r="K9" s="1391" t="s">
        <v>6567</v>
      </c>
      <c r="L9" s="1397" t="s">
        <v>231</v>
      </c>
      <c r="M9" s="1413" t="s">
        <v>8451</v>
      </c>
      <c r="N9" s="1396" t="s">
        <v>8452</v>
      </c>
      <c r="O9" s="1413" t="s">
        <v>8453</v>
      </c>
      <c r="P9" s="1391" t="s">
        <v>6205</v>
      </c>
      <c r="Q9" s="1391" t="s">
        <v>8432</v>
      </c>
      <c r="R9" s="1391" t="s">
        <v>5533</v>
      </c>
      <c r="S9" s="1391" t="s">
        <v>2076</v>
      </c>
      <c r="T9" s="1391" t="s">
        <v>3814</v>
      </c>
      <c r="U9" s="1391" t="s">
        <v>8454</v>
      </c>
      <c r="V9" s="1299" t="s">
        <v>8455</v>
      </c>
      <c r="W9" s="1414" t="s">
        <v>8456</v>
      </c>
      <c r="X9" s="1391" t="s">
        <v>8457</v>
      </c>
      <c r="Y9" s="1397">
        <v>46.63</v>
      </c>
      <c r="Z9" s="1415" t="s">
        <v>304</v>
      </c>
      <c r="AA9" s="1396" t="s">
        <v>8458</v>
      </c>
      <c r="AB9" s="1397" t="s">
        <v>8297</v>
      </c>
      <c r="AC9" s="1391" t="s">
        <v>5394</v>
      </c>
      <c r="AD9" s="1391" t="s">
        <v>8459</v>
      </c>
      <c r="AE9" s="1398" t="s">
        <v>8460</v>
      </c>
      <c r="AF9" s="1396" t="s">
        <v>8461</v>
      </c>
      <c r="AG9" s="1401" t="s">
        <v>8462</v>
      </c>
      <c r="AH9" s="1391" t="s">
        <v>8463</v>
      </c>
      <c r="AI9" s="1299" t="s">
        <v>8464</v>
      </c>
      <c r="AJ9" s="1398" t="s">
        <v>8465</v>
      </c>
      <c r="AK9" s="1391" t="s">
        <v>1292</v>
      </c>
      <c r="AL9" s="1391" t="s">
        <v>5048</v>
      </c>
      <c r="AM9" s="1391" t="s">
        <v>3814</v>
      </c>
      <c r="AN9" s="1416" t="s">
        <v>5247</v>
      </c>
      <c r="AO9" s="1391" t="s">
        <v>8402</v>
      </c>
      <c r="AP9" s="1391" t="s">
        <v>8466</v>
      </c>
      <c r="AQ9" s="1391" t="s">
        <v>8467</v>
      </c>
      <c r="AR9" s="1391" t="s">
        <v>4500</v>
      </c>
      <c r="AS9" s="1391" t="s">
        <v>8468</v>
      </c>
      <c r="AT9" s="1417" t="s">
        <v>8305</v>
      </c>
      <c r="AU9" s="1418" t="s">
        <v>8469</v>
      </c>
      <c r="AV9" s="1389" t="str">
        <f t="shared" si="1"/>
        <v>2:59</v>
      </c>
      <c r="AW9" s="1419"/>
    </row>
    <row r="10">
      <c r="A10" s="1420" t="s">
        <v>6155</v>
      </c>
      <c r="B10" s="1421" t="s">
        <v>8280</v>
      </c>
      <c r="C10" s="1380">
        <v>0.04958333333333333</v>
      </c>
      <c r="D10" s="1299" t="s">
        <v>8470</v>
      </c>
      <c r="E10" s="1401" t="s">
        <v>6165</v>
      </c>
      <c r="F10" s="1401" t="s">
        <v>8471</v>
      </c>
      <c r="G10" s="1401" t="s">
        <v>8472</v>
      </c>
      <c r="H10" s="1422" t="s">
        <v>8473</v>
      </c>
      <c r="I10" s="1422" t="s">
        <v>5642</v>
      </c>
      <c r="J10" s="1422" t="s">
        <v>2616</v>
      </c>
      <c r="K10" s="1422" t="s">
        <v>7182</v>
      </c>
      <c r="L10" s="1401">
        <v>56.42</v>
      </c>
      <c r="M10" s="1401" t="s">
        <v>5116</v>
      </c>
      <c r="N10" s="1401" t="s">
        <v>8474</v>
      </c>
      <c r="O10" s="1422" t="s">
        <v>8475</v>
      </c>
      <c r="P10" s="1422" t="s">
        <v>131</v>
      </c>
      <c r="Q10" s="1422" t="s">
        <v>8476</v>
      </c>
      <c r="R10" s="1401" t="s">
        <v>8477</v>
      </c>
      <c r="S10" s="1422" t="s">
        <v>8478</v>
      </c>
      <c r="T10" s="1422" t="s">
        <v>4879</v>
      </c>
      <c r="U10" s="1422" t="s">
        <v>8479</v>
      </c>
      <c r="V10" s="1401">
        <v>59.45</v>
      </c>
      <c r="W10" s="1422" t="s">
        <v>8480</v>
      </c>
      <c r="X10" s="1422" t="s">
        <v>8481</v>
      </c>
      <c r="Y10" s="1422" t="s">
        <v>4958</v>
      </c>
      <c r="Z10" s="1401" t="s">
        <v>4021</v>
      </c>
      <c r="AA10" s="1401" t="s">
        <v>8482</v>
      </c>
      <c r="AB10" s="1401" t="s">
        <v>4514</v>
      </c>
      <c r="AC10" s="1422" t="s">
        <v>3778</v>
      </c>
      <c r="AD10" s="1422" t="s">
        <v>8483</v>
      </c>
      <c r="AE10" s="1401">
        <v>47.89</v>
      </c>
      <c r="AF10" s="1401" t="s">
        <v>8484</v>
      </c>
      <c r="AG10" s="1399" t="s">
        <v>8299</v>
      </c>
      <c r="AH10" s="1401">
        <v>57.71</v>
      </c>
      <c r="AI10" s="1422" t="s">
        <v>8485</v>
      </c>
      <c r="AJ10" s="1401" t="s">
        <v>8440</v>
      </c>
      <c r="AK10" s="1422" t="s">
        <v>7014</v>
      </c>
      <c r="AL10" s="1401">
        <v>56.69</v>
      </c>
      <c r="AM10" s="1422" t="s">
        <v>8486</v>
      </c>
      <c r="AN10" s="1422" t="s">
        <v>3978</v>
      </c>
      <c r="AO10" s="1422" t="s">
        <v>2758</v>
      </c>
      <c r="AP10" s="1401" t="s">
        <v>8487</v>
      </c>
      <c r="AQ10" s="1423" t="s">
        <v>8304</v>
      </c>
      <c r="AR10" s="1422" t="s">
        <v>8488</v>
      </c>
      <c r="AS10" s="1401">
        <v>43.65</v>
      </c>
      <c r="AT10" s="1422" t="s">
        <v>8489</v>
      </c>
      <c r="AU10" s="1392" t="s">
        <v>8490</v>
      </c>
      <c r="AV10" s="1389" t="str">
        <f t="shared" si="1"/>
        <v>1:34</v>
      </c>
      <c r="AW10" s="1424" t="s">
        <v>8491</v>
      </c>
    </row>
    <row r="11" ht="15.75" customHeight="1">
      <c r="A11" s="1420" t="s">
        <v>6265</v>
      </c>
      <c r="B11" s="1379" t="s">
        <v>8280</v>
      </c>
      <c r="C11" s="1380">
        <v>0.04967592592592593</v>
      </c>
      <c r="D11" s="1299" t="s">
        <v>8492</v>
      </c>
      <c r="E11" s="1387" t="s">
        <v>882</v>
      </c>
      <c r="F11" s="1387" t="s">
        <v>4156</v>
      </c>
      <c r="G11" s="1387" t="s">
        <v>8493</v>
      </c>
      <c r="H11" s="1299" t="s">
        <v>8494</v>
      </c>
      <c r="I11" s="1387" t="s">
        <v>8495</v>
      </c>
      <c r="J11" s="1387" t="s">
        <v>8496</v>
      </c>
      <c r="K11" s="1387" t="s">
        <v>8497</v>
      </c>
      <c r="L11" s="1387" t="s">
        <v>4262</v>
      </c>
      <c r="M11" s="1387" t="s">
        <v>8070</v>
      </c>
      <c r="N11" s="1387" t="s">
        <v>2167</v>
      </c>
      <c r="O11" s="1387" t="s">
        <v>8498</v>
      </c>
      <c r="P11" s="1387" t="s">
        <v>8495</v>
      </c>
      <c r="Q11" s="1387" t="s">
        <v>8499</v>
      </c>
      <c r="R11" s="1387" t="s">
        <v>1222</v>
      </c>
      <c r="S11" s="1425" t="s">
        <v>8500</v>
      </c>
      <c r="T11" s="1387" t="s">
        <v>4834</v>
      </c>
      <c r="U11" s="1387" t="s">
        <v>8501</v>
      </c>
      <c r="V11" s="1387" t="s">
        <v>8376</v>
      </c>
      <c r="W11" s="1387" t="s">
        <v>8502</v>
      </c>
      <c r="X11" s="1387" t="s">
        <v>957</v>
      </c>
      <c r="Y11" s="1387" t="s">
        <v>6792</v>
      </c>
      <c r="Z11" s="1387" t="s">
        <v>8503</v>
      </c>
      <c r="AA11" s="1387" t="s">
        <v>8504</v>
      </c>
      <c r="AB11" s="1387" t="s">
        <v>1965</v>
      </c>
      <c r="AC11" s="1387" t="s">
        <v>756</v>
      </c>
      <c r="AD11" s="1387" t="s">
        <v>8505</v>
      </c>
      <c r="AE11" s="1387" t="s">
        <v>6220</v>
      </c>
      <c r="AF11" s="1381" t="s">
        <v>8506</v>
      </c>
      <c r="AG11" s="1387" t="s">
        <v>8507</v>
      </c>
      <c r="AH11" s="1387" t="s">
        <v>4653</v>
      </c>
      <c r="AI11" s="1387" t="s">
        <v>2843</v>
      </c>
      <c r="AJ11" s="1387" t="s">
        <v>8508</v>
      </c>
      <c r="AK11" s="1387" t="s">
        <v>4028</v>
      </c>
      <c r="AL11" s="1387" t="s">
        <v>8509</v>
      </c>
      <c r="AM11" s="1387" t="s">
        <v>4832</v>
      </c>
      <c r="AN11" s="1299" t="s">
        <v>8392</v>
      </c>
      <c r="AO11" s="1387" t="s">
        <v>8510</v>
      </c>
      <c r="AP11" s="1387" t="s">
        <v>8511</v>
      </c>
      <c r="AQ11" s="1381" t="s">
        <v>8512</v>
      </c>
      <c r="AR11" s="1387" t="s">
        <v>8513</v>
      </c>
      <c r="AS11" s="1387" t="s">
        <v>6777</v>
      </c>
      <c r="AT11" s="1387" t="s">
        <v>8514</v>
      </c>
      <c r="AU11" s="1387" t="s">
        <v>8515</v>
      </c>
      <c r="AV11" s="1389" t="str">
        <f t="shared" si="1"/>
        <v>2:47</v>
      </c>
      <c r="AW11" s="1393" t="s">
        <v>8516</v>
      </c>
    </row>
    <row r="12" ht="15.75" customHeight="1">
      <c r="A12" s="1426" t="s">
        <v>2633</v>
      </c>
      <c r="B12" s="1379" t="s">
        <v>8280</v>
      </c>
      <c r="C12" s="1427">
        <v>0.04971064814814815</v>
      </c>
      <c r="D12" s="1390" t="s">
        <v>8517</v>
      </c>
      <c r="E12" s="1428" t="s">
        <v>505</v>
      </c>
      <c r="F12" s="1428" t="s">
        <v>8518</v>
      </c>
      <c r="G12" s="1428" t="s">
        <v>8519</v>
      </c>
      <c r="H12" s="1381" t="s">
        <v>8520</v>
      </c>
      <c r="I12" s="1429" t="s">
        <v>5576</v>
      </c>
      <c r="J12" s="1430" t="s">
        <v>8521</v>
      </c>
      <c r="K12" s="1430" t="s">
        <v>4105</v>
      </c>
      <c r="L12" s="1430" t="s">
        <v>4585</v>
      </c>
      <c r="M12" s="1430" t="s">
        <v>8522</v>
      </c>
      <c r="N12" s="1430" t="s">
        <v>2617</v>
      </c>
      <c r="O12" s="1430" t="s">
        <v>8523</v>
      </c>
      <c r="P12" s="1430" t="s">
        <v>8524</v>
      </c>
      <c r="Q12" s="1381" t="s">
        <v>8525</v>
      </c>
      <c r="R12" s="1431" t="s">
        <v>8526</v>
      </c>
      <c r="S12" s="1381" t="s">
        <v>1957</v>
      </c>
      <c r="T12" s="1431" t="s">
        <v>8527</v>
      </c>
      <c r="U12" s="1381" t="s">
        <v>7066</v>
      </c>
      <c r="V12" s="1431" t="s">
        <v>7754</v>
      </c>
      <c r="W12" s="1432" t="s">
        <v>8528</v>
      </c>
      <c r="X12" s="1432" t="s">
        <v>3842</v>
      </c>
      <c r="Y12" s="1432" t="s">
        <v>6790</v>
      </c>
      <c r="Z12" s="1432" t="s">
        <v>8529</v>
      </c>
      <c r="AA12" s="1432" t="s">
        <v>8398</v>
      </c>
      <c r="AB12" s="1432" t="s">
        <v>4216</v>
      </c>
      <c r="AC12" s="1432" t="s">
        <v>1077</v>
      </c>
      <c r="AD12" s="1428" t="s">
        <v>8530</v>
      </c>
      <c r="AE12" s="1428" t="s">
        <v>5214</v>
      </c>
      <c r="AF12" s="1433" t="s">
        <v>8531</v>
      </c>
      <c r="AG12" s="1433" t="s">
        <v>7566</v>
      </c>
      <c r="AH12" s="1433" t="s">
        <v>5224</v>
      </c>
      <c r="AI12" s="1433" t="s">
        <v>8532</v>
      </c>
      <c r="AJ12" s="1433" t="s">
        <v>8533</v>
      </c>
      <c r="AK12" s="1433" t="s">
        <v>8534</v>
      </c>
      <c r="AL12" s="1433" t="s">
        <v>5961</v>
      </c>
      <c r="AM12" s="1434" t="s">
        <v>8535</v>
      </c>
      <c r="AN12" s="1435" t="s">
        <v>4585</v>
      </c>
      <c r="AO12" s="1435" t="s">
        <v>8536</v>
      </c>
      <c r="AP12" s="1434" t="s">
        <v>8537</v>
      </c>
      <c r="AQ12" s="1434" t="s">
        <v>8538</v>
      </c>
      <c r="AR12" s="1435" t="s">
        <v>8539</v>
      </c>
      <c r="AS12" s="1434" t="s">
        <v>270</v>
      </c>
      <c r="AT12" s="1392" t="s">
        <v>8540</v>
      </c>
      <c r="AU12" s="1418" t="s">
        <v>8541</v>
      </c>
      <c r="AV12" s="1389" t="str">
        <f t="shared" si="1"/>
        <v>2:35</v>
      </c>
      <c r="AW12" s="1436" t="s">
        <v>8542</v>
      </c>
    </row>
    <row r="13">
      <c r="A13" s="1437" t="s">
        <v>908</v>
      </c>
      <c r="B13" s="1438" t="s">
        <v>8280</v>
      </c>
      <c r="C13" s="1380">
        <v>0.04976851851851852</v>
      </c>
      <c r="D13" s="1391" t="s">
        <v>8543</v>
      </c>
      <c r="E13" s="1391" t="s">
        <v>8544</v>
      </c>
      <c r="F13" s="1391" t="s">
        <v>8545</v>
      </c>
      <c r="G13" s="1398" t="s">
        <v>8546</v>
      </c>
      <c r="H13" s="1391" t="s">
        <v>7467</v>
      </c>
      <c r="I13" s="1391" t="s">
        <v>8213</v>
      </c>
      <c r="J13" s="1396" t="s">
        <v>8547</v>
      </c>
      <c r="K13" s="1391" t="s">
        <v>8548</v>
      </c>
      <c r="L13" s="1391" t="s">
        <v>3388</v>
      </c>
      <c r="M13" s="1391" t="s">
        <v>7235</v>
      </c>
      <c r="N13" s="1391" t="s">
        <v>8549</v>
      </c>
      <c r="O13" s="1391" t="s">
        <v>4866</v>
      </c>
      <c r="P13" s="1391" t="s">
        <v>5341</v>
      </c>
      <c r="Q13" s="1391" t="s">
        <v>4874</v>
      </c>
      <c r="R13" s="1391" t="s">
        <v>8550</v>
      </c>
      <c r="S13" s="1381" t="s">
        <v>2720</v>
      </c>
      <c r="T13" s="1391" t="s">
        <v>2448</v>
      </c>
      <c r="U13" s="1391" t="s">
        <v>8421</v>
      </c>
      <c r="V13" s="1391" t="s">
        <v>5274</v>
      </c>
      <c r="W13" s="1391" t="s">
        <v>1983</v>
      </c>
      <c r="X13" s="1391" t="s">
        <v>8551</v>
      </c>
      <c r="Y13" s="1391" t="s">
        <v>8552</v>
      </c>
      <c r="Z13" s="1439" t="s">
        <v>8296</v>
      </c>
      <c r="AA13" s="1391" t="s">
        <v>8481</v>
      </c>
      <c r="AB13" s="1391" t="s">
        <v>7403</v>
      </c>
      <c r="AC13" s="1391" t="s">
        <v>4872</v>
      </c>
      <c r="AD13" s="1391" t="s">
        <v>5645</v>
      </c>
      <c r="AE13" s="1398">
        <v>47.81</v>
      </c>
      <c r="AF13" s="1391" t="s">
        <v>8553</v>
      </c>
      <c r="AG13" s="1391" t="s">
        <v>8554</v>
      </c>
      <c r="AH13" s="1391" t="s">
        <v>745</v>
      </c>
      <c r="AI13" s="1391" t="s">
        <v>2338</v>
      </c>
      <c r="AJ13" s="1391" t="s">
        <v>8555</v>
      </c>
      <c r="AK13" s="1391" t="s">
        <v>969</v>
      </c>
      <c r="AL13" s="1391" t="s">
        <v>8556</v>
      </c>
      <c r="AM13" s="1391" t="s">
        <v>4414</v>
      </c>
      <c r="AN13" s="1391" t="s">
        <v>8557</v>
      </c>
      <c r="AO13" s="1391" t="s">
        <v>8423</v>
      </c>
      <c r="AP13" s="1391" t="s">
        <v>8558</v>
      </c>
      <c r="AQ13" s="1391" t="s">
        <v>8559</v>
      </c>
      <c r="AR13" s="1439" t="s">
        <v>411</v>
      </c>
      <c r="AS13" s="1391" t="s">
        <v>3000</v>
      </c>
      <c r="AT13" s="1391" t="s">
        <v>8560</v>
      </c>
      <c r="AU13" s="1418" t="s">
        <v>8561</v>
      </c>
      <c r="AV13" s="1389" t="str">
        <f t="shared" si="1"/>
        <v>2:17</v>
      </c>
      <c r="AW13" s="1440" t="s">
        <v>8387</v>
      </c>
    </row>
    <row r="14" ht="15.75" customHeight="1">
      <c r="A14" s="1378" t="s">
        <v>6030</v>
      </c>
      <c r="B14" s="1441" t="s">
        <v>8280</v>
      </c>
      <c r="C14" s="1380">
        <v>0.04982638888888889</v>
      </c>
      <c r="D14" s="1390" t="s">
        <v>8562</v>
      </c>
      <c r="E14" s="1390" t="s">
        <v>4677</v>
      </c>
      <c r="F14" s="1390" t="s">
        <v>8563</v>
      </c>
      <c r="G14" s="1390" t="s">
        <v>8564</v>
      </c>
      <c r="H14" s="1390" t="s">
        <v>8565</v>
      </c>
      <c r="I14" s="1390" t="s">
        <v>5590</v>
      </c>
      <c r="J14" s="1390" t="s">
        <v>8566</v>
      </c>
      <c r="K14" s="1299" t="s">
        <v>8567</v>
      </c>
      <c r="L14" s="1390" t="s">
        <v>8568</v>
      </c>
      <c r="M14" s="1390" t="s">
        <v>8569</v>
      </c>
      <c r="N14" s="1390" t="s">
        <v>2013</v>
      </c>
      <c r="O14" s="1390" t="s">
        <v>8570</v>
      </c>
      <c r="P14" s="1299" t="s">
        <v>4395</v>
      </c>
      <c r="Q14" s="1390" t="s">
        <v>8571</v>
      </c>
      <c r="R14" s="1390" t="s">
        <v>1994</v>
      </c>
      <c r="S14" s="1390" t="s">
        <v>3169</v>
      </c>
      <c r="T14" s="1390" t="s">
        <v>8572</v>
      </c>
      <c r="U14" s="1390" t="s">
        <v>8573</v>
      </c>
      <c r="V14" s="1390" t="s">
        <v>6462</v>
      </c>
      <c r="W14" s="1390" t="s">
        <v>5382</v>
      </c>
      <c r="X14" s="1390" t="s">
        <v>8299</v>
      </c>
      <c r="Y14" s="1390" t="s">
        <v>8391</v>
      </c>
      <c r="Z14" s="1390" t="s">
        <v>6576</v>
      </c>
      <c r="AA14" s="1442" t="s">
        <v>8574</v>
      </c>
      <c r="AB14" s="1390" t="s">
        <v>5656</v>
      </c>
      <c r="AC14" s="1390" t="s">
        <v>1027</v>
      </c>
      <c r="AD14" s="1390" t="s">
        <v>7224</v>
      </c>
      <c r="AE14" s="1390" t="s">
        <v>3678</v>
      </c>
      <c r="AF14" s="1390" t="s">
        <v>8575</v>
      </c>
      <c r="AG14" s="1390" t="s">
        <v>1525</v>
      </c>
      <c r="AH14" s="1299" t="s">
        <v>8576</v>
      </c>
      <c r="AI14" s="1390" t="s">
        <v>7946</v>
      </c>
      <c r="AJ14" s="1390" t="s">
        <v>8577</v>
      </c>
      <c r="AK14" s="1390" t="s">
        <v>8578</v>
      </c>
      <c r="AL14" s="1390" t="s">
        <v>4207</v>
      </c>
      <c r="AM14" s="1390" t="s">
        <v>7076</v>
      </c>
      <c r="AN14" s="1390" t="s">
        <v>8579</v>
      </c>
      <c r="AO14" s="1390" t="s">
        <v>8423</v>
      </c>
      <c r="AP14" s="1443" t="s">
        <v>8303</v>
      </c>
      <c r="AQ14" s="1390" t="s">
        <v>8580</v>
      </c>
      <c r="AR14" s="1390" t="s">
        <v>8581</v>
      </c>
      <c r="AS14" s="1390" t="s">
        <v>8582</v>
      </c>
      <c r="AT14" s="1390" t="s">
        <v>8583</v>
      </c>
      <c r="AU14" s="1444" t="s">
        <v>8584</v>
      </c>
      <c r="AV14" s="1389" t="str">
        <f t="shared" si="1"/>
        <v>2:18</v>
      </c>
      <c r="AW14" s="1445" t="s">
        <v>8585</v>
      </c>
    </row>
    <row r="15" ht="15.75" customHeight="1">
      <c r="A15" s="1378" t="s">
        <v>2000</v>
      </c>
      <c r="B15" s="1379" t="s">
        <v>8280</v>
      </c>
      <c r="C15" s="1380">
        <v>0.049895833333333334</v>
      </c>
      <c r="D15" s="1299" t="s">
        <v>8586</v>
      </c>
      <c r="E15" s="1446" t="s">
        <v>882</v>
      </c>
      <c r="F15" s="1428" t="s">
        <v>8587</v>
      </c>
      <c r="G15" s="1446" t="s">
        <v>8588</v>
      </c>
      <c r="H15" s="1429" t="s">
        <v>8589</v>
      </c>
      <c r="I15" s="1429" t="s">
        <v>5467</v>
      </c>
      <c r="J15" s="1430" t="s">
        <v>8590</v>
      </c>
      <c r="K15" s="1447" t="s">
        <v>8591</v>
      </c>
      <c r="L15" s="1430" t="s">
        <v>8592</v>
      </c>
      <c r="M15" s="1430" t="s">
        <v>4970</v>
      </c>
      <c r="N15" s="1430" t="s">
        <v>8593</v>
      </c>
      <c r="O15" s="1447" t="s">
        <v>8594</v>
      </c>
      <c r="P15" s="1430" t="s">
        <v>8595</v>
      </c>
      <c r="Q15" s="1431" t="s">
        <v>3199</v>
      </c>
      <c r="R15" s="1448" t="s">
        <v>8596</v>
      </c>
      <c r="S15" s="1448" t="s">
        <v>8597</v>
      </c>
      <c r="T15" s="1448" t="s">
        <v>8598</v>
      </c>
      <c r="U15" s="1448" t="s">
        <v>8599</v>
      </c>
      <c r="V15" s="1431" t="s">
        <v>4376</v>
      </c>
      <c r="W15" s="1432" t="s">
        <v>8600</v>
      </c>
      <c r="X15" s="1449" t="s">
        <v>8601</v>
      </c>
      <c r="Y15" s="1432" t="s">
        <v>8602</v>
      </c>
      <c r="Z15" s="1432" t="s">
        <v>8603</v>
      </c>
      <c r="AA15" s="1432" t="s">
        <v>8604</v>
      </c>
      <c r="AB15" s="1449" t="s">
        <v>7535</v>
      </c>
      <c r="AC15" s="1449" t="s">
        <v>1215</v>
      </c>
      <c r="AD15" s="1446" t="s">
        <v>8605</v>
      </c>
      <c r="AE15" s="1446" t="s">
        <v>8606</v>
      </c>
      <c r="AF15" s="1450" t="s">
        <v>8607</v>
      </c>
      <c r="AG15" s="1433" t="s">
        <v>8608</v>
      </c>
      <c r="AH15" s="1433" t="s">
        <v>8609</v>
      </c>
      <c r="AI15" s="1433" t="s">
        <v>8610</v>
      </c>
      <c r="AJ15" s="1450" t="s">
        <v>8611</v>
      </c>
      <c r="AK15" s="1450" t="s">
        <v>889</v>
      </c>
      <c r="AL15" s="1433" t="s">
        <v>8612</v>
      </c>
      <c r="AM15" s="1435" t="s">
        <v>8613</v>
      </c>
      <c r="AN15" s="1434" t="s">
        <v>2984</v>
      </c>
      <c r="AO15" s="1435" t="s">
        <v>8614</v>
      </c>
      <c r="AP15" s="1434" t="s">
        <v>5540</v>
      </c>
      <c r="AQ15" s="1435" t="s">
        <v>8615</v>
      </c>
      <c r="AR15" s="1434" t="s">
        <v>1092</v>
      </c>
      <c r="AS15" s="1434" t="s">
        <v>3899</v>
      </c>
      <c r="AT15" s="1447" t="s">
        <v>6185</v>
      </c>
      <c r="AU15" s="1451" t="s">
        <v>8616</v>
      </c>
      <c r="AV15" s="1389" t="str">
        <f t="shared" si="1"/>
        <v>2:22</v>
      </c>
      <c r="AW15" s="1419" t="s">
        <v>8617</v>
      </c>
    </row>
    <row r="16">
      <c r="A16" s="1420" t="s">
        <v>2084</v>
      </c>
      <c r="B16" s="1438" t="s">
        <v>8280</v>
      </c>
      <c r="C16" s="1452">
        <v>0.049930555555555554</v>
      </c>
      <c r="D16" s="1453" t="s">
        <v>8618</v>
      </c>
      <c r="E16" s="1422" t="s">
        <v>8288</v>
      </c>
      <c r="F16" s="1422" t="s">
        <v>4579</v>
      </c>
      <c r="G16" s="1422" t="s">
        <v>8619</v>
      </c>
      <c r="H16" s="1422" t="s">
        <v>8620</v>
      </c>
      <c r="I16" s="1422" t="s">
        <v>5642</v>
      </c>
      <c r="J16" s="1422" t="s">
        <v>6105</v>
      </c>
      <c r="K16" s="1422" t="s">
        <v>8621</v>
      </c>
      <c r="L16" s="1422" t="s">
        <v>5961</v>
      </c>
      <c r="M16" s="1422" t="s">
        <v>8622</v>
      </c>
      <c r="N16" s="1422" t="s">
        <v>8623</v>
      </c>
      <c r="O16" s="1422" t="s">
        <v>795</v>
      </c>
      <c r="P16" s="1401">
        <v>47.54</v>
      </c>
      <c r="Q16" s="1454" t="s">
        <v>8624</v>
      </c>
      <c r="R16" s="1401" t="s">
        <v>8625</v>
      </c>
      <c r="S16" s="1454" t="s">
        <v>8500</v>
      </c>
      <c r="T16" s="1401" t="s">
        <v>8626</v>
      </c>
      <c r="U16" s="1454" t="s">
        <v>8627</v>
      </c>
      <c r="V16" s="1455">
        <v>58.55</v>
      </c>
      <c r="W16" s="1454" t="s">
        <v>8628</v>
      </c>
      <c r="X16" s="1454" t="s">
        <v>8629</v>
      </c>
      <c r="Y16" s="1456" t="s">
        <v>8416</v>
      </c>
      <c r="Z16" s="1454" t="s">
        <v>8322</v>
      </c>
      <c r="AA16" s="1422" t="s">
        <v>8630</v>
      </c>
      <c r="AB16" s="1454" t="s">
        <v>8631</v>
      </c>
      <c r="AC16" s="1389">
        <v>47.2</v>
      </c>
      <c r="AD16" s="1454" t="s">
        <v>8632</v>
      </c>
      <c r="AE16" s="1401">
        <v>47.88</v>
      </c>
      <c r="AF16" s="1454" t="s">
        <v>8633</v>
      </c>
      <c r="AG16" s="1454" t="s">
        <v>8634</v>
      </c>
      <c r="AH16" s="1454">
        <v>57.68</v>
      </c>
      <c r="AI16" s="1454" t="s">
        <v>2745</v>
      </c>
      <c r="AJ16" s="1401" t="s">
        <v>8635</v>
      </c>
      <c r="AK16" s="1457" t="s">
        <v>8636</v>
      </c>
      <c r="AL16" s="1454">
        <v>55.92</v>
      </c>
      <c r="AM16" s="1454" t="s">
        <v>2786</v>
      </c>
      <c r="AN16" s="1381" t="s">
        <v>5580</v>
      </c>
      <c r="AO16" s="1454" t="s">
        <v>6561</v>
      </c>
      <c r="AP16" s="1454" t="s">
        <v>8637</v>
      </c>
      <c r="AQ16" s="1454" t="s">
        <v>7192</v>
      </c>
      <c r="AR16" s="1454" t="s">
        <v>8638</v>
      </c>
      <c r="AS16" s="1458">
        <v>42.83</v>
      </c>
      <c r="AT16" s="1401" t="s">
        <v>7750</v>
      </c>
      <c r="AU16" s="1418" t="s">
        <v>8639</v>
      </c>
      <c r="AV16" s="1389" t="str">
        <f t="shared" si="1"/>
        <v>4:29</v>
      </c>
      <c r="AW16" s="1440" t="s">
        <v>8640</v>
      </c>
    </row>
    <row r="17" ht="15.75" customHeight="1">
      <c r="A17" s="1420" t="s">
        <v>2212</v>
      </c>
      <c r="B17" s="1379" t="s">
        <v>8280</v>
      </c>
      <c r="C17" s="1380">
        <v>0.0499537037037037</v>
      </c>
      <c r="D17" s="1387" t="s">
        <v>8641</v>
      </c>
      <c r="E17" s="1387" t="s">
        <v>2694</v>
      </c>
      <c r="F17" s="1387" t="s">
        <v>8642</v>
      </c>
      <c r="G17" s="1384" t="s">
        <v>8643</v>
      </c>
      <c r="H17" s="1387" t="s">
        <v>8644</v>
      </c>
      <c r="I17" s="1459" t="s">
        <v>8606</v>
      </c>
      <c r="J17" s="1387" t="s">
        <v>1416</v>
      </c>
      <c r="K17" s="1387" t="s">
        <v>5085</v>
      </c>
      <c r="L17" s="1387" t="s">
        <v>8645</v>
      </c>
      <c r="M17" s="1387" t="s">
        <v>8646</v>
      </c>
      <c r="N17" s="1387" t="s">
        <v>8647</v>
      </c>
      <c r="O17" s="1387" t="s">
        <v>8648</v>
      </c>
      <c r="P17" s="1387" t="s">
        <v>8649</v>
      </c>
      <c r="Q17" s="1387" t="s">
        <v>4540</v>
      </c>
      <c r="R17" s="1431" t="s">
        <v>8650</v>
      </c>
      <c r="S17" s="1387" t="s">
        <v>3805</v>
      </c>
      <c r="T17" s="1387" t="s">
        <v>8651</v>
      </c>
      <c r="U17" s="1387" t="s">
        <v>8652</v>
      </c>
      <c r="V17" s="1387" t="s">
        <v>8653</v>
      </c>
      <c r="W17" s="1387" t="s">
        <v>8654</v>
      </c>
      <c r="X17" s="1387" t="s">
        <v>7536</v>
      </c>
      <c r="Y17" s="1387" t="s">
        <v>4112</v>
      </c>
      <c r="Z17" s="1387" t="s">
        <v>8655</v>
      </c>
      <c r="AA17" s="1387" t="s">
        <v>7536</v>
      </c>
      <c r="AB17" s="1387" t="s">
        <v>8549</v>
      </c>
      <c r="AC17" s="1387" t="s">
        <v>5502</v>
      </c>
      <c r="AD17" s="1387" t="s">
        <v>7586</v>
      </c>
      <c r="AE17" s="1387" t="s">
        <v>8656</v>
      </c>
      <c r="AF17" s="1387" t="s">
        <v>8657</v>
      </c>
      <c r="AG17" s="1387" t="s">
        <v>4975</v>
      </c>
      <c r="AH17" s="1387" t="s">
        <v>5119</v>
      </c>
      <c r="AI17" s="1387" t="s">
        <v>8658</v>
      </c>
      <c r="AJ17" s="1385" t="s">
        <v>8301</v>
      </c>
      <c r="AK17" s="1387" t="s">
        <v>2478</v>
      </c>
      <c r="AL17" s="1387" t="s">
        <v>8659</v>
      </c>
      <c r="AM17" s="1387" t="s">
        <v>8660</v>
      </c>
      <c r="AN17" s="1387" t="s">
        <v>550</v>
      </c>
      <c r="AO17" s="1387" t="s">
        <v>8661</v>
      </c>
      <c r="AP17" s="1387" t="s">
        <v>8662</v>
      </c>
      <c r="AQ17" s="1387" t="s">
        <v>4663</v>
      </c>
      <c r="AR17" s="1387" t="s">
        <v>6315</v>
      </c>
      <c r="AS17" s="1387" t="s">
        <v>8663</v>
      </c>
      <c r="AT17" s="1387" t="s">
        <v>2946</v>
      </c>
      <c r="AU17" s="1387" t="s">
        <v>8664</v>
      </c>
      <c r="AV17" s="1389" t="str">
        <f t="shared" si="1"/>
        <v>3:21</v>
      </c>
      <c r="AW17" s="1445" t="s">
        <v>8665</v>
      </c>
    </row>
    <row r="18" ht="15.75" customHeight="1">
      <c r="A18" s="1378" t="s">
        <v>8666</v>
      </c>
      <c r="B18" s="1379" t="s">
        <v>8280</v>
      </c>
      <c r="C18" s="1380">
        <v>0.049965277777777775</v>
      </c>
      <c r="D18" s="1299" t="s">
        <v>8667</v>
      </c>
      <c r="E18" s="1387" t="s">
        <v>4226</v>
      </c>
      <c r="F18" s="1387" t="s">
        <v>8668</v>
      </c>
      <c r="G18" s="1387" t="s">
        <v>8669</v>
      </c>
      <c r="H18" s="1389" t="s">
        <v>8670</v>
      </c>
      <c r="I18" s="1387" t="s">
        <v>1381</v>
      </c>
      <c r="J18" s="1387" t="s">
        <v>378</v>
      </c>
      <c r="K18" s="1387" t="s">
        <v>8671</v>
      </c>
      <c r="L18" s="1387" t="s">
        <v>5283</v>
      </c>
      <c r="M18" s="1387" t="s">
        <v>6216</v>
      </c>
      <c r="N18" s="1387" t="s">
        <v>8672</v>
      </c>
      <c r="O18" s="1387" t="s">
        <v>2560</v>
      </c>
      <c r="P18" s="1389" t="s">
        <v>5341</v>
      </c>
      <c r="Q18" s="1387" t="s">
        <v>8673</v>
      </c>
      <c r="R18" s="1387" t="s">
        <v>4274</v>
      </c>
      <c r="S18" s="1387" t="s">
        <v>7440</v>
      </c>
      <c r="T18" s="1387" t="s">
        <v>8038</v>
      </c>
      <c r="U18" s="1387" t="s">
        <v>8674</v>
      </c>
      <c r="V18" s="1387" t="s">
        <v>4891</v>
      </c>
      <c r="W18" s="1387" t="s">
        <v>8675</v>
      </c>
      <c r="X18" s="1389" t="s">
        <v>6566</v>
      </c>
      <c r="Y18" s="1389" t="s">
        <v>5426</v>
      </c>
      <c r="Z18" s="1387" t="s">
        <v>8676</v>
      </c>
      <c r="AA18" s="1387" t="s">
        <v>3759</v>
      </c>
      <c r="AB18" s="1387" t="s">
        <v>8677</v>
      </c>
      <c r="AC18" s="1387" t="s">
        <v>782</v>
      </c>
      <c r="AD18" s="1387" t="s">
        <v>5351</v>
      </c>
      <c r="AE18" s="1387" t="s">
        <v>8678</v>
      </c>
      <c r="AF18" s="1387" t="s">
        <v>870</v>
      </c>
      <c r="AG18" s="1387" t="s">
        <v>8679</v>
      </c>
      <c r="AH18" s="1387" t="s">
        <v>8381</v>
      </c>
      <c r="AI18" s="1387" t="s">
        <v>686</v>
      </c>
      <c r="AJ18" s="1389" t="s">
        <v>8680</v>
      </c>
      <c r="AK18" s="1433" t="s">
        <v>7366</v>
      </c>
      <c r="AL18" s="1387" t="s">
        <v>4533</v>
      </c>
      <c r="AM18" s="1387" t="s">
        <v>3291</v>
      </c>
      <c r="AN18" s="1389" t="s">
        <v>5968</v>
      </c>
      <c r="AO18" s="1389" t="s">
        <v>6315</v>
      </c>
      <c r="AP18" s="1389" t="s">
        <v>8681</v>
      </c>
      <c r="AQ18" s="1389" t="s">
        <v>8401</v>
      </c>
      <c r="AR18" s="1389" t="s">
        <v>155</v>
      </c>
      <c r="AS18" s="1389" t="s">
        <v>5567</v>
      </c>
      <c r="AT18" s="1389" t="s">
        <v>8575</v>
      </c>
      <c r="AU18" s="1387" t="s">
        <v>8682</v>
      </c>
      <c r="AV18" s="1389" t="str">
        <f t="shared" si="1"/>
        <v>3:46</v>
      </c>
      <c r="AW18" s="1460" t="s">
        <v>7829</v>
      </c>
    </row>
    <row r="19">
      <c r="A19" s="1420" t="s">
        <v>2021</v>
      </c>
      <c r="B19" s="1421" t="s">
        <v>8280</v>
      </c>
      <c r="C19" s="1461">
        <v>0.049965277777777775</v>
      </c>
      <c r="D19" s="1422" t="s">
        <v>8683</v>
      </c>
      <c r="E19" s="1422" t="s">
        <v>8393</v>
      </c>
      <c r="F19" s="1422" t="s">
        <v>8471</v>
      </c>
      <c r="G19" s="1422" t="s">
        <v>8684</v>
      </c>
      <c r="H19" s="1422" t="s">
        <v>8685</v>
      </c>
      <c r="I19" s="1422" t="s">
        <v>3473</v>
      </c>
      <c r="J19" s="1422" t="s">
        <v>8686</v>
      </c>
      <c r="K19" s="1462" t="s">
        <v>4043</v>
      </c>
      <c r="L19" s="1422" t="s">
        <v>8659</v>
      </c>
      <c r="M19" s="1422" t="s">
        <v>1050</v>
      </c>
      <c r="N19" s="1422" t="s">
        <v>8687</v>
      </c>
      <c r="O19" s="1422" t="s">
        <v>8688</v>
      </c>
      <c r="P19" s="1422" t="s">
        <v>6205</v>
      </c>
      <c r="Q19" s="1422" t="s">
        <v>8689</v>
      </c>
      <c r="R19" s="1422" t="s">
        <v>7078</v>
      </c>
      <c r="S19" s="1422" t="s">
        <v>8690</v>
      </c>
      <c r="T19" s="1422" t="s">
        <v>5719</v>
      </c>
      <c r="U19" s="1422" t="s">
        <v>8691</v>
      </c>
      <c r="V19" s="1422" t="s">
        <v>8692</v>
      </c>
      <c r="W19" s="1422" t="s">
        <v>5368</v>
      </c>
      <c r="X19" s="1422" t="s">
        <v>8693</v>
      </c>
      <c r="Y19" s="1422" t="s">
        <v>4599</v>
      </c>
      <c r="Z19" s="1422" t="s">
        <v>8694</v>
      </c>
      <c r="AA19" s="1422" t="s">
        <v>8695</v>
      </c>
      <c r="AB19" s="1422" t="s">
        <v>8631</v>
      </c>
      <c r="AC19" s="1422" t="s">
        <v>590</v>
      </c>
      <c r="AD19" s="1422" t="s">
        <v>8696</v>
      </c>
      <c r="AE19" s="1422" t="s">
        <v>5465</v>
      </c>
      <c r="AF19" s="1422" t="s">
        <v>8697</v>
      </c>
      <c r="AG19" s="1422" t="s">
        <v>1327</v>
      </c>
      <c r="AH19" s="1422" t="s">
        <v>7981</v>
      </c>
      <c r="AI19" s="1422" t="s">
        <v>8698</v>
      </c>
      <c r="AJ19" s="1422" t="s">
        <v>8699</v>
      </c>
      <c r="AK19" s="1422" t="s">
        <v>8700</v>
      </c>
      <c r="AL19" s="1422" t="s">
        <v>341</v>
      </c>
      <c r="AM19" s="1422" t="s">
        <v>8701</v>
      </c>
      <c r="AN19" s="1422" t="s">
        <v>231</v>
      </c>
      <c r="AO19" s="1422" t="s">
        <v>8702</v>
      </c>
      <c r="AP19" s="1422" t="s">
        <v>8703</v>
      </c>
      <c r="AQ19" s="1388" t="s">
        <v>7437</v>
      </c>
      <c r="AR19" s="1422" t="s">
        <v>2589</v>
      </c>
      <c r="AS19" s="1422" t="s">
        <v>922</v>
      </c>
      <c r="AT19" s="1422" t="s">
        <v>8704</v>
      </c>
      <c r="AU19" s="1387" t="s">
        <v>8705</v>
      </c>
      <c r="AV19" s="1389" t="str">
        <f t="shared" si="1"/>
        <v>2:19</v>
      </c>
      <c r="AW19" s="1460"/>
    </row>
    <row r="20" ht="15.75" customHeight="1">
      <c r="A20" s="1463" t="s">
        <v>5971</v>
      </c>
      <c r="B20" s="1379" t="s">
        <v>8280</v>
      </c>
      <c r="C20" s="1380">
        <v>0.05</v>
      </c>
      <c r="D20" s="1299" t="s">
        <v>8706</v>
      </c>
      <c r="E20" s="1387" t="s">
        <v>8070</v>
      </c>
      <c r="F20" s="1387" t="s">
        <v>8642</v>
      </c>
      <c r="G20" s="1389" t="s">
        <v>8707</v>
      </c>
      <c r="H20" s="1387" t="s">
        <v>8708</v>
      </c>
      <c r="I20" s="1389" t="s">
        <v>1974</v>
      </c>
      <c r="J20" s="1387" t="s">
        <v>3062</v>
      </c>
      <c r="K20" s="1387" t="s">
        <v>8709</v>
      </c>
      <c r="L20" s="1387" t="s">
        <v>4249</v>
      </c>
      <c r="M20" s="1387" t="s">
        <v>8710</v>
      </c>
      <c r="N20" s="1387" t="s">
        <v>8711</v>
      </c>
      <c r="O20" s="1387" t="s">
        <v>8628</v>
      </c>
      <c r="P20" s="1389" t="s">
        <v>1181</v>
      </c>
      <c r="Q20" s="1387" t="s">
        <v>8712</v>
      </c>
      <c r="R20" s="1387" t="s">
        <v>1741</v>
      </c>
      <c r="S20" s="1387" t="s">
        <v>8713</v>
      </c>
      <c r="T20" s="1387" t="s">
        <v>7107</v>
      </c>
      <c r="U20" s="1387" t="s">
        <v>8714</v>
      </c>
      <c r="V20" s="1387" t="s">
        <v>8715</v>
      </c>
      <c r="W20" s="1387" t="s">
        <v>8716</v>
      </c>
      <c r="X20" s="1387" t="s">
        <v>3784</v>
      </c>
      <c r="Y20" s="1387" t="s">
        <v>8717</v>
      </c>
      <c r="Z20" s="1387" t="s">
        <v>8718</v>
      </c>
      <c r="AA20" s="1387" t="s">
        <v>8719</v>
      </c>
      <c r="AB20" s="1387" t="s">
        <v>8720</v>
      </c>
      <c r="AC20" s="1389" t="s">
        <v>4822</v>
      </c>
      <c r="AD20" s="1387" t="s">
        <v>8721</v>
      </c>
      <c r="AE20" s="1389" t="s">
        <v>5415</v>
      </c>
      <c r="AF20" s="1464" t="s">
        <v>8298</v>
      </c>
      <c r="AG20" s="1387" t="s">
        <v>600</v>
      </c>
      <c r="AH20" s="1387" t="s">
        <v>6703</v>
      </c>
      <c r="AI20" s="1387" t="s">
        <v>194</v>
      </c>
      <c r="AJ20" s="1389" t="s">
        <v>8722</v>
      </c>
      <c r="AK20" s="1387" t="s">
        <v>8723</v>
      </c>
      <c r="AL20" s="1389" t="s">
        <v>3443</v>
      </c>
      <c r="AM20" s="1387" t="s">
        <v>1906</v>
      </c>
      <c r="AN20" s="1389" t="s">
        <v>2579</v>
      </c>
      <c r="AO20" s="1387" t="s">
        <v>8724</v>
      </c>
      <c r="AP20" s="1387" t="s">
        <v>8725</v>
      </c>
      <c r="AQ20" s="1389" t="s">
        <v>8726</v>
      </c>
      <c r="AR20" s="1387" t="s">
        <v>1584</v>
      </c>
      <c r="AS20" s="1389" t="s">
        <v>8582</v>
      </c>
      <c r="AT20" s="1387" t="s">
        <v>8727</v>
      </c>
      <c r="AU20" s="1387" t="s">
        <v>8728</v>
      </c>
      <c r="AV20" s="1389" t="str">
        <f t="shared" si="1"/>
        <v>1:53</v>
      </c>
      <c r="AW20" s="1460"/>
    </row>
    <row r="21">
      <c r="A21" s="1420" t="s">
        <v>6272</v>
      </c>
      <c r="B21" s="1421" t="s">
        <v>8308</v>
      </c>
      <c r="C21" s="1380">
        <v>0.05016203703703704</v>
      </c>
      <c r="D21" s="1401" t="s">
        <v>8729</v>
      </c>
      <c r="E21" s="1465" t="s">
        <v>8310</v>
      </c>
      <c r="F21" s="1401" t="s">
        <v>8730</v>
      </c>
      <c r="G21" s="1401" t="s">
        <v>8731</v>
      </c>
      <c r="H21" s="1401" t="s">
        <v>8732</v>
      </c>
      <c r="I21" s="1401" t="s">
        <v>4858</v>
      </c>
      <c r="J21" s="1401" t="s">
        <v>4154</v>
      </c>
      <c r="K21" s="1401" t="s">
        <v>8733</v>
      </c>
      <c r="L21" s="1299" t="s">
        <v>4953</v>
      </c>
      <c r="M21" s="1466" t="s">
        <v>8316</v>
      </c>
      <c r="N21" s="1401" t="s">
        <v>8734</v>
      </c>
      <c r="O21" s="1401" t="s">
        <v>8735</v>
      </c>
      <c r="P21" s="1401" t="s">
        <v>5670</v>
      </c>
      <c r="Q21" s="1401" t="s">
        <v>2666</v>
      </c>
      <c r="R21" s="1401" t="s">
        <v>202</v>
      </c>
      <c r="S21" s="1401" t="s">
        <v>8736</v>
      </c>
      <c r="T21" s="1401" t="s">
        <v>1387</v>
      </c>
      <c r="U21" s="1401" t="s">
        <v>8737</v>
      </c>
      <c r="V21" s="1401" t="s">
        <v>8738</v>
      </c>
      <c r="W21" s="1467" t="s">
        <v>8321</v>
      </c>
      <c r="X21" s="1401" t="s">
        <v>1295</v>
      </c>
      <c r="Y21" s="1401" t="s">
        <v>1161</v>
      </c>
      <c r="Z21" s="1467" t="s">
        <v>8322</v>
      </c>
      <c r="AA21" s="1467" t="s">
        <v>8323</v>
      </c>
      <c r="AB21" s="1401" t="s">
        <v>8739</v>
      </c>
      <c r="AC21" s="1401" t="s">
        <v>3824</v>
      </c>
      <c r="AD21" s="1401" t="s">
        <v>8740</v>
      </c>
      <c r="AE21" s="1401" t="s">
        <v>4710</v>
      </c>
      <c r="AF21" s="1401" t="s">
        <v>5591</v>
      </c>
      <c r="AG21" s="1401" t="s">
        <v>8741</v>
      </c>
      <c r="AH21" s="1401" t="s">
        <v>4307</v>
      </c>
      <c r="AI21" s="1465" t="s">
        <v>3999</v>
      </c>
      <c r="AJ21" s="1401" t="s">
        <v>8742</v>
      </c>
      <c r="AK21" s="1401" t="s">
        <v>8743</v>
      </c>
      <c r="AL21" s="1401" t="s">
        <v>2460</v>
      </c>
      <c r="AM21" s="1401" t="s">
        <v>3810</v>
      </c>
      <c r="AN21" s="1401" t="s">
        <v>5805</v>
      </c>
      <c r="AO21" s="1401" t="s">
        <v>8744</v>
      </c>
      <c r="AP21" s="1401" t="s">
        <v>8745</v>
      </c>
      <c r="AQ21" s="1401" t="s">
        <v>3796</v>
      </c>
      <c r="AR21" s="1467" t="s">
        <v>7269</v>
      </c>
      <c r="AS21" s="1401" t="s">
        <v>751</v>
      </c>
      <c r="AT21" s="1467" t="s">
        <v>8333</v>
      </c>
      <c r="AU21" s="1387" t="s">
        <v>8746</v>
      </c>
      <c r="AV21" s="1389" t="str">
        <f t="shared" si="1"/>
        <v>3:20</v>
      </c>
      <c r="AW21" s="1468"/>
    </row>
    <row r="22" ht="15.75" customHeight="1">
      <c r="A22" s="1394" t="s">
        <v>1411</v>
      </c>
      <c r="B22" s="1379" t="s">
        <v>8280</v>
      </c>
      <c r="C22" s="1380">
        <v>0.05025462962962963</v>
      </c>
      <c r="D22" s="1299" t="s">
        <v>8747</v>
      </c>
      <c r="E22" s="1428" t="s">
        <v>8748</v>
      </c>
      <c r="F22" s="1446" t="s">
        <v>8749</v>
      </c>
      <c r="G22" s="1381" t="s">
        <v>8750</v>
      </c>
      <c r="H22" s="1429" t="s">
        <v>8751</v>
      </c>
      <c r="I22" s="1429" t="s">
        <v>1044</v>
      </c>
      <c r="J22" s="1430" t="s">
        <v>8430</v>
      </c>
      <c r="K22" s="1447" t="s">
        <v>8752</v>
      </c>
      <c r="L22" s="1447" t="s">
        <v>5044</v>
      </c>
      <c r="M22" s="1469" t="str">
        <f>HYPERLINK("https://youtu.be/teAIifUZjFw","1:14.18")</f>
        <v>1:14.18</v>
      </c>
      <c r="N22" s="1447" t="s">
        <v>3495</v>
      </c>
      <c r="O22" s="1447" t="s">
        <v>3570</v>
      </c>
      <c r="P22" s="1447" t="s">
        <v>2011</v>
      </c>
      <c r="Q22" s="1448" t="s">
        <v>8753</v>
      </c>
      <c r="R22" s="1431" t="s">
        <v>8754</v>
      </c>
      <c r="S22" s="1431" t="s">
        <v>5373</v>
      </c>
      <c r="T22" s="1470" t="str">
        <f>HYPERLINK("https://youtu.be/AiXricVH5ss","1:24.99")</f>
        <v>1:24.99</v>
      </c>
      <c r="U22" s="1471" t="str">
        <f>HYPERLINK("https://www.twitch.tv/videos/450151935","2:00.31")</f>
        <v>2:00.31</v>
      </c>
      <c r="V22" s="1431" t="s">
        <v>8755</v>
      </c>
      <c r="W22" s="1472" t="str">
        <f>HYPERLINK("https://youtu.be/eafNhBoXVWA","1:46.09")</f>
        <v>1:46.09</v>
      </c>
      <c r="X22" s="1449" t="s">
        <v>4393</v>
      </c>
      <c r="Y22" s="1449" t="s">
        <v>8495</v>
      </c>
      <c r="Z22" s="1449" t="s">
        <v>8756</v>
      </c>
      <c r="AA22" s="1432" t="s">
        <v>8462</v>
      </c>
      <c r="AB22" s="1449" t="s">
        <v>6813</v>
      </c>
      <c r="AC22" s="1449" t="s">
        <v>7404</v>
      </c>
      <c r="AD22" s="1473" t="str">
        <f>HYPERLINK("https://youtu.be/8FEcTKESSh0","1:49.80")</f>
        <v>1:49.80</v>
      </c>
      <c r="AE22" s="1428" t="s">
        <v>6220</v>
      </c>
      <c r="AF22" s="1450" t="s">
        <v>8757</v>
      </c>
      <c r="AG22" s="1450" t="s">
        <v>8758</v>
      </c>
      <c r="AH22" s="1450" t="s">
        <v>8759</v>
      </c>
      <c r="AI22" s="1450" t="s">
        <v>3811</v>
      </c>
      <c r="AJ22" s="1450" t="s">
        <v>8760</v>
      </c>
      <c r="AK22" s="1433" t="s">
        <v>8626</v>
      </c>
      <c r="AL22" s="1450" t="s">
        <v>8761</v>
      </c>
      <c r="AM22" s="1435" t="s">
        <v>8613</v>
      </c>
      <c r="AN22" s="1435" t="s">
        <v>8039</v>
      </c>
      <c r="AO22" s="1435" t="s">
        <v>8762</v>
      </c>
      <c r="AP22" s="1434" t="s">
        <v>8763</v>
      </c>
      <c r="AQ22" s="1434" t="s">
        <v>8764</v>
      </c>
      <c r="AR22" s="1435" t="s">
        <v>8765</v>
      </c>
      <c r="AS22" s="1434" t="s">
        <v>5443</v>
      </c>
      <c r="AT22" s="1469" t="str">
        <f>HYPERLINK("https://youtu.be/xDirVtS1AZ4?t=4416","2:27.45")</f>
        <v>2:27.45</v>
      </c>
      <c r="AU22" s="1451" t="s">
        <v>8766</v>
      </c>
      <c r="AV22" s="1389" t="str">
        <f t="shared" si="1"/>
        <v>2:34</v>
      </c>
      <c r="AW22" s="1419" t="s">
        <v>8767</v>
      </c>
    </row>
    <row r="23">
      <c r="A23" s="1420" t="s">
        <v>6260</v>
      </c>
      <c r="B23" s="1421" t="s">
        <v>8280</v>
      </c>
      <c r="C23" s="1380">
        <v>0.0502662037037037</v>
      </c>
      <c r="D23" s="1299" t="s">
        <v>8768</v>
      </c>
      <c r="E23" s="1387" t="s">
        <v>8451</v>
      </c>
      <c r="F23" s="1387" t="s">
        <v>8769</v>
      </c>
      <c r="G23" s="1387" t="s">
        <v>8770</v>
      </c>
      <c r="H23" s="1387" t="s">
        <v>8771</v>
      </c>
      <c r="I23" s="1299" t="s">
        <v>260</v>
      </c>
      <c r="J23" s="1299" t="s">
        <v>8772</v>
      </c>
      <c r="K23" s="1387" t="s">
        <v>8709</v>
      </c>
      <c r="L23" s="1387" t="s">
        <v>5961</v>
      </c>
      <c r="M23" s="1299" t="s">
        <v>2647</v>
      </c>
      <c r="N23" s="1387" t="s">
        <v>8773</v>
      </c>
      <c r="O23" s="1387" t="s">
        <v>8774</v>
      </c>
      <c r="P23" s="1299" t="s">
        <v>8775</v>
      </c>
      <c r="Q23" s="1387" t="s">
        <v>8776</v>
      </c>
      <c r="R23" s="1299" t="s">
        <v>8777</v>
      </c>
      <c r="S23" s="1387" t="s">
        <v>8778</v>
      </c>
      <c r="T23" s="1299" t="s">
        <v>8779</v>
      </c>
      <c r="U23" s="1387" t="s">
        <v>162</v>
      </c>
      <c r="V23" s="1299" t="s">
        <v>4891</v>
      </c>
      <c r="W23" s="1299" t="s">
        <v>6950</v>
      </c>
      <c r="X23" s="1299" t="s">
        <v>6566</v>
      </c>
      <c r="Y23" s="1299" t="s">
        <v>966</v>
      </c>
      <c r="Z23" s="1299" t="s">
        <v>8780</v>
      </c>
      <c r="AA23" s="1387" t="s">
        <v>8781</v>
      </c>
      <c r="AB23" s="1299" t="s">
        <v>7403</v>
      </c>
      <c r="AC23" s="1387" t="s">
        <v>8782</v>
      </c>
      <c r="AD23" s="1299" t="s">
        <v>6010</v>
      </c>
      <c r="AE23" s="1387" t="s">
        <v>8783</v>
      </c>
      <c r="AF23" s="1387" t="s">
        <v>8784</v>
      </c>
      <c r="AG23" s="1299" t="s">
        <v>2050</v>
      </c>
      <c r="AH23" s="1299" t="s">
        <v>2586</v>
      </c>
      <c r="AI23" s="1387" t="s">
        <v>8785</v>
      </c>
      <c r="AJ23" s="1299" t="s">
        <v>8786</v>
      </c>
      <c r="AK23" s="1299" t="s">
        <v>8295</v>
      </c>
      <c r="AL23" s="1299" t="s">
        <v>4533</v>
      </c>
      <c r="AM23" s="1299" t="s">
        <v>8787</v>
      </c>
      <c r="AN23" s="1299" t="s">
        <v>4533</v>
      </c>
      <c r="AO23" s="1299" t="s">
        <v>1970</v>
      </c>
      <c r="AP23" s="1387" t="s">
        <v>8788</v>
      </c>
      <c r="AQ23" s="1299" t="s">
        <v>2171</v>
      </c>
      <c r="AR23" s="1387" t="s">
        <v>8158</v>
      </c>
      <c r="AS23" s="1299" t="s">
        <v>1821</v>
      </c>
      <c r="AT23" s="1387" t="s">
        <v>8789</v>
      </c>
      <c r="AU23" s="1387" t="s">
        <v>8790</v>
      </c>
      <c r="AV23" s="1389" t="str">
        <f t="shared" si="1"/>
        <v>2:28</v>
      </c>
      <c r="AW23" s="1424" t="s">
        <v>8791</v>
      </c>
    </row>
    <row r="24">
      <c r="A24" s="1420" t="s">
        <v>8792</v>
      </c>
      <c r="B24" s="1474" t="s">
        <v>8280</v>
      </c>
      <c r="C24" s="1380">
        <v>0.0503125</v>
      </c>
      <c r="D24" s="1299" t="s">
        <v>8793</v>
      </c>
      <c r="E24" s="1428" t="s">
        <v>8794</v>
      </c>
      <c r="F24" s="1428" t="s">
        <v>8795</v>
      </c>
      <c r="G24" s="1428" t="s">
        <v>7864</v>
      </c>
      <c r="H24" s="1475" t="s">
        <v>8796</v>
      </c>
      <c r="I24" s="1475" t="s">
        <v>6789</v>
      </c>
      <c r="J24" s="1430" t="s">
        <v>1966</v>
      </c>
      <c r="K24" s="1430" t="s">
        <v>5824</v>
      </c>
      <c r="L24" s="1430" t="s">
        <v>3203</v>
      </c>
      <c r="M24" s="1430" t="s">
        <v>8797</v>
      </c>
      <c r="N24" s="1430" t="s">
        <v>8798</v>
      </c>
      <c r="O24" s="1430" t="s">
        <v>3983</v>
      </c>
      <c r="P24" s="1430" t="s">
        <v>5067</v>
      </c>
      <c r="Q24" s="1431" t="s">
        <v>8799</v>
      </c>
      <c r="R24" s="1431" t="s">
        <v>8800</v>
      </c>
      <c r="S24" s="1431" t="s">
        <v>542</v>
      </c>
      <c r="T24" s="1431" t="s">
        <v>8801</v>
      </c>
      <c r="U24" s="1431" t="s">
        <v>8802</v>
      </c>
      <c r="V24" s="1431" t="s">
        <v>8803</v>
      </c>
      <c r="W24" s="1432" t="s">
        <v>8804</v>
      </c>
      <c r="X24" s="1432" t="s">
        <v>4393</v>
      </c>
      <c r="Y24" s="1432" t="s">
        <v>1541</v>
      </c>
      <c r="Z24" s="1432" t="s">
        <v>2318</v>
      </c>
      <c r="AA24" s="1432" t="s">
        <v>8805</v>
      </c>
      <c r="AB24" s="1432" t="s">
        <v>3526</v>
      </c>
      <c r="AC24" s="1432" t="s">
        <v>8806</v>
      </c>
      <c r="AD24" s="1428" t="s">
        <v>8807</v>
      </c>
      <c r="AE24" s="1428" t="s">
        <v>8656</v>
      </c>
      <c r="AF24" s="1433" t="s">
        <v>8808</v>
      </c>
      <c r="AG24" s="1433" t="s">
        <v>7613</v>
      </c>
      <c r="AH24" s="1433" t="s">
        <v>8809</v>
      </c>
      <c r="AI24" s="1433" t="s">
        <v>5027</v>
      </c>
      <c r="AJ24" s="1433" t="s">
        <v>8810</v>
      </c>
      <c r="AK24" s="1433" t="s">
        <v>8327</v>
      </c>
      <c r="AL24" s="1433" t="s">
        <v>8556</v>
      </c>
      <c r="AM24" s="1435" t="s">
        <v>8532</v>
      </c>
      <c r="AN24" s="1435" t="s">
        <v>8811</v>
      </c>
      <c r="AO24" s="1435" t="s">
        <v>3556</v>
      </c>
      <c r="AP24" s="1435" t="s">
        <v>8812</v>
      </c>
      <c r="AQ24" s="1435" t="s">
        <v>8813</v>
      </c>
      <c r="AR24" s="1435" t="s">
        <v>2841</v>
      </c>
      <c r="AS24" s="1435" t="s">
        <v>299</v>
      </c>
      <c r="AT24" s="1430" t="s">
        <v>8814</v>
      </c>
      <c r="AU24" s="1418" t="s">
        <v>8815</v>
      </c>
      <c r="AV24" s="1389" t="str">
        <f t="shared" si="1"/>
        <v>2:59</v>
      </c>
      <c r="AW24" s="1440" t="s">
        <v>8816</v>
      </c>
    </row>
    <row r="25" ht="15.75" customHeight="1">
      <c r="A25" s="1420" t="s">
        <v>2595</v>
      </c>
      <c r="B25" s="1438" t="s">
        <v>8308</v>
      </c>
      <c r="C25" s="1380">
        <v>0.050347222222222224</v>
      </c>
      <c r="D25" s="1299" t="s">
        <v>8817</v>
      </c>
      <c r="E25" s="1299" t="s">
        <v>8818</v>
      </c>
      <c r="F25" s="1299" t="s">
        <v>8819</v>
      </c>
      <c r="G25" s="1299" t="s">
        <v>8820</v>
      </c>
      <c r="H25" s="1299" t="s">
        <v>5806</v>
      </c>
      <c r="I25" s="1299" t="s">
        <v>692</v>
      </c>
      <c r="J25" s="1466" t="s">
        <v>8315</v>
      </c>
      <c r="K25" s="1466" t="s">
        <v>1160</v>
      </c>
      <c r="L25" s="1466" t="s">
        <v>4232</v>
      </c>
      <c r="M25" s="1430" t="s">
        <v>8821</v>
      </c>
      <c r="N25" s="1466" t="s">
        <v>3592</v>
      </c>
      <c r="O25" s="1299" t="s">
        <v>8822</v>
      </c>
      <c r="P25" s="1466" t="s">
        <v>5415</v>
      </c>
      <c r="Q25" s="1466" t="s">
        <v>8318</v>
      </c>
      <c r="R25" s="1466" t="s">
        <v>7042</v>
      </c>
      <c r="S25" s="1466" t="s">
        <v>8289</v>
      </c>
      <c r="T25" s="1299" t="s">
        <v>4495</v>
      </c>
      <c r="U25" s="1299" t="s">
        <v>8823</v>
      </c>
      <c r="V25" s="1466" t="s">
        <v>8320</v>
      </c>
      <c r="W25" s="1299" t="s">
        <v>6948</v>
      </c>
      <c r="X25" s="1299" t="s">
        <v>1516</v>
      </c>
      <c r="Y25" s="1466" t="s">
        <v>3892</v>
      </c>
      <c r="Z25" s="1299" t="s">
        <v>1061</v>
      </c>
      <c r="AA25" s="1299" t="s">
        <v>8824</v>
      </c>
      <c r="AB25" s="1299" t="s">
        <v>5736</v>
      </c>
      <c r="AC25" s="1299" t="s">
        <v>1958</v>
      </c>
      <c r="AD25" s="1299" t="s">
        <v>8825</v>
      </c>
      <c r="AE25" s="1299" t="s">
        <v>4286</v>
      </c>
      <c r="AF25" s="1299" t="s">
        <v>8826</v>
      </c>
      <c r="AG25" s="1299" t="s">
        <v>5499</v>
      </c>
      <c r="AH25" s="1299" t="s">
        <v>4520</v>
      </c>
      <c r="AI25" s="1299" t="s">
        <v>3153</v>
      </c>
      <c r="AJ25" s="1299" t="s">
        <v>8827</v>
      </c>
      <c r="AK25" s="1299" t="s">
        <v>2887</v>
      </c>
      <c r="AL25" s="1299" t="s">
        <v>8828</v>
      </c>
      <c r="AM25" s="1299" t="s">
        <v>4351</v>
      </c>
      <c r="AN25" s="1299" t="s">
        <v>4198</v>
      </c>
      <c r="AO25" s="1299" t="s">
        <v>7132</v>
      </c>
      <c r="AP25" s="1299" t="s">
        <v>8829</v>
      </c>
      <c r="AQ25" s="1299" t="s">
        <v>8830</v>
      </c>
      <c r="AR25" s="1299" t="s">
        <v>2841</v>
      </c>
      <c r="AS25" s="1299" t="s">
        <v>6449</v>
      </c>
      <c r="AT25" s="1299" t="s">
        <v>8831</v>
      </c>
      <c r="AU25" s="1433" t="s">
        <v>8334</v>
      </c>
      <c r="AV25" s="1389" t="str">
        <f t="shared" si="1"/>
        <v>2:37</v>
      </c>
      <c r="AW25" s="1476"/>
    </row>
    <row r="26" ht="15.75" customHeight="1">
      <c r="A26" s="1378" t="s">
        <v>8832</v>
      </c>
      <c r="B26" s="1441" t="s">
        <v>8308</v>
      </c>
      <c r="C26" s="1380">
        <v>0.05042824074074074</v>
      </c>
      <c r="D26" s="1299" t="s">
        <v>8562</v>
      </c>
      <c r="E26" s="1428" t="s">
        <v>6059</v>
      </c>
      <c r="F26" s="1428" t="s">
        <v>8833</v>
      </c>
      <c r="G26" s="1446" t="s">
        <v>8834</v>
      </c>
      <c r="H26" s="1429" t="s">
        <v>8835</v>
      </c>
      <c r="I26" s="1475" t="s">
        <v>3089</v>
      </c>
      <c r="J26" s="1430" t="s">
        <v>4699</v>
      </c>
      <c r="K26" s="1430" t="s">
        <v>8733</v>
      </c>
      <c r="L26" s="1430" t="s">
        <v>2424</v>
      </c>
      <c r="M26" s="1430" t="s">
        <v>2041</v>
      </c>
      <c r="N26" s="1430" t="s">
        <v>4029</v>
      </c>
      <c r="O26" s="1430" t="s">
        <v>8836</v>
      </c>
      <c r="P26" s="1447" t="s">
        <v>756</v>
      </c>
      <c r="Q26" s="1431" t="s">
        <v>8837</v>
      </c>
      <c r="R26" s="1431" t="s">
        <v>3169</v>
      </c>
      <c r="S26" s="1431" t="s">
        <v>7377</v>
      </c>
      <c r="T26" s="1448" t="s">
        <v>8482</v>
      </c>
      <c r="U26" s="1431" t="s">
        <v>8434</v>
      </c>
      <c r="V26" s="1448" t="s">
        <v>8838</v>
      </c>
      <c r="W26" s="1449" t="s">
        <v>7168</v>
      </c>
      <c r="X26" s="1477" t="s">
        <v>2557</v>
      </c>
      <c r="Y26" s="1449" t="s">
        <v>8839</v>
      </c>
      <c r="Z26" s="1432" t="s">
        <v>8840</v>
      </c>
      <c r="AA26" s="1449" t="s">
        <v>8841</v>
      </c>
      <c r="AB26" s="1299" t="s">
        <v>7238</v>
      </c>
      <c r="AC26" s="1449" t="s">
        <v>2570</v>
      </c>
      <c r="AD26" s="1478" t="s">
        <v>8324</v>
      </c>
      <c r="AE26" s="1428" t="s">
        <v>4286</v>
      </c>
      <c r="AF26" s="1433" t="s">
        <v>8842</v>
      </c>
      <c r="AG26" s="1450" t="s">
        <v>3667</v>
      </c>
      <c r="AH26" s="1450" t="s">
        <v>8843</v>
      </c>
      <c r="AI26" s="1389" t="s">
        <v>8781</v>
      </c>
      <c r="AJ26" s="1450" t="s">
        <v>8844</v>
      </c>
      <c r="AK26" s="1479" t="s">
        <v>8329</v>
      </c>
      <c r="AL26" s="1450" t="s">
        <v>3271</v>
      </c>
      <c r="AM26" s="1435" t="s">
        <v>8845</v>
      </c>
      <c r="AN26" s="1435" t="s">
        <v>4921</v>
      </c>
      <c r="AO26" s="1435" t="s">
        <v>2075</v>
      </c>
      <c r="AP26" s="1435" t="s">
        <v>8846</v>
      </c>
      <c r="AQ26" s="1434" t="s">
        <v>8847</v>
      </c>
      <c r="AR26" s="1434" t="s">
        <v>3317</v>
      </c>
      <c r="AS26" s="1434" t="s">
        <v>5115</v>
      </c>
      <c r="AT26" s="1430" t="s">
        <v>8848</v>
      </c>
      <c r="AU26" s="1418" t="s">
        <v>8849</v>
      </c>
      <c r="AV26" s="1389" t="str">
        <f t="shared" si="1"/>
        <v>2:55</v>
      </c>
      <c r="AW26" s="1480"/>
    </row>
    <row r="27" ht="15.75" customHeight="1">
      <c r="A27" s="1378" t="s">
        <v>4103</v>
      </c>
      <c r="B27" s="1379" t="s">
        <v>8280</v>
      </c>
      <c r="C27" s="1481">
        <v>0.05043981481481481</v>
      </c>
      <c r="D27" s="1299" t="s">
        <v>8850</v>
      </c>
      <c r="E27" s="1389" t="s">
        <v>7137</v>
      </c>
      <c r="F27" s="1389" t="s">
        <v>7306</v>
      </c>
      <c r="G27" s="1389" t="s">
        <v>8851</v>
      </c>
      <c r="H27" s="1389" t="s">
        <v>8473</v>
      </c>
      <c r="I27" s="1389" t="s">
        <v>4606</v>
      </c>
      <c r="J27" s="1389" t="s">
        <v>4403</v>
      </c>
      <c r="K27" s="1389" t="s">
        <v>8671</v>
      </c>
      <c r="L27" s="1389" t="s">
        <v>8852</v>
      </c>
      <c r="M27" s="1389" t="s">
        <v>8853</v>
      </c>
      <c r="N27" s="1389" t="s">
        <v>8854</v>
      </c>
      <c r="O27" s="1389" t="s">
        <v>8855</v>
      </c>
      <c r="P27" s="1389" t="s">
        <v>5214</v>
      </c>
      <c r="Q27" s="1389" t="s">
        <v>8856</v>
      </c>
      <c r="R27" s="1389" t="s">
        <v>8857</v>
      </c>
      <c r="S27" s="1389" t="s">
        <v>8690</v>
      </c>
      <c r="T27" s="1389" t="s">
        <v>8858</v>
      </c>
      <c r="U27" s="1389" t="s">
        <v>8859</v>
      </c>
      <c r="V27" s="1389" t="s">
        <v>2232</v>
      </c>
      <c r="W27" s="1389" t="s">
        <v>8860</v>
      </c>
      <c r="X27" s="1389" t="s">
        <v>8861</v>
      </c>
      <c r="Y27" s="1389" t="s">
        <v>8717</v>
      </c>
      <c r="Z27" s="1389" t="s">
        <v>1061</v>
      </c>
      <c r="AA27" s="1389" t="s">
        <v>3153</v>
      </c>
      <c r="AB27" s="1389" t="s">
        <v>4699</v>
      </c>
      <c r="AC27" s="1389" t="s">
        <v>7404</v>
      </c>
      <c r="AD27" s="1389" t="s">
        <v>5983</v>
      </c>
      <c r="AE27" s="1389" t="s">
        <v>5465</v>
      </c>
      <c r="AF27" s="1389" t="s">
        <v>8862</v>
      </c>
      <c r="AG27" s="1389" t="s">
        <v>8863</v>
      </c>
      <c r="AH27" s="1389" t="s">
        <v>3837</v>
      </c>
      <c r="AI27" s="1389" t="s">
        <v>5027</v>
      </c>
      <c r="AJ27" s="1389" t="s">
        <v>8864</v>
      </c>
      <c r="AK27" s="1389" t="s">
        <v>8865</v>
      </c>
      <c r="AL27" s="1389" t="s">
        <v>5761</v>
      </c>
      <c r="AM27" s="1389" t="s">
        <v>1227</v>
      </c>
      <c r="AN27" s="1389" t="s">
        <v>4032</v>
      </c>
      <c r="AO27" s="1389" t="s">
        <v>5238</v>
      </c>
      <c r="AP27" s="1404" t="str">
        <f>HYPERLINK("https://www.twitch.tv/videos/511415405","2:00.79")</f>
        <v>2:00.79</v>
      </c>
      <c r="AQ27" s="1389" t="s">
        <v>8866</v>
      </c>
      <c r="AR27" s="1389" t="s">
        <v>7132</v>
      </c>
      <c r="AS27" s="1389" t="s">
        <v>8867</v>
      </c>
      <c r="AT27" s="1389" t="s">
        <v>8868</v>
      </c>
      <c r="AU27" s="1389" t="s">
        <v>8869</v>
      </c>
      <c r="AV27" s="1389" t="str">
        <f t="shared" si="1"/>
        <v>2:36</v>
      </c>
      <c r="AW27" s="1407" t="s">
        <v>6362</v>
      </c>
    </row>
    <row r="28">
      <c r="A28" s="1420" t="s">
        <v>1193</v>
      </c>
      <c r="B28" s="1438" t="s">
        <v>8280</v>
      </c>
      <c r="C28" s="1380">
        <v>0.050486111111111114</v>
      </c>
      <c r="D28" s="1428" t="s">
        <v>8870</v>
      </c>
      <c r="E28" s="1428" t="s">
        <v>8871</v>
      </c>
      <c r="F28" s="1428" t="s">
        <v>8872</v>
      </c>
      <c r="G28" s="1428" t="s">
        <v>8873</v>
      </c>
      <c r="H28" s="1299" t="s">
        <v>8874</v>
      </c>
      <c r="I28" s="1475" t="s">
        <v>851</v>
      </c>
      <c r="J28" s="1430" t="s">
        <v>5561</v>
      </c>
      <c r="K28" s="1430" t="s">
        <v>7625</v>
      </c>
      <c r="L28" s="1430" t="s">
        <v>6170</v>
      </c>
      <c r="M28" s="1430" t="s">
        <v>4882</v>
      </c>
      <c r="N28" s="1430" t="s">
        <v>8875</v>
      </c>
      <c r="O28" s="1430" t="s">
        <v>8876</v>
      </c>
      <c r="P28" s="1430" t="s">
        <v>8606</v>
      </c>
      <c r="Q28" s="1431" t="s">
        <v>876</v>
      </c>
      <c r="R28" s="1431" t="s">
        <v>4643</v>
      </c>
      <c r="S28" s="1431" t="s">
        <v>8743</v>
      </c>
      <c r="T28" s="1431" t="s">
        <v>8877</v>
      </c>
      <c r="U28" s="1431" t="s">
        <v>8878</v>
      </c>
      <c r="V28" s="1431" t="s">
        <v>8879</v>
      </c>
      <c r="W28" s="1432" t="s">
        <v>8880</v>
      </c>
      <c r="X28" s="1432" t="s">
        <v>8881</v>
      </c>
      <c r="Y28" s="1432" t="s">
        <v>8882</v>
      </c>
      <c r="Z28" s="1432" t="s">
        <v>8883</v>
      </c>
      <c r="AA28" s="1387" t="s">
        <v>8884</v>
      </c>
      <c r="AB28" s="1432" t="s">
        <v>3134</v>
      </c>
      <c r="AC28" s="1432" t="s">
        <v>1044</v>
      </c>
      <c r="AD28" s="1428" t="s">
        <v>8885</v>
      </c>
      <c r="AE28" s="1428" t="s">
        <v>2166</v>
      </c>
      <c r="AF28" s="1433" t="s">
        <v>8886</v>
      </c>
      <c r="AG28" s="1433" t="s">
        <v>521</v>
      </c>
      <c r="AH28" s="1433" t="s">
        <v>8887</v>
      </c>
      <c r="AI28" s="1433" t="s">
        <v>2627</v>
      </c>
      <c r="AJ28" s="1433" t="s">
        <v>8888</v>
      </c>
      <c r="AK28" s="1433" t="s">
        <v>7212</v>
      </c>
      <c r="AL28" s="1433" t="s">
        <v>2703</v>
      </c>
      <c r="AM28" s="1435" t="s">
        <v>8889</v>
      </c>
      <c r="AN28" s="1435" t="s">
        <v>4232</v>
      </c>
      <c r="AO28" s="1435" t="s">
        <v>8890</v>
      </c>
      <c r="AP28" s="1435" t="s">
        <v>8891</v>
      </c>
      <c r="AQ28" s="1435" t="s">
        <v>8892</v>
      </c>
      <c r="AR28" s="1435" t="s">
        <v>1089</v>
      </c>
      <c r="AS28" s="1435" t="s">
        <v>1541</v>
      </c>
      <c r="AT28" s="1430" t="s">
        <v>8893</v>
      </c>
      <c r="AU28" s="1418" t="s">
        <v>8894</v>
      </c>
      <c r="AV28" s="1389" t="str">
        <f t="shared" si="1"/>
        <v>3:47</v>
      </c>
      <c r="AW28" s="1440"/>
    </row>
    <row r="29" ht="15.75" customHeight="1">
      <c r="A29" s="1420" t="s">
        <v>1545</v>
      </c>
      <c r="B29" s="1379" t="s">
        <v>8280</v>
      </c>
      <c r="C29" s="1380">
        <v>0.05049768518518519</v>
      </c>
      <c r="D29" s="1299" t="s">
        <v>8895</v>
      </c>
      <c r="E29" s="1446" t="s">
        <v>8896</v>
      </c>
      <c r="F29" s="1473" t="str">
        <f>HYPERLINK("https://www.youtube.com/watch?v=rtR6KkKhM6I","1:59.91")</f>
        <v>1:59.91</v>
      </c>
      <c r="G29" s="1446" t="s">
        <v>8897</v>
      </c>
      <c r="H29" s="1482" t="str">
        <f>HYPERLINK("https://www.youtube.com/watch?v=cg-eipYsN1s","1:54.47")</f>
        <v>1:54.47</v>
      </c>
      <c r="I29" s="1429" t="s">
        <v>8839</v>
      </c>
      <c r="J29" s="1447" t="s">
        <v>8638</v>
      </c>
      <c r="K29" s="1430" t="s">
        <v>6320</v>
      </c>
      <c r="L29" s="1469" t="str">
        <f>HYPERLINK("https://www.youtube.com/watch?v=tJdjPKdAbw4","57.01")</f>
        <v>57.01</v>
      </c>
      <c r="M29" s="1447" t="s">
        <v>7078</v>
      </c>
      <c r="N29" s="1430" t="s">
        <v>2250</v>
      </c>
      <c r="O29" s="1447" t="s">
        <v>8898</v>
      </c>
      <c r="P29" s="1447" t="s">
        <v>131</v>
      </c>
      <c r="Q29" s="1448" t="s">
        <v>236</v>
      </c>
      <c r="R29" s="1448" t="s">
        <v>8899</v>
      </c>
      <c r="S29" s="1471" t="str">
        <f>HYPERLINK("https://www.youtube.com/watch?v=_3ms_ZhYFzo","1:18.01")</f>
        <v>1:18.01</v>
      </c>
      <c r="T29" s="1448" t="s">
        <v>8900</v>
      </c>
      <c r="U29" s="1471" t="str">
        <f>HYPERLINK("https://www.youtube.com/watch?v=ZOy_TI3Zw14","2:02.38")</f>
        <v>2:02.38</v>
      </c>
      <c r="V29" s="1448" t="s">
        <v>8879</v>
      </c>
      <c r="W29" s="1449" t="s">
        <v>4284</v>
      </c>
      <c r="X29" s="1449" t="s">
        <v>7212</v>
      </c>
      <c r="Y29" s="1483" t="str">
        <f>HYPERLINK("https://www.youtube.com/watch?v=9NrvSboXXOg","48.25")</f>
        <v>48.25</v>
      </c>
      <c r="Z29" s="1472" t="str">
        <f>HYPERLINK("https://www.youtube.com/watch?v=NwsOKLYrlHA","1:20.36")</f>
        <v>1:20.36</v>
      </c>
      <c r="AA29" s="1472" t="str">
        <f>HYPERLINK("https://www.youtube.com/watch?v=onNUzQt23oU","1:28.94")</f>
        <v>1:28.94</v>
      </c>
      <c r="AB29" s="1472" t="str">
        <f>HYPERLINK("https://www.youtube.com/watch?v=Gu4GucRJZx0","1:20.48")</f>
        <v>1:20.48</v>
      </c>
      <c r="AC29" s="1449" t="s">
        <v>7404</v>
      </c>
      <c r="AD29" s="1473" t="str">
        <f>HYPERLINK("https://www.youtube.com/watch?v=ikF77QyREZg","1:50.30")</f>
        <v>1:50.30</v>
      </c>
      <c r="AE29" s="1446" t="s">
        <v>8606</v>
      </c>
      <c r="AF29" s="1450" t="s">
        <v>8901</v>
      </c>
      <c r="AG29" s="1484" t="str">
        <f>HYPERLINK("https://www.youtube.com/watch?v=KXwTRrVVluY","1:30.62")</f>
        <v>1:30.62</v>
      </c>
      <c r="AH29" s="1450" t="s">
        <v>2879</v>
      </c>
      <c r="AI29" s="1450" t="s">
        <v>8758</v>
      </c>
      <c r="AJ29" s="1450" t="s">
        <v>8902</v>
      </c>
      <c r="AK29" s="1433" t="s">
        <v>8903</v>
      </c>
      <c r="AL29" s="1450" t="s">
        <v>8904</v>
      </c>
      <c r="AM29" s="1485" t="str">
        <f>HYPERLINK("https://www.youtube.com/watch?v=BAoEwuQ0LoI","1:25.68")</f>
        <v>1:25.68</v>
      </c>
      <c r="AN29" s="1485" t="str">
        <f>HYPERLINK("https://www.youtube.com/watch?v=F-LtZeEZXek","56.36")</f>
        <v>56.36</v>
      </c>
      <c r="AO29" s="1434" t="s">
        <v>8905</v>
      </c>
      <c r="AP29" s="1434" t="s">
        <v>8906</v>
      </c>
      <c r="AQ29" s="1434" t="s">
        <v>8907</v>
      </c>
      <c r="AR29" s="1485" t="str">
        <f>HYPERLINK("https://www.youtube.com/watch?v=WSIIkWWbKgE","1:21.74")</f>
        <v>1:21.74</v>
      </c>
      <c r="AS29" s="1434" t="s">
        <v>5434</v>
      </c>
      <c r="AT29" s="1469" t="str">
        <f>HYPERLINK("https://www.youtube.com/watch?v=H67SXBLcISI","2:29.09")</f>
        <v>2:29.09</v>
      </c>
      <c r="AU29" s="1451" t="s">
        <v>8908</v>
      </c>
      <c r="AV29" s="1389" t="str">
        <f t="shared" si="1"/>
        <v>2:03</v>
      </c>
      <c r="AW29" s="1486" t="s">
        <v>8909</v>
      </c>
    </row>
    <row r="30">
      <c r="A30" s="1420" t="s">
        <v>2922</v>
      </c>
      <c r="B30" s="1438" t="s">
        <v>8308</v>
      </c>
      <c r="C30" s="1380">
        <v>0.050520833333333334</v>
      </c>
      <c r="D30" s="1428" t="s">
        <v>8910</v>
      </c>
      <c r="E30" s="1453" t="s">
        <v>4518</v>
      </c>
      <c r="F30" s="1453" t="s">
        <v>8911</v>
      </c>
      <c r="G30" s="1428" t="s">
        <v>8912</v>
      </c>
      <c r="H30" s="1453" t="s">
        <v>8913</v>
      </c>
      <c r="I30" s="1453" t="s">
        <v>2945</v>
      </c>
      <c r="J30" s="1430" t="s">
        <v>8914</v>
      </c>
      <c r="K30" s="1487" t="s">
        <v>8915</v>
      </c>
      <c r="L30" s="1430" t="s">
        <v>8916</v>
      </c>
      <c r="M30" s="1488" t="s">
        <v>5609</v>
      </c>
      <c r="N30" s="1430" t="s">
        <v>969</v>
      </c>
      <c r="O30" s="1430" t="s">
        <v>3570</v>
      </c>
      <c r="P30" s="1430" t="s">
        <v>407</v>
      </c>
      <c r="Q30" s="1403" t="str">
        <f>HYPERLINK("https://www.twitch.tv/planktonsecretformula/v/1588460220?sr=a", "2:12.43")</f>
        <v>2:12.43</v>
      </c>
      <c r="R30" s="1431" t="s">
        <v>8857</v>
      </c>
      <c r="S30" s="1431" t="s">
        <v>8917</v>
      </c>
      <c r="T30" s="1489" t="s">
        <v>8319</v>
      </c>
      <c r="U30" s="1453" t="s">
        <v>8918</v>
      </c>
      <c r="V30" s="1453" t="s">
        <v>8919</v>
      </c>
      <c r="W30" s="1442" t="s">
        <v>8920</v>
      </c>
      <c r="X30" s="1432" t="s">
        <v>941</v>
      </c>
      <c r="Y30" s="1432" t="s">
        <v>8649</v>
      </c>
      <c r="Z30" s="1432" t="s">
        <v>8431</v>
      </c>
      <c r="AA30" s="1387" t="s">
        <v>8921</v>
      </c>
      <c r="AB30" s="1432" t="s">
        <v>3979</v>
      </c>
      <c r="AC30" s="1432" t="s">
        <v>867</v>
      </c>
      <c r="AD30" s="1428" t="s">
        <v>3906</v>
      </c>
      <c r="AE30" s="1428" t="s">
        <v>5670</v>
      </c>
      <c r="AF30" s="1433" t="s">
        <v>8922</v>
      </c>
      <c r="AG30" s="1453" t="s">
        <v>4505</v>
      </c>
      <c r="AH30" s="1433" t="s">
        <v>8923</v>
      </c>
      <c r="AI30" s="1433" t="s">
        <v>6568</v>
      </c>
      <c r="AJ30" s="1433" t="s">
        <v>8924</v>
      </c>
      <c r="AK30" s="1433" t="s">
        <v>8925</v>
      </c>
      <c r="AL30" s="1433" t="s">
        <v>8926</v>
      </c>
      <c r="AM30" s="1435" t="s">
        <v>8482</v>
      </c>
      <c r="AN30" s="1435" t="s">
        <v>8609</v>
      </c>
      <c r="AO30" s="1435" t="s">
        <v>2841</v>
      </c>
      <c r="AP30" s="1466" t="s">
        <v>8331</v>
      </c>
      <c r="AQ30" s="1403" t="str">
        <f>HYPERLINK("https://www.twitch.tv/planktonsecretformula/v/1678454360?sr=a&amp;t=0s", "1:37.46")</f>
        <v>1:37.46</v>
      </c>
      <c r="AR30" s="1435" t="s">
        <v>8927</v>
      </c>
      <c r="AS30" s="1435" t="s">
        <v>713</v>
      </c>
      <c r="AT30" s="1430" t="s">
        <v>8928</v>
      </c>
      <c r="AU30" s="1418" t="s">
        <v>8929</v>
      </c>
      <c r="AV30" s="1389" t="str">
        <f t="shared" si="1"/>
        <v>4:40</v>
      </c>
      <c r="AW30" s="1440" t="s">
        <v>8930</v>
      </c>
    </row>
    <row r="31" ht="15.75" customHeight="1">
      <c r="A31" s="1463" t="s">
        <v>8931</v>
      </c>
      <c r="B31" s="1379" t="s">
        <v>8280</v>
      </c>
      <c r="C31" s="1380">
        <v>0.050555555555555555</v>
      </c>
      <c r="D31" s="1299" t="s">
        <v>8932</v>
      </c>
      <c r="E31" s="1428" t="s">
        <v>8933</v>
      </c>
      <c r="F31" s="1428" t="s">
        <v>8934</v>
      </c>
      <c r="G31" s="1428" t="s">
        <v>8935</v>
      </c>
      <c r="H31" s="1475" t="s">
        <v>8936</v>
      </c>
      <c r="I31" s="1475" t="s">
        <v>8937</v>
      </c>
      <c r="J31" s="1430" t="s">
        <v>8938</v>
      </c>
      <c r="K31" s="1430" t="s">
        <v>8939</v>
      </c>
      <c r="L31" s="1430" t="s">
        <v>8940</v>
      </c>
      <c r="M31" s="1430" t="s">
        <v>3548</v>
      </c>
      <c r="N31" s="1430" t="s">
        <v>8941</v>
      </c>
      <c r="O31" s="1430" t="s">
        <v>8836</v>
      </c>
      <c r="P31" s="1430" t="s">
        <v>3778</v>
      </c>
      <c r="Q31" s="1431" t="s">
        <v>8942</v>
      </c>
      <c r="R31" s="1431" t="s">
        <v>2632</v>
      </c>
      <c r="S31" s="1431" t="s">
        <v>8943</v>
      </c>
      <c r="T31" s="1431" t="s">
        <v>8944</v>
      </c>
      <c r="U31" s="1431" t="s">
        <v>8945</v>
      </c>
      <c r="V31" s="1431" t="s">
        <v>8755</v>
      </c>
      <c r="W31" s="1432" t="s">
        <v>8946</v>
      </c>
      <c r="X31" s="1432" t="s">
        <v>8947</v>
      </c>
      <c r="Y31" s="1432" t="s">
        <v>8948</v>
      </c>
      <c r="Z31" s="1432" t="s">
        <v>1377</v>
      </c>
      <c r="AA31" s="1432" t="s">
        <v>8949</v>
      </c>
      <c r="AB31" s="1432" t="s">
        <v>6313</v>
      </c>
      <c r="AC31" s="1449" t="s">
        <v>6410</v>
      </c>
      <c r="AD31" s="1428" t="s">
        <v>8950</v>
      </c>
      <c r="AE31" s="1428" t="s">
        <v>8606</v>
      </c>
      <c r="AF31" s="1433" t="s">
        <v>8951</v>
      </c>
      <c r="AG31" s="1433" t="s">
        <v>8952</v>
      </c>
      <c r="AH31" s="1433" t="s">
        <v>5503</v>
      </c>
      <c r="AI31" s="1433" t="s">
        <v>8953</v>
      </c>
      <c r="AJ31" s="1433" t="s">
        <v>8954</v>
      </c>
      <c r="AK31" s="1433" t="s">
        <v>4393</v>
      </c>
      <c r="AL31" s="1433" t="s">
        <v>5553</v>
      </c>
      <c r="AM31" s="1435" t="s">
        <v>2062</v>
      </c>
      <c r="AN31" s="1435" t="s">
        <v>4539</v>
      </c>
      <c r="AO31" s="1435" t="s">
        <v>8955</v>
      </c>
      <c r="AP31" s="1435" t="s">
        <v>8956</v>
      </c>
      <c r="AQ31" s="1435" t="s">
        <v>8957</v>
      </c>
      <c r="AR31" s="1435" t="s">
        <v>8958</v>
      </c>
      <c r="AS31" s="1435" t="s">
        <v>966</v>
      </c>
      <c r="AT31" s="1430" t="s">
        <v>8959</v>
      </c>
      <c r="AU31" s="1418" t="s">
        <v>8960</v>
      </c>
      <c r="AV31" s="1389" t="str">
        <f t="shared" si="1"/>
        <v>2:07</v>
      </c>
      <c r="AW31" s="1480"/>
    </row>
    <row r="32">
      <c r="A32" s="1394" t="s">
        <v>638</v>
      </c>
      <c r="B32" s="1438" t="s">
        <v>8280</v>
      </c>
      <c r="C32" s="1380">
        <v>0.050555555555555555</v>
      </c>
      <c r="D32" s="1299" t="s">
        <v>8961</v>
      </c>
      <c r="E32" s="1299" t="s">
        <v>8962</v>
      </c>
      <c r="F32" s="1299" t="s">
        <v>8963</v>
      </c>
      <c r="G32" s="1299" t="s">
        <v>8964</v>
      </c>
      <c r="H32" s="1299" t="s">
        <v>8965</v>
      </c>
      <c r="I32" s="1299" t="s">
        <v>8966</v>
      </c>
      <c r="J32" s="1299" t="s">
        <v>1296</v>
      </c>
      <c r="K32" s="1299" t="s">
        <v>8967</v>
      </c>
      <c r="L32" s="1299" t="s">
        <v>4086</v>
      </c>
      <c r="M32" s="1299" t="s">
        <v>4010</v>
      </c>
      <c r="N32" s="1299" t="s">
        <v>8968</v>
      </c>
      <c r="O32" s="1299" t="s">
        <v>8969</v>
      </c>
      <c r="P32" s="1299" t="s">
        <v>8970</v>
      </c>
      <c r="Q32" s="1299" t="s">
        <v>8971</v>
      </c>
      <c r="R32" s="1299" t="s">
        <v>8972</v>
      </c>
      <c r="S32" s="1299" t="s">
        <v>6717</v>
      </c>
      <c r="T32" s="1299" t="s">
        <v>8327</v>
      </c>
      <c r="U32" s="1299" t="s">
        <v>8973</v>
      </c>
      <c r="V32" s="1299" t="s">
        <v>8974</v>
      </c>
      <c r="W32" s="1299" t="s">
        <v>4616</v>
      </c>
      <c r="X32" s="1299" t="s">
        <v>8975</v>
      </c>
      <c r="Y32" s="1299" t="s">
        <v>4958</v>
      </c>
      <c r="Z32" s="1299" t="s">
        <v>8976</v>
      </c>
      <c r="AA32" s="1299" t="s">
        <v>8977</v>
      </c>
      <c r="AB32" s="1299" t="s">
        <v>8978</v>
      </c>
      <c r="AC32" s="1299" t="s">
        <v>7404</v>
      </c>
      <c r="AD32" s="1299" t="s">
        <v>8979</v>
      </c>
      <c r="AE32" s="1299" t="s">
        <v>8460</v>
      </c>
      <c r="AF32" s="1299" t="s">
        <v>8980</v>
      </c>
      <c r="AG32" s="1299" t="s">
        <v>4954</v>
      </c>
      <c r="AH32" s="1299" t="s">
        <v>4363</v>
      </c>
      <c r="AI32" s="1299" t="s">
        <v>8981</v>
      </c>
      <c r="AJ32" s="1299" t="s">
        <v>8982</v>
      </c>
      <c r="AK32" s="1299" t="s">
        <v>1672</v>
      </c>
      <c r="AL32" s="1299" t="s">
        <v>1744</v>
      </c>
      <c r="AM32" s="1299" t="s">
        <v>3634</v>
      </c>
      <c r="AN32" s="1299" t="s">
        <v>3817</v>
      </c>
      <c r="AO32" s="1299" t="s">
        <v>6063</v>
      </c>
      <c r="AP32" s="1299" t="s">
        <v>8983</v>
      </c>
      <c r="AQ32" s="1299" t="s">
        <v>8984</v>
      </c>
      <c r="AR32" s="1299" t="s">
        <v>8536</v>
      </c>
      <c r="AS32" s="1299" t="s">
        <v>922</v>
      </c>
      <c r="AT32" s="1299" t="s">
        <v>3123</v>
      </c>
      <c r="AU32" s="1418" t="s">
        <v>8869</v>
      </c>
      <c r="AV32" s="1389" t="str">
        <f t="shared" si="1"/>
        <v>2:26</v>
      </c>
      <c r="AW32" s="1440" t="s">
        <v>8985</v>
      </c>
    </row>
    <row r="33" ht="15.75" customHeight="1">
      <c r="A33" s="1378" t="s">
        <v>734</v>
      </c>
      <c r="B33" s="1441" t="s">
        <v>8308</v>
      </c>
      <c r="C33" s="1380">
        <v>0.05056712962962963</v>
      </c>
      <c r="D33" s="1466" t="s">
        <v>8309</v>
      </c>
      <c r="E33" s="1446" t="s">
        <v>8748</v>
      </c>
      <c r="F33" s="1465" t="s">
        <v>8311</v>
      </c>
      <c r="G33" s="1387" t="s">
        <v>8986</v>
      </c>
      <c r="H33" s="1387" t="s">
        <v>8987</v>
      </c>
      <c r="I33" s="1465" t="s">
        <v>8314</v>
      </c>
      <c r="J33" s="1387" t="s">
        <v>1172</v>
      </c>
      <c r="K33" s="1387" t="s">
        <v>4834</v>
      </c>
      <c r="L33" s="1387" t="s">
        <v>8988</v>
      </c>
      <c r="M33" s="1387" t="s">
        <v>2187</v>
      </c>
      <c r="N33" s="1387" t="s">
        <v>8723</v>
      </c>
      <c r="O33" s="1387" t="s">
        <v>8989</v>
      </c>
      <c r="P33" s="1387" t="s">
        <v>1181</v>
      </c>
      <c r="Q33" s="1387" t="s">
        <v>8990</v>
      </c>
      <c r="R33" s="1387" t="s">
        <v>2942</v>
      </c>
      <c r="S33" s="1387" t="s">
        <v>8991</v>
      </c>
      <c r="T33" s="1387" t="s">
        <v>2391</v>
      </c>
      <c r="U33" s="1387" t="s">
        <v>4156</v>
      </c>
      <c r="V33" s="1387" t="s">
        <v>2697</v>
      </c>
      <c r="W33" s="1387" t="s">
        <v>8992</v>
      </c>
      <c r="X33" s="1387" t="s">
        <v>8993</v>
      </c>
      <c r="Y33" s="1387" t="s">
        <v>946</v>
      </c>
      <c r="Z33" s="1387" t="s">
        <v>8994</v>
      </c>
      <c r="AA33" s="1387" t="s">
        <v>7212</v>
      </c>
      <c r="AB33" s="1387" t="s">
        <v>8995</v>
      </c>
      <c r="AC33" s="1389" t="s">
        <v>529</v>
      </c>
      <c r="AD33" s="1387" t="s">
        <v>8996</v>
      </c>
      <c r="AE33" s="1387" t="s">
        <v>4710</v>
      </c>
      <c r="AF33" s="1387" t="s">
        <v>8997</v>
      </c>
      <c r="AG33" s="1465" t="s">
        <v>8327</v>
      </c>
      <c r="AH33" s="1465" t="s">
        <v>2782</v>
      </c>
      <c r="AI33" s="1387" t="s">
        <v>8998</v>
      </c>
      <c r="AJ33" s="1387" t="s">
        <v>8999</v>
      </c>
      <c r="AK33" s="1387" t="s">
        <v>5317</v>
      </c>
      <c r="AL33" s="1387" t="s">
        <v>4032</v>
      </c>
      <c r="AM33" s="1387" t="s">
        <v>8604</v>
      </c>
      <c r="AN33" s="1387" t="s">
        <v>341</v>
      </c>
      <c r="AO33" s="1465" t="s">
        <v>8330</v>
      </c>
      <c r="AP33" s="1387" t="s">
        <v>9000</v>
      </c>
      <c r="AQ33" s="1387" t="s">
        <v>7149</v>
      </c>
      <c r="AR33" s="1387" t="s">
        <v>2617</v>
      </c>
      <c r="AS33" s="1387" t="s">
        <v>3829</v>
      </c>
      <c r="AT33" s="1387" t="s">
        <v>9001</v>
      </c>
      <c r="AU33" s="1387" t="s">
        <v>8639</v>
      </c>
      <c r="AV33" s="1389" t="str">
        <f t="shared" si="1"/>
        <v>3:34</v>
      </c>
      <c r="AW33" s="1424" t="s">
        <v>9002</v>
      </c>
    </row>
    <row r="34" ht="15.75" customHeight="1">
      <c r="A34" s="1394" t="s">
        <v>638</v>
      </c>
      <c r="B34" s="1441" t="s">
        <v>8308</v>
      </c>
      <c r="C34" s="1481">
        <v>0.05056712962962963</v>
      </c>
      <c r="D34" s="1299" t="s">
        <v>9003</v>
      </c>
      <c r="E34" s="1389" t="s">
        <v>9004</v>
      </c>
      <c r="F34" s="1389" t="s">
        <v>8674</v>
      </c>
      <c r="G34" s="1389" t="s">
        <v>9005</v>
      </c>
      <c r="H34" s="1389" t="s">
        <v>4367</v>
      </c>
      <c r="I34" s="1389" t="s">
        <v>1113</v>
      </c>
      <c r="J34" s="1387" t="s">
        <v>9006</v>
      </c>
      <c r="K34" s="1387" t="s">
        <v>9006</v>
      </c>
      <c r="L34" s="1389" t="s">
        <v>9007</v>
      </c>
      <c r="M34" s="1389" t="s">
        <v>9008</v>
      </c>
      <c r="N34" s="1389" t="s">
        <v>9009</v>
      </c>
      <c r="O34" s="1465" t="s">
        <v>8317</v>
      </c>
      <c r="P34" s="1389" t="s">
        <v>6786</v>
      </c>
      <c r="Q34" s="1389" t="s">
        <v>783</v>
      </c>
      <c r="R34" s="1387" t="s">
        <v>9006</v>
      </c>
      <c r="S34" s="1389" t="s">
        <v>9010</v>
      </c>
      <c r="T34" s="1389" t="s">
        <v>777</v>
      </c>
      <c r="U34" s="1389" t="s">
        <v>9011</v>
      </c>
      <c r="V34" s="1389" t="s">
        <v>9012</v>
      </c>
      <c r="W34" s="1389" t="s">
        <v>9013</v>
      </c>
      <c r="X34" s="1389" t="s">
        <v>8805</v>
      </c>
      <c r="Y34" s="1389" t="s">
        <v>8806</v>
      </c>
      <c r="Z34" s="1389" t="s">
        <v>2616</v>
      </c>
      <c r="AA34" s="1389" t="s">
        <v>9014</v>
      </c>
      <c r="AB34" s="1389" t="s">
        <v>8510</v>
      </c>
      <c r="AC34" s="1389" t="s">
        <v>4395</v>
      </c>
      <c r="AD34" s="1389" t="s">
        <v>2271</v>
      </c>
      <c r="AE34" s="1389" t="s">
        <v>8948</v>
      </c>
      <c r="AF34" s="1389" t="s">
        <v>9015</v>
      </c>
      <c r="AG34" s="1389" t="s">
        <v>3879</v>
      </c>
      <c r="AH34" s="1389" t="s">
        <v>4384</v>
      </c>
      <c r="AI34" s="1389" t="s">
        <v>3523</v>
      </c>
      <c r="AJ34" s="1389" t="s">
        <v>9016</v>
      </c>
      <c r="AK34" s="1389" t="s">
        <v>1092</v>
      </c>
      <c r="AL34" s="1389" t="s">
        <v>8809</v>
      </c>
      <c r="AM34" s="1389" t="s">
        <v>9017</v>
      </c>
      <c r="AN34" s="1387" t="s">
        <v>9018</v>
      </c>
      <c r="AO34" s="1387" t="s">
        <v>9006</v>
      </c>
      <c r="AP34" s="1389" t="s">
        <v>5234</v>
      </c>
      <c r="AQ34" s="1389" t="s">
        <v>249</v>
      </c>
      <c r="AR34" s="1389" t="s">
        <v>4875</v>
      </c>
      <c r="AS34" s="1389" t="s">
        <v>9019</v>
      </c>
      <c r="AT34" s="1389" t="s">
        <v>9020</v>
      </c>
      <c r="AU34" s="1387" t="s">
        <v>9021</v>
      </c>
      <c r="AV34" s="1389" t="str">
        <f t="shared" si="1"/>
        <v>3:07</v>
      </c>
      <c r="AW34" s="1460" t="s">
        <v>9022</v>
      </c>
    </row>
    <row r="35" ht="15.75" customHeight="1">
      <c r="A35" s="1378" t="s">
        <v>4082</v>
      </c>
      <c r="B35" s="1379" t="s">
        <v>8280</v>
      </c>
      <c r="C35" s="1481">
        <v>0.05060185185185185</v>
      </c>
      <c r="D35" s="1299" t="s">
        <v>9023</v>
      </c>
      <c r="E35" s="1446" t="s">
        <v>4273</v>
      </c>
      <c r="F35" s="1446" t="s">
        <v>5843</v>
      </c>
      <c r="G35" s="1446" t="s">
        <v>9024</v>
      </c>
      <c r="H35" s="1429" t="s">
        <v>9025</v>
      </c>
      <c r="I35" s="1429" t="s">
        <v>4861</v>
      </c>
      <c r="J35" s="1447" t="s">
        <v>8474</v>
      </c>
      <c r="K35" s="1447" t="s">
        <v>7625</v>
      </c>
      <c r="L35" s="1447" t="s">
        <v>5466</v>
      </c>
      <c r="M35" s="1447" t="s">
        <v>9026</v>
      </c>
      <c r="N35" s="1447" t="s">
        <v>5151</v>
      </c>
      <c r="O35" s="1447" t="s">
        <v>9027</v>
      </c>
      <c r="P35" s="1447" t="s">
        <v>8656</v>
      </c>
      <c r="Q35" s="1448" t="s">
        <v>9028</v>
      </c>
      <c r="R35" s="1448" t="s">
        <v>5391</v>
      </c>
      <c r="S35" s="1448" t="s">
        <v>6313</v>
      </c>
      <c r="T35" s="1448" t="s">
        <v>9029</v>
      </c>
      <c r="U35" s="1448" t="s">
        <v>9030</v>
      </c>
      <c r="V35" s="1448" t="s">
        <v>9031</v>
      </c>
      <c r="W35" s="1449" t="s">
        <v>9032</v>
      </c>
      <c r="X35" s="1449" t="s">
        <v>7616</v>
      </c>
      <c r="Y35" s="1449" t="s">
        <v>5004</v>
      </c>
      <c r="Z35" s="1449" t="s">
        <v>1966</v>
      </c>
      <c r="AA35" s="1449" t="s">
        <v>9033</v>
      </c>
      <c r="AB35" s="1449" t="s">
        <v>8510</v>
      </c>
      <c r="AC35" s="1449" t="s">
        <v>5467</v>
      </c>
      <c r="AD35" s="1446" t="s">
        <v>6200</v>
      </c>
      <c r="AE35" s="1446" t="s">
        <v>8649</v>
      </c>
      <c r="AF35" s="1450" t="s">
        <v>9034</v>
      </c>
      <c r="AG35" s="1450" t="s">
        <v>8952</v>
      </c>
      <c r="AH35" s="1450" t="s">
        <v>9035</v>
      </c>
      <c r="AI35" s="1450" t="s">
        <v>5462</v>
      </c>
      <c r="AJ35" s="1450" t="s">
        <v>9036</v>
      </c>
      <c r="AK35" s="1450" t="s">
        <v>9037</v>
      </c>
      <c r="AL35" s="1450" t="s">
        <v>9038</v>
      </c>
      <c r="AM35" s="1434" t="s">
        <v>9039</v>
      </c>
      <c r="AN35" s="1434" t="s">
        <v>9040</v>
      </c>
      <c r="AO35" s="1434" t="s">
        <v>9041</v>
      </c>
      <c r="AP35" s="1434" t="s">
        <v>9042</v>
      </c>
      <c r="AQ35" s="1434" t="s">
        <v>8892</v>
      </c>
      <c r="AR35" s="1434" t="s">
        <v>9043</v>
      </c>
      <c r="AS35" s="1434" t="s">
        <v>6792</v>
      </c>
      <c r="AT35" s="1447" t="s">
        <v>9044</v>
      </c>
      <c r="AU35" s="1451" t="s">
        <v>9045</v>
      </c>
      <c r="AV35" s="1389" t="str">
        <f t="shared" si="1"/>
        <v>1:56</v>
      </c>
      <c r="AW35" s="1480"/>
    </row>
    <row r="36">
      <c r="A36" s="1420" t="s">
        <v>1719</v>
      </c>
      <c r="B36" s="1438" t="s">
        <v>8280</v>
      </c>
      <c r="C36" s="1380">
        <v>0.05060185185185185</v>
      </c>
      <c r="D36" s="1422" t="s">
        <v>9046</v>
      </c>
      <c r="E36" s="1422" t="s">
        <v>9047</v>
      </c>
      <c r="F36" s="1422" t="s">
        <v>9048</v>
      </c>
      <c r="G36" s="1422" t="s">
        <v>9049</v>
      </c>
      <c r="H36" s="1422" t="s">
        <v>4990</v>
      </c>
      <c r="I36" s="1422" t="s">
        <v>9050</v>
      </c>
      <c r="J36" s="1422" t="s">
        <v>6318</v>
      </c>
      <c r="K36" s="1422" t="s">
        <v>9051</v>
      </c>
      <c r="L36" s="1422" t="s">
        <v>2769</v>
      </c>
      <c r="M36" s="1422" t="s">
        <v>9052</v>
      </c>
      <c r="N36" s="1422" t="s">
        <v>9053</v>
      </c>
      <c r="O36" s="1422" t="s">
        <v>9054</v>
      </c>
      <c r="P36" s="1422" t="s">
        <v>131</v>
      </c>
      <c r="Q36" s="1422" t="s">
        <v>9055</v>
      </c>
      <c r="R36" s="1422" t="s">
        <v>4643</v>
      </c>
      <c r="S36" s="1422" t="s">
        <v>2292</v>
      </c>
      <c r="T36" s="1422" t="s">
        <v>7354</v>
      </c>
      <c r="U36" s="1422" t="s">
        <v>9056</v>
      </c>
      <c r="V36" s="1422" t="s">
        <v>4088</v>
      </c>
      <c r="W36" s="1422" t="s">
        <v>3640</v>
      </c>
      <c r="X36" s="1422" t="s">
        <v>9057</v>
      </c>
      <c r="Y36" s="1490" t="s">
        <v>8379</v>
      </c>
      <c r="Z36" s="1422" t="s">
        <v>8994</v>
      </c>
      <c r="AA36" s="1490" t="s">
        <v>9058</v>
      </c>
      <c r="AB36" s="1490" t="s">
        <v>3739</v>
      </c>
      <c r="AC36" s="1422" t="s">
        <v>9059</v>
      </c>
      <c r="AD36" s="1422" t="s">
        <v>9060</v>
      </c>
      <c r="AE36" s="1490" t="s">
        <v>2166</v>
      </c>
      <c r="AF36" s="1490" t="s">
        <v>9061</v>
      </c>
      <c r="AG36" s="1422" t="s">
        <v>9062</v>
      </c>
      <c r="AH36" s="1422" t="s">
        <v>4621</v>
      </c>
      <c r="AI36" s="1422" t="s">
        <v>6710</v>
      </c>
      <c r="AJ36" s="1422" t="s">
        <v>9063</v>
      </c>
      <c r="AK36" s="1422" t="s">
        <v>8504</v>
      </c>
      <c r="AL36" s="1422" t="s">
        <v>8904</v>
      </c>
      <c r="AM36" s="1422" t="s">
        <v>9064</v>
      </c>
      <c r="AN36" s="1422" t="s">
        <v>550</v>
      </c>
      <c r="AO36" s="1422" t="s">
        <v>9065</v>
      </c>
      <c r="AP36" s="1422" t="s">
        <v>9066</v>
      </c>
      <c r="AQ36" s="1422" t="s">
        <v>9067</v>
      </c>
      <c r="AR36" s="1422" t="s">
        <v>8762</v>
      </c>
      <c r="AS36" s="1422" t="s">
        <v>9068</v>
      </c>
      <c r="AT36" s="1490" t="s">
        <v>9069</v>
      </c>
      <c r="AU36" s="1422" t="s">
        <v>9070</v>
      </c>
      <c r="AV36" s="1389" t="str">
        <f t="shared" si="1"/>
        <v>3:01</v>
      </c>
      <c r="AW36" s="1440" t="s">
        <v>9071</v>
      </c>
    </row>
    <row r="37" ht="15.75" customHeight="1">
      <c r="A37" s="1394" t="s">
        <v>822</v>
      </c>
      <c r="B37" s="1379" t="s">
        <v>8280</v>
      </c>
      <c r="C37" s="1380">
        <v>0.05061342592592592</v>
      </c>
      <c r="D37" s="1299" t="s">
        <v>9072</v>
      </c>
      <c r="E37" s="1387" t="s">
        <v>8451</v>
      </c>
      <c r="F37" s="1387" t="s">
        <v>5296</v>
      </c>
      <c r="G37" s="1389" t="s">
        <v>9073</v>
      </c>
      <c r="H37" s="1387" t="s">
        <v>9074</v>
      </c>
      <c r="I37" s="1387" t="s">
        <v>384</v>
      </c>
      <c r="J37" s="1387" t="s">
        <v>6563</v>
      </c>
      <c r="K37" s="1389" t="s">
        <v>8671</v>
      </c>
      <c r="L37" s="1387" t="s">
        <v>9075</v>
      </c>
      <c r="M37" s="1387" t="s">
        <v>9076</v>
      </c>
      <c r="N37" s="1387" t="s">
        <v>4251</v>
      </c>
      <c r="O37" s="1387" t="s">
        <v>9077</v>
      </c>
      <c r="P37" s="1387" t="s">
        <v>1749</v>
      </c>
      <c r="Q37" s="1384" t="s">
        <v>9078</v>
      </c>
      <c r="R37" s="1387" t="s">
        <v>9079</v>
      </c>
      <c r="S37" s="1389" t="s">
        <v>9080</v>
      </c>
      <c r="T37" s="1387" t="s">
        <v>8787</v>
      </c>
      <c r="U37" s="1387" t="s">
        <v>6991</v>
      </c>
      <c r="V37" s="1387" t="s">
        <v>1736</v>
      </c>
      <c r="W37" s="1402" t="str">
        <f>HYPERLINK("https://www.youtube.com/watch?v=nn1ub1z3NYM","1:45.96")</f>
        <v>1:45.96</v>
      </c>
      <c r="X37" s="1387" t="s">
        <v>5551</v>
      </c>
      <c r="Y37" s="1389" t="s">
        <v>5426</v>
      </c>
      <c r="Z37" s="1387" t="s">
        <v>1496</v>
      </c>
      <c r="AA37" s="1387" t="s">
        <v>9081</v>
      </c>
      <c r="AB37" s="1387" t="s">
        <v>9082</v>
      </c>
      <c r="AC37" s="1387" t="s">
        <v>1044</v>
      </c>
      <c r="AD37" s="1387" t="s">
        <v>9083</v>
      </c>
      <c r="AE37" s="1384" t="s">
        <v>4537</v>
      </c>
      <c r="AF37" s="1389" t="s">
        <v>9084</v>
      </c>
      <c r="AG37" s="1387" t="s">
        <v>2074</v>
      </c>
      <c r="AH37" s="1387" t="s">
        <v>2879</v>
      </c>
      <c r="AI37" s="1387" t="s">
        <v>9085</v>
      </c>
      <c r="AJ37" s="1389" t="s">
        <v>7838</v>
      </c>
      <c r="AK37" s="1387" t="s">
        <v>9086</v>
      </c>
      <c r="AL37" s="1389" t="s">
        <v>4113</v>
      </c>
      <c r="AM37" s="1389" t="s">
        <v>9087</v>
      </c>
      <c r="AN37" s="1389" t="s">
        <v>2460</v>
      </c>
      <c r="AO37" s="1387" t="s">
        <v>5098</v>
      </c>
      <c r="AP37" s="1387" t="s">
        <v>9088</v>
      </c>
      <c r="AQ37" s="1387" t="s">
        <v>6194</v>
      </c>
      <c r="AR37" s="1387" t="s">
        <v>1296</v>
      </c>
      <c r="AS37" s="1387" t="s">
        <v>9089</v>
      </c>
      <c r="AT37" s="1387" t="s">
        <v>9090</v>
      </c>
      <c r="AU37" s="1387" t="s">
        <v>9091</v>
      </c>
      <c r="AV37" s="1389" t="str">
        <f t="shared" si="1"/>
        <v>2:25</v>
      </c>
      <c r="AW37" s="1424"/>
    </row>
    <row r="38">
      <c r="A38" s="1394" t="s">
        <v>9092</v>
      </c>
      <c r="B38" s="1421" t="s">
        <v>8280</v>
      </c>
      <c r="C38" s="1380">
        <v>0.050625</v>
      </c>
      <c r="D38" s="1491" t="s">
        <v>9093</v>
      </c>
      <c r="E38" s="1387" t="s">
        <v>4591</v>
      </c>
      <c r="F38" s="1387" t="s">
        <v>9094</v>
      </c>
      <c r="G38" s="1387" t="s">
        <v>8684</v>
      </c>
      <c r="H38" s="1387" t="s">
        <v>1570</v>
      </c>
      <c r="I38" s="1387" t="s">
        <v>1958</v>
      </c>
      <c r="J38" s="1387" t="s">
        <v>9095</v>
      </c>
      <c r="K38" s="1387" t="s">
        <v>3328</v>
      </c>
      <c r="L38" s="1387" t="s">
        <v>9096</v>
      </c>
      <c r="M38" s="1387" t="s">
        <v>9097</v>
      </c>
      <c r="N38" s="1387" t="s">
        <v>9098</v>
      </c>
      <c r="O38" s="1387" t="s">
        <v>9099</v>
      </c>
      <c r="P38" s="1387" t="s">
        <v>8948</v>
      </c>
      <c r="Q38" s="1387" t="s">
        <v>4510</v>
      </c>
      <c r="R38" s="1387" t="s">
        <v>3683</v>
      </c>
      <c r="S38" s="1387" t="s">
        <v>2598</v>
      </c>
      <c r="T38" s="1387" t="s">
        <v>2391</v>
      </c>
      <c r="U38" s="1387" t="s">
        <v>9100</v>
      </c>
      <c r="V38" s="1387" t="s">
        <v>2158</v>
      </c>
      <c r="W38" s="1387" t="s">
        <v>7456</v>
      </c>
      <c r="X38" s="1387" t="s">
        <v>9101</v>
      </c>
      <c r="Y38" s="1387" t="s">
        <v>9102</v>
      </c>
      <c r="Z38" s="1387" t="s">
        <v>9103</v>
      </c>
      <c r="AA38" s="1387" t="s">
        <v>9104</v>
      </c>
      <c r="AB38" s="1387"/>
      <c r="AC38" s="1387" t="s">
        <v>9105</v>
      </c>
      <c r="AD38" s="1387" t="s">
        <v>9106</v>
      </c>
      <c r="AE38" s="1387" t="s">
        <v>3678</v>
      </c>
      <c r="AF38" s="1387" t="s">
        <v>9107</v>
      </c>
      <c r="AG38" s="1387" t="s">
        <v>9108</v>
      </c>
      <c r="AH38" s="1387" t="s">
        <v>9109</v>
      </c>
      <c r="AI38" s="1387" t="s">
        <v>722</v>
      </c>
      <c r="AJ38" s="1387" t="s">
        <v>9110</v>
      </c>
      <c r="AK38" s="1387" t="s">
        <v>9111</v>
      </c>
      <c r="AL38" s="1387" t="s">
        <v>9112</v>
      </c>
      <c r="AM38" s="1387" t="s">
        <v>9113</v>
      </c>
      <c r="AN38" s="1387" t="s">
        <v>8364</v>
      </c>
      <c r="AO38" s="1387" t="s">
        <v>9114</v>
      </c>
      <c r="AP38" s="1387" t="s">
        <v>9115</v>
      </c>
      <c r="AQ38" s="1387" t="s">
        <v>9116</v>
      </c>
      <c r="AR38" s="1387" t="s">
        <v>6318</v>
      </c>
      <c r="AS38" s="1387" t="s">
        <v>9117</v>
      </c>
      <c r="AT38" s="1387" t="s">
        <v>7937</v>
      </c>
      <c r="AU38" s="1387" t="s">
        <v>9118</v>
      </c>
      <c r="AV38" s="1389" t="str">
        <f t="shared" si="1"/>
        <v>2:05</v>
      </c>
      <c r="AW38" s="1460"/>
    </row>
    <row r="39" ht="15.75" customHeight="1">
      <c r="A39" s="1420" t="s">
        <v>2491</v>
      </c>
      <c r="B39" s="1492" t="s">
        <v>8308</v>
      </c>
      <c r="C39" s="1380">
        <v>0.050659722222222224</v>
      </c>
      <c r="D39" s="1428" t="s">
        <v>9119</v>
      </c>
      <c r="E39" s="1299" t="s">
        <v>9120</v>
      </c>
      <c r="F39" s="1299" t="s">
        <v>9121</v>
      </c>
      <c r="G39" s="1428" t="s">
        <v>9122</v>
      </c>
      <c r="H39" s="1493" t="s">
        <v>8313</v>
      </c>
      <c r="I39" s="1299" t="s">
        <v>1084</v>
      </c>
      <c r="J39" s="1299" t="s">
        <v>9123</v>
      </c>
      <c r="K39" s="1299" t="s">
        <v>9124</v>
      </c>
      <c r="L39" s="1299" t="s">
        <v>4653</v>
      </c>
      <c r="M39" s="1299" t="s">
        <v>9125</v>
      </c>
      <c r="N39" s="1430" t="s">
        <v>9126</v>
      </c>
      <c r="O39" s="1299" t="s">
        <v>9127</v>
      </c>
      <c r="P39" s="1430" t="s">
        <v>5394</v>
      </c>
      <c r="Q39" s="1299" t="s">
        <v>9128</v>
      </c>
      <c r="R39" s="1299" t="s">
        <v>6181</v>
      </c>
      <c r="S39" s="1431" t="s">
        <v>9129</v>
      </c>
      <c r="T39" s="1299" t="s">
        <v>9130</v>
      </c>
      <c r="U39" s="1431" t="s">
        <v>1079</v>
      </c>
      <c r="V39" s="1299" t="s">
        <v>7871</v>
      </c>
      <c r="W39" s="1299" t="s">
        <v>8855</v>
      </c>
      <c r="X39" s="1299" t="s">
        <v>8507</v>
      </c>
      <c r="Y39" s="1299" t="s">
        <v>4710</v>
      </c>
      <c r="Z39" s="1299" t="s">
        <v>1708</v>
      </c>
      <c r="AA39" s="1432" t="s">
        <v>9131</v>
      </c>
      <c r="AB39" s="1299" t="s">
        <v>9132</v>
      </c>
      <c r="AC39" s="1299" t="s">
        <v>407</v>
      </c>
      <c r="AD39" s="1299" t="s">
        <v>9133</v>
      </c>
      <c r="AE39" s="1478" t="s">
        <v>8325</v>
      </c>
      <c r="AF39" s="1299" t="s">
        <v>9134</v>
      </c>
      <c r="AG39" s="1299" t="s">
        <v>9086</v>
      </c>
      <c r="AH39" s="1299" t="s">
        <v>9135</v>
      </c>
      <c r="AI39" s="1433" t="s">
        <v>9136</v>
      </c>
      <c r="AJ39" s="1299" t="s">
        <v>9137</v>
      </c>
      <c r="AK39" s="1299" t="s">
        <v>1374</v>
      </c>
      <c r="AL39" s="1494" t="s">
        <v>5912</v>
      </c>
      <c r="AM39" s="1299" t="s">
        <v>9138</v>
      </c>
      <c r="AN39" s="1435" t="s">
        <v>9139</v>
      </c>
      <c r="AO39" s="1299" t="s">
        <v>3317</v>
      </c>
      <c r="AP39" s="1299" t="s">
        <v>9140</v>
      </c>
      <c r="AQ39" s="1495" t="s">
        <v>8332</v>
      </c>
      <c r="AR39" s="1299" t="s">
        <v>858</v>
      </c>
      <c r="AS39" s="1496" t="s">
        <v>5100</v>
      </c>
      <c r="AT39" s="1299" t="s">
        <v>9090</v>
      </c>
      <c r="AU39" s="1418" t="s">
        <v>9141</v>
      </c>
      <c r="AV39" s="1389" t="str">
        <f t="shared" si="1"/>
        <v>5:11</v>
      </c>
      <c r="AW39" s="1440" t="s">
        <v>9142</v>
      </c>
    </row>
    <row r="40">
      <c r="A40" s="1394" t="s">
        <v>9143</v>
      </c>
      <c r="B40" s="1438" t="s">
        <v>8280</v>
      </c>
      <c r="C40" s="1380">
        <v>0.0506712962962963</v>
      </c>
      <c r="D40" s="1491" t="s">
        <v>9144</v>
      </c>
      <c r="E40" s="1428" t="s">
        <v>4273</v>
      </c>
      <c r="F40" s="1428" t="s">
        <v>8573</v>
      </c>
      <c r="G40" s="1428" t="s">
        <v>9145</v>
      </c>
      <c r="H40" s="1475" t="s">
        <v>9146</v>
      </c>
      <c r="I40" s="1475" t="s">
        <v>9147</v>
      </c>
      <c r="J40" s="1430" t="s">
        <v>9148</v>
      </c>
      <c r="K40" s="1430" t="s">
        <v>6820</v>
      </c>
      <c r="L40" s="1430" t="s">
        <v>9149</v>
      </c>
      <c r="M40" s="1430" t="s">
        <v>6817</v>
      </c>
      <c r="N40" s="1430" t="s">
        <v>9150</v>
      </c>
      <c r="O40" s="1430" t="s">
        <v>2191</v>
      </c>
      <c r="P40" s="1430" t="s">
        <v>6789</v>
      </c>
      <c r="Q40" s="1431" t="s">
        <v>7549</v>
      </c>
      <c r="R40" s="1431" t="s">
        <v>9151</v>
      </c>
      <c r="S40" s="1431" t="s">
        <v>9152</v>
      </c>
      <c r="T40" s="1431" t="s">
        <v>9153</v>
      </c>
      <c r="U40" s="1431" t="s">
        <v>9154</v>
      </c>
      <c r="V40" s="1431" t="s">
        <v>9155</v>
      </c>
      <c r="W40" s="1432" t="s">
        <v>9156</v>
      </c>
      <c r="X40" s="1432" t="s">
        <v>9157</v>
      </c>
      <c r="Y40" s="1432" t="s">
        <v>5949</v>
      </c>
      <c r="Z40" s="1432" t="s">
        <v>9158</v>
      </c>
      <c r="AA40" s="1387" t="s">
        <v>1677</v>
      </c>
      <c r="AB40" s="1432" t="s">
        <v>9159</v>
      </c>
      <c r="AC40" s="1432" t="s">
        <v>7404</v>
      </c>
      <c r="AD40" s="1428" t="s">
        <v>9160</v>
      </c>
      <c r="AE40" s="1428" t="s">
        <v>529</v>
      </c>
      <c r="AF40" s="1433" t="s">
        <v>9161</v>
      </c>
      <c r="AG40" s="1433" t="s">
        <v>3667</v>
      </c>
      <c r="AH40" s="1433" t="s">
        <v>5119</v>
      </c>
      <c r="AI40" s="1433" t="s">
        <v>9162</v>
      </c>
      <c r="AJ40" s="1433" t="s">
        <v>9163</v>
      </c>
      <c r="AK40" s="1433" t="s">
        <v>173</v>
      </c>
      <c r="AL40" s="1433" t="s">
        <v>2569</v>
      </c>
      <c r="AM40" s="1435" t="s">
        <v>8574</v>
      </c>
      <c r="AN40" s="1435" t="s">
        <v>8556</v>
      </c>
      <c r="AO40" s="1435" t="s">
        <v>8744</v>
      </c>
      <c r="AP40" s="1435" t="s">
        <v>9164</v>
      </c>
      <c r="AQ40" s="1435" t="s">
        <v>9165</v>
      </c>
      <c r="AR40" s="1435" t="s">
        <v>9051</v>
      </c>
      <c r="AS40" s="1435" t="s">
        <v>1725</v>
      </c>
      <c r="AT40" s="1430" t="s">
        <v>9166</v>
      </c>
      <c r="AU40" s="1418" t="s">
        <v>8894</v>
      </c>
      <c r="AV40" s="1389" t="str">
        <f t="shared" si="1"/>
        <v>3:31</v>
      </c>
      <c r="AW40" s="1480"/>
    </row>
    <row r="41" ht="15.75" customHeight="1">
      <c r="A41" s="1463" t="s">
        <v>9167</v>
      </c>
      <c r="B41" s="1379" t="s">
        <v>8280</v>
      </c>
      <c r="C41" s="1380">
        <v>0.05070601851851852</v>
      </c>
      <c r="D41" s="1299" t="s">
        <v>9168</v>
      </c>
      <c r="E41" s="1446" t="s">
        <v>8231</v>
      </c>
      <c r="F41" s="1446" t="s">
        <v>9169</v>
      </c>
      <c r="G41" s="1446" t="s">
        <v>9170</v>
      </c>
      <c r="H41" s="1429" t="s">
        <v>9171</v>
      </c>
      <c r="I41" s="1429" t="s">
        <v>384</v>
      </c>
      <c r="J41" s="1447" t="s">
        <v>2071</v>
      </c>
      <c r="K41" s="1447" t="s">
        <v>3240</v>
      </c>
      <c r="L41" s="1447" t="s">
        <v>5305</v>
      </c>
      <c r="M41" s="1447" t="s">
        <v>9172</v>
      </c>
      <c r="N41" s="1447" t="s">
        <v>8944</v>
      </c>
      <c r="O41" s="1447" t="s">
        <v>9173</v>
      </c>
      <c r="P41" s="1447" t="s">
        <v>5407</v>
      </c>
      <c r="Q41" s="1448" t="s">
        <v>9174</v>
      </c>
      <c r="R41" s="1448" t="s">
        <v>726</v>
      </c>
      <c r="S41" s="1448" t="s">
        <v>9114</v>
      </c>
      <c r="T41" s="1448" t="s">
        <v>8947</v>
      </c>
      <c r="U41" s="1448" t="s">
        <v>9175</v>
      </c>
      <c r="V41" s="1448" t="s">
        <v>1736</v>
      </c>
      <c r="W41" s="1449" t="s">
        <v>9176</v>
      </c>
      <c r="X41" s="1449" t="s">
        <v>8398</v>
      </c>
      <c r="Y41" s="1449" t="s">
        <v>9177</v>
      </c>
      <c r="Z41" s="1449" t="s">
        <v>9178</v>
      </c>
      <c r="AA41" s="1449" t="s">
        <v>9179</v>
      </c>
      <c r="AB41" s="1449" t="s">
        <v>2589</v>
      </c>
      <c r="AC41" s="1449" t="s">
        <v>2938</v>
      </c>
      <c r="AD41" s="1446" t="s">
        <v>9180</v>
      </c>
      <c r="AE41" s="1446" t="s">
        <v>4266</v>
      </c>
      <c r="AF41" s="1450" t="s">
        <v>8417</v>
      </c>
      <c r="AG41" s="1450" t="s">
        <v>9181</v>
      </c>
      <c r="AH41" s="1450" t="s">
        <v>2201</v>
      </c>
      <c r="AI41" s="1450" t="s">
        <v>9182</v>
      </c>
      <c r="AJ41" s="1450" t="s">
        <v>9183</v>
      </c>
      <c r="AK41" s="1450" t="s">
        <v>9184</v>
      </c>
      <c r="AL41" s="1450" t="s">
        <v>5272</v>
      </c>
      <c r="AM41" s="1434" t="s">
        <v>8975</v>
      </c>
      <c r="AN41" s="1434" t="s">
        <v>5272</v>
      </c>
      <c r="AO41" s="1434" t="s">
        <v>2250</v>
      </c>
      <c r="AP41" s="1434" t="s">
        <v>9185</v>
      </c>
      <c r="AQ41" s="1434" t="s">
        <v>9186</v>
      </c>
      <c r="AR41" s="1434" t="s">
        <v>9187</v>
      </c>
      <c r="AS41" s="1434" t="s">
        <v>4248</v>
      </c>
      <c r="AT41" s="1447" t="s">
        <v>9188</v>
      </c>
      <c r="AU41" s="1451" t="s">
        <v>9189</v>
      </c>
      <c r="AV41" s="1389" t="str">
        <f t="shared" si="1"/>
        <v>2:54</v>
      </c>
      <c r="AW41" s="1480"/>
    </row>
    <row r="42">
      <c r="A42" s="1420" t="s">
        <v>3016</v>
      </c>
      <c r="B42" s="1421" t="s">
        <v>8280</v>
      </c>
      <c r="C42" s="1380">
        <v>0.050826388888888886</v>
      </c>
      <c r="D42" s="1387" t="s">
        <v>9190</v>
      </c>
      <c r="E42" s="1387" t="s">
        <v>9191</v>
      </c>
      <c r="F42" s="1428" t="s">
        <v>9192</v>
      </c>
      <c r="G42" s="1387" t="s">
        <v>9193</v>
      </c>
      <c r="H42" s="1387" t="s">
        <v>6180</v>
      </c>
      <c r="I42" s="1387" t="s">
        <v>1286</v>
      </c>
      <c r="J42" s="1387" t="s">
        <v>9194</v>
      </c>
      <c r="K42" s="1387" t="s">
        <v>3643</v>
      </c>
      <c r="L42" s="1387" t="s">
        <v>9195</v>
      </c>
      <c r="M42" s="1387" t="s">
        <v>9196</v>
      </c>
      <c r="N42" s="1387" t="s">
        <v>7030</v>
      </c>
      <c r="O42" s="1387" t="s">
        <v>9197</v>
      </c>
      <c r="P42" s="1387" t="s">
        <v>8678</v>
      </c>
      <c r="Q42" s="1387" t="s">
        <v>9198</v>
      </c>
      <c r="R42" s="1387" t="s">
        <v>9199</v>
      </c>
      <c r="S42" s="1387" t="s">
        <v>9200</v>
      </c>
      <c r="T42" s="1387" t="s">
        <v>1704</v>
      </c>
      <c r="U42" s="1387" t="s">
        <v>9201</v>
      </c>
      <c r="V42" s="1387" t="s">
        <v>6867</v>
      </c>
      <c r="W42" s="1387" t="s">
        <v>5390</v>
      </c>
      <c r="X42" s="1387" t="s">
        <v>9202</v>
      </c>
      <c r="Y42" s="1387" t="s">
        <v>6783</v>
      </c>
      <c r="Z42" s="1387" t="s">
        <v>2024</v>
      </c>
      <c r="AA42" s="1432" t="s">
        <v>9203</v>
      </c>
      <c r="AB42" s="1387" t="s">
        <v>1966</v>
      </c>
      <c r="AC42" s="1387" t="s">
        <v>7404</v>
      </c>
      <c r="AD42" s="1387" t="s">
        <v>9204</v>
      </c>
      <c r="AE42" s="1387" t="s">
        <v>3678</v>
      </c>
      <c r="AF42" s="1387" t="s">
        <v>9205</v>
      </c>
      <c r="AG42" s="1387" t="s">
        <v>1107</v>
      </c>
      <c r="AH42" s="1387" t="s">
        <v>3730</v>
      </c>
      <c r="AI42" s="1387" t="s">
        <v>9206</v>
      </c>
      <c r="AJ42" s="1387" t="s">
        <v>9207</v>
      </c>
      <c r="AK42" s="1387" t="s">
        <v>9086</v>
      </c>
      <c r="AL42" s="1387" t="s">
        <v>4120</v>
      </c>
      <c r="AM42" s="1387" t="s">
        <v>9086</v>
      </c>
      <c r="AN42" s="1387" t="s">
        <v>8364</v>
      </c>
      <c r="AO42" s="1387" t="s">
        <v>7132</v>
      </c>
      <c r="AP42" s="1387" t="s">
        <v>9208</v>
      </c>
      <c r="AQ42" s="1387" t="s">
        <v>9209</v>
      </c>
      <c r="AR42" s="1387" t="s">
        <v>5036</v>
      </c>
      <c r="AS42" s="1387" t="s">
        <v>9210</v>
      </c>
      <c r="AT42" s="1387" t="s">
        <v>9211</v>
      </c>
      <c r="AU42" s="1387" t="s">
        <v>9212</v>
      </c>
      <c r="AV42" s="1389" t="str">
        <f t="shared" si="1"/>
        <v>2:25</v>
      </c>
      <c r="AW42" s="1460"/>
    </row>
    <row r="43" ht="15.75" customHeight="1">
      <c r="A43" s="1420" t="s">
        <v>4568</v>
      </c>
      <c r="B43" s="1379" t="s">
        <v>8280</v>
      </c>
      <c r="C43" s="1481">
        <v>0.050868055555555555</v>
      </c>
      <c r="D43" s="1299" t="s">
        <v>9213</v>
      </c>
      <c r="E43" s="1389" t="s">
        <v>7369</v>
      </c>
      <c r="F43" s="1389" t="s">
        <v>9214</v>
      </c>
      <c r="G43" s="1389" t="s">
        <v>9215</v>
      </c>
      <c r="H43" s="1389" t="s">
        <v>8987</v>
      </c>
      <c r="I43" s="1389" t="s">
        <v>1286</v>
      </c>
      <c r="J43" s="1389" t="s">
        <v>9051</v>
      </c>
      <c r="K43" s="1389" t="s">
        <v>8709</v>
      </c>
      <c r="L43" s="1389" t="s">
        <v>8576</v>
      </c>
      <c r="M43" s="1389" t="s">
        <v>5213</v>
      </c>
      <c r="N43" s="1389" t="s">
        <v>7797</v>
      </c>
      <c r="O43" s="1389" t="s">
        <v>9216</v>
      </c>
      <c r="P43" s="1389" t="s">
        <v>9217</v>
      </c>
      <c r="Q43" s="1389" t="s">
        <v>9218</v>
      </c>
      <c r="R43" s="1389" t="s">
        <v>7113</v>
      </c>
      <c r="S43" s="1389" t="s">
        <v>8539</v>
      </c>
      <c r="T43" s="1389" t="s">
        <v>4526</v>
      </c>
      <c r="U43" s="1389" t="s">
        <v>9219</v>
      </c>
      <c r="V43" s="1389" t="s">
        <v>8738</v>
      </c>
      <c r="W43" s="1389" t="s">
        <v>9220</v>
      </c>
      <c r="X43" s="1389" t="s">
        <v>8741</v>
      </c>
      <c r="Y43" s="1389" t="s">
        <v>3334</v>
      </c>
      <c r="Z43" s="1389" t="s">
        <v>9221</v>
      </c>
      <c r="AA43" s="1389" t="s">
        <v>9222</v>
      </c>
      <c r="AB43" s="1389" t="s">
        <v>9223</v>
      </c>
      <c r="AC43" s="1389" t="s">
        <v>2840</v>
      </c>
      <c r="AD43" s="1389" t="s">
        <v>9224</v>
      </c>
      <c r="AE43" s="1389" t="s">
        <v>611</v>
      </c>
      <c r="AF43" s="1389" t="s">
        <v>9225</v>
      </c>
      <c r="AG43" s="1389" t="s">
        <v>5770</v>
      </c>
      <c r="AH43" s="1389" t="s">
        <v>9226</v>
      </c>
      <c r="AI43" s="1389" t="s">
        <v>7233</v>
      </c>
      <c r="AJ43" s="1389" t="s">
        <v>9227</v>
      </c>
      <c r="AK43" s="1389" t="s">
        <v>5260</v>
      </c>
      <c r="AL43" s="1389" t="s">
        <v>9228</v>
      </c>
      <c r="AM43" s="1389" t="s">
        <v>9229</v>
      </c>
      <c r="AN43" s="1389" t="s">
        <v>3448</v>
      </c>
      <c r="AO43" s="1389" t="s">
        <v>8671</v>
      </c>
      <c r="AP43" s="1389" t="s">
        <v>9230</v>
      </c>
      <c r="AQ43" s="1389" t="s">
        <v>9231</v>
      </c>
      <c r="AR43" s="1389" t="s">
        <v>8567</v>
      </c>
      <c r="AS43" s="1389" t="s">
        <v>3569</v>
      </c>
      <c r="AT43" s="1389" t="s">
        <v>9232</v>
      </c>
      <c r="AU43" s="1389" t="s">
        <v>9233</v>
      </c>
      <c r="AV43" s="1389" t="str">
        <f t="shared" si="1"/>
        <v>2:44</v>
      </c>
      <c r="AW43" s="1407"/>
    </row>
    <row r="44" ht="15.75" customHeight="1">
      <c r="A44" s="1420" t="s">
        <v>1936</v>
      </c>
      <c r="B44" s="1497" t="s">
        <v>8336</v>
      </c>
      <c r="C44" s="1498">
        <v>0.05092592592592592</v>
      </c>
      <c r="D44" s="1499" t="s">
        <v>8337</v>
      </c>
      <c r="E44" s="1500" t="s">
        <v>8338</v>
      </c>
      <c r="F44" s="1499" t="s">
        <v>8339</v>
      </c>
      <c r="G44" s="1387" t="s">
        <v>9234</v>
      </c>
      <c r="H44" s="1499" t="s">
        <v>8341</v>
      </c>
      <c r="I44" s="1389" t="s">
        <v>1406</v>
      </c>
      <c r="J44" s="1446" t="s">
        <v>9235</v>
      </c>
      <c r="K44" s="1389" t="s">
        <v>8944</v>
      </c>
      <c r="L44" s="1446" t="s">
        <v>2277</v>
      </c>
      <c r="M44" s="1389" t="s">
        <v>2632</v>
      </c>
      <c r="N44" s="1499" t="s">
        <v>8344</v>
      </c>
      <c r="O44" s="1389" t="s">
        <v>9236</v>
      </c>
      <c r="P44" s="1446" t="s">
        <v>630</v>
      </c>
      <c r="Q44" s="1500" t="s">
        <v>8347</v>
      </c>
      <c r="R44" s="1499" t="s">
        <v>8348</v>
      </c>
      <c r="S44" s="1389" t="s">
        <v>1092</v>
      </c>
      <c r="T44" s="1446" t="s">
        <v>7472</v>
      </c>
      <c r="U44" s="1500" t="s">
        <v>8350</v>
      </c>
      <c r="V44" s="1499" t="s">
        <v>8351</v>
      </c>
      <c r="W44" s="1389" t="s">
        <v>9237</v>
      </c>
      <c r="X44" s="1499" t="s">
        <v>8353</v>
      </c>
      <c r="Y44" s="1389" t="s">
        <v>5537</v>
      </c>
      <c r="Z44" s="1428" t="s">
        <v>9238</v>
      </c>
      <c r="AA44" s="1389" t="s">
        <v>2252</v>
      </c>
      <c r="AB44" s="1446" t="s">
        <v>9239</v>
      </c>
      <c r="AC44" s="1387" t="s">
        <v>9240</v>
      </c>
      <c r="AD44" s="1446" t="s">
        <v>9241</v>
      </c>
      <c r="AE44" s="1387" t="s">
        <v>9242</v>
      </c>
      <c r="AF44" s="1446" t="s">
        <v>9243</v>
      </c>
      <c r="AG44" s="1389" t="s">
        <v>1768</v>
      </c>
      <c r="AH44" s="1428" t="s">
        <v>9096</v>
      </c>
      <c r="AI44" s="1500" t="s">
        <v>8359</v>
      </c>
      <c r="AJ44" s="1446" t="s">
        <v>9244</v>
      </c>
      <c r="AK44" s="1389" t="s">
        <v>5656</v>
      </c>
      <c r="AL44" s="1499" t="s">
        <v>8362</v>
      </c>
      <c r="AM44" s="1389" t="s">
        <v>8630</v>
      </c>
      <c r="AN44" s="1446" t="s">
        <v>3864</v>
      </c>
      <c r="AO44" s="1387" t="s">
        <v>4727</v>
      </c>
      <c r="AP44" s="1428" t="s">
        <v>9245</v>
      </c>
      <c r="AQ44" s="1387" t="s">
        <v>9246</v>
      </c>
      <c r="AR44" s="1428" t="s">
        <v>9247</v>
      </c>
      <c r="AS44" s="1389" t="s">
        <v>899</v>
      </c>
      <c r="AT44" s="1499" t="s">
        <v>8368</v>
      </c>
      <c r="AU44" s="1387" t="s">
        <v>9248</v>
      </c>
      <c r="AV44" s="1389" t="str">
        <f t="shared" si="1"/>
        <v>2:24</v>
      </c>
      <c r="AW44" s="1424"/>
    </row>
    <row r="45">
      <c r="A45" s="1420" t="s">
        <v>2525</v>
      </c>
      <c r="B45" s="1492" t="s">
        <v>8308</v>
      </c>
      <c r="C45" s="1380">
        <v>0.05092592592592592</v>
      </c>
      <c r="D45" s="1299" t="s">
        <v>9249</v>
      </c>
      <c r="E45" s="1428" t="s">
        <v>9250</v>
      </c>
      <c r="F45" s="1428" t="s">
        <v>9251</v>
      </c>
      <c r="G45" s="1428" t="s">
        <v>9252</v>
      </c>
      <c r="H45" s="1475" t="s">
        <v>9253</v>
      </c>
      <c r="I45" s="1475" t="s">
        <v>2780</v>
      </c>
      <c r="J45" s="1430" t="s">
        <v>8433</v>
      </c>
      <c r="K45" s="1430" t="s">
        <v>3718</v>
      </c>
      <c r="L45" s="1430" t="s">
        <v>5601</v>
      </c>
      <c r="M45" s="1430" t="s">
        <v>2955</v>
      </c>
      <c r="N45" s="1430" t="s">
        <v>9017</v>
      </c>
      <c r="O45" s="1430" t="s">
        <v>9254</v>
      </c>
      <c r="P45" s="1430" t="s">
        <v>770</v>
      </c>
      <c r="Q45" s="1431" t="s">
        <v>7431</v>
      </c>
      <c r="R45" s="1431" t="s">
        <v>7161</v>
      </c>
      <c r="S45" s="1431" t="s">
        <v>6320</v>
      </c>
      <c r="T45" s="1431" t="s">
        <v>9255</v>
      </c>
      <c r="U45" s="1489" t="s">
        <v>7604</v>
      </c>
      <c r="V45" s="1431" t="s">
        <v>9256</v>
      </c>
      <c r="W45" s="1432" t="s">
        <v>6490</v>
      </c>
      <c r="X45" s="1432" t="s">
        <v>9257</v>
      </c>
      <c r="Y45" s="1432" t="s">
        <v>9258</v>
      </c>
      <c r="Z45" s="1432" t="s">
        <v>7377</v>
      </c>
      <c r="AA45" s="1432" t="s">
        <v>1991</v>
      </c>
      <c r="AB45" s="1432" t="s">
        <v>9259</v>
      </c>
      <c r="AC45" s="1432" t="s">
        <v>2363</v>
      </c>
      <c r="AD45" s="1428" t="s">
        <v>9260</v>
      </c>
      <c r="AE45" s="1428" t="s">
        <v>5125</v>
      </c>
      <c r="AF45" s="1433" t="s">
        <v>9261</v>
      </c>
      <c r="AG45" s="1433" t="s">
        <v>5315</v>
      </c>
      <c r="AH45" s="1433" t="s">
        <v>4384</v>
      </c>
      <c r="AI45" s="1433" t="s">
        <v>9262</v>
      </c>
      <c r="AJ45" s="1501" t="s">
        <v>8328</v>
      </c>
      <c r="AK45" s="1433" t="s">
        <v>9223</v>
      </c>
      <c r="AL45" s="1433" t="s">
        <v>5657</v>
      </c>
      <c r="AM45" s="1435" t="s">
        <v>3811</v>
      </c>
      <c r="AN45" s="1435" t="s">
        <v>3308</v>
      </c>
      <c r="AO45" s="1435" t="s">
        <v>2316</v>
      </c>
      <c r="AP45" s="1435" t="s">
        <v>9263</v>
      </c>
      <c r="AQ45" s="1435" t="s">
        <v>4321</v>
      </c>
      <c r="AR45" s="1435" t="s">
        <v>7421</v>
      </c>
      <c r="AS45" s="1435" t="s">
        <v>6205</v>
      </c>
      <c r="AT45" s="1430" t="s">
        <v>9264</v>
      </c>
      <c r="AU45" s="1502" t="s">
        <v>9265</v>
      </c>
      <c r="AV45" s="1389" t="str">
        <f t="shared" si="1"/>
        <v>4:25</v>
      </c>
      <c r="AW45" s="1419"/>
    </row>
    <row r="46" ht="15.75" customHeight="1">
      <c r="A46" s="1378" t="s">
        <v>4253</v>
      </c>
      <c r="B46" s="1441" t="s">
        <v>8308</v>
      </c>
      <c r="C46" s="1380">
        <v>0.05100810185185185</v>
      </c>
      <c r="D46" s="1299" t="s">
        <v>9266</v>
      </c>
      <c r="E46" s="1428" t="s">
        <v>9267</v>
      </c>
      <c r="F46" s="1428" t="s">
        <v>9268</v>
      </c>
      <c r="G46" s="1446" t="s">
        <v>9269</v>
      </c>
      <c r="H46" s="1475" t="s">
        <v>9270</v>
      </c>
      <c r="I46" s="1475" t="s">
        <v>1406</v>
      </c>
      <c r="J46" s="1430" t="s">
        <v>5036</v>
      </c>
      <c r="K46" s="1430" t="s">
        <v>8941</v>
      </c>
      <c r="L46" s="1430" t="s">
        <v>4193</v>
      </c>
      <c r="M46" s="1430" t="s">
        <v>1449</v>
      </c>
      <c r="N46" s="1430" t="s">
        <v>9271</v>
      </c>
      <c r="O46" s="1430" t="s">
        <v>8456</v>
      </c>
      <c r="P46" s="1430" t="s">
        <v>9272</v>
      </c>
      <c r="Q46" s="1431" t="s">
        <v>9273</v>
      </c>
      <c r="R46" s="1431" t="s">
        <v>3169</v>
      </c>
      <c r="S46" s="1431" t="s">
        <v>6813</v>
      </c>
      <c r="T46" s="1431" t="s">
        <v>9274</v>
      </c>
      <c r="U46" s="1431" t="s">
        <v>9275</v>
      </c>
      <c r="V46" s="1448" t="s">
        <v>1358</v>
      </c>
      <c r="W46" s="1432" t="s">
        <v>9276</v>
      </c>
      <c r="X46" s="1432" t="s">
        <v>8998</v>
      </c>
      <c r="Y46" s="1432" t="s">
        <v>1181</v>
      </c>
      <c r="Z46" s="1432" t="s">
        <v>7397</v>
      </c>
      <c r="AA46" s="1432" t="s">
        <v>1022</v>
      </c>
      <c r="AB46" s="1432" t="s">
        <v>3894</v>
      </c>
      <c r="AC46" s="1449" t="s">
        <v>6444</v>
      </c>
      <c r="AD46" s="1428" t="s">
        <v>9277</v>
      </c>
      <c r="AE46" s="1446" t="s">
        <v>4793</v>
      </c>
      <c r="AF46" s="1433" t="s">
        <v>9278</v>
      </c>
      <c r="AG46" s="1433" t="s">
        <v>9279</v>
      </c>
      <c r="AH46" s="1433" t="s">
        <v>9280</v>
      </c>
      <c r="AI46" s="1433" t="s">
        <v>9281</v>
      </c>
      <c r="AJ46" s="1433" t="s">
        <v>9282</v>
      </c>
      <c r="AK46" s="1433" t="s">
        <v>9283</v>
      </c>
      <c r="AL46" s="1433" t="s">
        <v>4150</v>
      </c>
      <c r="AM46" s="1435" t="s">
        <v>9284</v>
      </c>
      <c r="AN46" s="1435" t="s">
        <v>3143</v>
      </c>
      <c r="AO46" s="1435" t="s">
        <v>9285</v>
      </c>
      <c r="AP46" s="1435" t="s">
        <v>9286</v>
      </c>
      <c r="AQ46" s="1435" t="s">
        <v>4321</v>
      </c>
      <c r="AR46" s="1435" t="s">
        <v>9287</v>
      </c>
      <c r="AS46" s="1435" t="s">
        <v>4422</v>
      </c>
      <c r="AT46" s="1430" t="s">
        <v>9288</v>
      </c>
      <c r="AU46" s="1418" t="s">
        <v>9289</v>
      </c>
      <c r="AV46" s="1389" t="str">
        <f t="shared" si="1"/>
        <v>3:17</v>
      </c>
      <c r="AW46" s="1440" t="s">
        <v>9290</v>
      </c>
    </row>
    <row r="47" ht="15.75" customHeight="1">
      <c r="A47" s="1420" t="s">
        <v>982</v>
      </c>
      <c r="B47" s="1438" t="s">
        <v>8308</v>
      </c>
      <c r="C47" s="1380">
        <v>0.05112268518518519</v>
      </c>
      <c r="D47" s="1428" t="s">
        <v>9291</v>
      </c>
      <c r="E47" s="1428" t="s">
        <v>4549</v>
      </c>
      <c r="F47" s="1428" t="s">
        <v>9292</v>
      </c>
      <c r="G47" s="1428" t="s">
        <v>9293</v>
      </c>
      <c r="H47" s="1299" t="s">
        <v>9294</v>
      </c>
      <c r="I47" s="1475" t="s">
        <v>4858</v>
      </c>
      <c r="J47" s="1430" t="s">
        <v>3814</v>
      </c>
      <c r="K47" s="1430" t="s">
        <v>9295</v>
      </c>
      <c r="L47" s="1503" t="s">
        <v>3350</v>
      </c>
      <c r="M47" s="1430" t="s">
        <v>4368</v>
      </c>
      <c r="N47" s="1430" t="s">
        <v>8975</v>
      </c>
      <c r="O47" s="1430" t="s">
        <v>9296</v>
      </c>
      <c r="P47" s="1430" t="s">
        <v>1519</v>
      </c>
      <c r="Q47" s="1431" t="s">
        <v>9297</v>
      </c>
      <c r="R47" s="1503" t="s">
        <v>9298</v>
      </c>
      <c r="S47" s="1431" t="s">
        <v>411</v>
      </c>
      <c r="T47" s="1431" t="s">
        <v>9299</v>
      </c>
      <c r="U47" s="1431" t="s">
        <v>9300</v>
      </c>
      <c r="V47" s="1431" t="s">
        <v>9301</v>
      </c>
      <c r="W47" s="1432" t="s">
        <v>9302</v>
      </c>
      <c r="X47" s="1432" t="s">
        <v>9303</v>
      </c>
      <c r="Y47" s="1504" t="s">
        <v>899</v>
      </c>
      <c r="Z47" s="1432" t="s">
        <v>9304</v>
      </c>
      <c r="AA47" s="1387" t="s">
        <v>9305</v>
      </c>
      <c r="AB47" s="1432" t="s">
        <v>7151</v>
      </c>
      <c r="AC47" s="1477" t="s">
        <v>4966</v>
      </c>
      <c r="AD47" s="1428" t="s">
        <v>9306</v>
      </c>
      <c r="AE47" s="1428" t="s">
        <v>8358</v>
      </c>
      <c r="AF47" s="1433" t="s">
        <v>8472</v>
      </c>
      <c r="AG47" s="1433" t="s">
        <v>271</v>
      </c>
      <c r="AH47" s="1433" t="s">
        <v>458</v>
      </c>
      <c r="AI47" s="1433" t="s">
        <v>9307</v>
      </c>
      <c r="AJ47" s="1433" t="s">
        <v>9308</v>
      </c>
      <c r="AK47" s="1433" t="s">
        <v>3982</v>
      </c>
      <c r="AL47" s="1433" t="s">
        <v>9309</v>
      </c>
      <c r="AM47" s="1435" t="s">
        <v>9310</v>
      </c>
      <c r="AN47" s="1495" t="s">
        <v>3559</v>
      </c>
      <c r="AO47" s="1435" t="s">
        <v>6820</v>
      </c>
      <c r="AP47" s="1435" t="s">
        <v>9311</v>
      </c>
      <c r="AQ47" s="1435" t="s">
        <v>9312</v>
      </c>
      <c r="AR47" s="1435" t="s">
        <v>9313</v>
      </c>
      <c r="AS47" s="1435" t="s">
        <v>8213</v>
      </c>
      <c r="AT47" s="1430" t="s">
        <v>9314</v>
      </c>
      <c r="AU47" s="1418" t="s">
        <v>9315</v>
      </c>
      <c r="AV47" s="1389" t="str">
        <f t="shared" si="1"/>
        <v>4:57</v>
      </c>
      <c r="AW47" s="1480"/>
    </row>
    <row r="48">
      <c r="A48" s="1420" t="s">
        <v>2288</v>
      </c>
      <c r="B48" s="1421" t="s">
        <v>8308</v>
      </c>
      <c r="C48" s="1380">
        <v>0.05112268518518519</v>
      </c>
      <c r="D48" s="1387" t="s">
        <v>9316</v>
      </c>
      <c r="E48" s="1387" t="s">
        <v>4474</v>
      </c>
      <c r="F48" s="1387" t="s">
        <v>9317</v>
      </c>
      <c r="G48" s="1465" t="s">
        <v>8312</v>
      </c>
      <c r="H48" s="1299" t="s">
        <v>9318</v>
      </c>
      <c r="I48" s="1387" t="s">
        <v>762</v>
      </c>
      <c r="J48" s="1387" t="s">
        <v>6316</v>
      </c>
      <c r="K48" s="1387" t="s">
        <v>2448</v>
      </c>
      <c r="L48" s="1387" t="s">
        <v>1358</v>
      </c>
      <c r="M48" s="1387" t="s">
        <v>9319</v>
      </c>
      <c r="N48" s="1387" t="s">
        <v>4351</v>
      </c>
      <c r="O48" s="1387" t="s">
        <v>9320</v>
      </c>
      <c r="P48" s="1387" t="s">
        <v>3334</v>
      </c>
      <c r="Q48" s="1387" t="s">
        <v>9321</v>
      </c>
      <c r="R48" s="1387" t="s">
        <v>2508</v>
      </c>
      <c r="S48" s="1387" t="s">
        <v>3498</v>
      </c>
      <c r="T48" s="1387" t="s">
        <v>7616</v>
      </c>
      <c r="U48" s="1387" t="s">
        <v>8637</v>
      </c>
      <c r="V48" s="1387" t="s">
        <v>9322</v>
      </c>
      <c r="W48" s="1387" t="s">
        <v>9323</v>
      </c>
      <c r="X48" s="1387" t="s">
        <v>1481</v>
      </c>
      <c r="Y48" s="1387" t="s">
        <v>6786</v>
      </c>
      <c r="Z48" s="1387" t="s">
        <v>8496</v>
      </c>
      <c r="AA48" s="1432" t="s">
        <v>606</v>
      </c>
      <c r="AB48" s="1387" t="s">
        <v>9324</v>
      </c>
      <c r="AC48" s="1387" t="s">
        <v>5125</v>
      </c>
      <c r="AD48" s="1387" t="s">
        <v>8685</v>
      </c>
      <c r="AE48" s="1387" t="s">
        <v>3334</v>
      </c>
      <c r="AF48" s="1387" t="s">
        <v>9325</v>
      </c>
      <c r="AG48" s="1387" t="s">
        <v>9326</v>
      </c>
      <c r="AH48" s="1387" t="s">
        <v>2472</v>
      </c>
      <c r="AI48" s="1387" t="s">
        <v>5854</v>
      </c>
      <c r="AJ48" s="1387" t="s">
        <v>9327</v>
      </c>
      <c r="AK48" s="1387" t="s">
        <v>8744</v>
      </c>
      <c r="AL48" s="1387" t="s">
        <v>9328</v>
      </c>
      <c r="AM48" s="1387" t="s">
        <v>2627</v>
      </c>
      <c r="AN48" s="1387" t="s">
        <v>9329</v>
      </c>
      <c r="AO48" s="1387" t="s">
        <v>8430</v>
      </c>
      <c r="AP48" s="1387" t="s">
        <v>9330</v>
      </c>
      <c r="AQ48" s="1387" t="s">
        <v>9331</v>
      </c>
      <c r="AR48" s="1387" t="s">
        <v>2200</v>
      </c>
      <c r="AS48" s="1387" t="s">
        <v>6783</v>
      </c>
      <c r="AT48" s="1387" t="s">
        <v>9332</v>
      </c>
      <c r="AU48" s="1387" t="s">
        <v>9333</v>
      </c>
      <c r="AV48" s="1389" t="str">
        <f t="shared" si="1"/>
        <v>3:15</v>
      </c>
      <c r="AW48" s="1505"/>
    </row>
    <row r="49" ht="15.75" customHeight="1">
      <c r="A49" s="1378" t="s">
        <v>9334</v>
      </c>
      <c r="B49" s="1506" t="s">
        <v>8280</v>
      </c>
      <c r="C49" s="1380">
        <v>0.051180555555555556</v>
      </c>
      <c r="D49" s="1299" t="s">
        <v>9335</v>
      </c>
      <c r="E49" s="1387" t="s">
        <v>9336</v>
      </c>
      <c r="F49" s="1387" t="s">
        <v>3984</v>
      </c>
      <c r="G49" s="1387" t="s">
        <v>7953</v>
      </c>
      <c r="H49" s="1387" t="s">
        <v>9337</v>
      </c>
      <c r="I49" s="1387" t="s">
        <v>160</v>
      </c>
      <c r="J49" s="1387" t="s">
        <v>969</v>
      </c>
      <c r="K49" s="1387" t="s">
        <v>8798</v>
      </c>
      <c r="L49" s="1387" t="s">
        <v>8463</v>
      </c>
      <c r="M49" s="1387" t="s">
        <v>9338</v>
      </c>
      <c r="N49" s="1387" t="s">
        <v>9339</v>
      </c>
      <c r="O49" s="1387" t="s">
        <v>9340</v>
      </c>
      <c r="P49" s="1387" t="s">
        <v>3460</v>
      </c>
      <c r="Q49" s="1387" t="s">
        <v>7019</v>
      </c>
      <c r="R49" s="1387" t="s">
        <v>9341</v>
      </c>
      <c r="S49" s="1387" t="s">
        <v>8158</v>
      </c>
      <c r="T49" s="1389" t="s">
        <v>4030</v>
      </c>
      <c r="U49" s="1389" t="s">
        <v>9342</v>
      </c>
      <c r="V49" s="1387" t="s">
        <v>1815</v>
      </c>
      <c r="W49" s="1387" t="s">
        <v>9343</v>
      </c>
      <c r="X49" s="1387" t="s">
        <v>9344</v>
      </c>
      <c r="Y49" s="1387" t="s">
        <v>8678</v>
      </c>
      <c r="Z49" s="1387" t="s">
        <v>9345</v>
      </c>
      <c r="AA49" s="1387" t="s">
        <v>9346</v>
      </c>
      <c r="AB49" s="1387" t="s">
        <v>9132</v>
      </c>
      <c r="AC49" s="1387" t="s">
        <v>932</v>
      </c>
      <c r="AD49" s="1387" t="s">
        <v>9277</v>
      </c>
      <c r="AE49" s="1387" t="s">
        <v>3555</v>
      </c>
      <c r="AF49" s="1389" t="s">
        <v>9347</v>
      </c>
      <c r="AG49" s="1387" t="s">
        <v>383</v>
      </c>
      <c r="AH49" s="1387" t="s">
        <v>9348</v>
      </c>
      <c r="AI49" s="1387" t="s">
        <v>9349</v>
      </c>
      <c r="AJ49" s="1387" t="s">
        <v>9350</v>
      </c>
      <c r="AK49" s="1387" t="s">
        <v>9351</v>
      </c>
      <c r="AL49" s="1387" t="s">
        <v>9352</v>
      </c>
      <c r="AM49" s="1387" t="s">
        <v>7129</v>
      </c>
      <c r="AN49" s="1387" t="s">
        <v>8904</v>
      </c>
      <c r="AO49" s="1402" t="str">
        <f>HYPERLINK("https://clips.twitch.tv/AltruisticEmpathicManateeDoritosChip","1:20.90")</f>
        <v>1:20.90</v>
      </c>
      <c r="AP49" s="1387" t="s">
        <v>9353</v>
      </c>
      <c r="AQ49" s="1387" t="s">
        <v>9354</v>
      </c>
      <c r="AR49" s="1387" t="s">
        <v>9355</v>
      </c>
      <c r="AS49" s="1387" t="s">
        <v>8867</v>
      </c>
      <c r="AT49" s="1387" t="s">
        <v>9356</v>
      </c>
      <c r="AU49" s="1387" t="s">
        <v>9357</v>
      </c>
      <c r="AV49" s="1389" t="str">
        <f t="shared" si="1"/>
        <v>2:40</v>
      </c>
      <c r="AW49" s="1460" t="s">
        <v>9358</v>
      </c>
    </row>
    <row r="50" ht="15.75" customHeight="1">
      <c r="A50" s="1420" t="s">
        <v>1545</v>
      </c>
      <c r="B50" s="1507" t="s">
        <v>8336</v>
      </c>
      <c r="C50" s="1508">
        <v>0.051319444444444445</v>
      </c>
      <c r="D50" s="1299" t="s">
        <v>9359</v>
      </c>
      <c r="E50" s="1389" t="s">
        <v>9360</v>
      </c>
      <c r="F50" s="1389" t="s">
        <v>9361</v>
      </c>
      <c r="G50" s="1389" t="s">
        <v>9362</v>
      </c>
      <c r="H50" s="1389" t="s">
        <v>4980</v>
      </c>
      <c r="I50" s="1389" t="s">
        <v>6219</v>
      </c>
      <c r="J50" s="1389" t="s">
        <v>9363</v>
      </c>
      <c r="K50" s="1389" t="s">
        <v>8660</v>
      </c>
      <c r="L50" s="1389" t="s">
        <v>3731</v>
      </c>
      <c r="M50" s="1389" t="s">
        <v>9151</v>
      </c>
      <c r="N50" s="1389" t="s">
        <v>8881</v>
      </c>
      <c r="O50" s="1389" t="s">
        <v>9364</v>
      </c>
      <c r="P50" s="1509" t="s">
        <v>8346</v>
      </c>
      <c r="Q50" s="1389" t="s">
        <v>9365</v>
      </c>
      <c r="R50" s="1389" t="s">
        <v>9366</v>
      </c>
      <c r="S50" s="1389" t="s">
        <v>1089</v>
      </c>
      <c r="T50" s="1389" t="s">
        <v>9138</v>
      </c>
      <c r="U50" s="1389" t="s">
        <v>126</v>
      </c>
      <c r="V50" s="1389" t="s">
        <v>446</v>
      </c>
      <c r="W50" s="1389" t="s">
        <v>9367</v>
      </c>
      <c r="X50" s="1389" t="s">
        <v>194</v>
      </c>
      <c r="Y50" s="1389" t="s">
        <v>4041</v>
      </c>
      <c r="Z50" s="1389" t="s">
        <v>7134</v>
      </c>
      <c r="AA50" s="1389" t="s">
        <v>9182</v>
      </c>
      <c r="AB50" s="1389" t="s">
        <v>4268</v>
      </c>
      <c r="AC50" s="1389" t="s">
        <v>2512</v>
      </c>
      <c r="AD50" s="1389" t="s">
        <v>9368</v>
      </c>
      <c r="AE50" s="1509" t="s">
        <v>8358</v>
      </c>
      <c r="AF50" s="1389" t="s">
        <v>2664</v>
      </c>
      <c r="AG50" s="1389" t="s">
        <v>4464</v>
      </c>
      <c r="AH50" s="1389" t="s">
        <v>9369</v>
      </c>
      <c r="AI50" s="1389" t="s">
        <v>9370</v>
      </c>
      <c r="AJ50" s="1389" t="s">
        <v>9371</v>
      </c>
      <c r="AK50" s="1389" t="s">
        <v>5824</v>
      </c>
      <c r="AL50" s="1389" t="s">
        <v>5994</v>
      </c>
      <c r="AM50" s="1509" t="s">
        <v>8363</v>
      </c>
      <c r="AN50" s="1387" t="s">
        <v>2424</v>
      </c>
      <c r="AO50" s="1389" t="s">
        <v>4790</v>
      </c>
      <c r="AP50" s="1389" t="s">
        <v>9372</v>
      </c>
      <c r="AQ50" s="1389" t="s">
        <v>9373</v>
      </c>
      <c r="AR50" s="1389" t="s">
        <v>8752</v>
      </c>
      <c r="AS50" s="1389" t="s">
        <v>4357</v>
      </c>
      <c r="AT50" s="1389" t="s">
        <v>9374</v>
      </c>
      <c r="AU50" s="1389" t="s">
        <v>9375</v>
      </c>
      <c r="AV50" s="1389" t="str">
        <f t="shared" si="1"/>
        <v>3:15</v>
      </c>
      <c r="AW50" s="1460" t="s">
        <v>9376</v>
      </c>
    </row>
    <row r="51">
      <c r="A51" s="1420" t="s">
        <v>1797</v>
      </c>
      <c r="B51" s="1438" t="s">
        <v>8280</v>
      </c>
      <c r="C51" s="1380">
        <v>0.05133101851851852</v>
      </c>
      <c r="D51" s="1491" t="s">
        <v>9377</v>
      </c>
      <c r="E51" s="1428" t="s">
        <v>9378</v>
      </c>
      <c r="F51" s="1428" t="s">
        <v>9379</v>
      </c>
      <c r="G51" s="1428" t="s">
        <v>9380</v>
      </c>
      <c r="H51" s="1475" t="s">
        <v>9381</v>
      </c>
      <c r="I51" s="1475" t="s">
        <v>2938</v>
      </c>
      <c r="J51" s="1430" t="s">
        <v>1990</v>
      </c>
      <c r="K51" s="1430" t="s">
        <v>9382</v>
      </c>
      <c r="L51" s="1430" t="s">
        <v>4018</v>
      </c>
      <c r="M51" s="1430" t="s">
        <v>9383</v>
      </c>
      <c r="N51" s="1430" t="s">
        <v>8504</v>
      </c>
      <c r="O51" s="1430" t="s">
        <v>9384</v>
      </c>
      <c r="P51" s="1430" t="s">
        <v>8460</v>
      </c>
      <c r="Q51" s="1431" t="s">
        <v>9385</v>
      </c>
      <c r="R51" s="1431" t="s">
        <v>9199</v>
      </c>
      <c r="S51" s="1431" t="s">
        <v>9386</v>
      </c>
      <c r="T51" s="1431" t="s">
        <v>9203</v>
      </c>
      <c r="U51" s="1431" t="s">
        <v>9387</v>
      </c>
      <c r="V51" s="1431" t="s">
        <v>8919</v>
      </c>
      <c r="W51" s="1432" t="s">
        <v>9388</v>
      </c>
      <c r="X51" s="1432" t="s">
        <v>9389</v>
      </c>
      <c r="Y51" s="1432" t="s">
        <v>5394</v>
      </c>
      <c r="Z51" s="1432" t="s">
        <v>1496</v>
      </c>
      <c r="AA51" s="1432" t="s">
        <v>9390</v>
      </c>
      <c r="AB51" s="1432" t="s">
        <v>6047</v>
      </c>
      <c r="AC51" s="1432" t="s">
        <v>260</v>
      </c>
      <c r="AD51" s="1428" t="s">
        <v>8708</v>
      </c>
      <c r="AE51" s="1428" t="s">
        <v>5394</v>
      </c>
      <c r="AF51" s="1433" t="s">
        <v>9391</v>
      </c>
      <c r="AG51" s="1433" t="s">
        <v>5717</v>
      </c>
      <c r="AH51" s="1433" t="s">
        <v>3800</v>
      </c>
      <c r="AI51" s="1433" t="s">
        <v>9392</v>
      </c>
      <c r="AJ51" s="1433" t="s">
        <v>9393</v>
      </c>
      <c r="AK51" s="1433" t="s">
        <v>9344</v>
      </c>
      <c r="AL51" s="1433" t="s">
        <v>3803</v>
      </c>
      <c r="AM51" s="1435" t="s">
        <v>9394</v>
      </c>
      <c r="AN51" s="1435" t="s">
        <v>3809</v>
      </c>
      <c r="AO51" s="1435" t="s">
        <v>9395</v>
      </c>
      <c r="AP51" s="1435" t="s">
        <v>9396</v>
      </c>
      <c r="AQ51" s="1435" t="s">
        <v>8957</v>
      </c>
      <c r="AR51" s="1435" t="s">
        <v>9397</v>
      </c>
      <c r="AS51" s="1435" t="s">
        <v>9398</v>
      </c>
      <c r="AT51" s="1430" t="s">
        <v>9399</v>
      </c>
      <c r="AU51" s="1418" t="s">
        <v>9400</v>
      </c>
      <c r="AV51" s="1389" t="str">
        <f t="shared" si="1"/>
        <v>1:34</v>
      </c>
      <c r="AW51" s="1480"/>
    </row>
    <row r="52">
      <c r="A52" s="1420" t="s">
        <v>2812</v>
      </c>
      <c r="B52" s="1438" t="s">
        <v>8280</v>
      </c>
      <c r="C52" s="1380">
        <v>0.05134259259259259</v>
      </c>
      <c r="D52" s="1428" t="s">
        <v>9401</v>
      </c>
      <c r="E52" s="1428" t="s">
        <v>6216</v>
      </c>
      <c r="F52" s="1428" t="s">
        <v>9402</v>
      </c>
      <c r="G52" s="1428" t="s">
        <v>9403</v>
      </c>
      <c r="H52" s="1428" t="s">
        <v>9404</v>
      </c>
      <c r="I52" s="1428" t="s">
        <v>1286</v>
      </c>
      <c r="J52" s="1430" t="s">
        <v>4879</v>
      </c>
      <c r="K52" s="1430" t="s">
        <v>7014</v>
      </c>
      <c r="L52" s="1430" t="s">
        <v>4732</v>
      </c>
      <c r="M52" s="1430" t="s">
        <v>3343</v>
      </c>
      <c r="N52" s="1430" t="s">
        <v>1923</v>
      </c>
      <c r="O52" s="1430" t="s">
        <v>9405</v>
      </c>
      <c r="P52" s="1430" t="s">
        <v>4420</v>
      </c>
      <c r="Q52" s="1431" t="s">
        <v>9406</v>
      </c>
      <c r="R52" s="1431" t="s">
        <v>2543</v>
      </c>
      <c r="S52" s="1431" t="s">
        <v>9407</v>
      </c>
      <c r="T52" s="1431" t="s">
        <v>9408</v>
      </c>
      <c r="U52" s="1431" t="s">
        <v>9300</v>
      </c>
      <c r="V52" s="1431" t="s">
        <v>9409</v>
      </c>
      <c r="W52" s="1432" t="s">
        <v>9410</v>
      </c>
      <c r="X52" s="1432" t="s">
        <v>8359</v>
      </c>
      <c r="Y52" s="1432" t="s">
        <v>8970</v>
      </c>
      <c r="Z52" s="1432" t="s">
        <v>2862</v>
      </c>
      <c r="AA52" s="1387" t="s">
        <v>584</v>
      </c>
      <c r="AB52" s="1432" t="s">
        <v>8702</v>
      </c>
      <c r="AC52" s="1432" t="s">
        <v>8839</v>
      </c>
      <c r="AD52" s="1428" t="s">
        <v>9411</v>
      </c>
      <c r="AE52" s="1428" t="s">
        <v>9412</v>
      </c>
      <c r="AF52" s="1433" t="s">
        <v>9413</v>
      </c>
      <c r="AG52" s="1433" t="s">
        <v>9414</v>
      </c>
      <c r="AH52" s="1433" t="s">
        <v>1822</v>
      </c>
      <c r="AI52" s="1433" t="s">
        <v>416</v>
      </c>
      <c r="AJ52" s="1433" t="s">
        <v>9415</v>
      </c>
      <c r="AK52" s="1433" t="s">
        <v>9416</v>
      </c>
      <c r="AL52" s="1433" t="s">
        <v>5487</v>
      </c>
      <c r="AM52" s="1435" t="s">
        <v>9417</v>
      </c>
      <c r="AN52" s="1435" t="s">
        <v>6170</v>
      </c>
      <c r="AO52" s="1435" t="s">
        <v>9418</v>
      </c>
      <c r="AP52" s="1435" t="s">
        <v>9419</v>
      </c>
      <c r="AQ52" s="1435" t="s">
        <v>8957</v>
      </c>
      <c r="AR52" s="1435" t="s">
        <v>9420</v>
      </c>
      <c r="AS52" s="1435" t="s">
        <v>1821</v>
      </c>
      <c r="AT52" s="1430" t="s">
        <v>9421</v>
      </c>
      <c r="AU52" s="1418" t="s">
        <v>9333</v>
      </c>
      <c r="AV52" s="1389" t="str">
        <f t="shared" si="1"/>
        <v>2:56</v>
      </c>
      <c r="AW52" s="1440" t="s">
        <v>9422</v>
      </c>
    </row>
    <row r="53" ht="15.75" customHeight="1">
      <c r="A53" s="1394" t="s">
        <v>1411</v>
      </c>
      <c r="B53" s="1507" t="s">
        <v>8336</v>
      </c>
      <c r="C53" s="1508">
        <v>0.05134259259259259</v>
      </c>
      <c r="D53" s="1299" t="s">
        <v>9423</v>
      </c>
      <c r="E53" s="1446" t="s">
        <v>9424</v>
      </c>
      <c r="F53" s="1446" t="s">
        <v>9402</v>
      </c>
      <c r="G53" s="1446" t="s">
        <v>9425</v>
      </c>
      <c r="H53" s="1429" t="s">
        <v>9426</v>
      </c>
      <c r="I53" s="1510" t="s">
        <v>347</v>
      </c>
      <c r="J53" s="1447" t="s">
        <v>9427</v>
      </c>
      <c r="K53" s="1447" t="s">
        <v>3634</v>
      </c>
      <c r="L53" s="1511" t="s">
        <v>3529</v>
      </c>
      <c r="M53" s="1447" t="s">
        <v>5533</v>
      </c>
      <c r="N53" s="1447" t="s">
        <v>9428</v>
      </c>
      <c r="O53" s="1511" t="s">
        <v>8345</v>
      </c>
      <c r="P53" s="1447" t="s">
        <v>384</v>
      </c>
      <c r="Q53" s="1448" t="s">
        <v>9429</v>
      </c>
      <c r="R53" s="1448" t="s">
        <v>9430</v>
      </c>
      <c r="S53" s="1448" t="s">
        <v>9431</v>
      </c>
      <c r="T53" s="1512" t="s">
        <v>8349</v>
      </c>
      <c r="U53" s="1448" t="s">
        <v>9432</v>
      </c>
      <c r="V53" s="1448" t="s">
        <v>3802</v>
      </c>
      <c r="W53" s="1513" t="s">
        <v>8352</v>
      </c>
      <c r="X53" s="1449" t="s">
        <v>4129</v>
      </c>
      <c r="Y53" s="1449" t="s">
        <v>6219</v>
      </c>
      <c r="Z53" s="1449" t="s">
        <v>7388</v>
      </c>
      <c r="AA53" s="1449" t="s">
        <v>8785</v>
      </c>
      <c r="AB53" s="1513" t="s">
        <v>8356</v>
      </c>
      <c r="AC53" s="1449" t="s">
        <v>6328</v>
      </c>
      <c r="AD53" s="1435" t="s">
        <v>9433</v>
      </c>
      <c r="AE53" s="1446" t="s">
        <v>9434</v>
      </c>
      <c r="AF53" s="1450" t="s">
        <v>9435</v>
      </c>
      <c r="AG53" s="1450" t="s">
        <v>9436</v>
      </c>
      <c r="AH53" s="1450" t="s">
        <v>9437</v>
      </c>
      <c r="AI53" s="1450" t="s">
        <v>9438</v>
      </c>
      <c r="AJ53" s="1450" t="s">
        <v>9439</v>
      </c>
      <c r="AK53" s="1514" t="s">
        <v>8361</v>
      </c>
      <c r="AL53" s="1450" t="s">
        <v>9440</v>
      </c>
      <c r="AM53" s="1434" t="s">
        <v>9326</v>
      </c>
      <c r="AN53" s="1435" t="s">
        <v>4176</v>
      </c>
      <c r="AO53" s="1434" t="s">
        <v>9441</v>
      </c>
      <c r="AP53" s="1434" t="s">
        <v>9442</v>
      </c>
      <c r="AQ53" s="1434" t="s">
        <v>9443</v>
      </c>
      <c r="AR53" s="1434" t="s">
        <v>8375</v>
      </c>
      <c r="AS53" s="1434" t="s">
        <v>4537</v>
      </c>
      <c r="AT53" s="1447" t="s">
        <v>9444</v>
      </c>
      <c r="AU53" s="1451" t="s">
        <v>9445</v>
      </c>
      <c r="AV53" s="1389" t="str">
        <f t="shared" si="1"/>
        <v>1:58</v>
      </c>
      <c r="AW53" s="1480"/>
    </row>
    <row r="54" ht="15.75" customHeight="1">
      <c r="A54" s="1378" t="s">
        <v>3382</v>
      </c>
      <c r="B54" s="1379" t="s">
        <v>8280</v>
      </c>
      <c r="C54" s="1481">
        <v>0.05134259259259259</v>
      </c>
      <c r="D54" s="1299" t="s">
        <v>9446</v>
      </c>
      <c r="E54" s="1389" t="s">
        <v>9447</v>
      </c>
      <c r="F54" s="1389" t="s">
        <v>9448</v>
      </c>
      <c r="G54" s="1389" t="s">
        <v>7417</v>
      </c>
      <c r="H54" s="1389" t="s">
        <v>4156</v>
      </c>
      <c r="I54" s="1389" t="s">
        <v>5997</v>
      </c>
      <c r="J54" s="1389" t="s">
        <v>9449</v>
      </c>
      <c r="K54" s="1389" t="s">
        <v>3643</v>
      </c>
      <c r="L54" s="1389" t="s">
        <v>9450</v>
      </c>
      <c r="M54" s="1389" t="s">
        <v>9451</v>
      </c>
      <c r="N54" s="1389" t="s">
        <v>2745</v>
      </c>
      <c r="O54" s="1389" t="s">
        <v>9452</v>
      </c>
      <c r="P54" s="1389" t="s">
        <v>1152</v>
      </c>
      <c r="Q54" s="1389" t="s">
        <v>2414</v>
      </c>
      <c r="R54" s="1389" t="s">
        <v>9199</v>
      </c>
      <c r="S54" s="1389" t="s">
        <v>9010</v>
      </c>
      <c r="T54" s="1389" t="s">
        <v>9453</v>
      </c>
      <c r="U54" s="1389" t="s">
        <v>9454</v>
      </c>
      <c r="V54" s="1389" t="s">
        <v>8320</v>
      </c>
      <c r="W54" s="1389" t="s">
        <v>9455</v>
      </c>
      <c r="X54" s="1389" t="s">
        <v>9064</v>
      </c>
      <c r="Y54" s="1389" t="s">
        <v>384</v>
      </c>
      <c r="Z54" s="1389" t="s">
        <v>6813</v>
      </c>
      <c r="AA54" s="1389" t="s">
        <v>8952</v>
      </c>
      <c r="AB54" s="1389" t="s">
        <v>8402</v>
      </c>
      <c r="AC54" s="1389" t="s">
        <v>932</v>
      </c>
      <c r="AD54" s="1389" t="s">
        <v>9456</v>
      </c>
      <c r="AE54" s="1389" t="s">
        <v>384</v>
      </c>
      <c r="AF54" s="1389" t="s">
        <v>9457</v>
      </c>
      <c r="AG54" s="1389" t="s">
        <v>9458</v>
      </c>
      <c r="AH54" s="1389" t="s">
        <v>5094</v>
      </c>
      <c r="AI54" s="1389" t="s">
        <v>9459</v>
      </c>
      <c r="AJ54" s="1389" t="s">
        <v>9393</v>
      </c>
      <c r="AK54" s="1389" t="s">
        <v>7157</v>
      </c>
      <c r="AL54" s="1389" t="s">
        <v>4288</v>
      </c>
      <c r="AM54" s="1389" t="s">
        <v>3980</v>
      </c>
      <c r="AN54" s="1389" t="s">
        <v>9460</v>
      </c>
      <c r="AO54" s="1389" t="s">
        <v>8497</v>
      </c>
      <c r="AP54" s="1389" t="s">
        <v>9461</v>
      </c>
      <c r="AQ54" s="1389" t="s">
        <v>9462</v>
      </c>
      <c r="AR54" s="1389" t="s">
        <v>9463</v>
      </c>
      <c r="AS54" s="1434" t="s">
        <v>4211</v>
      </c>
      <c r="AT54" s="1389" t="s">
        <v>9464</v>
      </c>
      <c r="AU54" s="1389" t="s">
        <v>8639</v>
      </c>
      <c r="AV54" s="1389" t="str">
        <f t="shared" si="1"/>
        <v>2:27</v>
      </c>
      <c r="AW54" s="1460"/>
    </row>
    <row r="55" ht="15.75" customHeight="1">
      <c r="A55" s="1420" t="s">
        <v>1340</v>
      </c>
      <c r="B55" s="1421" t="s">
        <v>8336</v>
      </c>
      <c r="C55" s="1498">
        <v>0.05140046296296296</v>
      </c>
      <c r="D55" s="1387" t="s">
        <v>9465</v>
      </c>
      <c r="E55" s="1387" t="s">
        <v>1571</v>
      </c>
      <c r="F55" s="1387" t="s">
        <v>9466</v>
      </c>
      <c r="G55" s="1500" t="s">
        <v>8340</v>
      </c>
      <c r="H55" s="1299" t="s">
        <v>9467</v>
      </c>
      <c r="I55" s="1387" t="s">
        <v>1669</v>
      </c>
      <c r="J55" s="1500" t="s">
        <v>8342</v>
      </c>
      <c r="K55" s="1387" t="s">
        <v>9468</v>
      </c>
      <c r="L55" s="1387" t="s">
        <v>9469</v>
      </c>
      <c r="M55" s="1500" t="s">
        <v>8343</v>
      </c>
      <c r="N55" s="1387" t="s">
        <v>9470</v>
      </c>
      <c r="O55" s="1387" t="s">
        <v>3365</v>
      </c>
      <c r="P55" s="1387" t="s">
        <v>1044</v>
      </c>
      <c r="Q55" s="1387" t="s">
        <v>9297</v>
      </c>
      <c r="R55" s="1387" t="s">
        <v>9471</v>
      </c>
      <c r="S55" s="1387" t="s">
        <v>9472</v>
      </c>
      <c r="T55" s="1387" t="s">
        <v>9473</v>
      </c>
      <c r="U55" s="1387" t="s">
        <v>9214</v>
      </c>
      <c r="V55" s="1387" t="s">
        <v>5635</v>
      </c>
      <c r="W55" s="1387" t="s">
        <v>9474</v>
      </c>
      <c r="X55" s="1387" t="s">
        <v>621</v>
      </c>
      <c r="Y55" s="1387" t="s">
        <v>9475</v>
      </c>
      <c r="Z55" s="1387" t="s">
        <v>9476</v>
      </c>
      <c r="AA55" s="1515" t="s">
        <v>8355</v>
      </c>
      <c r="AB55" s="1387" t="s">
        <v>5799</v>
      </c>
      <c r="AC55" s="1387" t="s">
        <v>4957</v>
      </c>
      <c r="AD55" s="1387" t="s">
        <v>8620</v>
      </c>
      <c r="AE55" s="1387" t="s">
        <v>2549</v>
      </c>
      <c r="AF55" s="1500" t="s">
        <v>3309</v>
      </c>
      <c r="AG55" s="1500" t="s">
        <v>4521</v>
      </c>
      <c r="AH55" s="1500" t="s">
        <v>5103</v>
      </c>
      <c r="AI55" s="1387" t="s">
        <v>9477</v>
      </c>
      <c r="AJ55" s="1387" t="s">
        <v>9478</v>
      </c>
      <c r="AK55" s="1387" t="s">
        <v>7366</v>
      </c>
      <c r="AL55" s="1387" t="s">
        <v>3730</v>
      </c>
      <c r="AM55" s="1387" t="s">
        <v>9479</v>
      </c>
      <c r="AN55" s="1387" t="s">
        <v>3407</v>
      </c>
      <c r="AO55" s="1500" t="s">
        <v>8365</v>
      </c>
      <c r="AP55" s="1516" t="s">
        <v>8366</v>
      </c>
      <c r="AQ55" s="1387" t="s">
        <v>3579</v>
      </c>
      <c r="AR55" s="1387" t="s">
        <v>9480</v>
      </c>
      <c r="AS55" s="1387" t="s">
        <v>5067</v>
      </c>
      <c r="AT55" s="1387" t="s">
        <v>9481</v>
      </c>
      <c r="AU55" s="1387" t="s">
        <v>8639</v>
      </c>
      <c r="AV55" s="1389" t="str">
        <f t="shared" si="1"/>
        <v>2:22</v>
      </c>
      <c r="AW55" s="1424" t="s">
        <v>9482</v>
      </c>
    </row>
    <row r="56" ht="15.75" customHeight="1">
      <c r="A56" s="1420" t="s">
        <v>7627</v>
      </c>
      <c r="B56" s="1497" t="s">
        <v>8280</v>
      </c>
      <c r="C56" s="1517">
        <v>0.05143518518518519</v>
      </c>
      <c r="D56" s="1428" t="s">
        <v>9483</v>
      </c>
      <c r="E56" s="1428" t="s">
        <v>4474</v>
      </c>
      <c r="F56" s="1428" t="s">
        <v>9484</v>
      </c>
      <c r="G56" s="1428" t="s">
        <v>8722</v>
      </c>
      <c r="H56" s="1475" t="s">
        <v>9485</v>
      </c>
      <c r="I56" s="1475" t="s">
        <v>6779</v>
      </c>
      <c r="J56" s="1430" t="s">
        <v>8941</v>
      </c>
      <c r="K56" s="1430" t="s">
        <v>9486</v>
      </c>
      <c r="L56" s="1430" t="s">
        <v>4520</v>
      </c>
      <c r="M56" s="1430" t="s">
        <v>7340</v>
      </c>
      <c r="N56" s="1518" t="s">
        <v>1091</v>
      </c>
      <c r="O56" s="1430" t="s">
        <v>3691</v>
      </c>
      <c r="P56" s="1430" t="s">
        <v>407</v>
      </c>
      <c r="Q56" s="1431" t="s">
        <v>9487</v>
      </c>
      <c r="R56" s="1431" t="s">
        <v>8899</v>
      </c>
      <c r="S56" s="1431" t="s">
        <v>9488</v>
      </c>
      <c r="T56" s="1431" t="s">
        <v>9202</v>
      </c>
      <c r="U56" s="1431" t="s">
        <v>8956</v>
      </c>
      <c r="V56" s="1431" t="s">
        <v>2152</v>
      </c>
      <c r="W56" s="1432" t="s">
        <v>5491</v>
      </c>
      <c r="X56" s="1432" t="s">
        <v>9281</v>
      </c>
      <c r="Y56" s="1432" t="s">
        <v>3075</v>
      </c>
      <c r="Z56" s="1432" t="s">
        <v>9489</v>
      </c>
      <c r="AA56" s="1432" t="s">
        <v>9281</v>
      </c>
      <c r="AB56" s="1432" t="s">
        <v>9080</v>
      </c>
      <c r="AC56" s="1432" t="s">
        <v>478</v>
      </c>
      <c r="AD56" s="1428" t="s">
        <v>9490</v>
      </c>
      <c r="AE56" s="1428" t="s">
        <v>5052</v>
      </c>
      <c r="AF56" s="1433" t="s">
        <v>9491</v>
      </c>
      <c r="AG56" s="1433" t="s">
        <v>9492</v>
      </c>
      <c r="AH56" s="1433" t="s">
        <v>3878</v>
      </c>
      <c r="AI56" s="1433" t="s">
        <v>9492</v>
      </c>
      <c r="AJ56" s="1433" t="s">
        <v>9493</v>
      </c>
      <c r="AK56" s="1519" t="s">
        <v>4464</v>
      </c>
      <c r="AL56" s="1433" t="s">
        <v>4232</v>
      </c>
      <c r="AM56" s="1435" t="s">
        <v>9494</v>
      </c>
      <c r="AN56" s="1435" t="s">
        <v>563</v>
      </c>
      <c r="AO56" s="1435" t="s">
        <v>3468</v>
      </c>
      <c r="AP56" s="1435" t="s">
        <v>9495</v>
      </c>
      <c r="AQ56" s="1299" t="s">
        <v>4423</v>
      </c>
      <c r="AR56" s="1520" t="s">
        <v>8548</v>
      </c>
      <c r="AS56" s="1435" t="s">
        <v>9496</v>
      </c>
      <c r="AT56" s="1430" t="s">
        <v>9497</v>
      </c>
      <c r="AU56" s="1418" t="s">
        <v>9498</v>
      </c>
      <c r="AV56" s="1389" t="str">
        <f t="shared" si="1"/>
        <v>4:08</v>
      </c>
      <c r="AW56" s="1440" t="s">
        <v>9499</v>
      </c>
    </row>
    <row r="57">
      <c r="A57" s="1521" t="s">
        <v>3937</v>
      </c>
      <c r="B57" s="1438" t="s">
        <v>8280</v>
      </c>
      <c r="C57" s="1522">
        <v>0.05148148148148148</v>
      </c>
      <c r="D57" s="1299" t="s">
        <v>9500</v>
      </c>
      <c r="E57" s="1428" t="s">
        <v>4474</v>
      </c>
      <c r="F57" s="1523" t="s">
        <v>6971</v>
      </c>
      <c r="G57" s="1428" t="s">
        <v>9244</v>
      </c>
      <c r="H57" s="1524" t="s">
        <v>3656</v>
      </c>
      <c r="I57" s="1475" t="s">
        <v>9501</v>
      </c>
      <c r="J57" s="1430" t="s">
        <v>8437</v>
      </c>
      <c r="K57" s="1430" t="s">
        <v>9502</v>
      </c>
      <c r="L57" s="1430" t="s">
        <v>2976</v>
      </c>
      <c r="M57" s="1525" t="s">
        <v>4368</v>
      </c>
      <c r="N57" s="1525" t="s">
        <v>9503</v>
      </c>
      <c r="O57" s="1430" t="s">
        <v>9504</v>
      </c>
      <c r="P57" s="1430" t="s">
        <v>9505</v>
      </c>
      <c r="Q57" s="1526" t="s">
        <v>715</v>
      </c>
      <c r="R57" s="1431" t="s">
        <v>9506</v>
      </c>
      <c r="S57" s="1526" t="s">
        <v>4043</v>
      </c>
      <c r="T57" s="1431" t="s">
        <v>9507</v>
      </c>
      <c r="U57" s="1431" t="s">
        <v>9508</v>
      </c>
      <c r="V57" s="1526" t="s">
        <v>9509</v>
      </c>
      <c r="W57" s="1527" t="s">
        <v>9510</v>
      </c>
      <c r="X57" s="1432" t="s">
        <v>9511</v>
      </c>
      <c r="Y57" s="1527" t="s">
        <v>6790</v>
      </c>
      <c r="Z57" s="1527" t="s">
        <v>2943</v>
      </c>
      <c r="AA57" s="1468" t="s">
        <v>508</v>
      </c>
      <c r="AB57" s="1527" t="s">
        <v>9512</v>
      </c>
      <c r="AC57" s="1527" t="s">
        <v>2840</v>
      </c>
      <c r="AD57" s="1523" t="s">
        <v>9513</v>
      </c>
      <c r="AE57" s="1523" t="s">
        <v>9412</v>
      </c>
      <c r="AF57" s="1528" t="s">
        <v>1285</v>
      </c>
      <c r="AG57" s="1528" t="s">
        <v>287</v>
      </c>
      <c r="AH57" s="1528" t="s">
        <v>1822</v>
      </c>
      <c r="AI57" s="1528" t="s">
        <v>173</v>
      </c>
      <c r="AJ57" s="1528" t="s">
        <v>9514</v>
      </c>
      <c r="AK57" s="1528" t="s">
        <v>9515</v>
      </c>
      <c r="AL57" s="1528" t="s">
        <v>9516</v>
      </c>
      <c r="AM57" s="1529" t="s">
        <v>3667</v>
      </c>
      <c r="AN57" s="1529" t="s">
        <v>5648</v>
      </c>
      <c r="AO57" s="1529" t="s">
        <v>2108</v>
      </c>
      <c r="AP57" s="1529" t="s">
        <v>337</v>
      </c>
      <c r="AQ57" s="1529" t="s">
        <v>9231</v>
      </c>
      <c r="AR57" s="1529" t="s">
        <v>9517</v>
      </c>
      <c r="AS57" s="1529" t="s">
        <v>9518</v>
      </c>
      <c r="AT57" s="1525" t="s">
        <v>9519</v>
      </c>
      <c r="AU57" s="1418" t="s">
        <v>9520</v>
      </c>
      <c r="AV57" s="1451" t="str">
        <f t="shared" si="1"/>
        <v>3:08</v>
      </c>
      <c r="AW57" s="1480"/>
    </row>
    <row r="58" ht="15.75" customHeight="1">
      <c r="A58" s="1420" t="s">
        <v>3788</v>
      </c>
      <c r="B58" s="1438" t="s">
        <v>8280</v>
      </c>
      <c r="C58" s="1380">
        <v>0.05153935185185185</v>
      </c>
      <c r="D58" s="1459" t="s">
        <v>9521</v>
      </c>
      <c r="E58" s="1459" t="s">
        <v>6495</v>
      </c>
      <c r="F58" s="1459" t="s">
        <v>9522</v>
      </c>
      <c r="G58" s="1459" t="s">
        <v>4798</v>
      </c>
      <c r="H58" s="1299" t="s">
        <v>9523</v>
      </c>
      <c r="I58" s="1459" t="s">
        <v>1286</v>
      </c>
      <c r="J58" s="1459" t="s">
        <v>9524</v>
      </c>
      <c r="K58" s="1459" t="s">
        <v>3376</v>
      </c>
      <c r="L58" s="1459" t="s">
        <v>4056</v>
      </c>
      <c r="M58" s="1459" t="s">
        <v>6941</v>
      </c>
      <c r="N58" s="1459" t="s">
        <v>9525</v>
      </c>
      <c r="O58" s="1459" t="s">
        <v>3521</v>
      </c>
      <c r="P58" s="1459" t="s">
        <v>6786</v>
      </c>
      <c r="Q58" s="1459" t="s">
        <v>9526</v>
      </c>
      <c r="R58" s="1459" t="s">
        <v>3169</v>
      </c>
      <c r="S58" s="1530" t="s">
        <v>9148</v>
      </c>
      <c r="T58" s="1459" t="s">
        <v>8903</v>
      </c>
      <c r="U58" s="1459" t="s">
        <v>9527</v>
      </c>
      <c r="V58" s="1459" t="s">
        <v>1701</v>
      </c>
      <c r="W58" s="1459" t="s">
        <v>9528</v>
      </c>
      <c r="X58" s="1459" t="s">
        <v>156</v>
      </c>
      <c r="Y58" s="1459" t="s">
        <v>2570</v>
      </c>
      <c r="Z58" s="1459" t="s">
        <v>7125</v>
      </c>
      <c r="AA58" s="1459" t="s">
        <v>891</v>
      </c>
      <c r="AB58" s="1459" t="s">
        <v>9529</v>
      </c>
      <c r="AC58" s="1459" t="s">
        <v>4957</v>
      </c>
      <c r="AD58" s="1459" t="s">
        <v>9530</v>
      </c>
      <c r="AE58" s="1459" t="s">
        <v>3678</v>
      </c>
      <c r="AF58" s="1531" t="s">
        <v>9531</v>
      </c>
      <c r="AG58" s="1459" t="s">
        <v>9532</v>
      </c>
      <c r="AH58" s="1459" t="s">
        <v>9533</v>
      </c>
      <c r="AI58" s="1459" t="s">
        <v>9534</v>
      </c>
      <c r="AJ58" s="1459" t="s">
        <v>9535</v>
      </c>
      <c r="AK58" s="1459" t="s">
        <v>4954</v>
      </c>
      <c r="AL58" s="1459" t="s">
        <v>9328</v>
      </c>
      <c r="AM58" s="1459" t="s">
        <v>9477</v>
      </c>
      <c r="AN58" s="1459" t="s">
        <v>2538</v>
      </c>
      <c r="AO58" s="1459" t="s">
        <v>5641</v>
      </c>
      <c r="AP58" s="1530" t="s">
        <v>9263</v>
      </c>
      <c r="AQ58" s="1459" t="s">
        <v>9536</v>
      </c>
      <c r="AR58" s="1459" t="s">
        <v>4879</v>
      </c>
      <c r="AS58" s="1459" t="s">
        <v>8867</v>
      </c>
      <c r="AT58" s="1459" t="s">
        <v>9537</v>
      </c>
      <c r="AU58" s="1459" t="s">
        <v>9538</v>
      </c>
      <c r="AV58" s="1532" t="str">
        <f t="shared" si="1"/>
        <v>2:41</v>
      </c>
      <c r="AW58" s="1533" t="s">
        <v>9539</v>
      </c>
    </row>
    <row r="59" ht="15.75" customHeight="1">
      <c r="A59" s="1378" t="s">
        <v>1874</v>
      </c>
      <c r="B59" s="1379" t="s">
        <v>8280</v>
      </c>
      <c r="C59" s="1380">
        <v>0.05157407407407407</v>
      </c>
      <c r="D59" s="1299" t="s">
        <v>9540</v>
      </c>
      <c r="E59" s="1428" t="s">
        <v>9541</v>
      </c>
      <c r="F59" s="1428" t="s">
        <v>9542</v>
      </c>
      <c r="G59" s="1446" t="s">
        <v>8964</v>
      </c>
      <c r="H59" s="1429" t="s">
        <v>9543</v>
      </c>
      <c r="I59" s="1429" t="s">
        <v>2014</v>
      </c>
      <c r="J59" s="1447" t="s">
        <v>5365</v>
      </c>
      <c r="K59" s="1447" t="s">
        <v>3240</v>
      </c>
      <c r="L59" s="1447" t="s">
        <v>9544</v>
      </c>
      <c r="M59" s="1447" t="s">
        <v>9196</v>
      </c>
      <c r="N59" s="1447" t="s">
        <v>1225</v>
      </c>
      <c r="O59" s="1447" t="s">
        <v>9474</v>
      </c>
      <c r="P59" s="1447" t="s">
        <v>8552</v>
      </c>
      <c r="Q59" s="1448" t="s">
        <v>9545</v>
      </c>
      <c r="R59" s="1448" t="s">
        <v>9546</v>
      </c>
      <c r="S59" s="1448" t="s">
        <v>9547</v>
      </c>
      <c r="T59" s="1448" t="s">
        <v>7129</v>
      </c>
      <c r="U59" s="1448" t="s">
        <v>7059</v>
      </c>
      <c r="V59" s="1448" t="s">
        <v>5013</v>
      </c>
      <c r="W59" s="1449" t="s">
        <v>9548</v>
      </c>
      <c r="X59" s="1449" t="s">
        <v>9549</v>
      </c>
      <c r="Y59" s="1449" t="s">
        <v>4041</v>
      </c>
      <c r="Z59" s="1449" t="s">
        <v>8356</v>
      </c>
      <c r="AA59" s="1449" t="s">
        <v>5854</v>
      </c>
      <c r="AB59" s="1449" t="s">
        <v>5561</v>
      </c>
      <c r="AC59" s="1449" t="s">
        <v>9550</v>
      </c>
      <c r="AD59" s="1428" t="s">
        <v>9551</v>
      </c>
      <c r="AE59" s="1446" t="s">
        <v>5415</v>
      </c>
      <c r="AF59" s="1450" t="s">
        <v>9552</v>
      </c>
      <c r="AG59" s="1450" t="s">
        <v>9553</v>
      </c>
      <c r="AH59" s="1450" t="s">
        <v>9554</v>
      </c>
      <c r="AI59" s="1450" t="s">
        <v>1035</v>
      </c>
      <c r="AJ59" s="1450" t="s">
        <v>9555</v>
      </c>
      <c r="AK59" s="1433" t="s">
        <v>621</v>
      </c>
      <c r="AL59" s="1433" t="s">
        <v>9556</v>
      </c>
      <c r="AM59" s="1434" t="s">
        <v>3307</v>
      </c>
      <c r="AN59" s="1434" t="s">
        <v>9557</v>
      </c>
      <c r="AO59" s="1434" t="s">
        <v>9558</v>
      </c>
      <c r="AP59" s="1434" t="s">
        <v>9559</v>
      </c>
      <c r="AQ59" s="1434" t="s">
        <v>9560</v>
      </c>
      <c r="AR59" s="1435" t="s">
        <v>7625</v>
      </c>
      <c r="AS59" s="1434" t="s">
        <v>4211</v>
      </c>
      <c r="AT59" s="1447" t="s">
        <v>9561</v>
      </c>
      <c r="AU59" s="1451" t="s">
        <v>9562</v>
      </c>
      <c r="AV59" s="1389" t="str">
        <f t="shared" si="1"/>
        <v>4:40</v>
      </c>
      <c r="AW59" s="1480" t="s">
        <v>9563</v>
      </c>
    </row>
    <row r="60" ht="15.75" customHeight="1">
      <c r="A60" s="1420" t="s">
        <v>9564</v>
      </c>
      <c r="B60" s="1438" t="s">
        <v>8280</v>
      </c>
      <c r="C60" s="1380">
        <v>0.051631944444444446</v>
      </c>
      <c r="D60" s="1428" t="s">
        <v>9565</v>
      </c>
      <c r="E60" s="1428" t="s">
        <v>6377</v>
      </c>
      <c r="F60" s="1428" t="s">
        <v>9169</v>
      </c>
      <c r="G60" s="1428" t="s">
        <v>9566</v>
      </c>
      <c r="H60" s="1475" t="s">
        <v>9567</v>
      </c>
      <c r="I60" s="1475" t="s">
        <v>9568</v>
      </c>
      <c r="J60" s="1430" t="s">
        <v>9569</v>
      </c>
      <c r="K60" s="1430" t="s">
        <v>7366</v>
      </c>
      <c r="L60" s="1430" t="s">
        <v>4376</v>
      </c>
      <c r="M60" s="1430" t="s">
        <v>9570</v>
      </c>
      <c r="N60" s="1430" t="s">
        <v>8900</v>
      </c>
      <c r="O60" s="1430" t="s">
        <v>9571</v>
      </c>
      <c r="P60" s="1430" t="s">
        <v>6410</v>
      </c>
      <c r="Q60" s="1431" t="s">
        <v>9572</v>
      </c>
      <c r="R60" s="1431" t="s">
        <v>9366</v>
      </c>
      <c r="S60" s="1431" t="s">
        <v>5495</v>
      </c>
      <c r="T60" s="1431" t="s">
        <v>5977</v>
      </c>
      <c r="U60" s="1431" t="s">
        <v>9573</v>
      </c>
      <c r="V60" s="1431" t="s">
        <v>9574</v>
      </c>
      <c r="W60" s="1432" t="s">
        <v>9575</v>
      </c>
      <c r="X60" s="1432" t="s">
        <v>621</v>
      </c>
      <c r="Y60" s="1432" t="s">
        <v>5002</v>
      </c>
      <c r="Z60" s="1432" t="s">
        <v>9576</v>
      </c>
      <c r="AA60" s="1387" t="s">
        <v>1755</v>
      </c>
      <c r="AB60" s="1432" t="s">
        <v>9159</v>
      </c>
      <c r="AC60" s="1432" t="s">
        <v>4606</v>
      </c>
      <c r="AD60" s="1428" t="s">
        <v>9577</v>
      </c>
      <c r="AE60" s="1428" t="s">
        <v>8775</v>
      </c>
      <c r="AF60" s="1534" t="s">
        <v>9578</v>
      </c>
      <c r="AG60" s="1433" t="s">
        <v>6473</v>
      </c>
      <c r="AH60" s="1433" t="s">
        <v>9554</v>
      </c>
      <c r="AI60" s="1433" t="s">
        <v>3031</v>
      </c>
      <c r="AJ60" s="1433" t="s">
        <v>9579</v>
      </c>
      <c r="AK60" s="1433" t="s">
        <v>1516</v>
      </c>
      <c r="AL60" s="1433" t="s">
        <v>4364</v>
      </c>
      <c r="AM60" s="1435" t="s">
        <v>5854</v>
      </c>
      <c r="AN60" s="1435" t="s">
        <v>5487</v>
      </c>
      <c r="AO60" s="1435" t="s">
        <v>6315</v>
      </c>
      <c r="AP60" s="1435" t="s">
        <v>9580</v>
      </c>
      <c r="AQ60" s="1435" t="s">
        <v>3247</v>
      </c>
      <c r="AR60" s="1435" t="s">
        <v>9098</v>
      </c>
      <c r="AS60" s="1435" t="s">
        <v>3829</v>
      </c>
      <c r="AT60" s="1430" t="s">
        <v>9581</v>
      </c>
      <c r="AU60" s="1418" t="s">
        <v>9582</v>
      </c>
      <c r="AV60" s="1389" t="str">
        <f t="shared" si="1"/>
        <v>2:25</v>
      </c>
      <c r="AW60" s="1476" t="s">
        <v>9583</v>
      </c>
    </row>
    <row r="61" ht="15.75" customHeight="1">
      <c r="A61" s="1463" t="s">
        <v>9584</v>
      </c>
      <c r="B61" s="1379" t="s">
        <v>8280</v>
      </c>
      <c r="C61" s="1481">
        <v>0.051631944444444446</v>
      </c>
      <c r="D61" s="1299" t="s">
        <v>9585</v>
      </c>
      <c r="E61" s="1532" t="s">
        <v>9586</v>
      </c>
      <c r="F61" s="1532" t="s">
        <v>8366</v>
      </c>
      <c r="G61" s="1532" t="s">
        <v>9587</v>
      </c>
      <c r="H61" s="1532" t="s">
        <v>9588</v>
      </c>
      <c r="I61" s="1532" t="s">
        <v>4957</v>
      </c>
      <c r="J61" s="1532" t="s">
        <v>3241</v>
      </c>
      <c r="K61" s="1532" t="s">
        <v>9589</v>
      </c>
      <c r="L61" s="1532" t="s">
        <v>5314</v>
      </c>
      <c r="M61" s="1532" t="s">
        <v>708</v>
      </c>
      <c r="N61" s="1532" t="s">
        <v>9590</v>
      </c>
      <c r="O61" s="1532" t="s">
        <v>4616</v>
      </c>
      <c r="P61" s="1532" t="s">
        <v>8314</v>
      </c>
      <c r="Q61" s="1532" t="s">
        <v>9591</v>
      </c>
      <c r="R61" s="1532" t="s">
        <v>9592</v>
      </c>
      <c r="S61" s="1532" t="s">
        <v>9355</v>
      </c>
      <c r="T61" s="1532" t="s">
        <v>9394</v>
      </c>
      <c r="U61" s="1532" t="s">
        <v>9593</v>
      </c>
      <c r="V61" s="1532" t="s">
        <v>9594</v>
      </c>
      <c r="W61" s="1532" t="s">
        <v>9595</v>
      </c>
      <c r="X61" s="1532" t="s">
        <v>9477</v>
      </c>
      <c r="Y61" s="1532" t="s">
        <v>4606</v>
      </c>
      <c r="Z61" s="1532" t="s">
        <v>7050</v>
      </c>
      <c r="AA61" s="1532" t="s">
        <v>8863</v>
      </c>
      <c r="AB61" s="1532" t="s">
        <v>9596</v>
      </c>
      <c r="AC61" s="1532" t="s">
        <v>384</v>
      </c>
      <c r="AD61" s="1532" t="s">
        <v>5937</v>
      </c>
      <c r="AE61" s="1532" t="s">
        <v>2938</v>
      </c>
      <c r="AF61" s="1532" t="s">
        <v>9269</v>
      </c>
      <c r="AG61" s="1532" t="s">
        <v>9597</v>
      </c>
      <c r="AH61" s="1532" t="s">
        <v>5274</v>
      </c>
      <c r="AI61" s="1532" t="s">
        <v>4143</v>
      </c>
      <c r="AJ61" s="1532" t="s">
        <v>9598</v>
      </c>
      <c r="AK61" s="1532" t="s">
        <v>9390</v>
      </c>
      <c r="AL61" s="1532" t="s">
        <v>4401</v>
      </c>
      <c r="AM61" s="1532" t="s">
        <v>9599</v>
      </c>
      <c r="AN61" s="1532" t="s">
        <v>8117</v>
      </c>
      <c r="AO61" s="1532" t="s">
        <v>5021</v>
      </c>
      <c r="AP61" s="1532" t="s">
        <v>9600</v>
      </c>
      <c r="AQ61" s="1532" t="s">
        <v>3272</v>
      </c>
      <c r="AR61" s="1532" t="s">
        <v>8884</v>
      </c>
      <c r="AS61" s="1532" t="s">
        <v>4475</v>
      </c>
      <c r="AT61" s="1532" t="s">
        <v>9601</v>
      </c>
      <c r="AU61" s="1535" t="str">
        <f>HYPERLINK("https://splits.io/pc9","1:16:48")</f>
        <v>1:16:48</v>
      </c>
      <c r="AV61" s="1532" t="str">
        <f t="shared" si="1"/>
        <v>2:27</v>
      </c>
      <c r="AW61" s="1536" t="s">
        <v>9602</v>
      </c>
    </row>
    <row r="62" ht="15.75" customHeight="1">
      <c r="A62" s="1378" t="s">
        <v>5558</v>
      </c>
      <c r="B62" s="1379" t="s">
        <v>8280</v>
      </c>
      <c r="C62" s="1481">
        <v>0.051631944444444446</v>
      </c>
      <c r="D62" s="1299" t="s">
        <v>9603</v>
      </c>
      <c r="E62" s="1532" t="s">
        <v>6495</v>
      </c>
      <c r="F62" s="1532" t="s">
        <v>9604</v>
      </c>
      <c r="G62" s="1532" t="s">
        <v>5187</v>
      </c>
      <c r="H62" s="1532" t="s">
        <v>9171</v>
      </c>
      <c r="I62" s="1532" t="s">
        <v>4606</v>
      </c>
      <c r="J62" s="1532" t="s">
        <v>9605</v>
      </c>
      <c r="K62" s="1532" t="s">
        <v>8155</v>
      </c>
      <c r="L62" s="1532" t="s">
        <v>5728</v>
      </c>
      <c r="M62" s="1532" t="s">
        <v>862</v>
      </c>
      <c r="N62" s="1532" t="s">
        <v>9606</v>
      </c>
      <c r="O62" s="1532" t="s">
        <v>9364</v>
      </c>
      <c r="P62" s="1532" t="s">
        <v>9272</v>
      </c>
      <c r="Q62" s="1532" t="s">
        <v>9607</v>
      </c>
      <c r="R62" s="1532" t="s">
        <v>9546</v>
      </c>
      <c r="S62" s="1532" t="s">
        <v>7007</v>
      </c>
      <c r="T62" s="1532" t="s">
        <v>9608</v>
      </c>
      <c r="U62" s="1532" t="s">
        <v>9609</v>
      </c>
      <c r="V62" s="1532" t="s">
        <v>9610</v>
      </c>
      <c r="W62" s="1532" t="s">
        <v>9611</v>
      </c>
      <c r="X62" s="1532" t="s">
        <v>9612</v>
      </c>
      <c r="Y62" s="1532" t="s">
        <v>1095</v>
      </c>
      <c r="Z62" s="1532" t="s">
        <v>4699</v>
      </c>
      <c r="AA62" s="1532" t="s">
        <v>9613</v>
      </c>
      <c r="AB62" s="1532" t="s">
        <v>7080</v>
      </c>
      <c r="AC62" s="1532" t="s">
        <v>3770</v>
      </c>
      <c r="AD62" s="1532" t="s">
        <v>9614</v>
      </c>
      <c r="AE62" s="1459" t="s">
        <v>5394</v>
      </c>
      <c r="AF62" s="1532" t="s">
        <v>9615</v>
      </c>
      <c r="AG62" s="1532" t="s">
        <v>9616</v>
      </c>
      <c r="AH62" s="1532" t="s">
        <v>2197</v>
      </c>
      <c r="AI62" s="1532" t="s">
        <v>5104</v>
      </c>
      <c r="AJ62" s="1532" t="s">
        <v>7932</v>
      </c>
      <c r="AK62" s="1532" t="s">
        <v>1618</v>
      </c>
      <c r="AL62" s="1532" t="s">
        <v>5487</v>
      </c>
      <c r="AM62" s="1532" t="s">
        <v>9617</v>
      </c>
      <c r="AN62" s="1532" t="s">
        <v>9516</v>
      </c>
      <c r="AO62" s="1532" t="s">
        <v>8527</v>
      </c>
      <c r="AP62" s="1532" t="s">
        <v>9618</v>
      </c>
      <c r="AQ62" s="1532" t="s">
        <v>9619</v>
      </c>
      <c r="AR62" s="1532" t="s">
        <v>4684</v>
      </c>
      <c r="AS62" s="1532" t="s">
        <v>2866</v>
      </c>
      <c r="AT62" s="1532" t="s">
        <v>9620</v>
      </c>
      <c r="AU62" s="1532" t="s">
        <v>9621</v>
      </c>
      <c r="AV62" s="1532" t="str">
        <f t="shared" si="1"/>
        <v>3:33</v>
      </c>
      <c r="AW62" s="1536"/>
    </row>
    <row r="63" ht="15.75" customHeight="1">
      <c r="A63" s="1378" t="s">
        <v>4060</v>
      </c>
      <c r="B63" s="1379" t="s">
        <v>8280</v>
      </c>
      <c r="C63" s="1481">
        <v>0.05164351851851852</v>
      </c>
      <c r="D63" s="1299" t="s">
        <v>9622</v>
      </c>
      <c r="E63" s="1532" t="s">
        <v>8451</v>
      </c>
      <c r="F63" s="1532" t="s">
        <v>9623</v>
      </c>
      <c r="G63" s="1532" t="s">
        <v>8340</v>
      </c>
      <c r="H63" s="1532" t="s">
        <v>9624</v>
      </c>
      <c r="I63" s="1532" t="s">
        <v>1286</v>
      </c>
      <c r="J63" s="1532" t="s">
        <v>801</v>
      </c>
      <c r="K63" s="1532" t="s">
        <v>6967</v>
      </c>
      <c r="L63" s="1532" t="s">
        <v>3308</v>
      </c>
      <c r="M63" s="1532" t="s">
        <v>9570</v>
      </c>
      <c r="N63" s="1532" t="s">
        <v>8601</v>
      </c>
      <c r="O63" s="1532" t="s">
        <v>9276</v>
      </c>
      <c r="P63" s="1532" t="s">
        <v>5052</v>
      </c>
      <c r="Q63" s="1532" t="s">
        <v>9625</v>
      </c>
      <c r="R63" s="1532" t="s">
        <v>3743</v>
      </c>
      <c r="S63" s="1532" t="s">
        <v>9517</v>
      </c>
      <c r="T63" s="1532" t="s">
        <v>9626</v>
      </c>
      <c r="U63" s="1532" t="s">
        <v>9627</v>
      </c>
      <c r="V63" s="1532" t="s">
        <v>9628</v>
      </c>
      <c r="W63" s="1532" t="s">
        <v>9629</v>
      </c>
      <c r="X63" s="1532" t="s">
        <v>600</v>
      </c>
      <c r="Y63" s="1532" t="s">
        <v>9630</v>
      </c>
      <c r="Z63" s="1532" t="s">
        <v>7388</v>
      </c>
      <c r="AA63" s="1532" t="s">
        <v>5499</v>
      </c>
      <c r="AB63" s="1532" t="s">
        <v>6316</v>
      </c>
      <c r="AC63" s="1532" t="s">
        <v>6444</v>
      </c>
      <c r="AD63" s="1532" t="s">
        <v>9631</v>
      </c>
      <c r="AE63" s="1532" t="s">
        <v>1974</v>
      </c>
      <c r="AF63" s="1532" t="s">
        <v>9632</v>
      </c>
      <c r="AG63" s="1532" t="s">
        <v>520</v>
      </c>
      <c r="AH63" s="1532" t="s">
        <v>5274</v>
      </c>
      <c r="AI63" s="1532" t="s">
        <v>9633</v>
      </c>
      <c r="AJ63" s="1532" t="s">
        <v>9634</v>
      </c>
      <c r="AK63" s="1532" t="s">
        <v>9635</v>
      </c>
      <c r="AL63" s="1532" t="s">
        <v>3944</v>
      </c>
      <c r="AM63" s="1532" t="s">
        <v>9014</v>
      </c>
      <c r="AN63" s="1532" t="s">
        <v>8645</v>
      </c>
      <c r="AO63" s="1532" t="s">
        <v>8375</v>
      </c>
      <c r="AP63" s="1532" t="s">
        <v>9636</v>
      </c>
      <c r="AQ63" s="1532" t="s">
        <v>9637</v>
      </c>
      <c r="AR63" s="1532" t="s">
        <v>3328</v>
      </c>
      <c r="AS63" s="1532" t="s">
        <v>9638</v>
      </c>
      <c r="AT63" s="1532" t="s">
        <v>9391</v>
      </c>
      <c r="AU63" s="1532" t="s">
        <v>9639</v>
      </c>
      <c r="AV63" s="1532" t="str">
        <f t="shared" si="1"/>
        <v>3:13</v>
      </c>
      <c r="AW63" s="1536" t="s">
        <v>9640</v>
      </c>
    </row>
    <row r="64" ht="15.75" customHeight="1">
      <c r="A64" s="1394" t="s">
        <v>822</v>
      </c>
      <c r="B64" s="1507" t="s">
        <v>8336</v>
      </c>
      <c r="C64" s="1508">
        <v>0.05167824074074074</v>
      </c>
      <c r="D64" s="1299" t="s">
        <v>9641</v>
      </c>
      <c r="E64" s="1532" t="s">
        <v>9642</v>
      </c>
      <c r="F64" s="1532" t="s">
        <v>9643</v>
      </c>
      <c r="G64" s="1532" t="s">
        <v>9644</v>
      </c>
      <c r="H64" s="1532" t="s">
        <v>9645</v>
      </c>
      <c r="I64" s="1532" t="s">
        <v>1962</v>
      </c>
      <c r="J64" s="1532" t="s">
        <v>9470</v>
      </c>
      <c r="K64" s="1532" t="s">
        <v>8578</v>
      </c>
      <c r="L64" s="1532" t="s">
        <v>1815</v>
      </c>
      <c r="M64" s="1532" t="s">
        <v>7113</v>
      </c>
      <c r="N64" s="1532" t="s">
        <v>9130</v>
      </c>
      <c r="O64" s="1532" t="s">
        <v>9646</v>
      </c>
      <c r="P64" s="1532" t="s">
        <v>2298</v>
      </c>
      <c r="Q64" s="1532" t="s">
        <v>715</v>
      </c>
      <c r="R64" s="1532" t="s">
        <v>9647</v>
      </c>
      <c r="S64" s="1532" t="s">
        <v>9648</v>
      </c>
      <c r="T64" s="1532" t="s">
        <v>9649</v>
      </c>
      <c r="U64" s="1532" t="s">
        <v>9230</v>
      </c>
      <c r="V64" s="1532" t="s">
        <v>482</v>
      </c>
      <c r="W64" s="1532" t="s">
        <v>5702</v>
      </c>
      <c r="X64" s="1532" t="s">
        <v>9650</v>
      </c>
      <c r="Y64" s="1532" t="s">
        <v>867</v>
      </c>
      <c r="Z64" s="1532" t="s">
        <v>3894</v>
      </c>
      <c r="AA64" s="1532" t="s">
        <v>1784</v>
      </c>
      <c r="AB64" s="1532" t="s">
        <v>9651</v>
      </c>
      <c r="AC64" s="1532" t="s">
        <v>9652</v>
      </c>
      <c r="AD64" s="1459" t="s">
        <v>9653</v>
      </c>
      <c r="AE64" s="1532" t="s">
        <v>1986</v>
      </c>
      <c r="AF64" s="1532" t="s">
        <v>9084</v>
      </c>
      <c r="AG64" s="1532" t="s">
        <v>6571</v>
      </c>
      <c r="AH64" s="1532" t="s">
        <v>4376</v>
      </c>
      <c r="AI64" s="1532" t="s">
        <v>6111</v>
      </c>
      <c r="AJ64" s="1532" t="s">
        <v>9654</v>
      </c>
      <c r="AK64" s="1532" t="s">
        <v>3557</v>
      </c>
      <c r="AL64" s="1532" t="s">
        <v>5103</v>
      </c>
      <c r="AM64" s="1532" t="s">
        <v>9655</v>
      </c>
      <c r="AN64" s="1532" t="s">
        <v>9656</v>
      </c>
      <c r="AO64" s="1532" t="s">
        <v>9657</v>
      </c>
      <c r="AP64" s="1532" t="s">
        <v>9658</v>
      </c>
      <c r="AQ64" s="1532" t="s">
        <v>9659</v>
      </c>
      <c r="AR64" s="1532" t="s">
        <v>9660</v>
      </c>
      <c r="AS64" s="1532" t="s">
        <v>9661</v>
      </c>
      <c r="AT64" s="1532" t="s">
        <v>9662</v>
      </c>
      <c r="AU64" s="1532" t="s">
        <v>9520</v>
      </c>
      <c r="AV64" s="1532" t="str">
        <f t="shared" si="1"/>
        <v>2:51</v>
      </c>
      <c r="AW64" s="1537"/>
    </row>
    <row r="65" ht="15.75" customHeight="1">
      <c r="A65" s="1420" t="s">
        <v>4568</v>
      </c>
      <c r="B65" s="1441" t="s">
        <v>8308</v>
      </c>
      <c r="C65" s="1481">
        <v>0.05170138888888889</v>
      </c>
      <c r="D65" s="1299" t="s">
        <v>9663</v>
      </c>
      <c r="E65" s="1532" t="s">
        <v>1773</v>
      </c>
      <c r="F65" s="1532" t="s">
        <v>9219</v>
      </c>
      <c r="G65" s="1532" t="s">
        <v>8684</v>
      </c>
      <c r="H65" s="1532" t="s">
        <v>9664</v>
      </c>
      <c r="I65" s="1532" t="s">
        <v>4995</v>
      </c>
      <c r="J65" s="1532" t="s">
        <v>9235</v>
      </c>
      <c r="K65" s="1532" t="s">
        <v>8527</v>
      </c>
      <c r="L65" s="1532" t="s">
        <v>3832</v>
      </c>
      <c r="M65" s="1532" t="s">
        <v>7321</v>
      </c>
      <c r="N65" s="1532" t="s">
        <v>5892</v>
      </c>
      <c r="O65" s="1532" t="s">
        <v>9340</v>
      </c>
      <c r="P65" s="1532" t="s">
        <v>478</v>
      </c>
      <c r="Q65" s="1532" t="s">
        <v>3022</v>
      </c>
      <c r="R65" s="1532" t="s">
        <v>9665</v>
      </c>
      <c r="S65" s="1532" t="s">
        <v>9558</v>
      </c>
      <c r="T65" s="1532" t="s">
        <v>2745</v>
      </c>
      <c r="U65" s="1532" t="s">
        <v>9666</v>
      </c>
      <c r="V65" s="1532" t="s">
        <v>9667</v>
      </c>
      <c r="W65" s="1532" t="s">
        <v>9595</v>
      </c>
      <c r="X65" s="1532" t="s">
        <v>3307</v>
      </c>
      <c r="Y65" s="1532" t="s">
        <v>2363</v>
      </c>
      <c r="Z65" s="1532" t="s">
        <v>155</v>
      </c>
      <c r="AA65" s="1532" t="s">
        <v>621</v>
      </c>
      <c r="AB65" s="1532" t="s">
        <v>9668</v>
      </c>
      <c r="AC65" s="1532" t="s">
        <v>921</v>
      </c>
      <c r="AD65" s="1532" t="s">
        <v>9294</v>
      </c>
      <c r="AE65" s="1532" t="s">
        <v>675</v>
      </c>
      <c r="AF65" s="1532" t="s">
        <v>9669</v>
      </c>
      <c r="AG65" s="1532" t="s">
        <v>9670</v>
      </c>
      <c r="AH65" s="1532" t="s">
        <v>9671</v>
      </c>
      <c r="AI65" s="1532" t="s">
        <v>9672</v>
      </c>
      <c r="AJ65" s="1532" t="s">
        <v>9673</v>
      </c>
      <c r="AK65" s="1532" t="s">
        <v>9239</v>
      </c>
      <c r="AL65" s="1532" t="s">
        <v>9674</v>
      </c>
      <c r="AM65" s="1532" t="s">
        <v>9534</v>
      </c>
      <c r="AN65" s="1532" t="s">
        <v>9675</v>
      </c>
      <c r="AO65" s="1532" t="s">
        <v>9285</v>
      </c>
      <c r="AP65" s="1532" t="s">
        <v>4449</v>
      </c>
      <c r="AQ65" s="1532" t="s">
        <v>9676</v>
      </c>
      <c r="AR65" s="1532" t="s">
        <v>9677</v>
      </c>
      <c r="AS65" s="1532" t="s">
        <v>6205</v>
      </c>
      <c r="AT65" s="1532" t="s">
        <v>9678</v>
      </c>
      <c r="AU65" s="1532" t="s">
        <v>9679</v>
      </c>
      <c r="AV65" s="1532" t="str">
        <f t="shared" si="1"/>
        <v>2:37</v>
      </c>
      <c r="AW65" s="1537" t="s">
        <v>9680</v>
      </c>
    </row>
    <row r="66" ht="15.75" customHeight="1">
      <c r="A66" s="1420" t="s">
        <v>4906</v>
      </c>
      <c r="B66" s="1421" t="s">
        <v>8308</v>
      </c>
      <c r="C66" s="1380">
        <v>0.05171296296296296</v>
      </c>
      <c r="D66" s="1491" t="s">
        <v>9681</v>
      </c>
      <c r="E66" s="1459" t="s">
        <v>9682</v>
      </c>
      <c r="F66" s="1459" t="s">
        <v>1465</v>
      </c>
      <c r="G66" s="1459" t="s">
        <v>9683</v>
      </c>
      <c r="H66" s="1459" t="s">
        <v>9684</v>
      </c>
      <c r="I66" s="1459" t="s">
        <v>9685</v>
      </c>
      <c r="J66" s="1459" t="s">
        <v>969</v>
      </c>
      <c r="K66" s="1459" t="s">
        <v>4834</v>
      </c>
      <c r="L66" s="1459" t="s">
        <v>1805</v>
      </c>
      <c r="M66" s="1538" t="s">
        <v>9686</v>
      </c>
      <c r="N66" s="1459" t="s">
        <v>9687</v>
      </c>
      <c r="O66" s="1459" t="s">
        <v>1694</v>
      </c>
      <c r="P66" s="1459" t="s">
        <v>5002</v>
      </c>
      <c r="Q66" s="1459" t="s">
        <v>9688</v>
      </c>
      <c r="R66" s="1459" t="s">
        <v>9689</v>
      </c>
      <c r="S66" s="1459" t="s">
        <v>3461</v>
      </c>
      <c r="T66" s="1459" t="s">
        <v>9690</v>
      </c>
      <c r="U66" s="1459" t="s">
        <v>9448</v>
      </c>
      <c r="V66" s="1538" t="s">
        <v>9691</v>
      </c>
      <c r="W66" s="1538" t="s">
        <v>9692</v>
      </c>
      <c r="X66" s="1459" t="s">
        <v>9346</v>
      </c>
      <c r="Y66" s="1299" t="s">
        <v>8966</v>
      </c>
      <c r="Z66" s="1459" t="s">
        <v>150</v>
      </c>
      <c r="AA66" s="1459" t="s">
        <v>1327</v>
      </c>
      <c r="AB66" s="1538" t="s">
        <v>9693</v>
      </c>
      <c r="AC66" s="1459" t="s">
        <v>1974</v>
      </c>
      <c r="AD66" s="1459" t="s">
        <v>9694</v>
      </c>
      <c r="AE66" s="1459" t="s">
        <v>3601</v>
      </c>
      <c r="AF66" s="1459" t="s">
        <v>9695</v>
      </c>
      <c r="AG66" s="1459" t="s">
        <v>520</v>
      </c>
      <c r="AH66" s="1459" t="s">
        <v>9696</v>
      </c>
      <c r="AI66" s="1459" t="s">
        <v>5302</v>
      </c>
      <c r="AJ66" s="1459" t="s">
        <v>9697</v>
      </c>
      <c r="AK66" s="1459" t="s">
        <v>9698</v>
      </c>
      <c r="AL66" s="1459" t="s">
        <v>1574</v>
      </c>
      <c r="AM66" s="1459" t="s">
        <v>9525</v>
      </c>
      <c r="AN66" s="1459" t="s">
        <v>9699</v>
      </c>
      <c r="AO66" s="1459" t="s">
        <v>2717</v>
      </c>
      <c r="AP66" s="1459" t="s">
        <v>1921</v>
      </c>
      <c r="AQ66" s="1459" t="s">
        <v>754</v>
      </c>
      <c r="AR66" s="1459" t="s">
        <v>9313</v>
      </c>
      <c r="AS66" s="1459" t="s">
        <v>6790</v>
      </c>
      <c r="AT66" s="1459" t="s">
        <v>9700</v>
      </c>
      <c r="AU66" s="1459" t="s">
        <v>9701</v>
      </c>
      <c r="AV66" s="1532" t="str">
        <f t="shared" si="1"/>
        <v>4:14</v>
      </c>
      <c r="AW66" s="1533" t="s">
        <v>9702</v>
      </c>
    </row>
    <row r="67" ht="15.75" customHeight="1">
      <c r="A67" s="1420" t="s">
        <v>2130</v>
      </c>
      <c r="B67" s="1506" t="s">
        <v>8308</v>
      </c>
      <c r="C67" s="1380">
        <v>0.05173611111111111</v>
      </c>
      <c r="D67" s="1299" t="s">
        <v>9703</v>
      </c>
      <c r="E67" s="1459" t="s">
        <v>9704</v>
      </c>
      <c r="F67" s="1459" t="s">
        <v>9705</v>
      </c>
      <c r="G67" s="1459" t="s">
        <v>9706</v>
      </c>
      <c r="H67" s="1459" t="s">
        <v>7253</v>
      </c>
      <c r="I67" s="1459" t="s">
        <v>489</v>
      </c>
      <c r="J67" s="1459" t="s">
        <v>8626</v>
      </c>
      <c r="K67" s="1459" t="s">
        <v>9707</v>
      </c>
      <c r="L67" s="1459" t="s">
        <v>6865</v>
      </c>
      <c r="M67" s="1459" t="s">
        <v>3346</v>
      </c>
      <c r="N67" s="1459" t="s">
        <v>9708</v>
      </c>
      <c r="O67" s="1459" t="s">
        <v>9709</v>
      </c>
      <c r="P67" s="1459" t="s">
        <v>3473</v>
      </c>
      <c r="Q67" s="1459" t="s">
        <v>9710</v>
      </c>
      <c r="R67" s="1459" t="s">
        <v>9647</v>
      </c>
      <c r="S67" s="1459" t="s">
        <v>5432</v>
      </c>
      <c r="T67" s="1459" t="s">
        <v>9711</v>
      </c>
      <c r="U67" s="1459" t="s">
        <v>9712</v>
      </c>
      <c r="V67" s="1459" t="s">
        <v>357</v>
      </c>
      <c r="W67" s="1459" t="s">
        <v>5504</v>
      </c>
      <c r="X67" s="1459" t="s">
        <v>9553</v>
      </c>
      <c r="Y67" s="1459" t="s">
        <v>1095</v>
      </c>
      <c r="Z67" s="1459" t="s">
        <v>9713</v>
      </c>
      <c r="AA67" s="1459" t="s">
        <v>8863</v>
      </c>
      <c r="AB67" s="1459" t="s">
        <v>6314</v>
      </c>
      <c r="AC67" s="1459" t="s">
        <v>160</v>
      </c>
      <c r="AD67" s="1459" t="s">
        <v>9577</v>
      </c>
      <c r="AE67" s="1459" t="s">
        <v>8937</v>
      </c>
      <c r="AF67" s="1459" t="s">
        <v>8951</v>
      </c>
      <c r="AG67" s="1459" t="s">
        <v>4714</v>
      </c>
      <c r="AH67" s="1459" t="s">
        <v>9714</v>
      </c>
      <c r="AI67" s="1459" t="s">
        <v>9715</v>
      </c>
      <c r="AJ67" s="1459" t="s">
        <v>9716</v>
      </c>
      <c r="AK67" s="1459" t="s">
        <v>8614</v>
      </c>
      <c r="AL67" s="1459" t="s">
        <v>9717</v>
      </c>
      <c r="AM67" s="1459" t="s">
        <v>2802</v>
      </c>
      <c r="AN67" s="1459" t="s">
        <v>3944</v>
      </c>
      <c r="AO67" s="1459" t="s">
        <v>9441</v>
      </c>
      <c r="AP67" s="1459" t="s">
        <v>9718</v>
      </c>
      <c r="AQ67" s="1459" t="s">
        <v>9719</v>
      </c>
      <c r="AR67" s="1459" t="s">
        <v>413</v>
      </c>
      <c r="AS67" s="1459" t="s">
        <v>9720</v>
      </c>
      <c r="AT67" s="1459" t="s">
        <v>9721</v>
      </c>
      <c r="AU67" s="1459" t="s">
        <v>9722</v>
      </c>
      <c r="AV67" s="1532" t="str">
        <f t="shared" si="1"/>
        <v>3:51</v>
      </c>
      <c r="AW67" s="1533" t="s">
        <v>9723</v>
      </c>
    </row>
    <row r="68" ht="15.75" customHeight="1">
      <c r="A68" s="1420" t="s">
        <v>8035</v>
      </c>
      <c r="B68" s="1438" t="s">
        <v>8336</v>
      </c>
      <c r="C68" s="1498">
        <v>0.051805555555555556</v>
      </c>
      <c r="D68" s="1459" t="s">
        <v>9724</v>
      </c>
      <c r="E68" s="1459" t="s">
        <v>9725</v>
      </c>
      <c r="F68" s="1299" t="s">
        <v>9726</v>
      </c>
      <c r="G68" s="1459" t="s">
        <v>9727</v>
      </c>
      <c r="H68" s="1398" t="s">
        <v>9728</v>
      </c>
      <c r="I68" s="1398">
        <v>49.81</v>
      </c>
      <c r="J68" s="1398" t="s">
        <v>9729</v>
      </c>
      <c r="K68" s="1398" t="s">
        <v>5996</v>
      </c>
      <c r="L68" s="1398">
        <v>59.57</v>
      </c>
      <c r="M68" s="1398" t="s">
        <v>9730</v>
      </c>
      <c r="N68" s="1398" t="s">
        <v>9731</v>
      </c>
      <c r="O68" s="1391" t="s">
        <v>7168</v>
      </c>
      <c r="P68" s="1391" t="s">
        <v>9732</v>
      </c>
      <c r="Q68" s="1391" t="s">
        <v>9733</v>
      </c>
      <c r="R68" s="1398" t="s">
        <v>9734</v>
      </c>
      <c r="S68" s="1398" t="s">
        <v>9355</v>
      </c>
      <c r="T68" s="1398" t="s">
        <v>9735</v>
      </c>
      <c r="U68" s="1398" t="s">
        <v>9736</v>
      </c>
      <c r="V68" s="1398" t="s">
        <v>4334</v>
      </c>
      <c r="W68" s="1398" t="s">
        <v>9737</v>
      </c>
      <c r="X68" s="1398" t="s">
        <v>9738</v>
      </c>
      <c r="Y68" s="1391" t="s">
        <v>9240</v>
      </c>
      <c r="Z68" s="1539" t="s">
        <v>8354</v>
      </c>
      <c r="AA68" s="1398" t="s">
        <v>197</v>
      </c>
      <c r="AB68" s="1391" t="s">
        <v>4105</v>
      </c>
      <c r="AC68" s="1398">
        <v>49.53</v>
      </c>
      <c r="AD68" s="1398" t="s">
        <v>1854</v>
      </c>
      <c r="AE68" s="1391" t="s">
        <v>9739</v>
      </c>
      <c r="AF68" s="1398" t="s">
        <v>8555</v>
      </c>
      <c r="AG68" s="1398" t="s">
        <v>9740</v>
      </c>
      <c r="AH68" s="1398">
        <v>59.93</v>
      </c>
      <c r="AI68" s="1398" t="s">
        <v>9741</v>
      </c>
      <c r="AJ68" s="1398" t="s">
        <v>9742</v>
      </c>
      <c r="AK68" s="1398" t="s">
        <v>5689</v>
      </c>
      <c r="AL68" s="1398">
        <v>59.13</v>
      </c>
      <c r="AM68" s="1398" t="s">
        <v>9677</v>
      </c>
      <c r="AN68" s="1398">
        <v>57.86</v>
      </c>
      <c r="AO68" s="1398" t="s">
        <v>7471</v>
      </c>
      <c r="AP68" s="1398" t="s">
        <v>9743</v>
      </c>
      <c r="AQ68" s="1398" t="s">
        <v>9246</v>
      </c>
      <c r="AR68" s="1398" t="s">
        <v>5887</v>
      </c>
      <c r="AS68" s="1398">
        <v>47.67</v>
      </c>
      <c r="AT68" s="1459" t="s">
        <v>9744</v>
      </c>
      <c r="AU68" s="1459" t="s">
        <v>9745</v>
      </c>
      <c r="AV68" s="1532" t="str">
        <f t="shared" si="1"/>
        <v>2:57</v>
      </c>
      <c r="AW68" s="1540" t="s">
        <v>9746</v>
      </c>
    </row>
    <row r="69">
      <c r="A69" s="1541" t="s">
        <v>1252</v>
      </c>
      <c r="B69" s="1421" t="s">
        <v>8308</v>
      </c>
      <c r="C69" s="1542">
        <v>0.05181712962962963</v>
      </c>
      <c r="D69" s="1543" t="s">
        <v>9747</v>
      </c>
      <c r="E69" s="1384" t="s">
        <v>9748</v>
      </c>
      <c r="F69" s="1384" t="s">
        <v>9749</v>
      </c>
      <c r="G69" s="1384" t="s">
        <v>9750</v>
      </c>
      <c r="H69" s="1381" t="s">
        <v>9751</v>
      </c>
      <c r="I69" s="1384" t="s">
        <v>4900</v>
      </c>
      <c r="J69" s="1384" t="s">
        <v>9057</v>
      </c>
      <c r="K69" s="1384" t="s">
        <v>8854</v>
      </c>
      <c r="L69" s="1384" t="s">
        <v>9714</v>
      </c>
      <c r="M69" s="1384" t="s">
        <v>1450</v>
      </c>
      <c r="N69" s="1384" t="s">
        <v>9206</v>
      </c>
      <c r="O69" s="1384" t="s">
        <v>7224</v>
      </c>
      <c r="P69" s="1384" t="s">
        <v>8782</v>
      </c>
      <c r="Q69" s="1384" t="s">
        <v>9752</v>
      </c>
      <c r="R69" s="1384" t="s">
        <v>3130</v>
      </c>
      <c r="S69" s="1384" t="s">
        <v>4787</v>
      </c>
      <c r="T69" s="1384" t="s">
        <v>9058</v>
      </c>
      <c r="U69" s="1384" t="s">
        <v>9753</v>
      </c>
      <c r="V69" s="1384" t="s">
        <v>9667</v>
      </c>
      <c r="W69" s="1384" t="s">
        <v>9754</v>
      </c>
      <c r="X69" s="1384" t="s">
        <v>9303</v>
      </c>
      <c r="Y69" s="1384" t="s">
        <v>9755</v>
      </c>
      <c r="Z69" s="1384" t="s">
        <v>6084</v>
      </c>
      <c r="AA69" s="1504" t="s">
        <v>884</v>
      </c>
      <c r="AB69" s="1384" t="s">
        <v>9756</v>
      </c>
      <c r="AC69" s="1384" t="s">
        <v>2014</v>
      </c>
      <c r="AD69" s="1384" t="s">
        <v>9757</v>
      </c>
      <c r="AE69" s="1384" t="s">
        <v>6410</v>
      </c>
      <c r="AF69" s="1384" t="s">
        <v>9391</v>
      </c>
      <c r="AG69" s="1384" t="s">
        <v>173</v>
      </c>
      <c r="AH69" s="1384" t="s">
        <v>6208</v>
      </c>
      <c r="AI69" s="1384" t="s">
        <v>243</v>
      </c>
      <c r="AJ69" s="1384" t="s">
        <v>9758</v>
      </c>
      <c r="AK69" s="1384" t="s">
        <v>8955</v>
      </c>
      <c r="AL69" s="1384" t="s">
        <v>4621</v>
      </c>
      <c r="AM69" s="1384" t="s">
        <v>9759</v>
      </c>
      <c r="AN69" s="1384" t="s">
        <v>9007</v>
      </c>
      <c r="AO69" s="1384" t="s">
        <v>9760</v>
      </c>
      <c r="AP69" s="1384" t="s">
        <v>9761</v>
      </c>
      <c r="AQ69" s="1384" t="s">
        <v>9762</v>
      </c>
      <c r="AR69" s="1384" t="s">
        <v>9763</v>
      </c>
      <c r="AS69" s="1384" t="s">
        <v>350</v>
      </c>
      <c r="AT69" s="1384" t="s">
        <v>9764</v>
      </c>
      <c r="AU69" s="1387" t="s">
        <v>9765</v>
      </c>
      <c r="AV69" s="1451" t="str">
        <f t="shared" si="1"/>
        <v>3:49</v>
      </c>
      <c r="AW69" s="1544" t="s">
        <v>9766</v>
      </c>
    </row>
    <row r="70" ht="15.75" customHeight="1">
      <c r="A70" s="1378" t="s">
        <v>2956</v>
      </c>
      <c r="B70" s="1441" t="s">
        <v>8308</v>
      </c>
      <c r="C70" s="1481">
        <v>0.051863425925925924</v>
      </c>
      <c r="D70" s="1299" t="s">
        <v>9767</v>
      </c>
      <c r="E70" s="1532" t="s">
        <v>6187</v>
      </c>
      <c r="F70" s="1532" t="s">
        <v>9768</v>
      </c>
      <c r="G70" s="1532" t="s">
        <v>9769</v>
      </c>
      <c r="H70" s="1532" t="s">
        <v>9770</v>
      </c>
      <c r="I70" s="1532" t="s">
        <v>2032</v>
      </c>
      <c r="J70" s="1532" t="s">
        <v>1672</v>
      </c>
      <c r="K70" s="1532" t="s">
        <v>1754</v>
      </c>
      <c r="L70" s="1532" t="s">
        <v>2964</v>
      </c>
      <c r="M70" s="1532" t="s">
        <v>9546</v>
      </c>
      <c r="N70" s="1532" t="s">
        <v>4954</v>
      </c>
      <c r="O70" s="1532" t="s">
        <v>9771</v>
      </c>
      <c r="P70" s="1532" t="s">
        <v>1229</v>
      </c>
      <c r="Q70" s="1532" t="s">
        <v>9772</v>
      </c>
      <c r="R70" s="1532" t="s">
        <v>8547</v>
      </c>
      <c r="S70" s="1532" t="s">
        <v>9773</v>
      </c>
      <c r="T70" s="1532" t="s">
        <v>9774</v>
      </c>
      <c r="U70" s="1532" t="s">
        <v>9775</v>
      </c>
      <c r="V70" s="1532" t="s">
        <v>9322</v>
      </c>
      <c r="W70" s="1532" t="s">
        <v>9776</v>
      </c>
      <c r="X70" s="1532" t="s">
        <v>9672</v>
      </c>
      <c r="Y70" s="1532" t="s">
        <v>3089</v>
      </c>
      <c r="Z70" s="1532" t="s">
        <v>2390</v>
      </c>
      <c r="AA70" s="1532" t="s">
        <v>9777</v>
      </c>
      <c r="AB70" s="1532" t="s">
        <v>8158</v>
      </c>
      <c r="AC70" s="1532" t="s">
        <v>921</v>
      </c>
      <c r="AD70" s="1532" t="s">
        <v>9778</v>
      </c>
      <c r="AE70" s="1532" t="s">
        <v>1113</v>
      </c>
      <c r="AF70" s="1532" t="s">
        <v>9779</v>
      </c>
      <c r="AG70" s="1532" t="s">
        <v>9780</v>
      </c>
      <c r="AH70" s="1532" t="s">
        <v>5314</v>
      </c>
      <c r="AI70" s="1532" t="s">
        <v>9715</v>
      </c>
      <c r="AJ70" s="1532" t="s">
        <v>9781</v>
      </c>
      <c r="AK70" s="1532" t="s">
        <v>1966</v>
      </c>
      <c r="AL70" s="1532" t="s">
        <v>6208</v>
      </c>
      <c r="AM70" s="1532" t="s">
        <v>9782</v>
      </c>
      <c r="AN70" s="1532" t="s">
        <v>9228</v>
      </c>
      <c r="AO70" s="1532" t="s">
        <v>8651</v>
      </c>
      <c r="AP70" s="1532" t="s">
        <v>9783</v>
      </c>
      <c r="AQ70" s="1532" t="s">
        <v>9784</v>
      </c>
      <c r="AR70" s="1532" t="s">
        <v>8485</v>
      </c>
      <c r="AS70" s="1532" t="s">
        <v>4675</v>
      </c>
      <c r="AT70" s="1532" t="s">
        <v>9785</v>
      </c>
      <c r="AU70" s="1532" t="s">
        <v>9786</v>
      </c>
      <c r="AV70" s="1532" t="str">
        <f t="shared" si="1"/>
        <v>2:06</v>
      </c>
      <c r="AW70" s="1533" t="s">
        <v>9787</v>
      </c>
    </row>
    <row r="71" ht="15.75" customHeight="1">
      <c r="A71" s="1378" t="s">
        <v>1056</v>
      </c>
      <c r="B71" s="1379" t="s">
        <v>8280</v>
      </c>
      <c r="C71" s="1481">
        <v>0.051875</v>
      </c>
      <c r="D71" s="1299" t="s">
        <v>9788</v>
      </c>
      <c r="E71" s="1532" t="s">
        <v>3549</v>
      </c>
      <c r="F71" s="1532" t="s">
        <v>9789</v>
      </c>
      <c r="G71" s="1532" t="s">
        <v>9790</v>
      </c>
      <c r="H71" s="1532" t="s">
        <v>9791</v>
      </c>
      <c r="I71" s="1532" t="s">
        <v>9792</v>
      </c>
      <c r="J71" s="1532" t="s">
        <v>2478</v>
      </c>
      <c r="K71" s="1532" t="s">
        <v>9793</v>
      </c>
      <c r="L71" s="1532" t="s">
        <v>8376</v>
      </c>
      <c r="M71" s="1532" t="s">
        <v>7340</v>
      </c>
      <c r="N71" s="1532" t="s">
        <v>9394</v>
      </c>
      <c r="O71" s="1532" t="s">
        <v>4389</v>
      </c>
      <c r="P71" s="1532" t="s">
        <v>1519</v>
      </c>
      <c r="Q71" s="1532" t="s">
        <v>9794</v>
      </c>
      <c r="R71" s="1532" t="s">
        <v>8972</v>
      </c>
      <c r="S71" s="1532" t="s">
        <v>4355</v>
      </c>
      <c r="T71" s="1532" t="s">
        <v>9795</v>
      </c>
      <c r="U71" s="1532" t="s">
        <v>9593</v>
      </c>
      <c r="V71" s="1532" t="s">
        <v>6201</v>
      </c>
      <c r="W71" s="1532" t="s">
        <v>4389</v>
      </c>
      <c r="X71" s="1532" t="s">
        <v>9206</v>
      </c>
      <c r="Y71" s="1532" t="s">
        <v>9242</v>
      </c>
      <c r="Z71" s="1532" t="s">
        <v>9796</v>
      </c>
      <c r="AA71" s="1532" t="s">
        <v>416</v>
      </c>
      <c r="AB71" s="1532" t="s">
        <v>615</v>
      </c>
      <c r="AC71" s="1532" t="s">
        <v>9797</v>
      </c>
      <c r="AD71" s="1532" t="s">
        <v>9631</v>
      </c>
      <c r="AE71" s="1532" t="s">
        <v>932</v>
      </c>
      <c r="AF71" s="1532" t="s">
        <v>9798</v>
      </c>
      <c r="AG71" s="1532" t="s">
        <v>9799</v>
      </c>
      <c r="AH71" s="1532" t="s">
        <v>9544</v>
      </c>
      <c r="AI71" s="1532" t="s">
        <v>9800</v>
      </c>
      <c r="AJ71" s="1532" t="s">
        <v>9801</v>
      </c>
      <c r="AK71" s="1532" t="s">
        <v>9802</v>
      </c>
      <c r="AL71" s="1532" t="s">
        <v>5503</v>
      </c>
      <c r="AM71" s="1532" t="s">
        <v>9803</v>
      </c>
      <c r="AN71" s="1532" t="s">
        <v>6051</v>
      </c>
      <c r="AO71" s="1459" t="s">
        <v>8548</v>
      </c>
      <c r="AP71" s="1532" t="s">
        <v>9804</v>
      </c>
      <c r="AQ71" s="1532" t="s">
        <v>9805</v>
      </c>
      <c r="AR71" s="1532" t="s">
        <v>8993</v>
      </c>
      <c r="AS71" s="1532" t="s">
        <v>9089</v>
      </c>
      <c r="AT71" s="1532" t="s">
        <v>9806</v>
      </c>
      <c r="AU71" s="1459" t="s">
        <v>9807</v>
      </c>
      <c r="AV71" s="1532" t="str">
        <f t="shared" si="1"/>
        <v>0:37</v>
      </c>
      <c r="AW71" s="1537" t="s">
        <v>9808</v>
      </c>
    </row>
    <row r="72">
      <c r="A72" s="1420" t="s">
        <v>7632</v>
      </c>
      <c r="B72" s="1421" t="s">
        <v>8280</v>
      </c>
      <c r="C72" s="1380">
        <v>0.05188657407407407</v>
      </c>
      <c r="D72" s="1459" t="s">
        <v>9809</v>
      </c>
      <c r="E72" s="1299" t="s">
        <v>859</v>
      </c>
      <c r="F72" s="1299" t="s">
        <v>9810</v>
      </c>
      <c r="G72" s="1299" t="s">
        <v>9811</v>
      </c>
      <c r="H72" s="1299" t="s">
        <v>9812</v>
      </c>
      <c r="I72" s="1299" t="s">
        <v>675</v>
      </c>
      <c r="J72" s="1299" t="s">
        <v>3982</v>
      </c>
      <c r="K72" s="1299" t="s">
        <v>8967</v>
      </c>
      <c r="L72" s="1299" t="s">
        <v>2696</v>
      </c>
      <c r="M72" s="1299" t="s">
        <v>9813</v>
      </c>
      <c r="N72" s="1299" t="s">
        <v>3811</v>
      </c>
      <c r="O72" s="1299" t="s">
        <v>9814</v>
      </c>
      <c r="P72" s="1299" t="s">
        <v>5054</v>
      </c>
      <c r="Q72" s="1299" t="s">
        <v>9815</v>
      </c>
      <c r="R72" s="1299" t="s">
        <v>5468</v>
      </c>
      <c r="S72" s="1299" t="s">
        <v>9816</v>
      </c>
      <c r="T72" s="1299" t="s">
        <v>8359</v>
      </c>
      <c r="U72" s="1299" t="s">
        <v>9817</v>
      </c>
      <c r="V72" s="1299" t="s">
        <v>5356</v>
      </c>
      <c r="W72" s="1299" t="s">
        <v>9818</v>
      </c>
      <c r="X72" s="1299" t="s">
        <v>9819</v>
      </c>
      <c r="Y72" s="1299" t="s">
        <v>9820</v>
      </c>
      <c r="Z72" s="1299" t="s">
        <v>8978</v>
      </c>
      <c r="AA72" s="1299" t="s">
        <v>5027</v>
      </c>
      <c r="AB72" s="1299" t="s">
        <v>684</v>
      </c>
      <c r="AC72" s="1299" t="s">
        <v>9821</v>
      </c>
      <c r="AD72" s="1299" t="s">
        <v>9822</v>
      </c>
      <c r="AE72" s="1299" t="s">
        <v>5670</v>
      </c>
      <c r="AF72" s="1299" t="s">
        <v>9823</v>
      </c>
      <c r="AG72" s="1299" t="s">
        <v>2329</v>
      </c>
      <c r="AH72" s="1299" t="s">
        <v>2696</v>
      </c>
      <c r="AI72" s="1299" t="s">
        <v>196</v>
      </c>
      <c r="AJ72" s="1299" t="s">
        <v>9824</v>
      </c>
      <c r="AK72" s="1299" t="s">
        <v>8984</v>
      </c>
      <c r="AL72" s="1299" t="s">
        <v>9469</v>
      </c>
      <c r="AM72" s="1299" t="s">
        <v>8953</v>
      </c>
      <c r="AN72" s="1299" t="s">
        <v>3340</v>
      </c>
      <c r="AO72" s="1299" t="s">
        <v>9825</v>
      </c>
      <c r="AP72" s="1299" t="s">
        <v>9419</v>
      </c>
      <c r="AQ72" s="1299" t="s">
        <v>9805</v>
      </c>
      <c r="AR72" s="1299" t="s">
        <v>9826</v>
      </c>
      <c r="AS72" s="1299" t="s">
        <v>6205</v>
      </c>
      <c r="AT72" s="1299" t="s">
        <v>9827</v>
      </c>
      <c r="AU72" s="1459" t="s">
        <v>9828</v>
      </c>
      <c r="AV72" s="1532" t="str">
        <f t="shared" si="1"/>
        <v>4:21</v>
      </c>
      <c r="AW72" s="1533" t="s">
        <v>9829</v>
      </c>
    </row>
    <row r="73" ht="15.75" customHeight="1">
      <c r="A73" s="1378" t="s">
        <v>4702</v>
      </c>
      <c r="B73" s="1507" t="s">
        <v>8336</v>
      </c>
      <c r="C73" s="1498">
        <v>0.051909722222222225</v>
      </c>
      <c r="D73" s="1545" t="s">
        <v>9830</v>
      </c>
      <c r="E73" s="1453" t="s">
        <v>2187</v>
      </c>
      <c r="F73" s="1453" t="s">
        <v>9831</v>
      </c>
      <c r="G73" s="1453" t="s">
        <v>9832</v>
      </c>
      <c r="H73" s="1453" t="s">
        <v>9833</v>
      </c>
      <c r="I73" s="1545">
        <v>49.97</v>
      </c>
      <c r="J73" s="1453" t="s">
        <v>2170</v>
      </c>
      <c r="K73" s="1453" t="s">
        <v>9834</v>
      </c>
      <c r="L73" s="1453" t="s">
        <v>4987</v>
      </c>
      <c r="M73" s="1453" t="s">
        <v>2942</v>
      </c>
      <c r="N73" s="1453" t="s">
        <v>4623</v>
      </c>
      <c r="O73" s="1453" t="s">
        <v>5695</v>
      </c>
      <c r="P73" s="1545">
        <v>48.99</v>
      </c>
      <c r="Q73" s="1453" t="s">
        <v>9835</v>
      </c>
      <c r="R73" s="1453" t="s">
        <v>9836</v>
      </c>
      <c r="S73" s="1453" t="s">
        <v>4052</v>
      </c>
      <c r="T73" s="1453" t="s">
        <v>9837</v>
      </c>
      <c r="U73" s="1453" t="s">
        <v>9838</v>
      </c>
      <c r="V73" s="1453" t="s">
        <v>2336</v>
      </c>
      <c r="W73" s="1453" t="s">
        <v>9839</v>
      </c>
      <c r="X73" s="1453" t="s">
        <v>9549</v>
      </c>
      <c r="Y73" s="1546">
        <v>47.93</v>
      </c>
      <c r="Z73" s="1453" t="s">
        <v>9840</v>
      </c>
      <c r="AA73" s="1453" t="s">
        <v>4975</v>
      </c>
      <c r="AB73" s="1453" t="s">
        <v>9529</v>
      </c>
      <c r="AC73" s="1539">
        <v>49.24</v>
      </c>
      <c r="AD73" s="1453" t="s">
        <v>8874</v>
      </c>
      <c r="AE73" s="1545">
        <v>49.87</v>
      </c>
      <c r="AF73" s="1453" t="s">
        <v>9841</v>
      </c>
      <c r="AG73" s="1453" t="s">
        <v>9842</v>
      </c>
      <c r="AH73" s="1545">
        <v>59.9</v>
      </c>
      <c r="AI73" s="1453" t="s">
        <v>9843</v>
      </c>
      <c r="AJ73" s="1547" t="s">
        <v>8360</v>
      </c>
      <c r="AK73" s="1453" t="s">
        <v>1879</v>
      </c>
      <c r="AL73" s="1545">
        <v>58.74</v>
      </c>
      <c r="AM73" s="1453" t="s">
        <v>1923</v>
      </c>
      <c r="AN73" s="1545">
        <v>57.51</v>
      </c>
      <c r="AO73" s="1453" t="s">
        <v>4767</v>
      </c>
      <c r="AP73" s="1453" t="s">
        <v>9844</v>
      </c>
      <c r="AQ73" s="1453" t="s">
        <v>3579</v>
      </c>
      <c r="AR73" s="1547" t="s">
        <v>6315</v>
      </c>
      <c r="AS73" s="1545">
        <v>47.44</v>
      </c>
      <c r="AT73" s="1453" t="s">
        <v>9845</v>
      </c>
      <c r="AU73" s="1459" t="s">
        <v>9846</v>
      </c>
      <c r="AV73" s="1532" t="str">
        <f t="shared" si="1"/>
        <v>2:59</v>
      </c>
      <c r="AW73" s="1533" t="s">
        <v>7608</v>
      </c>
    </row>
    <row r="74">
      <c r="A74" s="1420" t="s">
        <v>8200</v>
      </c>
      <c r="B74" s="1438" t="s">
        <v>8280</v>
      </c>
      <c r="C74" s="1380">
        <v>0.05193287037037037</v>
      </c>
      <c r="D74" s="1491" t="s">
        <v>9847</v>
      </c>
      <c r="E74" s="1459" t="s">
        <v>7369</v>
      </c>
      <c r="F74" s="1459" t="s">
        <v>9848</v>
      </c>
      <c r="G74" s="1459" t="s">
        <v>9849</v>
      </c>
      <c r="H74" s="1459" t="s">
        <v>9850</v>
      </c>
      <c r="I74" s="1459" t="s">
        <v>2298</v>
      </c>
      <c r="J74" s="1459" t="s">
        <v>4081</v>
      </c>
      <c r="K74" s="1459" t="s">
        <v>8905</v>
      </c>
      <c r="L74" s="1459"/>
      <c r="M74" s="1459" t="s">
        <v>6974</v>
      </c>
      <c r="N74" s="1459" t="s">
        <v>9187</v>
      </c>
      <c r="O74" s="1459" t="s">
        <v>8352</v>
      </c>
      <c r="P74" s="1459" t="s">
        <v>9412</v>
      </c>
      <c r="Q74" s="1459" t="s">
        <v>9851</v>
      </c>
      <c r="R74" s="1459" t="s">
        <v>9506</v>
      </c>
      <c r="S74" s="1459" t="s">
        <v>8702</v>
      </c>
      <c r="T74" s="1459" t="s">
        <v>8921</v>
      </c>
      <c r="U74" s="1459" t="s">
        <v>2217</v>
      </c>
      <c r="V74" s="1459" t="s">
        <v>8738</v>
      </c>
      <c r="W74" s="1459" t="s">
        <v>5695</v>
      </c>
      <c r="X74" s="1459" t="s">
        <v>621</v>
      </c>
      <c r="Y74" s="1459" t="s">
        <v>8717</v>
      </c>
      <c r="Z74" s="1459" t="s">
        <v>9178</v>
      </c>
      <c r="AA74" s="1459" t="s">
        <v>7484</v>
      </c>
      <c r="AB74" s="1459" t="s">
        <v>9420</v>
      </c>
      <c r="AC74" s="1459" t="s">
        <v>2840</v>
      </c>
      <c r="AD74" s="1459" t="s">
        <v>9852</v>
      </c>
      <c r="AE74" s="1459" t="s">
        <v>9853</v>
      </c>
      <c r="AF74" s="1459" t="s">
        <v>9854</v>
      </c>
      <c r="AG74" s="1459" t="s">
        <v>9597</v>
      </c>
      <c r="AH74" s="1459" t="s">
        <v>9855</v>
      </c>
      <c r="AI74" s="1459" t="s">
        <v>9856</v>
      </c>
      <c r="AJ74" s="1459" t="s">
        <v>9857</v>
      </c>
      <c r="AK74" s="1459" t="s">
        <v>9858</v>
      </c>
      <c r="AL74" s="1459" t="s">
        <v>3083</v>
      </c>
      <c r="AM74" s="1459" t="s">
        <v>9859</v>
      </c>
      <c r="AN74" s="1459" t="s">
        <v>3350</v>
      </c>
      <c r="AO74" s="1459" t="s">
        <v>9860</v>
      </c>
      <c r="AP74" s="1459" t="s">
        <v>9861</v>
      </c>
      <c r="AQ74" s="1459" t="s">
        <v>9862</v>
      </c>
      <c r="AR74" s="1459" t="s">
        <v>9863</v>
      </c>
      <c r="AS74" s="1459" t="s">
        <v>3515</v>
      </c>
      <c r="AT74" s="1459" t="s">
        <v>9864</v>
      </c>
      <c r="AU74" s="1459" t="s">
        <v>9865</v>
      </c>
      <c r="AV74" s="1532" t="str">
        <f t="shared" si="1"/>
        <v>4:12</v>
      </c>
      <c r="AW74" s="1537"/>
    </row>
    <row r="75" ht="15.75" customHeight="1">
      <c r="A75" s="1463" t="s">
        <v>9866</v>
      </c>
      <c r="B75" s="1379" t="s">
        <v>8280</v>
      </c>
      <c r="C75" s="1481">
        <v>0.05199074074074074</v>
      </c>
      <c r="D75" s="1299" t="s">
        <v>9867</v>
      </c>
      <c r="E75" s="1532" t="s">
        <v>5240</v>
      </c>
      <c r="F75" s="1532" t="s">
        <v>9868</v>
      </c>
      <c r="G75" s="1532" t="s">
        <v>9869</v>
      </c>
      <c r="H75" s="1532" t="s">
        <v>7282</v>
      </c>
      <c r="I75" s="1532" t="s">
        <v>4041</v>
      </c>
      <c r="J75" s="1532" t="s">
        <v>9870</v>
      </c>
      <c r="K75" s="1532" t="s">
        <v>9871</v>
      </c>
      <c r="L75" s="1532" t="s">
        <v>2964</v>
      </c>
      <c r="M75" s="1532" t="s">
        <v>9872</v>
      </c>
      <c r="N75" s="1532" t="s">
        <v>9086</v>
      </c>
      <c r="O75" s="1532" t="s">
        <v>9873</v>
      </c>
      <c r="P75" s="1532" t="s">
        <v>2353</v>
      </c>
      <c r="Q75" s="1532" t="s">
        <v>4910</v>
      </c>
      <c r="R75" s="1532" t="s">
        <v>5179</v>
      </c>
      <c r="S75" s="1532" t="s">
        <v>4705</v>
      </c>
      <c r="T75" s="1532" t="s">
        <v>5717</v>
      </c>
      <c r="U75" s="1532" t="s">
        <v>9874</v>
      </c>
      <c r="V75" s="1532" t="s">
        <v>6201</v>
      </c>
      <c r="W75" s="1532" t="s">
        <v>7640</v>
      </c>
      <c r="X75" s="1532" t="s">
        <v>9875</v>
      </c>
      <c r="Y75" s="1532" t="s">
        <v>2014</v>
      </c>
      <c r="Z75" s="1532" t="s">
        <v>9876</v>
      </c>
      <c r="AA75" s="1532" t="s">
        <v>9549</v>
      </c>
      <c r="AB75" s="1532" t="s">
        <v>9877</v>
      </c>
      <c r="AC75" s="1532" t="s">
        <v>8358</v>
      </c>
      <c r="AD75" s="1532" t="s">
        <v>9878</v>
      </c>
      <c r="AE75" s="1532" t="s">
        <v>6444</v>
      </c>
      <c r="AF75" s="1532" t="s">
        <v>9879</v>
      </c>
      <c r="AG75" s="1532" t="s">
        <v>9802</v>
      </c>
      <c r="AH75" s="1532" t="s">
        <v>9880</v>
      </c>
      <c r="AI75" s="1532" t="s">
        <v>9881</v>
      </c>
      <c r="AJ75" s="1532" t="s">
        <v>9882</v>
      </c>
      <c r="AK75" s="1532" t="s">
        <v>806</v>
      </c>
      <c r="AL75" s="1532" t="s">
        <v>3448</v>
      </c>
      <c r="AM75" s="1532" t="s">
        <v>9307</v>
      </c>
      <c r="AN75" s="1532" t="s">
        <v>9883</v>
      </c>
      <c r="AO75" s="1459" t="s">
        <v>7239</v>
      </c>
      <c r="AP75" s="1459" t="s">
        <v>9884</v>
      </c>
      <c r="AQ75" s="1532" t="s">
        <v>5216</v>
      </c>
      <c r="AR75" s="1532" t="s">
        <v>9885</v>
      </c>
      <c r="AS75" s="1532" t="s">
        <v>1156</v>
      </c>
      <c r="AT75" s="1532" t="s">
        <v>9413</v>
      </c>
      <c r="AU75" s="1535" t="str">
        <f>HYPERLINK("https://splits.io/m3t","1:18:40")</f>
        <v>1:18:40</v>
      </c>
      <c r="AV75" s="1532" t="str">
        <f t="shared" si="1"/>
        <v>3:48</v>
      </c>
      <c r="AW75" s="1536" t="s">
        <v>9886</v>
      </c>
    </row>
    <row r="76" ht="15.75" customHeight="1">
      <c r="A76" s="1463" t="s">
        <v>9887</v>
      </c>
      <c r="B76" s="1379" t="s">
        <v>8280</v>
      </c>
      <c r="C76" s="1481">
        <v>0.052002314814814814</v>
      </c>
      <c r="D76" s="1299" t="s">
        <v>9888</v>
      </c>
      <c r="E76" s="1532" t="s">
        <v>8569</v>
      </c>
      <c r="F76" s="1532" t="s">
        <v>9889</v>
      </c>
      <c r="G76" s="1532" t="s">
        <v>9890</v>
      </c>
      <c r="H76" s="1532" t="s">
        <v>9891</v>
      </c>
      <c r="I76" s="1532" t="s">
        <v>3351</v>
      </c>
      <c r="J76" s="1532" t="s">
        <v>8941</v>
      </c>
      <c r="K76" s="1532" t="s">
        <v>4355</v>
      </c>
      <c r="L76" s="1532" t="s">
        <v>3234</v>
      </c>
      <c r="M76" s="1532" t="s">
        <v>9592</v>
      </c>
      <c r="N76" s="1532" t="s">
        <v>4393</v>
      </c>
      <c r="O76" s="1532" t="s">
        <v>9892</v>
      </c>
      <c r="P76" s="1532" t="s">
        <v>9893</v>
      </c>
      <c r="Q76" s="1532" t="s">
        <v>113</v>
      </c>
      <c r="R76" s="1532" t="s">
        <v>1450</v>
      </c>
      <c r="S76" s="1532" t="s">
        <v>9029</v>
      </c>
      <c r="T76" s="1532" t="s">
        <v>521</v>
      </c>
      <c r="U76" s="1532" t="s">
        <v>1840</v>
      </c>
      <c r="V76" s="1532" t="s">
        <v>459</v>
      </c>
      <c r="W76" s="1532" t="s">
        <v>5645</v>
      </c>
      <c r="X76" s="1532" t="s">
        <v>9349</v>
      </c>
      <c r="Y76" s="1532" t="s">
        <v>2363</v>
      </c>
      <c r="Z76" s="1532" t="s">
        <v>5338</v>
      </c>
      <c r="AA76" s="1532" t="s">
        <v>9086</v>
      </c>
      <c r="AB76" s="1532" t="s">
        <v>9894</v>
      </c>
      <c r="AC76" s="1532" t="s">
        <v>2938</v>
      </c>
      <c r="AD76" s="1532" t="s">
        <v>9895</v>
      </c>
      <c r="AE76" s="1532" t="s">
        <v>5054</v>
      </c>
      <c r="AF76" s="1532" t="s">
        <v>9896</v>
      </c>
      <c r="AG76" s="1532" t="s">
        <v>9897</v>
      </c>
      <c r="AH76" s="1532" t="s">
        <v>2197</v>
      </c>
      <c r="AI76" s="1532" t="s">
        <v>9898</v>
      </c>
      <c r="AJ76" s="1532" t="s">
        <v>9899</v>
      </c>
      <c r="AK76" s="1532" t="s">
        <v>4505</v>
      </c>
      <c r="AL76" s="1532" t="s">
        <v>8381</v>
      </c>
      <c r="AM76" s="1532" t="s">
        <v>1455</v>
      </c>
      <c r="AN76" s="1532" t="s">
        <v>8455</v>
      </c>
      <c r="AO76" s="1532" t="s">
        <v>8733</v>
      </c>
      <c r="AP76" s="1532" t="s">
        <v>9900</v>
      </c>
      <c r="AQ76" s="1532" t="s">
        <v>9901</v>
      </c>
      <c r="AR76" s="1532" t="s">
        <v>9837</v>
      </c>
      <c r="AS76" s="1532" t="s">
        <v>9068</v>
      </c>
      <c r="AT76" s="1532" t="s">
        <v>9902</v>
      </c>
      <c r="AU76" s="1532" t="s">
        <v>9903</v>
      </c>
      <c r="AV76" s="1532" t="str">
        <f t="shared" si="1"/>
        <v>3:32</v>
      </c>
      <c r="AW76" s="1536" t="s">
        <v>9904</v>
      </c>
    </row>
    <row r="77" ht="15.75" customHeight="1">
      <c r="A77" s="1463" t="s">
        <v>9905</v>
      </c>
      <c r="B77" s="1441" t="s">
        <v>8308</v>
      </c>
      <c r="C77" s="1481">
        <v>0.05201388888888889</v>
      </c>
      <c r="D77" s="1299" t="s">
        <v>9906</v>
      </c>
      <c r="E77" s="1459" t="s">
        <v>9907</v>
      </c>
      <c r="F77" s="1532" t="s">
        <v>9908</v>
      </c>
      <c r="G77" s="1532" t="s">
        <v>9909</v>
      </c>
      <c r="H77" s="1532" t="s">
        <v>1567</v>
      </c>
      <c r="I77" s="1532" t="s">
        <v>9910</v>
      </c>
      <c r="J77" s="1532" t="s">
        <v>9911</v>
      </c>
      <c r="K77" s="1532" t="s">
        <v>4052</v>
      </c>
      <c r="L77" s="1532" t="s">
        <v>9912</v>
      </c>
      <c r="M77" s="1532" t="s">
        <v>9913</v>
      </c>
      <c r="N77" s="1532" t="s">
        <v>9914</v>
      </c>
      <c r="O77" s="1532" t="s">
        <v>9915</v>
      </c>
      <c r="P77" s="1532" t="s">
        <v>160</v>
      </c>
      <c r="Q77" s="1532" t="s">
        <v>9916</v>
      </c>
      <c r="R77" s="1532" t="s">
        <v>7161</v>
      </c>
      <c r="S77" s="1532" t="s">
        <v>9917</v>
      </c>
      <c r="T77" s="1532" t="s">
        <v>9918</v>
      </c>
      <c r="U77" s="1532" t="s">
        <v>9919</v>
      </c>
      <c r="V77" s="1532" t="s">
        <v>7871</v>
      </c>
      <c r="W77" s="1532" t="s">
        <v>9920</v>
      </c>
      <c r="X77" s="1532" t="s">
        <v>9349</v>
      </c>
      <c r="Y77" s="1532" t="s">
        <v>300</v>
      </c>
      <c r="Z77" s="1532" t="s">
        <v>2292</v>
      </c>
      <c r="AA77" s="1532" t="s">
        <v>5659</v>
      </c>
      <c r="AB77" s="1532" t="s">
        <v>8593</v>
      </c>
      <c r="AC77" s="1532" t="s">
        <v>851</v>
      </c>
      <c r="AD77" s="1532" t="s">
        <v>9921</v>
      </c>
      <c r="AE77" s="1532" t="s">
        <v>1095</v>
      </c>
      <c r="AF77" s="1532" t="s">
        <v>9922</v>
      </c>
      <c r="AG77" s="1532" t="s">
        <v>2802</v>
      </c>
      <c r="AH77" s="1532" t="s">
        <v>5895</v>
      </c>
      <c r="AI77" s="1532" t="s">
        <v>1734</v>
      </c>
      <c r="AJ77" s="1532" t="s">
        <v>9923</v>
      </c>
      <c r="AK77" s="1532" t="s">
        <v>3328</v>
      </c>
      <c r="AL77" s="1532" t="s">
        <v>3731</v>
      </c>
      <c r="AM77" s="1532" t="s">
        <v>924</v>
      </c>
      <c r="AN77" s="1532" t="s">
        <v>9674</v>
      </c>
      <c r="AO77" s="1532" t="s">
        <v>2200</v>
      </c>
      <c r="AP77" s="1532" t="s">
        <v>9924</v>
      </c>
      <c r="AQ77" s="1532" t="s">
        <v>1002</v>
      </c>
      <c r="AR77" s="1532" t="s">
        <v>8353</v>
      </c>
      <c r="AS77" s="1532" t="s">
        <v>9398</v>
      </c>
      <c r="AT77" s="1532" t="s">
        <v>9925</v>
      </c>
      <c r="AU77" s="1532" t="s">
        <v>9926</v>
      </c>
      <c r="AV77" s="1532" t="str">
        <f t="shared" si="1"/>
        <v>2:58</v>
      </c>
      <c r="AW77" s="1537" t="s">
        <v>9927</v>
      </c>
    </row>
    <row r="78" ht="15.75" customHeight="1">
      <c r="A78" s="1378" t="s">
        <v>6265</v>
      </c>
      <c r="B78" s="1441" t="s">
        <v>8308</v>
      </c>
      <c r="C78" s="1481">
        <v>0.05207175925925926</v>
      </c>
      <c r="D78" s="1299" t="s">
        <v>9928</v>
      </c>
      <c r="E78" s="1532" t="s">
        <v>9929</v>
      </c>
      <c r="F78" s="1532" t="s">
        <v>9930</v>
      </c>
      <c r="G78" s="1532" t="s">
        <v>9931</v>
      </c>
      <c r="H78" s="1532" t="s">
        <v>9932</v>
      </c>
      <c r="I78" s="1532" t="s">
        <v>4831</v>
      </c>
      <c r="J78" s="1532" t="s">
        <v>8845</v>
      </c>
      <c r="K78" s="1532" t="s">
        <v>9558</v>
      </c>
      <c r="L78" s="1532" t="s">
        <v>9933</v>
      </c>
      <c r="M78" s="1532" t="s">
        <v>2680</v>
      </c>
      <c r="N78" s="1532" t="s">
        <v>9934</v>
      </c>
      <c r="O78" s="1532" t="s">
        <v>9935</v>
      </c>
      <c r="P78" s="1532" t="s">
        <v>762</v>
      </c>
      <c r="Q78" s="1532" t="s">
        <v>9936</v>
      </c>
      <c r="R78" s="1532" t="s">
        <v>4789</v>
      </c>
      <c r="S78" s="1532" t="s">
        <v>5849</v>
      </c>
      <c r="T78" s="1532" t="s">
        <v>5717</v>
      </c>
      <c r="U78" s="1532" t="s">
        <v>9937</v>
      </c>
      <c r="V78" s="1532" t="s">
        <v>2336</v>
      </c>
      <c r="W78" s="1532" t="s">
        <v>8357</v>
      </c>
      <c r="X78" s="1532" t="s">
        <v>9938</v>
      </c>
      <c r="Y78" s="1532" t="s">
        <v>1406</v>
      </c>
      <c r="Z78" s="1532" t="s">
        <v>7104</v>
      </c>
      <c r="AA78" s="1532" t="s">
        <v>1480</v>
      </c>
      <c r="AB78" s="1532" t="s">
        <v>4173</v>
      </c>
      <c r="AC78" s="1532" t="s">
        <v>237</v>
      </c>
      <c r="AD78" s="1532" t="s">
        <v>9939</v>
      </c>
      <c r="AE78" s="1532" t="s">
        <v>2512</v>
      </c>
      <c r="AF78" s="1532" t="s">
        <v>9940</v>
      </c>
      <c r="AG78" s="1532" t="s">
        <v>9349</v>
      </c>
      <c r="AH78" s="1532" t="s">
        <v>6868</v>
      </c>
      <c r="AI78" s="1532" t="s">
        <v>9715</v>
      </c>
      <c r="AJ78" s="1532" t="s">
        <v>9941</v>
      </c>
      <c r="AK78" s="1532" t="s">
        <v>9942</v>
      </c>
      <c r="AL78" s="1532" t="s">
        <v>4122</v>
      </c>
      <c r="AM78" s="1532" t="s">
        <v>9438</v>
      </c>
      <c r="AN78" s="1532" t="s">
        <v>3731</v>
      </c>
      <c r="AO78" s="1532" t="s">
        <v>4052</v>
      </c>
      <c r="AP78" s="1532" t="s">
        <v>9198</v>
      </c>
      <c r="AQ78" s="1532" t="s">
        <v>9943</v>
      </c>
      <c r="AR78" s="1532" t="s">
        <v>1479</v>
      </c>
      <c r="AS78" s="1532" t="s">
        <v>5949</v>
      </c>
      <c r="AT78" s="1532" t="s">
        <v>7417</v>
      </c>
      <c r="AU78" s="1532" t="s">
        <v>9944</v>
      </c>
      <c r="AV78" s="1532" t="str">
        <f t="shared" si="1"/>
        <v>3:10</v>
      </c>
      <c r="AW78" s="1537" t="s">
        <v>9945</v>
      </c>
    </row>
    <row r="79">
      <c r="A79" s="1541" t="s">
        <v>3848</v>
      </c>
      <c r="B79" s="1507" t="s">
        <v>8336</v>
      </c>
      <c r="C79" s="1548">
        <v>0.052141203703703703</v>
      </c>
      <c r="D79" s="1299" t="s">
        <v>9946</v>
      </c>
      <c r="E79" s="1428" t="s">
        <v>2830</v>
      </c>
      <c r="F79" s="1428" t="s">
        <v>9947</v>
      </c>
      <c r="G79" s="1453" t="s">
        <v>9948</v>
      </c>
      <c r="H79" s="1453" t="s">
        <v>9949</v>
      </c>
      <c r="I79" s="1453" t="s">
        <v>2348</v>
      </c>
      <c r="J79" s="1453" t="s">
        <v>6713</v>
      </c>
      <c r="K79" s="1549" t="s">
        <v>6004</v>
      </c>
      <c r="L79" s="1550" t="s">
        <v>6865</v>
      </c>
      <c r="M79" s="1453" t="s">
        <v>9950</v>
      </c>
      <c r="N79" s="1453" t="s">
        <v>5717</v>
      </c>
      <c r="O79" s="1453" t="s">
        <v>5471</v>
      </c>
      <c r="P79" s="1453" t="s">
        <v>1974</v>
      </c>
      <c r="Q79" s="1453" t="s">
        <v>9951</v>
      </c>
      <c r="R79" s="1453" t="s">
        <v>2404</v>
      </c>
      <c r="S79" s="1551" t="s">
        <v>2215</v>
      </c>
      <c r="T79" s="1453" t="s">
        <v>8719</v>
      </c>
      <c r="U79" s="1453" t="s">
        <v>3199</v>
      </c>
      <c r="V79" s="1453" t="s">
        <v>9952</v>
      </c>
      <c r="W79" s="1453" t="s">
        <v>9953</v>
      </c>
      <c r="X79" s="1453" t="s">
        <v>4379</v>
      </c>
      <c r="Y79" s="1453" t="s">
        <v>2570</v>
      </c>
      <c r="Z79" s="1453" t="s">
        <v>4022</v>
      </c>
      <c r="AA79" s="1453" t="s">
        <v>173</v>
      </c>
      <c r="AB79" s="1453" t="s">
        <v>618</v>
      </c>
      <c r="AC79" s="1453" t="s">
        <v>2512</v>
      </c>
      <c r="AD79" s="1552" t="s">
        <v>8644</v>
      </c>
      <c r="AE79" s="1453" t="s">
        <v>474</v>
      </c>
      <c r="AF79" s="1453" t="s">
        <v>9954</v>
      </c>
      <c r="AG79" s="1453" t="s">
        <v>9955</v>
      </c>
      <c r="AH79" s="1453" t="s">
        <v>4450</v>
      </c>
      <c r="AI79" s="1453" t="s">
        <v>3762</v>
      </c>
      <c r="AJ79" s="1453" t="s">
        <v>9956</v>
      </c>
      <c r="AK79" s="1453" t="s">
        <v>9957</v>
      </c>
      <c r="AL79" s="1453" t="s">
        <v>4913</v>
      </c>
      <c r="AM79" s="1453" t="s">
        <v>9599</v>
      </c>
      <c r="AN79" s="1453" t="s">
        <v>9149</v>
      </c>
      <c r="AO79" s="1453" t="s">
        <v>8626</v>
      </c>
      <c r="AP79" s="1453" t="s">
        <v>9958</v>
      </c>
      <c r="AQ79" s="1549" t="s">
        <v>8367</v>
      </c>
      <c r="AR79" s="1453" t="s">
        <v>9959</v>
      </c>
      <c r="AS79" s="1547" t="s">
        <v>751</v>
      </c>
      <c r="AT79" s="1453" t="s">
        <v>9960</v>
      </c>
      <c r="AU79" s="1418" t="s">
        <v>9961</v>
      </c>
      <c r="AV79" s="1418" t="s">
        <v>9962</v>
      </c>
      <c r="AW79" s="1553" t="s">
        <v>9963</v>
      </c>
    </row>
    <row r="80">
      <c r="A80" s="1420" t="s">
        <v>3641</v>
      </c>
      <c r="B80" s="1438" t="s">
        <v>8280</v>
      </c>
      <c r="C80" s="1380">
        <v>0.0522337962962963</v>
      </c>
      <c r="D80" s="1491" t="s">
        <v>9964</v>
      </c>
      <c r="E80" s="1459" t="s">
        <v>9965</v>
      </c>
      <c r="F80" s="1459" t="s">
        <v>9966</v>
      </c>
      <c r="G80" s="1459" t="s">
        <v>9967</v>
      </c>
      <c r="H80" s="1459" t="s">
        <v>9968</v>
      </c>
      <c r="I80" s="1459" t="s">
        <v>141</v>
      </c>
      <c r="J80" s="1459" t="s">
        <v>7946</v>
      </c>
      <c r="K80" s="1459" t="s">
        <v>4355</v>
      </c>
      <c r="L80" s="1459" t="s">
        <v>6016</v>
      </c>
      <c r="M80" s="1459" t="s">
        <v>9969</v>
      </c>
      <c r="N80" s="1459" t="s">
        <v>9970</v>
      </c>
      <c r="O80" s="1459" t="s">
        <v>9971</v>
      </c>
      <c r="P80" s="1459" t="s">
        <v>5054</v>
      </c>
      <c r="Q80" s="1459" t="s">
        <v>4716</v>
      </c>
      <c r="R80" s="1459" t="s">
        <v>6002</v>
      </c>
      <c r="S80" s="1459" t="s">
        <v>600</v>
      </c>
      <c r="T80" s="1459" t="s">
        <v>9759</v>
      </c>
      <c r="U80" s="1459" t="s">
        <v>8673</v>
      </c>
      <c r="V80" s="1459" t="s">
        <v>9972</v>
      </c>
      <c r="W80" s="1459" t="s">
        <v>9973</v>
      </c>
      <c r="X80" s="1459" t="s">
        <v>9974</v>
      </c>
      <c r="Y80" s="1459" t="s">
        <v>756</v>
      </c>
      <c r="Z80" s="1459" t="s">
        <v>1787</v>
      </c>
      <c r="AA80" s="1299" t="s">
        <v>9975</v>
      </c>
      <c r="AB80" s="1459" t="s">
        <v>6810</v>
      </c>
      <c r="AC80" s="1459" t="s">
        <v>9739</v>
      </c>
      <c r="AD80" s="1459" t="s">
        <v>7279</v>
      </c>
      <c r="AE80" s="1459" t="s">
        <v>4793</v>
      </c>
      <c r="AF80" s="1554" t="s">
        <v>9976</v>
      </c>
      <c r="AG80" s="1459" t="s">
        <v>9977</v>
      </c>
      <c r="AH80" s="1459" t="s">
        <v>4974</v>
      </c>
      <c r="AI80" s="1459" t="s">
        <v>6467</v>
      </c>
      <c r="AJ80" s="1459" t="s">
        <v>9978</v>
      </c>
      <c r="AK80" s="1459" t="s">
        <v>9979</v>
      </c>
      <c r="AL80" s="1459" t="s">
        <v>9675</v>
      </c>
      <c r="AM80" s="1459" t="s">
        <v>9980</v>
      </c>
      <c r="AN80" s="1459" t="s">
        <v>1146</v>
      </c>
      <c r="AO80" s="1459" t="s">
        <v>9981</v>
      </c>
      <c r="AP80" s="1459" t="s">
        <v>5506</v>
      </c>
      <c r="AQ80" s="1459" t="s">
        <v>9982</v>
      </c>
      <c r="AR80" s="1459" t="s">
        <v>687</v>
      </c>
      <c r="AS80" s="1554" t="s">
        <v>3021</v>
      </c>
      <c r="AT80" s="1459" t="s">
        <v>9983</v>
      </c>
      <c r="AU80" s="1459" t="s">
        <v>9984</v>
      </c>
      <c r="AV80" s="1532" t="str">
        <f t="shared" ref="AV80:AV87" si="2">TEXT(AU80-C80,"m:ss")</f>
        <v>4:32</v>
      </c>
      <c r="AW80" s="1533" t="s">
        <v>9985</v>
      </c>
    </row>
    <row r="81">
      <c r="A81" s="1420" t="s">
        <v>5083</v>
      </c>
      <c r="B81" s="1421" t="s">
        <v>8308</v>
      </c>
      <c r="C81" s="1380">
        <v>0.05232638888888889</v>
      </c>
      <c r="D81" s="1491" t="s">
        <v>9986</v>
      </c>
      <c r="E81" s="1459" t="s">
        <v>1226</v>
      </c>
      <c r="F81" s="1459" t="s">
        <v>9987</v>
      </c>
      <c r="G81" s="1459" t="s">
        <v>9988</v>
      </c>
      <c r="H81" s="1459" t="s">
        <v>9989</v>
      </c>
      <c r="I81" s="1459" t="s">
        <v>1344</v>
      </c>
      <c r="J81" s="1459" t="s">
        <v>7561</v>
      </c>
      <c r="K81" s="1459" t="s">
        <v>9569</v>
      </c>
      <c r="L81" s="1459" t="s">
        <v>9990</v>
      </c>
      <c r="M81" s="1459" t="s">
        <v>7308</v>
      </c>
      <c r="N81" s="1459" t="s">
        <v>9991</v>
      </c>
      <c r="O81" s="1459" t="s">
        <v>9992</v>
      </c>
      <c r="P81" s="1459" t="s">
        <v>513</v>
      </c>
      <c r="Q81" s="1459" t="s">
        <v>9365</v>
      </c>
      <c r="R81" s="1459" t="s">
        <v>5311</v>
      </c>
      <c r="S81" s="1459" t="s">
        <v>9206</v>
      </c>
      <c r="T81" s="1459" t="s">
        <v>9993</v>
      </c>
      <c r="U81" s="1459" t="s">
        <v>9994</v>
      </c>
      <c r="V81" s="1459" t="s">
        <v>9995</v>
      </c>
      <c r="W81" s="1459" t="s">
        <v>6091</v>
      </c>
      <c r="X81" s="1459" t="s">
        <v>309</v>
      </c>
      <c r="Y81" s="1459" t="s">
        <v>6326</v>
      </c>
      <c r="Z81" s="1459" t="s">
        <v>778</v>
      </c>
      <c r="AA81" s="1532" t="s">
        <v>9206</v>
      </c>
      <c r="AB81" s="1459" t="s">
        <v>9996</v>
      </c>
      <c r="AC81" s="1459" t="s">
        <v>5997</v>
      </c>
      <c r="AD81" s="1459" t="s">
        <v>9997</v>
      </c>
      <c r="AE81" s="1459" t="s">
        <v>222</v>
      </c>
      <c r="AF81" s="1459" t="s">
        <v>7864</v>
      </c>
      <c r="AG81" s="1459" t="s">
        <v>3816</v>
      </c>
      <c r="AH81" s="1459" t="s">
        <v>1805</v>
      </c>
      <c r="AI81" s="1459" t="s">
        <v>415</v>
      </c>
      <c r="AJ81" s="1459" t="s">
        <v>9998</v>
      </c>
      <c r="AK81" s="1459" t="s">
        <v>9999</v>
      </c>
      <c r="AL81" s="1459" t="s">
        <v>9717</v>
      </c>
      <c r="AM81" s="1459" t="s">
        <v>2802</v>
      </c>
      <c r="AN81" s="1459" t="s">
        <v>5785</v>
      </c>
      <c r="AO81" s="1459" t="s">
        <v>3301</v>
      </c>
      <c r="AP81" s="1459" t="s">
        <v>10000</v>
      </c>
      <c r="AQ81" s="1459" t="s">
        <v>7307</v>
      </c>
      <c r="AR81" s="1459" t="s">
        <v>5996</v>
      </c>
      <c r="AS81" s="1459" t="s">
        <v>10001</v>
      </c>
      <c r="AT81" s="1459" t="s">
        <v>10002</v>
      </c>
      <c r="AU81" s="1459" t="s">
        <v>10003</v>
      </c>
      <c r="AV81" s="1532" t="str">
        <f t="shared" si="2"/>
        <v>3:48</v>
      </c>
      <c r="AW81" s="1537"/>
    </row>
    <row r="82" ht="15.75" customHeight="1">
      <c r="A82" s="1378" t="s">
        <v>10004</v>
      </c>
      <c r="B82" s="1379" t="s">
        <v>8280</v>
      </c>
      <c r="C82" s="1481">
        <v>0.05240740740740741</v>
      </c>
      <c r="D82" s="1299" t="s">
        <v>10005</v>
      </c>
      <c r="E82" s="1532" t="s">
        <v>1571</v>
      </c>
      <c r="F82" s="1532" t="s">
        <v>7575</v>
      </c>
      <c r="G82" s="1532" t="s">
        <v>9697</v>
      </c>
      <c r="H82" s="1532" t="s">
        <v>10006</v>
      </c>
      <c r="I82" s="1532" t="s">
        <v>10007</v>
      </c>
      <c r="J82" s="1532" t="s">
        <v>10008</v>
      </c>
      <c r="K82" s="1532" t="s">
        <v>5253</v>
      </c>
      <c r="L82" s="1532" t="s">
        <v>4384</v>
      </c>
      <c r="M82" s="1532" t="s">
        <v>4274</v>
      </c>
      <c r="N82" s="1532" t="s">
        <v>4696</v>
      </c>
      <c r="O82" s="1532" t="s">
        <v>10009</v>
      </c>
      <c r="P82" s="1532" t="s">
        <v>10010</v>
      </c>
      <c r="Q82" s="1532" t="s">
        <v>4063</v>
      </c>
      <c r="R82" s="1532" t="s">
        <v>2508</v>
      </c>
      <c r="S82" s="1532" t="s">
        <v>9441</v>
      </c>
      <c r="T82" s="1532" t="s">
        <v>4975</v>
      </c>
      <c r="U82" s="1532" t="s">
        <v>10011</v>
      </c>
      <c r="V82" s="1532" t="s">
        <v>10012</v>
      </c>
      <c r="W82" s="1532" t="s">
        <v>10013</v>
      </c>
      <c r="X82" s="1532" t="s">
        <v>10014</v>
      </c>
      <c r="Y82" s="1532" t="s">
        <v>6219</v>
      </c>
      <c r="Z82" s="1532" t="s">
        <v>9876</v>
      </c>
      <c r="AA82" s="1532" t="s">
        <v>1991</v>
      </c>
      <c r="AB82" s="1532" t="s">
        <v>10015</v>
      </c>
      <c r="AC82" s="1532" t="s">
        <v>1532</v>
      </c>
      <c r="AD82" s="1532" t="s">
        <v>10016</v>
      </c>
      <c r="AE82" s="1532" t="s">
        <v>1532</v>
      </c>
      <c r="AF82" s="1532" t="s">
        <v>10017</v>
      </c>
      <c r="AG82" s="1532" t="s">
        <v>9633</v>
      </c>
      <c r="AH82" s="1532" t="s">
        <v>2093</v>
      </c>
      <c r="AI82" s="1532" t="s">
        <v>3093</v>
      </c>
      <c r="AJ82" s="1532" t="s">
        <v>10018</v>
      </c>
      <c r="AK82" s="1532" t="s">
        <v>1783</v>
      </c>
      <c r="AL82" s="1532" t="s">
        <v>4142</v>
      </c>
      <c r="AM82" s="1532" t="s">
        <v>1120</v>
      </c>
      <c r="AN82" s="1532" t="s">
        <v>2831</v>
      </c>
      <c r="AO82" s="1532" t="s">
        <v>10019</v>
      </c>
      <c r="AP82" s="1532" t="s">
        <v>3358</v>
      </c>
      <c r="AQ82" s="1532" t="s">
        <v>2276</v>
      </c>
      <c r="AR82" s="1532" t="s">
        <v>10020</v>
      </c>
      <c r="AS82" s="1532" t="s">
        <v>8867</v>
      </c>
      <c r="AT82" s="1532" t="s">
        <v>8954</v>
      </c>
      <c r="AU82" s="1532" t="s">
        <v>10021</v>
      </c>
      <c r="AV82" s="1532" t="str">
        <f t="shared" si="2"/>
        <v>3:40</v>
      </c>
      <c r="AW82" s="1536" t="s">
        <v>10022</v>
      </c>
    </row>
    <row r="83" ht="15.75" customHeight="1">
      <c r="A83" s="1463" t="s">
        <v>10023</v>
      </c>
      <c r="B83" s="1379" t="s">
        <v>8280</v>
      </c>
      <c r="C83" s="1481">
        <v>0.05263888888888889</v>
      </c>
      <c r="D83" s="1299" t="s">
        <v>10024</v>
      </c>
      <c r="E83" s="1532" t="s">
        <v>9748</v>
      </c>
      <c r="F83" s="1532" t="s">
        <v>10025</v>
      </c>
      <c r="G83" s="1532" t="s">
        <v>10026</v>
      </c>
      <c r="H83" s="1532" t="s">
        <v>10027</v>
      </c>
      <c r="I83" s="1532" t="s">
        <v>9501</v>
      </c>
      <c r="J83" s="1532" t="s">
        <v>8701</v>
      </c>
      <c r="K83" s="1532" t="s">
        <v>3982</v>
      </c>
      <c r="L83" s="1532" t="s">
        <v>4056</v>
      </c>
      <c r="M83" s="1532" t="s">
        <v>8976</v>
      </c>
      <c r="N83" s="1532" t="s">
        <v>10028</v>
      </c>
      <c r="O83" s="1532" t="s">
        <v>8324</v>
      </c>
      <c r="P83" s="1532" t="s">
        <v>478</v>
      </c>
      <c r="Q83" s="1532" t="s">
        <v>10029</v>
      </c>
      <c r="R83" s="1532" t="s">
        <v>5468</v>
      </c>
      <c r="S83" s="1532" t="s">
        <v>1969</v>
      </c>
      <c r="T83" s="1532" t="s">
        <v>10030</v>
      </c>
      <c r="U83" s="1532" t="s">
        <v>10031</v>
      </c>
      <c r="V83" s="1532" t="s">
        <v>10032</v>
      </c>
      <c r="W83" s="1532" t="s">
        <v>10033</v>
      </c>
      <c r="X83" s="1532" t="s">
        <v>5569</v>
      </c>
      <c r="Y83" s="1532" t="s">
        <v>1532</v>
      </c>
      <c r="Z83" s="1532" t="s">
        <v>6316</v>
      </c>
      <c r="AA83" s="1459" t="s">
        <v>7489</v>
      </c>
      <c r="AB83" s="1532" t="s">
        <v>5238</v>
      </c>
      <c r="AC83" s="1532" t="s">
        <v>9755</v>
      </c>
      <c r="AD83" s="1532" t="s">
        <v>2871</v>
      </c>
      <c r="AE83" s="1532" t="s">
        <v>4861</v>
      </c>
      <c r="AF83" s="1532" t="s">
        <v>10034</v>
      </c>
      <c r="AG83" s="1532" t="s">
        <v>2704</v>
      </c>
      <c r="AH83" s="1532" t="s">
        <v>6462</v>
      </c>
      <c r="AI83" s="1532" t="s">
        <v>10035</v>
      </c>
      <c r="AJ83" s="1532" t="s">
        <v>10036</v>
      </c>
      <c r="AK83" s="1532" t="s">
        <v>9346</v>
      </c>
      <c r="AL83" s="1532" t="s">
        <v>10037</v>
      </c>
      <c r="AM83" s="1532" t="s">
        <v>10038</v>
      </c>
      <c r="AN83" s="1532" t="s">
        <v>3730</v>
      </c>
      <c r="AO83" s="1532" t="s">
        <v>8626</v>
      </c>
      <c r="AP83" s="1532" t="s">
        <v>10039</v>
      </c>
      <c r="AQ83" s="1532" t="s">
        <v>10040</v>
      </c>
      <c r="AR83" s="1532" t="s">
        <v>154</v>
      </c>
      <c r="AS83" s="1532" t="s">
        <v>1156</v>
      </c>
      <c r="AT83" s="1532" t="s">
        <v>10041</v>
      </c>
      <c r="AU83" s="1532" t="s">
        <v>10042</v>
      </c>
      <c r="AV83" s="1532" t="str">
        <f t="shared" si="2"/>
        <v>4:28</v>
      </c>
      <c r="AW83" s="1536" t="s">
        <v>10043</v>
      </c>
    </row>
    <row r="84">
      <c r="A84" s="1420" t="s">
        <v>3324</v>
      </c>
      <c r="B84" s="1497" t="s">
        <v>8336</v>
      </c>
      <c r="C84" s="1498">
        <v>0.052662037037037035</v>
      </c>
      <c r="D84" s="1299" t="s">
        <v>10044</v>
      </c>
      <c r="E84" s="1299" t="s">
        <v>525</v>
      </c>
      <c r="F84" s="1299" t="s">
        <v>10045</v>
      </c>
      <c r="G84" s="1299" t="s">
        <v>10046</v>
      </c>
      <c r="H84" s="1299" t="s">
        <v>8501</v>
      </c>
      <c r="I84" s="1299" t="s">
        <v>3948</v>
      </c>
      <c r="J84" s="1299" t="s">
        <v>9131</v>
      </c>
      <c r="K84" s="1299" t="s">
        <v>10047</v>
      </c>
      <c r="L84" s="1299" t="s">
        <v>2697</v>
      </c>
      <c r="M84" s="1299" t="s">
        <v>267</v>
      </c>
      <c r="N84" s="1299" t="s">
        <v>8764</v>
      </c>
      <c r="O84" s="1299" t="s">
        <v>10048</v>
      </c>
      <c r="P84" s="1299" t="s">
        <v>2053</v>
      </c>
      <c r="Q84" s="1299" t="s">
        <v>10049</v>
      </c>
      <c r="R84" s="1299" t="s">
        <v>10050</v>
      </c>
      <c r="S84" s="1299" t="s">
        <v>10051</v>
      </c>
      <c r="T84" s="1299" t="s">
        <v>10052</v>
      </c>
      <c r="U84" s="1299" t="s">
        <v>10053</v>
      </c>
      <c r="V84" s="1299" t="s">
        <v>10054</v>
      </c>
      <c r="W84" s="1299" t="s">
        <v>10055</v>
      </c>
      <c r="X84" s="1299" t="s">
        <v>2668</v>
      </c>
      <c r="Y84" s="1299" t="s">
        <v>3035</v>
      </c>
      <c r="Z84" s="1299" t="s">
        <v>6105</v>
      </c>
      <c r="AA84" s="1459" t="s">
        <v>9511</v>
      </c>
      <c r="AB84" s="1299" t="s">
        <v>10056</v>
      </c>
      <c r="AC84" s="1299" t="s">
        <v>6328</v>
      </c>
      <c r="AD84" s="1555" t="s">
        <v>8357</v>
      </c>
      <c r="AE84" s="1299" t="s">
        <v>332</v>
      </c>
      <c r="AF84" s="1299" t="s">
        <v>10057</v>
      </c>
      <c r="AG84" s="1299" t="s">
        <v>7226</v>
      </c>
      <c r="AH84" s="1299" t="s">
        <v>3417</v>
      </c>
      <c r="AI84" s="1299" t="s">
        <v>10058</v>
      </c>
      <c r="AJ84" s="1299" t="s">
        <v>10059</v>
      </c>
      <c r="AK84" s="1299" t="s">
        <v>10060</v>
      </c>
      <c r="AL84" s="1299" t="s">
        <v>4520</v>
      </c>
      <c r="AM84" s="1299" t="s">
        <v>5644</v>
      </c>
      <c r="AN84" s="1555" t="s">
        <v>8364</v>
      </c>
      <c r="AO84" s="1299" t="s">
        <v>10061</v>
      </c>
      <c r="AP84" s="1299" t="s">
        <v>10062</v>
      </c>
      <c r="AQ84" s="1299" t="s">
        <v>10063</v>
      </c>
      <c r="AR84" s="1299" t="s">
        <v>5824</v>
      </c>
      <c r="AS84" s="1299" t="s">
        <v>8882</v>
      </c>
      <c r="AT84" s="1299" t="s">
        <v>10064</v>
      </c>
      <c r="AU84" s="1556" t="s">
        <v>10065</v>
      </c>
      <c r="AV84" s="1532" t="str">
        <f t="shared" si="2"/>
        <v>4:43</v>
      </c>
      <c r="AW84" s="1540" t="s">
        <v>10066</v>
      </c>
    </row>
    <row r="85" ht="15.75" customHeight="1">
      <c r="A85" s="1420" t="s">
        <v>10067</v>
      </c>
      <c r="B85" s="1421" t="s">
        <v>8280</v>
      </c>
      <c r="C85" s="1380">
        <v>0.05267361111111111</v>
      </c>
      <c r="D85" s="1491" t="s">
        <v>9401</v>
      </c>
      <c r="E85" s="1459" t="s">
        <v>859</v>
      </c>
      <c r="F85" s="1459" t="s">
        <v>7252</v>
      </c>
      <c r="G85" s="1459" t="s">
        <v>10068</v>
      </c>
      <c r="H85" s="1459" t="s">
        <v>10069</v>
      </c>
      <c r="I85" s="1459" t="s">
        <v>5498</v>
      </c>
      <c r="J85" s="1299" t="s">
        <v>10070</v>
      </c>
      <c r="K85" s="1459" t="s">
        <v>10071</v>
      </c>
      <c r="L85" s="1459" t="s">
        <v>3417</v>
      </c>
      <c r="M85" s="1459" t="s">
        <v>7208</v>
      </c>
      <c r="N85" s="1459" t="s">
        <v>10072</v>
      </c>
      <c r="O85" s="1459" t="s">
        <v>10073</v>
      </c>
      <c r="P85" s="1459" t="s">
        <v>4041</v>
      </c>
      <c r="Q85" s="1459" t="s">
        <v>10074</v>
      </c>
      <c r="R85" s="1459" t="s">
        <v>5517</v>
      </c>
      <c r="S85" s="1459" t="s">
        <v>7245</v>
      </c>
      <c r="T85" s="1459" t="s">
        <v>10075</v>
      </c>
      <c r="U85" s="1459" t="s">
        <v>10076</v>
      </c>
      <c r="V85" s="1459" t="s">
        <v>9031</v>
      </c>
      <c r="W85" s="1459" t="s">
        <v>10077</v>
      </c>
      <c r="X85" s="1459" t="s">
        <v>2329</v>
      </c>
      <c r="Y85" s="1459" t="s">
        <v>8937</v>
      </c>
      <c r="Z85" s="1459" t="s">
        <v>8474</v>
      </c>
      <c r="AA85" s="1459" t="s">
        <v>10078</v>
      </c>
      <c r="AB85" s="1459" t="s">
        <v>9517</v>
      </c>
      <c r="AC85" s="1459" t="s">
        <v>8806</v>
      </c>
      <c r="AD85" s="1459" t="s">
        <v>10079</v>
      </c>
      <c r="AE85" s="1459" t="s">
        <v>2298</v>
      </c>
      <c r="AF85" s="1459" t="s">
        <v>10080</v>
      </c>
      <c r="AG85" s="1459" t="s">
        <v>10081</v>
      </c>
      <c r="AH85" s="1459" t="s">
        <v>4056</v>
      </c>
      <c r="AI85" s="1459" t="s">
        <v>10082</v>
      </c>
      <c r="AJ85" s="1459" t="s">
        <v>10083</v>
      </c>
      <c r="AK85" s="1459" t="s">
        <v>1601</v>
      </c>
      <c r="AL85" s="1459" t="s">
        <v>2553</v>
      </c>
      <c r="AM85" s="1459" t="s">
        <v>1601</v>
      </c>
      <c r="AN85" s="1459" t="s">
        <v>2553</v>
      </c>
      <c r="AO85" s="1459" t="s">
        <v>5887</v>
      </c>
      <c r="AP85" s="1459" t="s">
        <v>10084</v>
      </c>
      <c r="AQ85" s="1459" t="s">
        <v>2149</v>
      </c>
      <c r="AR85" s="1459" t="s">
        <v>9901</v>
      </c>
      <c r="AS85" s="1459" t="s">
        <v>3575</v>
      </c>
      <c r="AT85" s="1459" t="s">
        <v>10085</v>
      </c>
      <c r="AU85" s="1459" t="s">
        <v>10086</v>
      </c>
      <c r="AV85" s="1532" t="str">
        <f t="shared" si="2"/>
        <v>5:58</v>
      </c>
      <c r="AW85" s="1533" t="s">
        <v>10087</v>
      </c>
    </row>
    <row r="86" ht="15.75" customHeight="1">
      <c r="A86" s="1378" t="s">
        <v>5815</v>
      </c>
      <c r="B86" s="1441" t="s">
        <v>8308</v>
      </c>
      <c r="C86" s="1481">
        <v>0.05275462962962963</v>
      </c>
      <c r="D86" s="1299" t="s">
        <v>10088</v>
      </c>
      <c r="E86" s="1532" t="s">
        <v>9424</v>
      </c>
      <c r="F86" s="1532" t="s">
        <v>10089</v>
      </c>
      <c r="G86" s="1532" t="s">
        <v>8555</v>
      </c>
      <c r="H86" s="1532" t="s">
        <v>7074</v>
      </c>
      <c r="I86" s="1532" t="s">
        <v>2231</v>
      </c>
      <c r="J86" s="1532" t="s">
        <v>3999</v>
      </c>
      <c r="K86" s="1532" t="s">
        <v>9773</v>
      </c>
      <c r="L86" s="1532" t="s">
        <v>5154</v>
      </c>
      <c r="M86" s="1532" t="s">
        <v>3981</v>
      </c>
      <c r="N86" s="1532" t="s">
        <v>10090</v>
      </c>
      <c r="O86" s="1532" t="s">
        <v>10091</v>
      </c>
      <c r="P86" s="1532" t="s">
        <v>6067</v>
      </c>
      <c r="Q86" s="1532" t="s">
        <v>10092</v>
      </c>
      <c r="R86" s="1532" t="s">
        <v>10093</v>
      </c>
      <c r="S86" s="1532" t="s">
        <v>8299</v>
      </c>
      <c r="T86" s="1532" t="s">
        <v>2559</v>
      </c>
      <c r="U86" s="1532" t="s">
        <v>491</v>
      </c>
      <c r="V86" s="1532" t="s">
        <v>10094</v>
      </c>
      <c r="W86" s="1532" t="s">
        <v>10095</v>
      </c>
      <c r="X86" s="1532" t="s">
        <v>10096</v>
      </c>
      <c r="Y86" s="1532" t="s">
        <v>3956</v>
      </c>
      <c r="Z86" s="1532" t="s">
        <v>8593</v>
      </c>
      <c r="AA86" s="1532" t="s">
        <v>10097</v>
      </c>
      <c r="AB86" s="1532" t="s">
        <v>155</v>
      </c>
      <c r="AC86" s="1532" t="s">
        <v>9652</v>
      </c>
      <c r="AD86" s="1532" t="s">
        <v>10098</v>
      </c>
      <c r="AE86" s="1532" t="s">
        <v>10099</v>
      </c>
      <c r="AF86" s="1532" t="s">
        <v>9163</v>
      </c>
      <c r="AG86" s="1532" t="s">
        <v>10100</v>
      </c>
      <c r="AH86" s="1532" t="s">
        <v>718</v>
      </c>
      <c r="AI86" s="1532" t="s">
        <v>5186</v>
      </c>
      <c r="AJ86" s="1532" t="s">
        <v>10101</v>
      </c>
      <c r="AK86" s="1532" t="s">
        <v>8700</v>
      </c>
      <c r="AL86" s="1532" t="s">
        <v>5321</v>
      </c>
      <c r="AM86" s="1532" t="s">
        <v>3945</v>
      </c>
      <c r="AN86" s="1532" t="s">
        <v>6178</v>
      </c>
      <c r="AO86" s="1532" t="s">
        <v>10102</v>
      </c>
      <c r="AP86" s="1532" t="s">
        <v>10103</v>
      </c>
      <c r="AQ86" s="1532" t="s">
        <v>10104</v>
      </c>
      <c r="AR86" s="1532" t="s">
        <v>9711</v>
      </c>
      <c r="AS86" s="1532" t="s">
        <v>8606</v>
      </c>
      <c r="AT86" s="1532" t="s">
        <v>10105</v>
      </c>
      <c r="AU86" s="1532" t="s">
        <v>10106</v>
      </c>
      <c r="AV86" s="1532" t="str">
        <f t="shared" si="2"/>
        <v>3:59</v>
      </c>
      <c r="AW86" s="1537" t="s">
        <v>10107</v>
      </c>
    </row>
    <row r="87" ht="15.75" customHeight="1">
      <c r="A87" s="1463" t="s">
        <v>10108</v>
      </c>
      <c r="B87" s="1507" t="s">
        <v>8336</v>
      </c>
      <c r="C87" s="1508">
        <v>0.05291666666666667</v>
      </c>
      <c r="D87" s="1299" t="s">
        <v>10109</v>
      </c>
      <c r="E87" s="1532" t="s">
        <v>10110</v>
      </c>
      <c r="F87" s="1532" t="s">
        <v>5661</v>
      </c>
      <c r="G87" s="1532" t="s">
        <v>9308</v>
      </c>
      <c r="H87" s="1532" t="s">
        <v>9645</v>
      </c>
      <c r="I87" s="1532" t="s">
        <v>2945</v>
      </c>
      <c r="J87" s="1532" t="s">
        <v>10111</v>
      </c>
      <c r="K87" s="1532" t="s">
        <v>5304</v>
      </c>
      <c r="L87" s="1532" t="s">
        <v>7547</v>
      </c>
      <c r="M87" s="1532" t="s">
        <v>10112</v>
      </c>
      <c r="N87" s="1532" t="s">
        <v>10113</v>
      </c>
      <c r="O87" s="1532" t="s">
        <v>10114</v>
      </c>
      <c r="P87" s="1532" t="s">
        <v>4957</v>
      </c>
      <c r="Q87" s="1532" t="s">
        <v>10115</v>
      </c>
      <c r="R87" s="1532" t="s">
        <v>9366</v>
      </c>
      <c r="S87" s="1532" t="s">
        <v>4461</v>
      </c>
      <c r="T87" s="1532" t="s">
        <v>8610</v>
      </c>
      <c r="U87" s="1532" t="s">
        <v>5258</v>
      </c>
      <c r="V87" s="1532" t="s">
        <v>1078</v>
      </c>
      <c r="W87" s="1532" t="s">
        <v>1956</v>
      </c>
      <c r="X87" s="1532" t="s">
        <v>3085</v>
      </c>
      <c r="Y87" s="1532" t="s">
        <v>654</v>
      </c>
      <c r="Z87" s="1532" t="s">
        <v>10116</v>
      </c>
      <c r="AA87" s="1459" t="s">
        <v>7479</v>
      </c>
      <c r="AB87" s="1532" t="s">
        <v>3376</v>
      </c>
      <c r="AC87" s="1532" t="s">
        <v>2363</v>
      </c>
      <c r="AD87" s="1532" t="s">
        <v>10117</v>
      </c>
      <c r="AE87" s="1532" t="s">
        <v>10118</v>
      </c>
      <c r="AF87" s="1532" t="s">
        <v>10119</v>
      </c>
      <c r="AG87" s="1532" t="s">
        <v>10120</v>
      </c>
      <c r="AH87" s="1532" t="s">
        <v>10121</v>
      </c>
      <c r="AI87" s="1532" t="s">
        <v>10122</v>
      </c>
      <c r="AJ87" s="1532" t="s">
        <v>10123</v>
      </c>
      <c r="AK87" s="1532" t="s">
        <v>10124</v>
      </c>
      <c r="AL87" s="1532" t="s">
        <v>1574</v>
      </c>
      <c r="AM87" s="1532" t="s">
        <v>2504</v>
      </c>
      <c r="AN87" s="1532" t="s">
        <v>10125</v>
      </c>
      <c r="AO87" s="1532" t="s">
        <v>10126</v>
      </c>
      <c r="AP87" s="1532" t="s">
        <v>3958</v>
      </c>
      <c r="AQ87" s="1532" t="s">
        <v>10127</v>
      </c>
      <c r="AR87" s="1532" t="s">
        <v>10030</v>
      </c>
      <c r="AS87" s="1532" t="s">
        <v>4130</v>
      </c>
      <c r="AT87" s="1532" t="s">
        <v>10128</v>
      </c>
      <c r="AU87" s="1532" t="s">
        <v>10129</v>
      </c>
      <c r="AV87" s="1532" t="str">
        <f t="shared" si="2"/>
        <v>2:38</v>
      </c>
      <c r="AW87" s="1537"/>
    </row>
    <row r="88">
      <c r="A88" s="1420" t="s">
        <v>3736</v>
      </c>
      <c r="B88" s="1421" t="s">
        <v>8280</v>
      </c>
      <c r="C88" s="1380">
        <v>0.05318287037037037</v>
      </c>
      <c r="D88" s="1299" t="s">
        <v>10130</v>
      </c>
      <c r="E88" s="1459" t="s">
        <v>10131</v>
      </c>
      <c r="F88" s="1557" t="s">
        <v>10132</v>
      </c>
      <c r="G88" s="1459" t="s">
        <v>10133</v>
      </c>
      <c r="H88" s="1299" t="s">
        <v>10134</v>
      </c>
      <c r="I88" s="1459" t="s">
        <v>2363</v>
      </c>
      <c r="J88" s="1459" t="s">
        <v>8554</v>
      </c>
      <c r="K88" s="1459" t="s">
        <v>6810</v>
      </c>
      <c r="L88" s="1459" t="s">
        <v>10012</v>
      </c>
      <c r="M88" s="1557" t="s">
        <v>8597</v>
      </c>
      <c r="N88" s="1459" t="s">
        <v>10135</v>
      </c>
      <c r="O88" s="1459" t="s">
        <v>9260</v>
      </c>
      <c r="P88" s="1459" t="s">
        <v>8948</v>
      </c>
      <c r="Q88" s="1459" t="s">
        <v>10136</v>
      </c>
      <c r="R88" s="1459" t="s">
        <v>7476</v>
      </c>
      <c r="S88" s="1558" t="s">
        <v>10137</v>
      </c>
      <c r="T88" s="1459" t="s">
        <v>7489</v>
      </c>
      <c r="U88" s="1459" t="s">
        <v>2366</v>
      </c>
      <c r="V88" s="1459" t="s">
        <v>10138</v>
      </c>
      <c r="W88" s="1557" t="s">
        <v>10139</v>
      </c>
      <c r="X88" s="1459" t="s">
        <v>4379</v>
      </c>
      <c r="Y88" s="1557" t="s">
        <v>590</v>
      </c>
      <c r="Z88" s="1459" t="s">
        <v>9529</v>
      </c>
      <c r="AA88" s="1459" t="s">
        <v>10140</v>
      </c>
      <c r="AB88" s="1459" t="s">
        <v>8567</v>
      </c>
      <c r="AC88" s="1459" t="s">
        <v>3663</v>
      </c>
      <c r="AD88" s="1459" t="s">
        <v>10141</v>
      </c>
      <c r="AE88" s="1557" t="s">
        <v>1503</v>
      </c>
      <c r="AF88" s="1557" t="s">
        <v>5995</v>
      </c>
      <c r="AG88" s="1459" t="s">
        <v>4031</v>
      </c>
      <c r="AH88" s="1459" t="s">
        <v>10142</v>
      </c>
      <c r="AI88" s="1459" t="s">
        <v>10143</v>
      </c>
      <c r="AJ88" s="1459" t="s">
        <v>10144</v>
      </c>
      <c r="AK88" s="1459" t="s">
        <v>455</v>
      </c>
      <c r="AL88" s="1459" t="s">
        <v>9544</v>
      </c>
      <c r="AM88" s="1459" t="s">
        <v>3599</v>
      </c>
      <c r="AN88" s="1459" t="s">
        <v>10145</v>
      </c>
      <c r="AO88" s="1459" t="s">
        <v>9503</v>
      </c>
      <c r="AP88" s="1459" t="s">
        <v>10146</v>
      </c>
      <c r="AQ88" s="1459" t="s">
        <v>10147</v>
      </c>
      <c r="AR88" s="1459" t="s">
        <v>10148</v>
      </c>
      <c r="AS88" s="1557" t="s">
        <v>9720</v>
      </c>
      <c r="AT88" s="1557" t="s">
        <v>10149</v>
      </c>
      <c r="AU88" s="1459" t="s">
        <v>10150</v>
      </c>
      <c r="AV88" s="1459" t="s">
        <v>8141</v>
      </c>
      <c r="AW88" s="1540" t="s">
        <v>10151</v>
      </c>
    </row>
    <row r="89" ht="15.75" customHeight="1">
      <c r="A89" s="1420" t="s">
        <v>6093</v>
      </c>
      <c r="B89" s="1438" t="s">
        <v>8280</v>
      </c>
      <c r="C89" s="1380">
        <v>0.05324074074074074</v>
      </c>
      <c r="D89" s="1299" t="s">
        <v>10152</v>
      </c>
      <c r="E89" s="1299" t="s">
        <v>10131</v>
      </c>
      <c r="F89" s="1299" t="s">
        <v>10153</v>
      </c>
      <c r="G89" s="1299" t="s">
        <v>8982</v>
      </c>
      <c r="H89" s="1299" t="s">
        <v>10154</v>
      </c>
      <c r="I89" s="1299" t="s">
        <v>2512</v>
      </c>
      <c r="J89" s="1299" t="s">
        <v>1704</v>
      </c>
      <c r="K89" s="1299" t="s">
        <v>4297</v>
      </c>
      <c r="L89" s="1299" t="s">
        <v>10155</v>
      </c>
      <c r="M89" s="1299" t="s">
        <v>10156</v>
      </c>
      <c r="N89" s="1299" t="s">
        <v>10157</v>
      </c>
      <c r="O89" s="1299" t="s">
        <v>10158</v>
      </c>
      <c r="P89" s="1299" t="s">
        <v>10159</v>
      </c>
      <c r="Q89" s="1299" t="s">
        <v>10160</v>
      </c>
      <c r="R89" s="1299" t="s">
        <v>8296</v>
      </c>
      <c r="S89" s="1299" t="s">
        <v>10014</v>
      </c>
      <c r="T89" s="1299" t="s">
        <v>10161</v>
      </c>
      <c r="U89" s="1299" t="s">
        <v>10162</v>
      </c>
      <c r="V89" s="1299" t="s">
        <v>2719</v>
      </c>
      <c r="W89" s="1299" t="s">
        <v>10163</v>
      </c>
      <c r="X89" s="1299" t="s">
        <v>2517</v>
      </c>
      <c r="Y89" s="1299" t="s">
        <v>5498</v>
      </c>
      <c r="Z89" s="1299" t="s">
        <v>10164</v>
      </c>
      <c r="AA89" s="1459" t="s">
        <v>10165</v>
      </c>
      <c r="AB89" s="1299" t="s">
        <v>9407</v>
      </c>
      <c r="AC89" s="1299" t="s">
        <v>5467</v>
      </c>
      <c r="AD89" s="1299" t="s">
        <v>10166</v>
      </c>
      <c r="AE89" s="1299" t="s">
        <v>9242</v>
      </c>
      <c r="AF89" s="1299" t="s">
        <v>10167</v>
      </c>
      <c r="AG89" s="1299" t="s">
        <v>9955</v>
      </c>
      <c r="AH89" s="1299" t="s">
        <v>5646</v>
      </c>
      <c r="AI89" s="1299" t="s">
        <v>10168</v>
      </c>
      <c r="AJ89" s="1299" t="s">
        <v>10169</v>
      </c>
      <c r="AK89" s="1459" t="s">
        <v>10170</v>
      </c>
      <c r="AL89" s="1299" t="s">
        <v>6208</v>
      </c>
      <c r="AM89" s="1299" t="s">
        <v>10171</v>
      </c>
      <c r="AN89" s="1299" t="s">
        <v>9594</v>
      </c>
      <c r="AO89" s="1299" t="s">
        <v>4495</v>
      </c>
      <c r="AP89" s="1299" t="s">
        <v>10172</v>
      </c>
      <c r="AQ89" s="1299" t="s">
        <v>10173</v>
      </c>
      <c r="AR89" s="1459" t="s">
        <v>3416</v>
      </c>
      <c r="AS89" s="1299" t="s">
        <v>10174</v>
      </c>
      <c r="AT89" s="1299" t="s">
        <v>10175</v>
      </c>
      <c r="AU89" s="1459" t="s">
        <v>10065</v>
      </c>
      <c r="AV89" s="1532" t="str">
        <f t="shared" ref="AV89:AV99" si="3">TEXT(AU89-C89,"m:ss")</f>
        <v>3:53</v>
      </c>
      <c r="AW89" s="1533" t="s">
        <v>10176</v>
      </c>
    </row>
    <row r="90">
      <c r="A90" s="1420" t="s">
        <v>4632</v>
      </c>
      <c r="B90" s="1421" t="s">
        <v>8336</v>
      </c>
      <c r="C90" s="1498">
        <v>0.05331018518518518</v>
      </c>
      <c r="D90" s="1459" t="s">
        <v>10177</v>
      </c>
      <c r="E90" s="1459" t="s">
        <v>7626</v>
      </c>
      <c r="F90" s="1459" t="s">
        <v>9930</v>
      </c>
      <c r="G90" s="1459" t="s">
        <v>10178</v>
      </c>
      <c r="H90" s="1299" t="s">
        <v>10179</v>
      </c>
      <c r="I90" s="1459" t="s">
        <v>10180</v>
      </c>
      <c r="J90" s="1459" t="s">
        <v>9687</v>
      </c>
      <c r="K90" s="1459" t="s">
        <v>8651</v>
      </c>
      <c r="L90" s="1459" t="s">
        <v>4390</v>
      </c>
      <c r="M90" s="1459" t="s">
        <v>10181</v>
      </c>
      <c r="N90" s="1459" t="s">
        <v>9438</v>
      </c>
      <c r="O90" s="1459" t="s">
        <v>10182</v>
      </c>
      <c r="P90" s="1459" t="s">
        <v>5997</v>
      </c>
      <c r="Q90" s="1459" t="s">
        <v>10183</v>
      </c>
      <c r="R90" s="1459" t="s">
        <v>2128</v>
      </c>
      <c r="S90" s="1459" t="s">
        <v>7496</v>
      </c>
      <c r="T90" s="1459" t="s">
        <v>7054</v>
      </c>
      <c r="U90" s="1459" t="s">
        <v>10184</v>
      </c>
      <c r="V90" s="1459" t="s">
        <v>9667</v>
      </c>
      <c r="W90" s="1459" t="s">
        <v>10185</v>
      </c>
      <c r="X90" s="1459" t="s">
        <v>6708</v>
      </c>
      <c r="Y90" s="1459" t="s">
        <v>5374</v>
      </c>
      <c r="Z90" s="1459" t="s">
        <v>9441</v>
      </c>
      <c r="AA90" s="1459" t="s">
        <v>10186</v>
      </c>
      <c r="AB90" s="1459" t="s">
        <v>3218</v>
      </c>
      <c r="AC90" s="1459" t="s">
        <v>4577</v>
      </c>
      <c r="AD90" s="1459" t="s">
        <v>10187</v>
      </c>
      <c r="AE90" s="1459" t="s">
        <v>3956</v>
      </c>
      <c r="AF90" s="1459" t="s">
        <v>10188</v>
      </c>
      <c r="AG90" s="1459" t="s">
        <v>10189</v>
      </c>
      <c r="AH90" s="1459" t="s">
        <v>10190</v>
      </c>
      <c r="AI90" s="1459" t="s">
        <v>10191</v>
      </c>
      <c r="AJ90" s="1459" t="s">
        <v>10192</v>
      </c>
      <c r="AK90" s="1459" t="s">
        <v>8485</v>
      </c>
      <c r="AL90" s="1459" t="s">
        <v>2139</v>
      </c>
      <c r="AM90" s="1459" t="s">
        <v>10193</v>
      </c>
      <c r="AN90" s="1459" t="s">
        <v>10194</v>
      </c>
      <c r="AO90" s="1459" t="s">
        <v>8551</v>
      </c>
      <c r="AP90" s="1459" t="s">
        <v>2674</v>
      </c>
      <c r="AQ90" s="1459" t="s">
        <v>10195</v>
      </c>
      <c r="AR90" s="1459" t="s">
        <v>1588</v>
      </c>
      <c r="AS90" s="1459" t="s">
        <v>899</v>
      </c>
      <c r="AT90" s="1459" t="s">
        <v>10196</v>
      </c>
      <c r="AU90" s="1459" t="s">
        <v>10197</v>
      </c>
      <c r="AV90" s="1532" t="str">
        <f t="shared" si="3"/>
        <v>4:18</v>
      </c>
      <c r="AW90" s="1537"/>
    </row>
    <row r="91" ht="15.75" customHeight="1">
      <c r="A91" s="1463" t="s">
        <v>10198</v>
      </c>
      <c r="B91" s="1507" t="s">
        <v>8336</v>
      </c>
      <c r="C91" s="1498">
        <v>0.05348379629629629</v>
      </c>
      <c r="D91" s="1299" t="s">
        <v>10199</v>
      </c>
      <c r="E91" s="1532" t="s">
        <v>9965</v>
      </c>
      <c r="F91" s="1532" t="s">
        <v>6177</v>
      </c>
      <c r="G91" s="1532" t="s">
        <v>10200</v>
      </c>
      <c r="H91" s="1532" t="s">
        <v>10201</v>
      </c>
      <c r="I91" s="1532" t="s">
        <v>2382</v>
      </c>
      <c r="J91" s="1532" t="s">
        <v>8779</v>
      </c>
      <c r="K91" s="1532" t="s">
        <v>8349</v>
      </c>
      <c r="L91" s="1532" t="s">
        <v>4694</v>
      </c>
      <c r="M91" s="1532" t="s">
        <v>9129</v>
      </c>
      <c r="N91" s="1532" t="s">
        <v>10202</v>
      </c>
      <c r="O91" s="1532" t="s">
        <v>4338</v>
      </c>
      <c r="P91" s="1532" t="s">
        <v>851</v>
      </c>
      <c r="Q91" s="1459" t="s">
        <v>10203</v>
      </c>
      <c r="R91" s="1532" t="s">
        <v>9734</v>
      </c>
      <c r="S91" s="1532" t="s">
        <v>3879</v>
      </c>
      <c r="T91" s="1532" t="s">
        <v>9938</v>
      </c>
      <c r="U91" s="1532" t="s">
        <v>10204</v>
      </c>
      <c r="V91" s="1532" t="s">
        <v>3568</v>
      </c>
      <c r="W91" s="1532" t="s">
        <v>3782</v>
      </c>
      <c r="X91" s="1532" t="s">
        <v>2968</v>
      </c>
      <c r="Y91" s="1532" t="s">
        <v>1424</v>
      </c>
      <c r="Z91" s="1532" t="s">
        <v>8671</v>
      </c>
      <c r="AA91" s="1459" t="s">
        <v>10205</v>
      </c>
      <c r="AB91" s="1532" t="s">
        <v>9449</v>
      </c>
      <c r="AC91" s="1532" t="s">
        <v>1084</v>
      </c>
      <c r="AD91" s="1532" t="s">
        <v>10206</v>
      </c>
      <c r="AE91" s="1532" t="s">
        <v>578</v>
      </c>
      <c r="AF91" s="1459" t="s">
        <v>10207</v>
      </c>
      <c r="AG91" s="1532" t="s">
        <v>5615</v>
      </c>
      <c r="AH91" s="1532" t="s">
        <v>8879</v>
      </c>
      <c r="AI91" s="1532" t="s">
        <v>2585</v>
      </c>
      <c r="AJ91" s="1532" t="s">
        <v>10208</v>
      </c>
      <c r="AK91" s="1532" t="s">
        <v>8709</v>
      </c>
      <c r="AL91" s="1532" t="s">
        <v>10209</v>
      </c>
      <c r="AM91" s="1532" t="s">
        <v>8304</v>
      </c>
      <c r="AN91" s="1532" t="s">
        <v>6208</v>
      </c>
      <c r="AO91" s="1532" t="s">
        <v>8660</v>
      </c>
      <c r="AP91" s="1532" t="s">
        <v>10210</v>
      </c>
      <c r="AQ91" s="1532" t="s">
        <v>4381</v>
      </c>
      <c r="AR91" s="1532" t="s">
        <v>154</v>
      </c>
      <c r="AS91" s="1532" t="s">
        <v>8495</v>
      </c>
      <c r="AT91" s="1532" t="s">
        <v>4592</v>
      </c>
      <c r="AU91" s="1532" t="s">
        <v>10211</v>
      </c>
      <c r="AV91" s="1532" t="str">
        <f t="shared" si="3"/>
        <v>3:27</v>
      </c>
      <c r="AW91" s="1533" t="s">
        <v>10212</v>
      </c>
    </row>
    <row r="92">
      <c r="A92" s="1420" t="s">
        <v>5259</v>
      </c>
      <c r="B92" s="1438" t="s">
        <v>8280</v>
      </c>
      <c r="C92" s="1380">
        <v>0.05376157407407407</v>
      </c>
      <c r="D92" s="1459" t="s">
        <v>10213</v>
      </c>
      <c r="E92" s="1459" t="s">
        <v>10214</v>
      </c>
      <c r="F92" s="1459" t="s">
        <v>10215</v>
      </c>
      <c r="G92" s="1459" t="s">
        <v>10216</v>
      </c>
      <c r="H92" s="1559" t="s">
        <v>10217</v>
      </c>
      <c r="I92" s="1299" t="s">
        <v>237</v>
      </c>
      <c r="J92" s="1459" t="s">
        <v>9346</v>
      </c>
      <c r="K92" s="1459" t="s">
        <v>10218</v>
      </c>
      <c r="L92" s="1459" t="s">
        <v>2466</v>
      </c>
      <c r="M92" s="1459" t="s">
        <v>1255</v>
      </c>
      <c r="N92" s="1459" t="s">
        <v>10219</v>
      </c>
      <c r="O92" s="1459" t="s">
        <v>10220</v>
      </c>
      <c r="P92" s="1459" t="s">
        <v>946</v>
      </c>
      <c r="Q92" s="1459" t="s">
        <v>4186</v>
      </c>
      <c r="R92" s="1459" t="s">
        <v>10221</v>
      </c>
      <c r="S92" s="1560" t="s">
        <v>10222</v>
      </c>
      <c r="T92" s="1560" t="s">
        <v>8841</v>
      </c>
      <c r="U92" s="1459" t="s">
        <v>10223</v>
      </c>
      <c r="V92" s="1459" t="s">
        <v>10224</v>
      </c>
      <c r="W92" s="1459" t="s">
        <v>7451</v>
      </c>
      <c r="X92" s="1459" t="s">
        <v>10225</v>
      </c>
      <c r="Y92" s="1459" t="s">
        <v>2104</v>
      </c>
      <c r="Z92" s="1459" t="s">
        <v>9449</v>
      </c>
      <c r="AA92" s="1459" t="s">
        <v>10226</v>
      </c>
      <c r="AB92" s="1459" t="s">
        <v>10227</v>
      </c>
      <c r="AC92" s="1459" t="s">
        <v>7404</v>
      </c>
      <c r="AD92" s="1459" t="s">
        <v>5751</v>
      </c>
      <c r="AE92" s="1459" t="s">
        <v>2363</v>
      </c>
      <c r="AF92" s="1459" t="s">
        <v>7501</v>
      </c>
      <c r="AG92" s="1459" t="s">
        <v>10228</v>
      </c>
      <c r="AH92" s="1459" t="s">
        <v>8838</v>
      </c>
      <c r="AI92" s="1459" t="s">
        <v>7298</v>
      </c>
      <c r="AJ92" s="1459" t="s">
        <v>10229</v>
      </c>
      <c r="AK92" s="1459" t="s">
        <v>4684</v>
      </c>
      <c r="AL92" s="1459" t="s">
        <v>10230</v>
      </c>
      <c r="AM92" s="1459" t="s">
        <v>4697</v>
      </c>
      <c r="AN92" s="1459" t="s">
        <v>10231</v>
      </c>
      <c r="AO92" s="1459" t="s">
        <v>8295</v>
      </c>
      <c r="AP92" s="1459" t="s">
        <v>10232</v>
      </c>
      <c r="AQ92" s="1459" t="s">
        <v>10233</v>
      </c>
      <c r="AR92" s="1459" t="s">
        <v>5050</v>
      </c>
      <c r="AS92" s="1459" t="s">
        <v>8468</v>
      </c>
      <c r="AT92" s="1459" t="s">
        <v>10234</v>
      </c>
      <c r="AU92" s="1459" t="s">
        <v>10235</v>
      </c>
      <c r="AV92" s="1532" t="str">
        <f t="shared" si="3"/>
        <v>4:58</v>
      </c>
      <c r="AW92" s="1561"/>
    </row>
    <row r="93" ht="15.75" customHeight="1">
      <c r="A93" s="1463" t="s">
        <v>6211</v>
      </c>
      <c r="B93" s="1507" t="s">
        <v>8336</v>
      </c>
      <c r="C93" s="1508">
        <v>0.05386574074074074</v>
      </c>
      <c r="D93" s="1532" t="s">
        <v>10236</v>
      </c>
      <c r="E93" s="1532" t="s">
        <v>7034</v>
      </c>
      <c r="F93" s="1532" t="s">
        <v>10237</v>
      </c>
      <c r="G93" s="1532" t="s">
        <v>4304</v>
      </c>
      <c r="H93" s="1532" t="s">
        <v>10238</v>
      </c>
      <c r="I93" s="1532" t="s">
        <v>10180</v>
      </c>
      <c r="J93" s="1532" t="s">
        <v>10239</v>
      </c>
      <c r="K93" s="1532" t="s">
        <v>10240</v>
      </c>
      <c r="L93" s="1532" t="s">
        <v>1431</v>
      </c>
      <c r="M93" s="1532" t="s">
        <v>4430</v>
      </c>
      <c r="N93" s="1532" t="s">
        <v>7199</v>
      </c>
      <c r="O93" s="1532" t="s">
        <v>10241</v>
      </c>
      <c r="P93" s="1532" t="s">
        <v>5997</v>
      </c>
      <c r="Q93" s="1532" t="s">
        <v>10242</v>
      </c>
      <c r="R93" s="1532" t="s">
        <v>10243</v>
      </c>
      <c r="S93" s="1532" t="s">
        <v>10244</v>
      </c>
      <c r="T93" s="1532" t="s">
        <v>9428</v>
      </c>
      <c r="U93" s="1532" t="s">
        <v>10245</v>
      </c>
      <c r="V93" s="1532" t="s">
        <v>10246</v>
      </c>
      <c r="W93" s="1532" t="s">
        <v>10247</v>
      </c>
      <c r="X93" s="1532" t="s">
        <v>1324</v>
      </c>
      <c r="Y93" s="1532" t="s">
        <v>1801</v>
      </c>
      <c r="Z93" s="1532" t="s">
        <v>8854</v>
      </c>
      <c r="AA93" s="1299" t="s">
        <v>10248</v>
      </c>
      <c r="AB93" s="1532" t="s">
        <v>10249</v>
      </c>
      <c r="AC93" s="1532" t="s">
        <v>6782</v>
      </c>
      <c r="AD93" s="1532" t="s">
        <v>10250</v>
      </c>
      <c r="AE93" s="1532" t="s">
        <v>10251</v>
      </c>
      <c r="AF93" s="1532" t="s">
        <v>9801</v>
      </c>
      <c r="AG93" s="1532" t="s">
        <v>10252</v>
      </c>
      <c r="AH93" s="1532" t="s">
        <v>10253</v>
      </c>
      <c r="AI93" s="1532" t="s">
        <v>3352</v>
      </c>
      <c r="AJ93" s="1532" t="s">
        <v>10254</v>
      </c>
      <c r="AK93" s="1532" t="s">
        <v>3104</v>
      </c>
      <c r="AL93" s="1532" t="s">
        <v>4490</v>
      </c>
      <c r="AM93" s="1532" t="s">
        <v>9416</v>
      </c>
      <c r="AN93" s="1532" t="s">
        <v>8919</v>
      </c>
      <c r="AO93" s="1459" t="s">
        <v>9153</v>
      </c>
      <c r="AP93" s="1532" t="s">
        <v>10255</v>
      </c>
      <c r="AQ93" s="1532" t="s">
        <v>10256</v>
      </c>
      <c r="AR93" s="1532" t="s">
        <v>10257</v>
      </c>
      <c r="AS93" s="1532" t="s">
        <v>8678</v>
      </c>
      <c r="AT93" s="1532" t="s">
        <v>10258</v>
      </c>
      <c r="AU93" s="1532" t="s">
        <v>10197</v>
      </c>
      <c r="AV93" s="1532" t="str">
        <f t="shared" si="3"/>
        <v>3:30</v>
      </c>
      <c r="AW93" s="1537"/>
    </row>
    <row r="94">
      <c r="A94" s="1420" t="s">
        <v>5132</v>
      </c>
      <c r="B94" s="1438" t="s">
        <v>8336</v>
      </c>
      <c r="C94" s="1498">
        <v>0.05482638888888889</v>
      </c>
      <c r="D94" s="1491" t="s">
        <v>10259</v>
      </c>
      <c r="E94" s="1459" t="s">
        <v>9008</v>
      </c>
      <c r="F94" s="1459" t="s">
        <v>10260</v>
      </c>
      <c r="G94" s="1459" t="s">
        <v>10261</v>
      </c>
      <c r="H94" s="1459" t="s">
        <v>10262</v>
      </c>
      <c r="I94" s="1459" t="s">
        <v>10263</v>
      </c>
      <c r="J94" s="1459" t="s">
        <v>10264</v>
      </c>
      <c r="K94" s="1459" t="s">
        <v>9453</v>
      </c>
      <c r="L94" s="1459" t="s">
        <v>10265</v>
      </c>
      <c r="M94" s="1459" t="s">
        <v>1586</v>
      </c>
      <c r="N94" s="1459" t="s">
        <v>10266</v>
      </c>
      <c r="O94" s="1459" t="s">
        <v>10267</v>
      </c>
      <c r="P94" s="1459" t="s">
        <v>6219</v>
      </c>
      <c r="Q94" s="1459" t="s">
        <v>10268</v>
      </c>
      <c r="R94" s="1459" t="s">
        <v>8676</v>
      </c>
      <c r="S94" s="1459" t="s">
        <v>10269</v>
      </c>
      <c r="T94" s="1459" t="s">
        <v>10186</v>
      </c>
      <c r="U94" s="1459" t="s">
        <v>10270</v>
      </c>
      <c r="V94" s="1459" t="s">
        <v>925</v>
      </c>
      <c r="W94" s="1459" t="s">
        <v>10271</v>
      </c>
      <c r="X94" s="1459" t="s">
        <v>10272</v>
      </c>
      <c r="Y94" s="1459" t="s">
        <v>1678</v>
      </c>
      <c r="Z94" s="1459" t="s">
        <v>9470</v>
      </c>
      <c r="AA94" s="1459" t="s">
        <v>2304</v>
      </c>
      <c r="AB94" s="1459" t="s">
        <v>5310</v>
      </c>
      <c r="AC94" s="1459" t="s">
        <v>10273</v>
      </c>
      <c r="AD94" s="1459" t="s">
        <v>10274</v>
      </c>
      <c r="AE94" s="1459" t="s">
        <v>1532</v>
      </c>
      <c r="AF94" s="1459" t="s">
        <v>10275</v>
      </c>
      <c r="AG94" s="1459" t="s">
        <v>10276</v>
      </c>
      <c r="AH94" s="1459" t="s">
        <v>10277</v>
      </c>
      <c r="AI94" s="1459" t="s">
        <v>10278</v>
      </c>
      <c r="AJ94" s="1459" t="s">
        <v>10279</v>
      </c>
      <c r="AK94" s="1459" t="s">
        <v>243</v>
      </c>
      <c r="AL94" s="1459" t="s">
        <v>6865</v>
      </c>
      <c r="AM94" s="1459" t="s">
        <v>4308</v>
      </c>
      <c r="AN94" s="1459" t="s">
        <v>10280</v>
      </c>
      <c r="AO94" s="1459" t="s">
        <v>1704</v>
      </c>
      <c r="AP94" s="1459" t="s">
        <v>968</v>
      </c>
      <c r="AQ94" s="1459" t="s">
        <v>10281</v>
      </c>
      <c r="AR94" s="1459" t="s">
        <v>10282</v>
      </c>
      <c r="AS94" s="1459" t="s">
        <v>2166</v>
      </c>
      <c r="AT94" s="1459" t="s">
        <v>10283</v>
      </c>
      <c r="AU94" s="1459" t="s">
        <v>10284</v>
      </c>
      <c r="AV94" s="1532" t="str">
        <f t="shared" si="3"/>
        <v>3:40</v>
      </c>
      <c r="AW94" s="1533" t="s">
        <v>10285</v>
      </c>
    </row>
    <row r="95">
      <c r="A95" s="1420" t="s">
        <v>5336</v>
      </c>
      <c r="B95" s="1438" t="s">
        <v>8280</v>
      </c>
      <c r="C95" s="1380">
        <v>0.05482638888888889</v>
      </c>
      <c r="D95" s="1401" t="s">
        <v>10286</v>
      </c>
      <c r="E95" s="1401" t="s">
        <v>8853</v>
      </c>
      <c r="F95" s="1562" t="s">
        <v>10287</v>
      </c>
      <c r="G95" s="1401" t="s">
        <v>10288</v>
      </c>
      <c r="H95" s="1401" t="s">
        <v>10289</v>
      </c>
      <c r="I95" s="1401">
        <v>50.26</v>
      </c>
      <c r="J95" s="1401" t="s">
        <v>10264</v>
      </c>
      <c r="K95" s="1401" t="s">
        <v>10290</v>
      </c>
      <c r="L95" s="1401" t="s">
        <v>10291</v>
      </c>
      <c r="M95" s="1562" t="s">
        <v>2196</v>
      </c>
      <c r="N95" s="1401" t="s">
        <v>10292</v>
      </c>
      <c r="O95" s="1401" t="s">
        <v>10293</v>
      </c>
      <c r="P95" s="1401">
        <v>49.15</v>
      </c>
      <c r="Q95" s="1401" t="s">
        <v>10294</v>
      </c>
      <c r="R95" s="1401" t="s">
        <v>3399</v>
      </c>
      <c r="S95" s="1401" t="s">
        <v>10295</v>
      </c>
      <c r="T95" s="1401" t="s">
        <v>4975</v>
      </c>
      <c r="U95" s="1401" t="s">
        <v>10296</v>
      </c>
      <c r="V95" s="1401" t="s">
        <v>10138</v>
      </c>
      <c r="W95" s="1562" t="s">
        <v>10297</v>
      </c>
      <c r="X95" s="1401" t="s">
        <v>10298</v>
      </c>
      <c r="Y95" s="1562">
        <v>51.87</v>
      </c>
      <c r="Z95" s="1401" t="s">
        <v>5996</v>
      </c>
      <c r="AA95" s="1401" t="s">
        <v>1756</v>
      </c>
      <c r="AB95" s="1401" t="s">
        <v>1969</v>
      </c>
      <c r="AC95" s="1401">
        <v>49.75</v>
      </c>
      <c r="AD95" s="1401" t="s">
        <v>10299</v>
      </c>
      <c r="AE95" s="1562">
        <v>50.16</v>
      </c>
      <c r="AF95" s="1562" t="s">
        <v>10300</v>
      </c>
      <c r="AG95" s="1401" t="s">
        <v>10301</v>
      </c>
      <c r="AH95" s="1401" t="s">
        <v>6088</v>
      </c>
      <c r="AI95" s="1401" t="s">
        <v>1983</v>
      </c>
      <c r="AJ95" s="1401" t="s">
        <v>10302</v>
      </c>
      <c r="AK95" s="1401" t="s">
        <v>10219</v>
      </c>
      <c r="AL95" s="1401">
        <v>59.29</v>
      </c>
      <c r="AM95" s="1401" t="s">
        <v>4381</v>
      </c>
      <c r="AN95" s="1401" t="s">
        <v>616</v>
      </c>
      <c r="AO95" s="1401" t="s">
        <v>10303</v>
      </c>
      <c r="AP95" s="1401" t="s">
        <v>10304</v>
      </c>
      <c r="AQ95" s="1401" t="s">
        <v>10305</v>
      </c>
      <c r="AR95" s="1401" t="s">
        <v>7098</v>
      </c>
      <c r="AS95" s="1562">
        <v>47.7</v>
      </c>
      <c r="AT95" s="1562" t="s">
        <v>10306</v>
      </c>
      <c r="AU95" s="1422" t="s">
        <v>10307</v>
      </c>
      <c r="AV95" s="1532" t="str">
        <f t="shared" si="3"/>
        <v>5:51</v>
      </c>
      <c r="AW95" s="1540" t="s">
        <v>10308</v>
      </c>
    </row>
    <row r="96">
      <c r="A96" s="1420" t="s">
        <v>5403</v>
      </c>
      <c r="B96" s="1421" t="s">
        <v>8280</v>
      </c>
      <c r="C96" s="1380">
        <v>0.05559027777777778</v>
      </c>
      <c r="D96" s="1491" t="s">
        <v>10309</v>
      </c>
      <c r="E96" s="1459" t="s">
        <v>10310</v>
      </c>
      <c r="F96" s="1459" t="s">
        <v>10311</v>
      </c>
      <c r="G96" s="1459" t="s">
        <v>7950</v>
      </c>
      <c r="H96" s="1459" t="s">
        <v>5672</v>
      </c>
      <c r="I96" s="1459" t="s">
        <v>1971</v>
      </c>
      <c r="J96" s="1459" t="s">
        <v>10312</v>
      </c>
      <c r="K96" s="1459" t="s">
        <v>6001</v>
      </c>
      <c r="L96" s="1459" t="s">
        <v>8096</v>
      </c>
      <c r="M96" s="1459" t="s">
        <v>7104</v>
      </c>
      <c r="N96" s="1459" t="s">
        <v>10313</v>
      </c>
      <c r="O96" s="1459" t="s">
        <v>10314</v>
      </c>
      <c r="P96" s="1459" t="s">
        <v>289</v>
      </c>
      <c r="Q96" s="1459" t="s">
        <v>1668</v>
      </c>
      <c r="R96" s="1459" t="s">
        <v>10315</v>
      </c>
      <c r="S96" s="1459" t="s">
        <v>5120</v>
      </c>
      <c r="T96" s="1459" t="s">
        <v>10316</v>
      </c>
      <c r="U96" s="1459" t="s">
        <v>10317</v>
      </c>
      <c r="V96" s="1459" t="s">
        <v>6217</v>
      </c>
      <c r="W96" s="1459" t="s">
        <v>8987</v>
      </c>
      <c r="X96" s="1459" t="s">
        <v>10318</v>
      </c>
      <c r="Y96" s="1459" t="s">
        <v>99</v>
      </c>
      <c r="Z96" s="1459" t="s">
        <v>10319</v>
      </c>
      <c r="AA96" s="1459" t="s">
        <v>10058</v>
      </c>
      <c r="AB96" s="1459" t="s">
        <v>3240</v>
      </c>
      <c r="AC96" s="1459" t="s">
        <v>4606</v>
      </c>
      <c r="AD96" s="1459" t="s">
        <v>9317</v>
      </c>
      <c r="AE96" s="1459" t="s">
        <v>943</v>
      </c>
      <c r="AF96" s="1459" t="s">
        <v>10320</v>
      </c>
      <c r="AG96" s="1459" t="s">
        <v>3451</v>
      </c>
      <c r="AH96" s="1459" t="s">
        <v>7984</v>
      </c>
      <c r="AI96" s="1459" t="s">
        <v>10321</v>
      </c>
      <c r="AJ96" s="1459" t="s">
        <v>10322</v>
      </c>
      <c r="AK96" s="1459" t="s">
        <v>4424</v>
      </c>
      <c r="AL96" s="1459" t="s">
        <v>125</v>
      </c>
      <c r="AM96" s="1459" t="s">
        <v>10323</v>
      </c>
      <c r="AN96" s="1459" t="s">
        <v>10324</v>
      </c>
      <c r="AO96" s="1459" t="s">
        <v>1035</v>
      </c>
      <c r="AP96" s="1459" t="s">
        <v>10325</v>
      </c>
      <c r="AQ96" s="1459" t="s">
        <v>10326</v>
      </c>
      <c r="AR96" s="1459" t="s">
        <v>10327</v>
      </c>
      <c r="AS96" s="1459" t="s">
        <v>913</v>
      </c>
      <c r="AT96" s="1459" t="s">
        <v>10328</v>
      </c>
      <c r="AU96" s="1459" t="s">
        <v>10329</v>
      </c>
      <c r="AV96" s="1532" t="str">
        <f t="shared" si="3"/>
        <v>5:05</v>
      </c>
      <c r="AW96" s="1533" t="s">
        <v>10330</v>
      </c>
    </row>
    <row r="97">
      <c r="A97" s="1420" t="s">
        <v>4785</v>
      </c>
      <c r="B97" s="1421" t="s">
        <v>8308</v>
      </c>
      <c r="C97" s="1461">
        <v>0.05565972222222222</v>
      </c>
      <c r="D97" s="1459" t="s">
        <v>10331</v>
      </c>
      <c r="E97" s="1459" t="s">
        <v>3548</v>
      </c>
      <c r="F97" s="1459" t="s">
        <v>10332</v>
      </c>
      <c r="G97" s="1459" t="s">
        <v>10333</v>
      </c>
      <c r="H97" s="1299" t="s">
        <v>8745</v>
      </c>
      <c r="I97" s="1459" t="s">
        <v>3237</v>
      </c>
      <c r="J97" s="1459" t="s">
        <v>8998</v>
      </c>
      <c r="K97" s="1459" t="s">
        <v>801</v>
      </c>
      <c r="L97" s="1459" t="s">
        <v>10334</v>
      </c>
      <c r="M97" s="1459" t="s">
        <v>10335</v>
      </c>
      <c r="N97" s="1459" t="s">
        <v>6117</v>
      </c>
      <c r="O97" s="1459" t="s">
        <v>10336</v>
      </c>
      <c r="P97" s="1459" t="s">
        <v>9739</v>
      </c>
      <c r="Q97" s="1459" t="s">
        <v>10337</v>
      </c>
      <c r="R97" s="1459" t="s">
        <v>9471</v>
      </c>
      <c r="S97" s="1459" t="s">
        <v>415</v>
      </c>
      <c r="T97" s="1459" t="s">
        <v>10338</v>
      </c>
      <c r="U97" s="1459" t="s">
        <v>10339</v>
      </c>
      <c r="V97" s="1459" t="s">
        <v>10340</v>
      </c>
      <c r="W97" s="1459" t="s">
        <v>10341</v>
      </c>
      <c r="X97" s="1459" t="s">
        <v>10342</v>
      </c>
      <c r="Y97" s="1459" t="s">
        <v>2363</v>
      </c>
      <c r="Z97" s="1459" t="s">
        <v>5202</v>
      </c>
      <c r="AA97" s="1459" t="s">
        <v>9672</v>
      </c>
      <c r="AB97" s="1459" t="s">
        <v>5253</v>
      </c>
      <c r="AC97" s="1459" t="s">
        <v>4957</v>
      </c>
      <c r="AD97" s="1459" t="s">
        <v>10343</v>
      </c>
      <c r="AE97" s="1459" t="s">
        <v>10344</v>
      </c>
      <c r="AF97" s="1459" t="s">
        <v>10345</v>
      </c>
      <c r="AG97" s="1459" t="s">
        <v>10346</v>
      </c>
      <c r="AH97" s="1459" t="s">
        <v>10347</v>
      </c>
      <c r="AI97" s="1459" t="s">
        <v>8830</v>
      </c>
      <c r="AJ97" s="1459" t="s">
        <v>10348</v>
      </c>
      <c r="AK97" s="1459" t="s">
        <v>7054</v>
      </c>
      <c r="AL97" s="1459" t="s">
        <v>3478</v>
      </c>
      <c r="AM97" s="1459" t="s">
        <v>4697</v>
      </c>
      <c r="AN97" s="1459" t="s">
        <v>10349</v>
      </c>
      <c r="AO97" s="1459" t="s">
        <v>1906</v>
      </c>
      <c r="AP97" s="1459" t="s">
        <v>10350</v>
      </c>
      <c r="AQ97" s="1459" t="s">
        <v>10351</v>
      </c>
      <c r="AR97" s="1459" t="s">
        <v>10352</v>
      </c>
      <c r="AS97" s="1459" t="s">
        <v>10353</v>
      </c>
      <c r="AT97" s="1459" t="s">
        <v>10354</v>
      </c>
      <c r="AU97" s="1459" t="s">
        <v>10355</v>
      </c>
      <c r="AV97" s="1532" t="str">
        <f t="shared" si="3"/>
        <v>8:24</v>
      </c>
      <c r="AW97" s="1533" t="s">
        <v>9358</v>
      </c>
    </row>
    <row r="98">
      <c r="A98" s="1463" t="s">
        <v>10356</v>
      </c>
      <c r="B98" s="1441" t="s">
        <v>8308</v>
      </c>
      <c r="C98" s="1481">
        <v>0.057881944444444444</v>
      </c>
      <c r="D98" s="1459" t="s">
        <v>10357</v>
      </c>
      <c r="E98" s="1532" t="s">
        <v>10358</v>
      </c>
      <c r="F98" s="1459" t="s">
        <v>10359</v>
      </c>
      <c r="G98" s="1459" t="s">
        <v>10360</v>
      </c>
      <c r="H98" s="1532" t="s">
        <v>10361</v>
      </c>
      <c r="I98" s="1532" t="s">
        <v>1024</v>
      </c>
      <c r="J98" s="1532" t="s">
        <v>10362</v>
      </c>
      <c r="K98" s="1532" t="s">
        <v>3291</v>
      </c>
      <c r="L98" s="1532" t="s">
        <v>3753</v>
      </c>
      <c r="M98" s="1532" t="s">
        <v>6563</v>
      </c>
      <c r="N98" s="1532" t="s">
        <v>10363</v>
      </c>
      <c r="O98" s="1532" t="s">
        <v>10364</v>
      </c>
      <c r="P98" s="1532" t="s">
        <v>2398</v>
      </c>
      <c r="Q98" s="1532" t="s">
        <v>10365</v>
      </c>
      <c r="R98" s="1532" t="s">
        <v>10366</v>
      </c>
      <c r="S98" s="1532" t="s">
        <v>10367</v>
      </c>
      <c r="T98" s="1532" t="s">
        <v>1676</v>
      </c>
      <c r="U98" s="1532" t="s">
        <v>10368</v>
      </c>
      <c r="V98" s="1532" t="s">
        <v>10369</v>
      </c>
      <c r="W98" s="1532" t="s">
        <v>10370</v>
      </c>
      <c r="X98" s="1532" t="s">
        <v>10371</v>
      </c>
      <c r="Y98" s="1532" t="s">
        <v>2799</v>
      </c>
      <c r="Z98" s="1532" t="s">
        <v>10372</v>
      </c>
      <c r="AA98" s="1459" t="s">
        <v>10373</v>
      </c>
      <c r="AB98" s="1532" t="s">
        <v>8779</v>
      </c>
      <c r="AC98" s="1532" t="s">
        <v>4454</v>
      </c>
      <c r="AD98" s="1532" t="s">
        <v>5166</v>
      </c>
      <c r="AE98" s="1532" t="s">
        <v>2561</v>
      </c>
      <c r="AF98" s="1532" t="s">
        <v>10374</v>
      </c>
      <c r="AG98" s="1532" t="s">
        <v>5618</v>
      </c>
      <c r="AH98" s="1532" t="s">
        <v>10375</v>
      </c>
      <c r="AI98" s="1532" t="s">
        <v>4741</v>
      </c>
      <c r="AJ98" s="1532" t="s">
        <v>10376</v>
      </c>
      <c r="AK98" s="1532" t="s">
        <v>10377</v>
      </c>
      <c r="AL98" s="1532" t="s">
        <v>3699</v>
      </c>
      <c r="AM98" s="1532" t="s">
        <v>4749</v>
      </c>
      <c r="AN98" s="1532" t="s">
        <v>10378</v>
      </c>
      <c r="AO98" s="1532" t="s">
        <v>9740</v>
      </c>
      <c r="AP98" s="1532" t="s">
        <v>10379</v>
      </c>
      <c r="AQ98" s="1532" t="s">
        <v>7073</v>
      </c>
      <c r="AR98" s="1532" t="s">
        <v>10380</v>
      </c>
      <c r="AS98" s="1532" t="s">
        <v>611</v>
      </c>
      <c r="AT98" s="1532" t="s">
        <v>10381</v>
      </c>
      <c r="AU98" s="1532" t="s">
        <v>10382</v>
      </c>
      <c r="AV98" s="1532" t="str">
        <f t="shared" si="3"/>
        <v>2:11</v>
      </c>
      <c r="AW98" s="1537" t="s">
        <v>10383</v>
      </c>
    </row>
    <row r="99" ht="15.75" customHeight="1">
      <c r="A99" s="1420" t="s">
        <v>6073</v>
      </c>
      <c r="B99" s="1441" t="s">
        <v>8308</v>
      </c>
      <c r="C99" s="1380">
        <v>0.06635416666666667</v>
      </c>
      <c r="D99" s="1299" t="s">
        <v>10384</v>
      </c>
      <c r="E99" s="1299" t="s">
        <v>8155</v>
      </c>
      <c r="F99" s="1299" t="s">
        <v>10385</v>
      </c>
      <c r="G99" s="1299" t="s">
        <v>10386</v>
      </c>
      <c r="H99" s="1299" t="s">
        <v>10387</v>
      </c>
      <c r="I99" s="1299" t="s">
        <v>3632</v>
      </c>
      <c r="J99" s="1299" t="s">
        <v>10388</v>
      </c>
      <c r="K99" s="1299" t="s">
        <v>3668</v>
      </c>
      <c r="L99" s="1299" t="s">
        <v>7105</v>
      </c>
      <c r="M99" s="1299" t="s">
        <v>861</v>
      </c>
      <c r="N99" s="1299" t="s">
        <v>10389</v>
      </c>
      <c r="O99" s="1299" t="s">
        <v>10390</v>
      </c>
      <c r="P99" s="1299" t="s">
        <v>5076</v>
      </c>
      <c r="Q99" s="1299" t="s">
        <v>10391</v>
      </c>
      <c r="R99" s="1299" t="s">
        <v>4439</v>
      </c>
      <c r="S99" s="1299" t="s">
        <v>10392</v>
      </c>
      <c r="T99" s="1299" t="s">
        <v>10271</v>
      </c>
      <c r="U99" s="1299" t="s">
        <v>10393</v>
      </c>
      <c r="V99" s="1299" t="s">
        <v>7626</v>
      </c>
      <c r="W99" s="1299" t="s">
        <v>10394</v>
      </c>
      <c r="X99" s="1299" t="s">
        <v>10395</v>
      </c>
      <c r="Y99" s="1299" t="s">
        <v>753</v>
      </c>
      <c r="Z99" s="1299" t="s">
        <v>10396</v>
      </c>
      <c r="AA99" s="1532"/>
      <c r="AB99" s="1299" t="s">
        <v>10397</v>
      </c>
      <c r="AC99" s="1299" t="s">
        <v>880</v>
      </c>
      <c r="AD99" s="1299" t="s">
        <v>10398</v>
      </c>
      <c r="AE99" s="1299" t="s">
        <v>10399</v>
      </c>
      <c r="AF99" s="1299" t="s">
        <v>10400</v>
      </c>
      <c r="AG99" s="1299" t="s">
        <v>10401</v>
      </c>
      <c r="AH99" s="1299" t="s">
        <v>4178</v>
      </c>
      <c r="AI99" s="1299" t="s">
        <v>10402</v>
      </c>
      <c r="AJ99" s="1299" t="s">
        <v>10403</v>
      </c>
      <c r="AK99" s="1299" t="s">
        <v>10404</v>
      </c>
      <c r="AL99" s="1299" t="s">
        <v>10405</v>
      </c>
      <c r="AM99" s="1299" t="s">
        <v>10406</v>
      </c>
      <c r="AN99" s="1299" t="s">
        <v>8858</v>
      </c>
      <c r="AO99" s="1299" t="s">
        <v>2278</v>
      </c>
      <c r="AP99" s="1299" t="s">
        <v>10407</v>
      </c>
      <c r="AQ99" s="1299" t="s">
        <v>129</v>
      </c>
      <c r="AR99" s="1299" t="s">
        <v>10408</v>
      </c>
      <c r="AS99" s="1299" t="s">
        <v>3817</v>
      </c>
      <c r="AT99" s="1299" t="s">
        <v>10409</v>
      </c>
      <c r="AU99" s="1444" t="s">
        <v>10410</v>
      </c>
      <c r="AV99" s="1532" t="str">
        <f t="shared" si="3"/>
        <v>9:53</v>
      </c>
      <c r="AW99" s="1540" t="s">
        <v>10411</v>
      </c>
    </row>
    <row r="100">
      <c r="A100" s="1420" t="s">
        <v>4543</v>
      </c>
      <c r="B100" s="1438" t="s">
        <v>8308</v>
      </c>
      <c r="C100" s="1380"/>
      <c r="D100" s="1428"/>
      <c r="E100" s="1428"/>
      <c r="F100" s="1428"/>
      <c r="G100" s="1428"/>
      <c r="H100" s="1299"/>
      <c r="I100" s="1475"/>
      <c r="J100" s="1430"/>
      <c r="K100" s="1430"/>
      <c r="L100" s="1430"/>
      <c r="M100" s="1430"/>
      <c r="N100" s="1430"/>
      <c r="O100" s="1430"/>
      <c r="P100" s="1430"/>
      <c r="Q100" s="1431"/>
      <c r="R100" s="1431"/>
      <c r="S100" s="1431"/>
      <c r="T100" s="1431"/>
      <c r="U100" s="1431"/>
      <c r="V100" s="1431"/>
      <c r="W100" s="1432"/>
      <c r="X100" s="1432"/>
      <c r="Y100" s="1432"/>
      <c r="Z100" s="1432"/>
      <c r="AA100" s="1387"/>
      <c r="AB100" s="1432"/>
      <c r="AC100" s="1432"/>
      <c r="AD100" s="1428"/>
      <c r="AE100" s="1428"/>
      <c r="AF100" s="1501" t="s">
        <v>8326</v>
      </c>
      <c r="AG100" s="1433"/>
      <c r="AH100" s="1433"/>
      <c r="AI100" s="1433"/>
      <c r="AJ100" s="1433"/>
      <c r="AK100" s="1433"/>
      <c r="AL100" s="1433"/>
      <c r="AM100" s="1435"/>
      <c r="AN100" s="1435"/>
      <c r="AO100" s="1435"/>
      <c r="AP100" s="1435"/>
      <c r="AQ100" s="1435"/>
      <c r="AR100" s="1435"/>
      <c r="AS100" s="1435"/>
      <c r="AT100" s="1430"/>
      <c r="AU100" s="1418"/>
      <c r="AV100" s="1418"/>
      <c r="AW100" s="1440"/>
    </row>
    <row r="101">
      <c r="A101" s="1420" t="s">
        <v>6260</v>
      </c>
      <c r="B101" s="1421" t="s">
        <v>8308</v>
      </c>
      <c r="C101" s="1481"/>
      <c r="D101" s="1401"/>
      <c r="E101" s="1401"/>
      <c r="F101" s="1401"/>
      <c r="G101" s="1401"/>
      <c r="H101" s="1401"/>
      <c r="I101" s="1401"/>
      <c r="J101" s="1401"/>
      <c r="K101" s="1401"/>
      <c r="L101" s="1401"/>
      <c r="M101" s="1401"/>
      <c r="N101" s="1401"/>
      <c r="O101" s="1401"/>
      <c r="P101" s="1401"/>
      <c r="Q101" s="1401"/>
      <c r="R101" s="1401"/>
      <c r="S101" s="1401"/>
      <c r="T101" s="1401"/>
      <c r="U101" s="1401"/>
      <c r="V101" s="1401"/>
      <c r="W101" s="1563" t="s">
        <v>8321</v>
      </c>
      <c r="X101" s="1401"/>
      <c r="Y101" s="1401"/>
      <c r="Z101" s="1401"/>
      <c r="AA101" s="1401"/>
      <c r="AB101" s="1563" t="s">
        <v>2806</v>
      </c>
      <c r="AC101" s="1401"/>
      <c r="AD101" s="1401"/>
      <c r="AE101" s="1422"/>
      <c r="AF101" s="1401"/>
      <c r="AG101" s="1401"/>
      <c r="AH101" s="1401"/>
      <c r="AI101" s="1401"/>
      <c r="AJ101" s="1401"/>
      <c r="AK101" s="1401"/>
      <c r="AL101" s="1401"/>
      <c r="AM101" s="1563" t="s">
        <v>2316</v>
      </c>
      <c r="AN101" s="1401"/>
      <c r="AO101" s="1401"/>
      <c r="AP101" s="1401"/>
      <c r="AQ101" s="1401"/>
      <c r="AR101" s="1401"/>
      <c r="AS101" s="1401"/>
      <c r="AT101" s="1401"/>
      <c r="AU101" s="1389"/>
      <c r="AV101" s="1389"/>
      <c r="AW101" s="1460"/>
    </row>
    <row r="102">
      <c r="A102" s="1564"/>
      <c r="B102" s="1565"/>
      <c r="C102" s="1566"/>
      <c r="D102" s="1538"/>
      <c r="E102" s="1567"/>
      <c r="F102" s="1567"/>
      <c r="G102" s="1567"/>
      <c r="H102" s="1568"/>
      <c r="I102" s="1569"/>
      <c r="J102" s="1570"/>
      <c r="K102" s="1570"/>
      <c r="L102" s="1570"/>
      <c r="M102" s="1570"/>
      <c r="N102" s="1570"/>
      <c r="O102" s="1570"/>
      <c r="P102" s="1570"/>
      <c r="Q102" s="1571"/>
      <c r="R102" s="1571"/>
      <c r="S102" s="1571"/>
      <c r="T102" s="1571"/>
      <c r="U102" s="1571"/>
      <c r="V102" s="1571"/>
      <c r="W102" s="1572"/>
      <c r="X102" s="1572"/>
      <c r="Y102" s="1572"/>
      <c r="Z102" s="1572"/>
      <c r="AA102" s="1505"/>
      <c r="AB102" s="1572"/>
      <c r="AC102" s="1572"/>
      <c r="AD102" s="1567"/>
      <c r="AE102" s="1567"/>
      <c r="AF102" s="1573"/>
      <c r="AG102" s="1573"/>
      <c r="AH102" s="1573"/>
      <c r="AI102" s="1573"/>
      <c r="AJ102" s="1573"/>
      <c r="AK102" s="1573"/>
      <c r="AL102" s="1573"/>
      <c r="AM102" s="1574"/>
      <c r="AN102" s="1574"/>
      <c r="AO102" s="1574"/>
      <c r="AP102" s="1574"/>
      <c r="AQ102" s="1574"/>
      <c r="AR102" s="1574"/>
      <c r="AS102" s="1574"/>
      <c r="AT102" s="1570"/>
      <c r="AU102" s="1575"/>
      <c r="AV102" s="1575"/>
      <c r="AW102" s="1480"/>
    </row>
    <row r="103">
      <c r="A103" s="1576"/>
      <c r="B103" s="1577"/>
      <c r="C103" s="1578"/>
      <c r="D103" s="1538"/>
      <c r="E103" s="1505"/>
      <c r="F103" s="1505"/>
      <c r="G103" s="1505"/>
      <c r="H103" s="1568"/>
      <c r="I103" s="1505"/>
      <c r="J103" s="1505"/>
      <c r="K103" s="1505"/>
      <c r="L103" s="1505"/>
      <c r="M103" s="1505"/>
      <c r="N103" s="1505"/>
      <c r="O103" s="1505"/>
      <c r="P103" s="1505"/>
      <c r="Q103" s="1505"/>
      <c r="R103" s="1505"/>
      <c r="S103" s="1505"/>
      <c r="T103" s="1505"/>
      <c r="U103" s="1505"/>
      <c r="V103" s="1505"/>
      <c r="W103" s="1505"/>
      <c r="X103" s="1505"/>
      <c r="Y103" s="1505"/>
      <c r="Z103" s="1505"/>
      <c r="AA103" s="1572"/>
      <c r="AB103" s="1505"/>
      <c r="AC103" s="1505"/>
      <c r="AD103" s="1505"/>
      <c r="AE103" s="1505"/>
      <c r="AF103" s="1505"/>
      <c r="AG103" s="1505"/>
      <c r="AH103" s="1505"/>
      <c r="AI103" s="1505"/>
      <c r="AJ103" s="1505"/>
      <c r="AK103" s="1505"/>
      <c r="AL103" s="1505"/>
      <c r="AM103" s="1505"/>
      <c r="AN103" s="1505"/>
      <c r="AO103" s="1505"/>
      <c r="AP103" s="1505"/>
      <c r="AQ103" s="1505"/>
      <c r="AR103" s="1505"/>
      <c r="AS103" s="1505"/>
      <c r="AT103" s="1505"/>
      <c r="AU103" s="1505"/>
      <c r="AV103" s="1505"/>
      <c r="AW103" s="1460"/>
    </row>
    <row r="104">
      <c r="A104" s="1564"/>
      <c r="B104" s="1565"/>
      <c r="C104" s="1566"/>
      <c r="D104" s="1538"/>
      <c r="E104" s="1567"/>
      <c r="F104" s="1567"/>
      <c r="G104" s="1567"/>
      <c r="H104" s="1568"/>
      <c r="I104" s="1569"/>
      <c r="J104" s="1570"/>
      <c r="K104" s="1570"/>
      <c r="L104" s="1570"/>
      <c r="M104" s="1570"/>
      <c r="N104" s="1570"/>
      <c r="O104" s="1570"/>
      <c r="P104" s="1570"/>
      <c r="Q104" s="1571"/>
      <c r="R104" s="1571"/>
      <c r="S104" s="1571"/>
      <c r="T104" s="1571"/>
      <c r="U104" s="1571"/>
      <c r="V104" s="1571"/>
      <c r="W104" s="1572"/>
      <c r="X104" s="1572"/>
      <c r="Y104" s="1572"/>
      <c r="Z104" s="1572"/>
      <c r="AA104" s="1505"/>
      <c r="AB104" s="1572"/>
      <c r="AC104" s="1572"/>
      <c r="AD104" s="1567"/>
      <c r="AE104" s="1567"/>
      <c r="AF104" s="1573"/>
      <c r="AG104" s="1573"/>
      <c r="AH104" s="1573"/>
      <c r="AI104" s="1573"/>
      <c r="AJ104" s="1573"/>
      <c r="AK104" s="1573"/>
      <c r="AL104" s="1573"/>
      <c r="AM104" s="1574"/>
      <c r="AN104" s="1574"/>
      <c r="AO104" s="1574"/>
      <c r="AP104" s="1574"/>
      <c r="AQ104" s="1574"/>
      <c r="AR104" s="1574"/>
      <c r="AS104" s="1574"/>
      <c r="AT104" s="1570"/>
      <c r="AU104" s="1575"/>
      <c r="AV104" s="1575"/>
      <c r="AW104" s="1480"/>
    </row>
    <row r="105">
      <c r="A105" s="1576"/>
      <c r="B105" s="1577"/>
      <c r="C105" s="1578"/>
      <c r="D105" s="1538"/>
      <c r="E105" s="1505"/>
      <c r="F105" s="1505"/>
      <c r="G105" s="1505"/>
      <c r="H105" s="1568"/>
      <c r="I105" s="1505"/>
      <c r="J105" s="1505"/>
      <c r="K105" s="1505"/>
      <c r="L105" s="1505"/>
      <c r="M105" s="1505"/>
      <c r="N105" s="1505"/>
      <c r="O105" s="1505"/>
      <c r="P105" s="1505"/>
      <c r="Q105" s="1505"/>
      <c r="R105" s="1505"/>
      <c r="S105" s="1505"/>
      <c r="T105" s="1505"/>
      <c r="U105" s="1505"/>
      <c r="V105" s="1505"/>
      <c r="W105" s="1505"/>
      <c r="X105" s="1505"/>
      <c r="Y105" s="1505"/>
      <c r="Z105" s="1505"/>
      <c r="AA105" s="1572"/>
      <c r="AB105" s="1505"/>
      <c r="AC105" s="1505"/>
      <c r="AD105" s="1505"/>
      <c r="AE105" s="1505"/>
      <c r="AF105" s="1505"/>
      <c r="AG105" s="1505"/>
      <c r="AH105" s="1505"/>
      <c r="AI105" s="1505"/>
      <c r="AJ105" s="1505"/>
      <c r="AK105" s="1505"/>
      <c r="AL105" s="1505"/>
      <c r="AM105" s="1505"/>
      <c r="AN105" s="1505"/>
      <c r="AO105" s="1505"/>
      <c r="AP105" s="1505"/>
      <c r="AQ105" s="1505"/>
      <c r="AR105" s="1505"/>
      <c r="AS105" s="1505"/>
      <c r="AT105" s="1505"/>
      <c r="AU105" s="1505"/>
      <c r="AV105" s="1505"/>
      <c r="AW105" s="1460"/>
    </row>
    <row r="106">
      <c r="A106" s="1564"/>
      <c r="B106" s="1565"/>
      <c r="C106" s="1566"/>
      <c r="D106" s="1538"/>
      <c r="E106" s="1567"/>
      <c r="F106" s="1567"/>
      <c r="G106" s="1567"/>
      <c r="H106" s="1568"/>
      <c r="I106" s="1569"/>
      <c r="J106" s="1570"/>
      <c r="K106" s="1570"/>
      <c r="L106" s="1570"/>
      <c r="M106" s="1570"/>
      <c r="N106" s="1570"/>
      <c r="O106" s="1570"/>
      <c r="P106" s="1570"/>
      <c r="Q106" s="1571"/>
      <c r="R106" s="1571"/>
      <c r="S106" s="1571"/>
      <c r="T106" s="1571"/>
      <c r="U106" s="1571"/>
      <c r="V106" s="1571"/>
      <c r="W106" s="1572"/>
      <c r="X106" s="1572"/>
      <c r="Y106" s="1572"/>
      <c r="Z106" s="1572"/>
      <c r="AA106" s="1505"/>
      <c r="AB106" s="1572"/>
      <c r="AC106" s="1572"/>
      <c r="AD106" s="1567"/>
      <c r="AE106" s="1567"/>
      <c r="AF106" s="1573"/>
      <c r="AG106" s="1573"/>
      <c r="AH106" s="1573"/>
      <c r="AI106" s="1573"/>
      <c r="AJ106" s="1573"/>
      <c r="AK106" s="1573"/>
      <c r="AL106" s="1573"/>
      <c r="AM106" s="1574"/>
      <c r="AN106" s="1574"/>
      <c r="AO106" s="1574"/>
      <c r="AP106" s="1574"/>
      <c r="AQ106" s="1574"/>
      <c r="AR106" s="1574"/>
      <c r="AS106" s="1574"/>
      <c r="AT106" s="1570"/>
      <c r="AU106" s="1575"/>
      <c r="AV106" s="1575"/>
      <c r="AW106" s="1480"/>
    </row>
    <row r="107">
      <c r="A107" s="1576"/>
      <c r="B107" s="1577"/>
      <c r="C107" s="1578"/>
      <c r="D107" s="1538"/>
      <c r="E107" s="1505"/>
      <c r="F107" s="1505"/>
      <c r="G107" s="1505"/>
      <c r="H107" s="1568"/>
      <c r="I107" s="1505"/>
      <c r="J107" s="1505"/>
      <c r="K107" s="1505"/>
      <c r="L107" s="1505"/>
      <c r="M107" s="1505"/>
      <c r="N107" s="1505"/>
      <c r="O107" s="1505"/>
      <c r="P107" s="1505"/>
      <c r="Q107" s="1505"/>
      <c r="R107" s="1505"/>
      <c r="S107" s="1505"/>
      <c r="T107" s="1505"/>
      <c r="U107" s="1505"/>
      <c r="V107" s="1505"/>
      <c r="W107" s="1505"/>
      <c r="X107" s="1505"/>
      <c r="Y107" s="1505"/>
      <c r="Z107" s="1505"/>
      <c r="AA107" s="1572"/>
      <c r="AB107" s="1505"/>
      <c r="AC107" s="1505"/>
      <c r="AD107" s="1505"/>
      <c r="AE107" s="1505"/>
      <c r="AF107" s="1505"/>
      <c r="AG107" s="1505"/>
      <c r="AH107" s="1505"/>
      <c r="AI107" s="1505"/>
      <c r="AJ107" s="1505"/>
      <c r="AK107" s="1505"/>
      <c r="AL107" s="1505"/>
      <c r="AM107" s="1505"/>
      <c r="AN107" s="1505"/>
      <c r="AO107" s="1505"/>
      <c r="AP107" s="1505"/>
      <c r="AQ107" s="1505"/>
      <c r="AR107" s="1505"/>
      <c r="AS107" s="1505"/>
      <c r="AT107" s="1505"/>
      <c r="AU107" s="1505"/>
      <c r="AV107" s="1505"/>
      <c r="AW107" s="1460"/>
    </row>
    <row r="108">
      <c r="A108" s="1564"/>
      <c r="B108" s="1565"/>
      <c r="C108" s="1566"/>
      <c r="D108" s="1538"/>
      <c r="E108" s="1567"/>
      <c r="F108" s="1567"/>
      <c r="G108" s="1567"/>
      <c r="H108" s="1568"/>
      <c r="I108" s="1569"/>
      <c r="J108" s="1570"/>
      <c r="K108" s="1570"/>
      <c r="L108" s="1570"/>
      <c r="M108" s="1570"/>
      <c r="N108" s="1570"/>
      <c r="O108" s="1570"/>
      <c r="P108" s="1570"/>
      <c r="Q108" s="1571"/>
      <c r="R108" s="1571"/>
      <c r="S108" s="1571"/>
      <c r="T108" s="1571"/>
      <c r="U108" s="1571"/>
      <c r="V108" s="1571"/>
      <c r="W108" s="1572"/>
      <c r="X108" s="1572"/>
      <c r="Y108" s="1572"/>
      <c r="Z108" s="1572"/>
      <c r="AA108" s="1505"/>
      <c r="AB108" s="1572"/>
      <c r="AC108" s="1572"/>
      <c r="AD108" s="1567"/>
      <c r="AE108" s="1567"/>
      <c r="AF108" s="1573"/>
      <c r="AG108" s="1573"/>
      <c r="AH108" s="1573"/>
      <c r="AI108" s="1573"/>
      <c r="AJ108" s="1573"/>
      <c r="AK108" s="1573"/>
      <c r="AL108" s="1573"/>
      <c r="AM108" s="1574"/>
      <c r="AN108" s="1574"/>
      <c r="AO108" s="1574"/>
      <c r="AP108" s="1574"/>
      <c r="AQ108" s="1574"/>
      <c r="AR108" s="1574"/>
      <c r="AS108" s="1574"/>
      <c r="AT108" s="1570"/>
      <c r="AU108" s="1575"/>
      <c r="AV108" s="1575"/>
      <c r="AW108" s="1480"/>
    </row>
    <row r="109">
      <c r="A109" s="1576"/>
      <c r="B109" s="1577"/>
      <c r="C109" s="1578"/>
      <c r="D109" s="1538"/>
      <c r="E109" s="1505"/>
      <c r="F109" s="1505"/>
      <c r="G109" s="1505"/>
      <c r="H109" s="1568"/>
      <c r="I109" s="1505"/>
      <c r="J109" s="1505"/>
      <c r="K109" s="1505"/>
      <c r="L109" s="1505"/>
      <c r="M109" s="1505"/>
      <c r="N109" s="1505"/>
      <c r="O109" s="1505"/>
      <c r="P109" s="1505"/>
      <c r="Q109" s="1505"/>
      <c r="R109" s="1505"/>
      <c r="S109" s="1505"/>
      <c r="T109" s="1505"/>
      <c r="U109" s="1505"/>
      <c r="V109" s="1505"/>
      <c r="W109" s="1505"/>
      <c r="X109" s="1505"/>
      <c r="Y109" s="1505"/>
      <c r="Z109" s="1505"/>
      <c r="AA109" s="1572"/>
      <c r="AB109" s="1505"/>
      <c r="AC109" s="1505"/>
      <c r="AD109" s="1505"/>
      <c r="AE109" s="1505"/>
      <c r="AF109" s="1505"/>
      <c r="AG109" s="1505"/>
      <c r="AH109" s="1505"/>
      <c r="AI109" s="1505"/>
      <c r="AJ109" s="1505"/>
      <c r="AK109" s="1505"/>
      <c r="AL109" s="1505"/>
      <c r="AM109" s="1505"/>
      <c r="AN109" s="1505"/>
      <c r="AO109" s="1505"/>
      <c r="AP109" s="1505"/>
      <c r="AQ109" s="1505"/>
      <c r="AR109" s="1505"/>
      <c r="AS109" s="1505"/>
      <c r="AT109" s="1505"/>
      <c r="AU109" s="1505"/>
      <c r="AV109" s="1505"/>
      <c r="AW109" s="1460"/>
    </row>
    <row r="110">
      <c r="A110" s="1564"/>
      <c r="B110" s="1565"/>
      <c r="C110" s="1566"/>
      <c r="D110" s="1538"/>
      <c r="E110" s="1567"/>
      <c r="F110" s="1567"/>
      <c r="G110" s="1567"/>
      <c r="H110" s="1568"/>
      <c r="I110" s="1569"/>
      <c r="J110" s="1570"/>
      <c r="K110" s="1570"/>
      <c r="L110" s="1570"/>
      <c r="M110" s="1570"/>
      <c r="N110" s="1570"/>
      <c r="O110" s="1570"/>
      <c r="P110" s="1570"/>
      <c r="Q110" s="1571"/>
      <c r="R110" s="1571"/>
      <c r="S110" s="1571"/>
      <c r="T110" s="1571"/>
      <c r="U110" s="1571"/>
      <c r="V110" s="1571"/>
      <c r="W110" s="1572"/>
      <c r="X110" s="1572"/>
      <c r="Y110" s="1572"/>
      <c r="Z110" s="1572"/>
      <c r="AA110" s="1505"/>
      <c r="AB110" s="1572"/>
      <c r="AC110" s="1572"/>
      <c r="AD110" s="1567"/>
      <c r="AE110" s="1567"/>
      <c r="AF110" s="1573"/>
      <c r="AG110" s="1573"/>
      <c r="AH110" s="1573"/>
      <c r="AI110" s="1573"/>
      <c r="AJ110" s="1573"/>
      <c r="AK110" s="1573"/>
      <c r="AL110" s="1573"/>
      <c r="AM110" s="1574"/>
      <c r="AN110" s="1574"/>
      <c r="AO110" s="1574"/>
      <c r="AP110" s="1574"/>
      <c r="AQ110" s="1574"/>
      <c r="AR110" s="1574"/>
      <c r="AS110" s="1574"/>
      <c r="AT110" s="1570"/>
      <c r="AU110" s="1575"/>
      <c r="AV110" s="1575"/>
      <c r="AW110" s="1480"/>
    </row>
    <row r="111">
      <c r="A111" s="1576"/>
      <c r="B111" s="1577"/>
      <c r="C111" s="1578"/>
      <c r="D111" s="1538"/>
      <c r="E111" s="1505"/>
      <c r="F111" s="1505"/>
      <c r="G111" s="1505"/>
      <c r="H111" s="1568"/>
      <c r="I111" s="1505"/>
      <c r="J111" s="1505"/>
      <c r="K111" s="1505"/>
      <c r="L111" s="1505"/>
      <c r="M111" s="1505"/>
      <c r="N111" s="1505"/>
      <c r="O111" s="1505"/>
      <c r="P111" s="1505"/>
      <c r="Q111" s="1505"/>
      <c r="R111" s="1505"/>
      <c r="S111" s="1505"/>
      <c r="T111" s="1505"/>
      <c r="U111" s="1505"/>
      <c r="V111" s="1505"/>
      <c r="W111" s="1505"/>
      <c r="X111" s="1505"/>
      <c r="Y111" s="1505"/>
      <c r="Z111" s="1505"/>
      <c r="AA111" s="1572"/>
      <c r="AB111" s="1505"/>
      <c r="AC111" s="1505"/>
      <c r="AD111" s="1505"/>
      <c r="AE111" s="1505"/>
      <c r="AF111" s="1505"/>
      <c r="AG111" s="1505"/>
      <c r="AH111" s="1505"/>
      <c r="AI111" s="1505"/>
      <c r="AJ111" s="1505"/>
      <c r="AK111" s="1505"/>
      <c r="AL111" s="1505"/>
      <c r="AM111" s="1505"/>
      <c r="AN111" s="1505"/>
      <c r="AO111" s="1505"/>
      <c r="AP111" s="1505"/>
      <c r="AQ111" s="1505"/>
      <c r="AR111" s="1505"/>
      <c r="AS111" s="1505"/>
      <c r="AT111" s="1505"/>
      <c r="AU111" s="1505"/>
      <c r="AV111" s="1505"/>
      <c r="AW111" s="1460"/>
    </row>
    <row r="112">
      <c r="A112" s="1564"/>
      <c r="B112" s="1565"/>
      <c r="C112" s="1566"/>
      <c r="D112" s="1538"/>
      <c r="E112" s="1567"/>
      <c r="F112" s="1567"/>
      <c r="G112" s="1567"/>
      <c r="H112" s="1568"/>
      <c r="I112" s="1569"/>
      <c r="J112" s="1570"/>
      <c r="K112" s="1570"/>
      <c r="L112" s="1570"/>
      <c r="M112" s="1570"/>
      <c r="N112" s="1570"/>
      <c r="O112" s="1570"/>
      <c r="P112" s="1570"/>
      <c r="Q112" s="1571"/>
      <c r="R112" s="1571"/>
      <c r="S112" s="1571"/>
      <c r="T112" s="1571"/>
      <c r="U112" s="1571"/>
      <c r="V112" s="1571"/>
      <c r="W112" s="1572"/>
      <c r="X112" s="1572"/>
      <c r="Y112" s="1572"/>
      <c r="Z112" s="1572"/>
      <c r="AA112" s="1505"/>
      <c r="AB112" s="1572"/>
      <c r="AC112" s="1572"/>
      <c r="AD112" s="1567"/>
      <c r="AE112" s="1567"/>
      <c r="AF112" s="1573"/>
      <c r="AG112" s="1573"/>
      <c r="AH112" s="1573"/>
      <c r="AI112" s="1573"/>
      <c r="AJ112" s="1573"/>
      <c r="AK112" s="1573"/>
      <c r="AL112" s="1573"/>
      <c r="AM112" s="1574"/>
      <c r="AN112" s="1574"/>
      <c r="AO112" s="1574"/>
      <c r="AP112" s="1574"/>
      <c r="AQ112" s="1574"/>
      <c r="AR112" s="1574"/>
      <c r="AS112" s="1574"/>
      <c r="AT112" s="1570"/>
      <c r="AU112" s="1575"/>
      <c r="AV112" s="1575"/>
      <c r="AW112" s="1480"/>
    </row>
    <row r="113">
      <c r="A113" s="1576"/>
      <c r="B113" s="1577"/>
      <c r="C113" s="1578"/>
      <c r="D113" s="1538"/>
      <c r="E113" s="1505"/>
      <c r="F113" s="1505"/>
      <c r="G113" s="1505"/>
      <c r="H113" s="1568"/>
      <c r="I113" s="1505"/>
      <c r="J113" s="1505"/>
      <c r="K113" s="1505"/>
      <c r="L113" s="1505"/>
      <c r="M113" s="1505"/>
      <c r="N113" s="1505"/>
      <c r="O113" s="1505"/>
      <c r="P113" s="1505"/>
      <c r="Q113" s="1505"/>
      <c r="R113" s="1505"/>
      <c r="S113" s="1505"/>
      <c r="T113" s="1505"/>
      <c r="U113" s="1505"/>
      <c r="V113" s="1505"/>
      <c r="W113" s="1505"/>
      <c r="X113" s="1505"/>
      <c r="Y113" s="1505"/>
      <c r="Z113" s="1505"/>
      <c r="AA113" s="1572"/>
      <c r="AB113" s="1505"/>
      <c r="AC113" s="1505"/>
      <c r="AD113" s="1505"/>
      <c r="AE113" s="1505"/>
      <c r="AF113" s="1505"/>
      <c r="AG113" s="1505"/>
      <c r="AH113" s="1505"/>
      <c r="AI113" s="1505"/>
      <c r="AJ113" s="1505"/>
      <c r="AK113" s="1505"/>
      <c r="AL113" s="1505"/>
      <c r="AM113" s="1505"/>
      <c r="AN113" s="1505"/>
      <c r="AO113" s="1505"/>
      <c r="AP113" s="1505"/>
      <c r="AQ113" s="1505"/>
      <c r="AR113" s="1505"/>
      <c r="AS113" s="1505"/>
      <c r="AT113" s="1505"/>
      <c r="AU113" s="1505"/>
      <c r="AV113" s="1505"/>
      <c r="AW113" s="1460"/>
    </row>
    <row r="114">
      <c r="A114" s="1564"/>
      <c r="B114" s="1565"/>
      <c r="C114" s="1566"/>
      <c r="D114" s="1538"/>
      <c r="E114" s="1567"/>
      <c r="F114" s="1567"/>
      <c r="G114" s="1567"/>
      <c r="H114" s="1568"/>
      <c r="I114" s="1569"/>
      <c r="J114" s="1570"/>
      <c r="K114" s="1570"/>
      <c r="L114" s="1570"/>
      <c r="M114" s="1570"/>
      <c r="N114" s="1570"/>
      <c r="O114" s="1570"/>
      <c r="P114" s="1570"/>
      <c r="Q114" s="1571"/>
      <c r="R114" s="1571"/>
      <c r="S114" s="1571"/>
      <c r="T114" s="1571"/>
      <c r="U114" s="1571"/>
      <c r="V114" s="1571"/>
      <c r="W114" s="1572"/>
      <c r="X114" s="1572"/>
      <c r="Y114" s="1572"/>
      <c r="Z114" s="1572"/>
      <c r="AA114" s="1505"/>
      <c r="AB114" s="1572"/>
      <c r="AC114" s="1572"/>
      <c r="AD114" s="1567"/>
      <c r="AE114" s="1567"/>
      <c r="AF114" s="1573"/>
      <c r="AG114" s="1573"/>
      <c r="AH114" s="1573"/>
      <c r="AI114" s="1573"/>
      <c r="AJ114" s="1573"/>
      <c r="AK114" s="1573"/>
      <c r="AL114" s="1573"/>
      <c r="AM114" s="1574"/>
      <c r="AN114" s="1574"/>
      <c r="AO114" s="1574"/>
      <c r="AP114" s="1574"/>
      <c r="AQ114" s="1574"/>
      <c r="AR114" s="1574"/>
      <c r="AS114" s="1574"/>
      <c r="AT114" s="1570"/>
      <c r="AU114" s="1575"/>
      <c r="AV114" s="1575"/>
      <c r="AW114" s="1480"/>
    </row>
    <row r="115">
      <c r="A115" s="1576"/>
      <c r="B115" s="1577"/>
      <c r="C115" s="1578"/>
      <c r="D115" s="1538"/>
      <c r="E115" s="1505"/>
      <c r="F115" s="1505"/>
      <c r="G115" s="1505"/>
      <c r="H115" s="1568"/>
      <c r="I115" s="1505"/>
      <c r="J115" s="1505"/>
      <c r="K115" s="1505"/>
      <c r="L115" s="1505"/>
      <c r="M115" s="1505"/>
      <c r="N115" s="1505"/>
      <c r="O115" s="1505"/>
      <c r="P115" s="1505"/>
      <c r="Q115" s="1505"/>
      <c r="R115" s="1505"/>
      <c r="S115" s="1505"/>
      <c r="T115" s="1505"/>
      <c r="U115" s="1505"/>
      <c r="V115" s="1505"/>
      <c r="W115" s="1505"/>
      <c r="X115" s="1505"/>
      <c r="Y115" s="1505"/>
      <c r="Z115" s="1505"/>
      <c r="AA115" s="1572"/>
      <c r="AB115" s="1505"/>
      <c r="AC115" s="1505"/>
      <c r="AD115" s="1505"/>
      <c r="AE115" s="1505"/>
      <c r="AF115" s="1505"/>
      <c r="AG115" s="1505"/>
      <c r="AH115" s="1505"/>
      <c r="AI115" s="1505"/>
      <c r="AJ115" s="1505"/>
      <c r="AK115" s="1505"/>
      <c r="AL115" s="1505"/>
      <c r="AM115" s="1505"/>
      <c r="AN115" s="1505"/>
      <c r="AO115" s="1505"/>
      <c r="AP115" s="1505"/>
      <c r="AQ115" s="1505"/>
      <c r="AR115" s="1505"/>
      <c r="AS115" s="1505"/>
      <c r="AT115" s="1505"/>
      <c r="AU115" s="1505"/>
      <c r="AV115" s="1505"/>
      <c r="AW115" s="1460"/>
    </row>
    <row r="116">
      <c r="A116" s="1564"/>
      <c r="B116" s="1565"/>
      <c r="C116" s="1566"/>
      <c r="D116" s="1538"/>
      <c r="E116" s="1567"/>
      <c r="F116" s="1567"/>
      <c r="G116" s="1567"/>
      <c r="H116" s="1569"/>
      <c r="I116" s="1569"/>
      <c r="J116" s="1570"/>
      <c r="K116" s="1570"/>
      <c r="L116" s="1570"/>
      <c r="M116" s="1570"/>
      <c r="N116" s="1570"/>
      <c r="O116" s="1570"/>
      <c r="P116" s="1570"/>
      <c r="Q116" s="1571"/>
      <c r="R116" s="1571"/>
      <c r="S116" s="1571"/>
      <c r="T116" s="1571"/>
      <c r="U116" s="1571"/>
      <c r="V116" s="1571"/>
      <c r="W116" s="1572"/>
      <c r="X116" s="1572"/>
      <c r="Y116" s="1572"/>
      <c r="Z116" s="1572"/>
      <c r="AA116" s="1505"/>
      <c r="AB116" s="1572"/>
      <c r="AC116" s="1572"/>
      <c r="AD116" s="1567"/>
      <c r="AE116" s="1567"/>
      <c r="AF116" s="1573"/>
      <c r="AG116" s="1573"/>
      <c r="AH116" s="1573"/>
      <c r="AI116" s="1573"/>
      <c r="AJ116" s="1573"/>
      <c r="AK116" s="1573"/>
      <c r="AL116" s="1573"/>
      <c r="AM116" s="1574"/>
      <c r="AN116" s="1574"/>
      <c r="AO116" s="1574"/>
      <c r="AP116" s="1574"/>
      <c r="AQ116" s="1574"/>
      <c r="AR116" s="1574"/>
      <c r="AS116" s="1574"/>
      <c r="AT116" s="1570"/>
      <c r="AU116" s="1575"/>
      <c r="AV116" s="1575"/>
      <c r="AW116" s="1480"/>
    </row>
    <row r="117">
      <c r="A117" s="1576"/>
      <c r="B117" s="1577"/>
      <c r="C117" s="1578"/>
      <c r="D117" s="1538"/>
      <c r="E117" s="1505"/>
      <c r="F117" s="1505"/>
      <c r="G117" s="1505"/>
      <c r="H117" s="1505"/>
      <c r="I117" s="1505"/>
      <c r="J117" s="1505"/>
      <c r="K117" s="1505"/>
      <c r="L117" s="1505"/>
      <c r="M117" s="1505"/>
      <c r="N117" s="1505"/>
      <c r="O117" s="1505"/>
      <c r="P117" s="1505"/>
      <c r="Q117" s="1505"/>
      <c r="R117" s="1505"/>
      <c r="S117" s="1505"/>
      <c r="T117" s="1505"/>
      <c r="U117" s="1505"/>
      <c r="V117" s="1505"/>
      <c r="W117" s="1505"/>
      <c r="X117" s="1505"/>
      <c r="Y117" s="1505"/>
      <c r="Z117" s="1505"/>
      <c r="AA117" s="1572"/>
      <c r="AB117" s="1505"/>
      <c r="AC117" s="1505"/>
      <c r="AD117" s="1505"/>
      <c r="AE117" s="1505"/>
      <c r="AF117" s="1505"/>
      <c r="AG117" s="1505"/>
      <c r="AH117" s="1505"/>
      <c r="AI117" s="1505"/>
      <c r="AJ117" s="1505"/>
      <c r="AK117" s="1505"/>
      <c r="AL117" s="1505"/>
      <c r="AM117" s="1505"/>
      <c r="AN117" s="1505"/>
      <c r="AO117" s="1505"/>
      <c r="AP117" s="1505"/>
      <c r="AQ117" s="1505"/>
      <c r="AR117" s="1505"/>
      <c r="AS117" s="1505"/>
      <c r="AT117" s="1505"/>
      <c r="AU117" s="1505"/>
      <c r="AV117" s="1505"/>
      <c r="AW117" s="1460"/>
    </row>
    <row r="118">
      <c r="A118" s="1564"/>
      <c r="B118" s="1565"/>
      <c r="C118" s="1566"/>
      <c r="D118" s="1538"/>
      <c r="E118" s="1567"/>
      <c r="F118" s="1567"/>
      <c r="G118" s="1567"/>
      <c r="H118" s="1569"/>
      <c r="I118" s="1569"/>
      <c r="J118" s="1570"/>
      <c r="K118" s="1570"/>
      <c r="L118" s="1570"/>
      <c r="M118" s="1570"/>
      <c r="N118" s="1570"/>
      <c r="O118" s="1570"/>
      <c r="P118" s="1570"/>
      <c r="Q118" s="1571"/>
      <c r="R118" s="1571"/>
      <c r="S118" s="1571"/>
      <c r="T118" s="1571"/>
      <c r="U118" s="1571"/>
      <c r="V118" s="1571"/>
      <c r="W118" s="1572"/>
      <c r="X118" s="1572"/>
      <c r="Y118" s="1572"/>
      <c r="Z118" s="1572"/>
      <c r="AA118" s="1505"/>
      <c r="AB118" s="1572"/>
      <c r="AC118" s="1572"/>
      <c r="AD118" s="1567"/>
      <c r="AE118" s="1567"/>
      <c r="AF118" s="1573"/>
      <c r="AG118" s="1573"/>
      <c r="AH118" s="1573"/>
      <c r="AI118" s="1573"/>
      <c r="AJ118" s="1573"/>
      <c r="AK118" s="1573"/>
      <c r="AL118" s="1573"/>
      <c r="AM118" s="1574"/>
      <c r="AN118" s="1574"/>
      <c r="AO118" s="1574"/>
      <c r="AP118" s="1574"/>
      <c r="AQ118" s="1574"/>
      <c r="AR118" s="1574"/>
      <c r="AS118" s="1574"/>
      <c r="AT118" s="1570"/>
      <c r="AU118" s="1575"/>
      <c r="AV118" s="1575"/>
      <c r="AW118" s="1480"/>
    </row>
    <row r="119">
      <c r="A119" s="1576"/>
      <c r="B119" s="1577"/>
      <c r="C119" s="1578"/>
      <c r="D119" s="1538"/>
      <c r="E119" s="1505"/>
      <c r="F119" s="1505"/>
      <c r="G119" s="1505"/>
      <c r="H119" s="1505"/>
      <c r="I119" s="1505"/>
      <c r="J119" s="1505"/>
      <c r="K119" s="1505"/>
      <c r="L119" s="1505"/>
      <c r="M119" s="1505"/>
      <c r="N119" s="1505"/>
      <c r="O119" s="1505"/>
      <c r="P119" s="1505"/>
      <c r="Q119" s="1505"/>
      <c r="R119" s="1505"/>
      <c r="S119" s="1505"/>
      <c r="T119" s="1505"/>
      <c r="U119" s="1505"/>
      <c r="V119" s="1505"/>
      <c r="W119" s="1505"/>
      <c r="X119" s="1505"/>
      <c r="Y119" s="1505"/>
      <c r="Z119" s="1505"/>
      <c r="AA119" s="1572"/>
      <c r="AB119" s="1505"/>
      <c r="AC119" s="1505"/>
      <c r="AD119" s="1505"/>
      <c r="AE119" s="1505"/>
      <c r="AF119" s="1505"/>
      <c r="AG119" s="1505"/>
      <c r="AH119" s="1505"/>
      <c r="AI119" s="1505"/>
      <c r="AJ119" s="1505"/>
      <c r="AK119" s="1505"/>
      <c r="AL119" s="1505"/>
      <c r="AM119" s="1505"/>
      <c r="AN119" s="1505"/>
      <c r="AO119" s="1505"/>
      <c r="AP119" s="1505"/>
      <c r="AQ119" s="1505"/>
      <c r="AR119" s="1505"/>
      <c r="AS119" s="1505"/>
      <c r="AT119" s="1505"/>
      <c r="AU119" s="1505"/>
      <c r="AV119" s="1505"/>
      <c r="AW119" s="1460"/>
    </row>
    <row r="120">
      <c r="A120" s="1564"/>
      <c r="B120" s="1565"/>
      <c r="C120" s="1566"/>
      <c r="D120" s="1538"/>
      <c r="E120" s="1567"/>
      <c r="F120" s="1567"/>
      <c r="G120" s="1567"/>
      <c r="H120" s="1569"/>
      <c r="I120" s="1569"/>
      <c r="J120" s="1570"/>
      <c r="K120" s="1570"/>
      <c r="L120" s="1570"/>
      <c r="M120" s="1570"/>
      <c r="N120" s="1570"/>
      <c r="O120" s="1570"/>
      <c r="P120" s="1570"/>
      <c r="Q120" s="1571"/>
      <c r="R120" s="1571"/>
      <c r="S120" s="1571"/>
      <c r="T120" s="1571"/>
      <c r="U120" s="1571"/>
      <c r="V120" s="1571"/>
      <c r="W120" s="1572"/>
      <c r="X120" s="1572"/>
      <c r="Y120" s="1572"/>
      <c r="Z120" s="1572"/>
      <c r="AA120" s="1505"/>
      <c r="AB120" s="1572"/>
      <c r="AC120" s="1572"/>
      <c r="AD120" s="1567"/>
      <c r="AE120" s="1567"/>
      <c r="AF120" s="1573"/>
      <c r="AG120" s="1573"/>
      <c r="AH120" s="1573"/>
      <c r="AI120" s="1573"/>
      <c r="AJ120" s="1573"/>
      <c r="AK120" s="1573"/>
      <c r="AL120" s="1573"/>
      <c r="AM120" s="1574"/>
      <c r="AN120" s="1574"/>
      <c r="AO120" s="1574"/>
      <c r="AP120" s="1574"/>
      <c r="AQ120" s="1574"/>
      <c r="AR120" s="1574"/>
      <c r="AS120" s="1574"/>
      <c r="AT120" s="1570"/>
      <c r="AU120" s="1575"/>
      <c r="AV120" s="1575"/>
      <c r="AW120" s="1480"/>
    </row>
    <row r="121">
      <c r="A121" s="1576"/>
      <c r="B121" s="1577"/>
      <c r="C121" s="1578"/>
      <c r="D121" s="1538"/>
      <c r="E121" s="1505"/>
      <c r="F121" s="1505"/>
      <c r="G121" s="1505"/>
      <c r="H121" s="1505"/>
      <c r="I121" s="1505"/>
      <c r="J121" s="1505"/>
      <c r="K121" s="1505"/>
      <c r="L121" s="1505"/>
      <c r="M121" s="1505"/>
      <c r="N121" s="1505"/>
      <c r="O121" s="1505"/>
      <c r="P121" s="1505"/>
      <c r="Q121" s="1505"/>
      <c r="R121" s="1505"/>
      <c r="S121" s="1505"/>
      <c r="T121" s="1505"/>
      <c r="U121" s="1505"/>
      <c r="V121" s="1505"/>
      <c r="W121" s="1505"/>
      <c r="X121" s="1505"/>
      <c r="Y121" s="1505"/>
      <c r="Z121" s="1505"/>
      <c r="AA121" s="1572"/>
      <c r="AB121" s="1505"/>
      <c r="AC121" s="1505"/>
      <c r="AD121" s="1505"/>
      <c r="AE121" s="1505"/>
      <c r="AF121" s="1505"/>
      <c r="AG121" s="1505"/>
      <c r="AH121" s="1505"/>
      <c r="AI121" s="1505"/>
      <c r="AJ121" s="1505"/>
      <c r="AK121" s="1505"/>
      <c r="AL121" s="1505"/>
      <c r="AM121" s="1505"/>
      <c r="AN121" s="1505"/>
      <c r="AO121" s="1505"/>
      <c r="AP121" s="1505"/>
      <c r="AQ121" s="1505"/>
      <c r="AR121" s="1505"/>
      <c r="AS121" s="1505"/>
      <c r="AT121" s="1505"/>
      <c r="AU121" s="1505"/>
      <c r="AV121" s="1505"/>
      <c r="AW121" s="1460"/>
    </row>
    <row r="122">
      <c r="A122" s="1564"/>
      <c r="B122" s="1565"/>
      <c r="C122" s="1566"/>
      <c r="D122" s="1538"/>
      <c r="E122" s="1567"/>
      <c r="F122" s="1567"/>
      <c r="G122" s="1567"/>
      <c r="H122" s="1569"/>
      <c r="I122" s="1569"/>
      <c r="J122" s="1570"/>
      <c r="K122" s="1570"/>
      <c r="L122" s="1570"/>
      <c r="M122" s="1570"/>
      <c r="N122" s="1570"/>
      <c r="O122" s="1570"/>
      <c r="P122" s="1570"/>
      <c r="Q122" s="1571"/>
      <c r="R122" s="1571"/>
      <c r="S122" s="1571"/>
      <c r="T122" s="1571"/>
      <c r="U122" s="1571"/>
      <c r="V122" s="1571"/>
      <c r="W122" s="1572"/>
      <c r="X122" s="1572"/>
      <c r="Y122" s="1572"/>
      <c r="Z122" s="1572"/>
      <c r="AA122" s="1505"/>
      <c r="AB122" s="1572"/>
      <c r="AC122" s="1572"/>
      <c r="AD122" s="1567"/>
      <c r="AE122" s="1567"/>
      <c r="AF122" s="1573"/>
      <c r="AG122" s="1573"/>
      <c r="AH122" s="1573"/>
      <c r="AI122" s="1573"/>
      <c r="AJ122" s="1573"/>
      <c r="AK122" s="1573"/>
      <c r="AL122" s="1573"/>
      <c r="AM122" s="1574"/>
      <c r="AN122" s="1574"/>
      <c r="AO122" s="1574"/>
      <c r="AP122" s="1574"/>
      <c r="AQ122" s="1574"/>
      <c r="AR122" s="1574"/>
      <c r="AS122" s="1574"/>
      <c r="AT122" s="1570"/>
      <c r="AU122" s="1575"/>
      <c r="AV122" s="1575"/>
      <c r="AW122" s="1480"/>
    </row>
    <row r="123">
      <c r="A123" s="1576"/>
      <c r="B123" s="1577"/>
      <c r="C123" s="1578"/>
      <c r="D123" s="1538"/>
      <c r="E123" s="1505"/>
      <c r="F123" s="1505"/>
      <c r="G123" s="1505"/>
      <c r="H123" s="1505"/>
      <c r="I123" s="1505"/>
      <c r="J123" s="1505"/>
      <c r="K123" s="1505"/>
      <c r="L123" s="1505"/>
      <c r="M123" s="1505"/>
      <c r="N123" s="1505"/>
      <c r="O123" s="1505"/>
      <c r="P123" s="1505"/>
      <c r="Q123" s="1505"/>
      <c r="R123" s="1505"/>
      <c r="S123" s="1505"/>
      <c r="T123" s="1505"/>
      <c r="U123" s="1505"/>
      <c r="V123" s="1505"/>
      <c r="W123" s="1505"/>
      <c r="X123" s="1505"/>
      <c r="Y123" s="1505"/>
      <c r="Z123" s="1505"/>
      <c r="AA123" s="1572"/>
      <c r="AB123" s="1505"/>
      <c r="AC123" s="1505"/>
      <c r="AD123" s="1505"/>
      <c r="AE123" s="1505"/>
      <c r="AF123" s="1505"/>
      <c r="AG123" s="1505"/>
      <c r="AH123" s="1505"/>
      <c r="AI123" s="1505"/>
      <c r="AJ123" s="1505"/>
      <c r="AK123" s="1505"/>
      <c r="AL123" s="1505"/>
      <c r="AM123" s="1505"/>
      <c r="AN123" s="1505"/>
      <c r="AO123" s="1505"/>
      <c r="AP123" s="1505"/>
      <c r="AQ123" s="1505"/>
      <c r="AR123" s="1505"/>
      <c r="AS123" s="1505"/>
      <c r="AT123" s="1505"/>
      <c r="AU123" s="1505"/>
      <c r="AV123" s="1505"/>
      <c r="AW123" s="1460"/>
    </row>
    <row r="124">
      <c r="A124" s="1564"/>
      <c r="B124" s="1565"/>
      <c r="C124" s="1566"/>
      <c r="D124" s="1538"/>
      <c r="E124" s="1567"/>
      <c r="F124" s="1567"/>
      <c r="G124" s="1567"/>
      <c r="H124" s="1569"/>
      <c r="I124" s="1569"/>
      <c r="J124" s="1570"/>
      <c r="K124" s="1570"/>
      <c r="L124" s="1570"/>
      <c r="M124" s="1570"/>
      <c r="N124" s="1570"/>
      <c r="O124" s="1570"/>
      <c r="P124" s="1570"/>
      <c r="Q124" s="1571"/>
      <c r="R124" s="1571"/>
      <c r="S124" s="1571"/>
      <c r="T124" s="1571"/>
      <c r="U124" s="1571"/>
      <c r="V124" s="1571"/>
      <c r="W124" s="1572"/>
      <c r="X124" s="1572"/>
      <c r="Y124" s="1572"/>
      <c r="Z124" s="1572"/>
      <c r="AA124" s="1505"/>
      <c r="AB124" s="1572"/>
      <c r="AC124" s="1572"/>
      <c r="AD124" s="1567"/>
      <c r="AE124" s="1567"/>
      <c r="AF124" s="1573"/>
      <c r="AG124" s="1573"/>
      <c r="AH124" s="1573"/>
      <c r="AI124" s="1573"/>
      <c r="AJ124" s="1573"/>
      <c r="AK124" s="1573"/>
      <c r="AL124" s="1573"/>
      <c r="AM124" s="1574"/>
      <c r="AN124" s="1574"/>
      <c r="AO124" s="1574"/>
      <c r="AP124" s="1574"/>
      <c r="AQ124" s="1574"/>
      <c r="AR124" s="1574"/>
      <c r="AS124" s="1574"/>
      <c r="AT124" s="1570"/>
      <c r="AU124" s="1575"/>
      <c r="AV124" s="1575"/>
      <c r="AW124" s="1480"/>
    </row>
    <row r="125">
      <c r="A125" s="1576"/>
      <c r="B125" s="1577"/>
      <c r="C125" s="1578"/>
      <c r="D125" s="1538"/>
      <c r="E125" s="1505"/>
      <c r="F125" s="1505"/>
      <c r="G125" s="1505"/>
      <c r="H125" s="1505"/>
      <c r="I125" s="1505"/>
      <c r="J125" s="1505"/>
      <c r="K125" s="1505"/>
      <c r="L125" s="1505"/>
      <c r="M125" s="1505"/>
      <c r="N125" s="1505"/>
      <c r="O125" s="1505"/>
      <c r="P125" s="1505"/>
      <c r="Q125" s="1505"/>
      <c r="R125" s="1505"/>
      <c r="S125" s="1505"/>
      <c r="T125" s="1505"/>
      <c r="U125" s="1505"/>
      <c r="V125" s="1505"/>
      <c r="W125" s="1505"/>
      <c r="X125" s="1505"/>
      <c r="Y125" s="1505"/>
      <c r="Z125" s="1505"/>
      <c r="AA125" s="1572"/>
      <c r="AB125" s="1505"/>
      <c r="AC125" s="1505"/>
      <c r="AD125" s="1505"/>
      <c r="AE125" s="1505"/>
      <c r="AF125" s="1505"/>
      <c r="AG125" s="1505"/>
      <c r="AH125" s="1505"/>
      <c r="AI125" s="1505"/>
      <c r="AJ125" s="1505"/>
      <c r="AK125" s="1505"/>
      <c r="AL125" s="1505"/>
      <c r="AM125" s="1505"/>
      <c r="AN125" s="1505"/>
      <c r="AO125" s="1505"/>
      <c r="AP125" s="1505"/>
      <c r="AQ125" s="1505"/>
      <c r="AR125" s="1505"/>
      <c r="AS125" s="1505"/>
      <c r="AT125" s="1505"/>
      <c r="AU125" s="1505"/>
      <c r="AV125" s="1505"/>
      <c r="AW125" s="1460"/>
    </row>
    <row r="126">
      <c r="A126" s="1564"/>
      <c r="B126" s="1565"/>
      <c r="C126" s="1566"/>
      <c r="D126" s="1538"/>
      <c r="E126" s="1567"/>
      <c r="F126" s="1567"/>
      <c r="G126" s="1567"/>
      <c r="H126" s="1569"/>
      <c r="I126" s="1569"/>
      <c r="J126" s="1570"/>
      <c r="K126" s="1570"/>
      <c r="L126" s="1570"/>
      <c r="M126" s="1570"/>
      <c r="N126" s="1570"/>
      <c r="O126" s="1570"/>
      <c r="P126" s="1570"/>
      <c r="Q126" s="1571"/>
      <c r="R126" s="1571"/>
      <c r="S126" s="1571"/>
      <c r="T126" s="1571"/>
      <c r="U126" s="1571"/>
      <c r="V126" s="1571"/>
      <c r="W126" s="1572"/>
      <c r="X126" s="1572"/>
      <c r="Y126" s="1572"/>
      <c r="Z126" s="1572"/>
      <c r="AA126" s="1505"/>
      <c r="AB126" s="1572"/>
      <c r="AC126" s="1572"/>
      <c r="AD126" s="1567"/>
      <c r="AE126" s="1567"/>
      <c r="AF126" s="1573"/>
      <c r="AG126" s="1573"/>
      <c r="AH126" s="1573"/>
      <c r="AI126" s="1573"/>
      <c r="AJ126" s="1573"/>
      <c r="AK126" s="1573"/>
      <c r="AL126" s="1573"/>
      <c r="AM126" s="1574"/>
      <c r="AN126" s="1574"/>
      <c r="AO126" s="1574"/>
      <c r="AP126" s="1574"/>
      <c r="AQ126" s="1574"/>
      <c r="AR126" s="1574"/>
      <c r="AS126" s="1574"/>
      <c r="AT126" s="1570"/>
      <c r="AU126" s="1575"/>
      <c r="AV126" s="1575"/>
      <c r="AW126" s="1480"/>
    </row>
    <row r="127">
      <c r="A127" s="1576"/>
      <c r="B127" s="1577"/>
      <c r="C127" s="1578"/>
      <c r="D127" s="1538"/>
      <c r="E127" s="1505"/>
      <c r="F127" s="1505"/>
      <c r="G127" s="1505"/>
      <c r="H127" s="1505"/>
      <c r="I127" s="1505"/>
      <c r="J127" s="1505"/>
      <c r="K127" s="1505"/>
      <c r="L127" s="1505"/>
      <c r="M127" s="1505"/>
      <c r="N127" s="1505"/>
      <c r="O127" s="1505"/>
      <c r="P127" s="1505"/>
      <c r="Q127" s="1505"/>
      <c r="R127" s="1505"/>
      <c r="S127" s="1505"/>
      <c r="T127" s="1505"/>
      <c r="U127" s="1505"/>
      <c r="V127" s="1505"/>
      <c r="W127" s="1505"/>
      <c r="X127" s="1505"/>
      <c r="Y127" s="1505"/>
      <c r="Z127" s="1505"/>
      <c r="AA127" s="1572"/>
      <c r="AB127" s="1505"/>
      <c r="AC127" s="1505"/>
      <c r="AD127" s="1505"/>
      <c r="AE127" s="1505"/>
      <c r="AF127" s="1505"/>
      <c r="AG127" s="1505"/>
      <c r="AH127" s="1505"/>
      <c r="AI127" s="1505"/>
      <c r="AJ127" s="1505"/>
      <c r="AK127" s="1505"/>
      <c r="AL127" s="1505"/>
      <c r="AM127" s="1505"/>
      <c r="AN127" s="1505"/>
      <c r="AO127" s="1505"/>
      <c r="AP127" s="1505"/>
      <c r="AQ127" s="1505"/>
      <c r="AR127" s="1505"/>
      <c r="AS127" s="1505"/>
      <c r="AT127" s="1505"/>
      <c r="AU127" s="1505"/>
      <c r="AV127" s="1505"/>
      <c r="AW127" s="1460"/>
    </row>
    <row r="128">
      <c r="A128" s="1564"/>
      <c r="B128" s="1565"/>
      <c r="C128" s="1566"/>
      <c r="D128" s="1538"/>
      <c r="E128" s="1567"/>
      <c r="F128" s="1567"/>
      <c r="G128" s="1567"/>
      <c r="H128" s="1569"/>
      <c r="I128" s="1569"/>
      <c r="J128" s="1570"/>
      <c r="K128" s="1570"/>
      <c r="L128" s="1570"/>
      <c r="M128" s="1570"/>
      <c r="N128" s="1570"/>
      <c r="O128" s="1570"/>
      <c r="P128" s="1570"/>
      <c r="Q128" s="1571"/>
      <c r="R128" s="1571"/>
      <c r="S128" s="1571"/>
      <c r="T128" s="1571"/>
      <c r="U128" s="1571"/>
      <c r="V128" s="1571"/>
      <c r="W128" s="1572"/>
      <c r="X128" s="1572"/>
      <c r="Y128" s="1572"/>
      <c r="Z128" s="1572"/>
      <c r="AA128" s="1505"/>
      <c r="AB128" s="1572"/>
      <c r="AC128" s="1572"/>
      <c r="AD128" s="1567"/>
      <c r="AE128" s="1567"/>
      <c r="AF128" s="1573"/>
      <c r="AG128" s="1573"/>
      <c r="AH128" s="1573"/>
      <c r="AI128" s="1573"/>
      <c r="AJ128" s="1573"/>
      <c r="AK128" s="1573"/>
      <c r="AL128" s="1573"/>
      <c r="AM128" s="1574"/>
      <c r="AN128" s="1574"/>
      <c r="AO128" s="1574"/>
      <c r="AP128" s="1574"/>
      <c r="AQ128" s="1574"/>
      <c r="AR128" s="1574"/>
      <c r="AS128" s="1574"/>
      <c r="AT128" s="1570"/>
      <c r="AU128" s="1575"/>
      <c r="AV128" s="1575"/>
      <c r="AW128" s="1480"/>
    </row>
    <row r="129">
      <c r="A129" s="1576"/>
      <c r="B129" s="1577"/>
      <c r="C129" s="1578"/>
      <c r="D129" s="1538"/>
      <c r="E129" s="1505"/>
      <c r="F129" s="1505"/>
      <c r="G129" s="1505"/>
      <c r="H129" s="1505"/>
      <c r="I129" s="1505"/>
      <c r="J129" s="1505"/>
      <c r="K129" s="1505"/>
      <c r="L129" s="1505"/>
      <c r="M129" s="1505"/>
      <c r="N129" s="1505"/>
      <c r="O129" s="1505"/>
      <c r="P129" s="1505"/>
      <c r="Q129" s="1505"/>
      <c r="R129" s="1505"/>
      <c r="S129" s="1505"/>
      <c r="T129" s="1505"/>
      <c r="U129" s="1505"/>
      <c r="V129" s="1505"/>
      <c r="W129" s="1505"/>
      <c r="X129" s="1505"/>
      <c r="Y129" s="1505"/>
      <c r="Z129" s="1505"/>
      <c r="AA129" s="1572"/>
      <c r="AB129" s="1505"/>
      <c r="AC129" s="1505"/>
      <c r="AD129" s="1505"/>
      <c r="AE129" s="1505"/>
      <c r="AF129" s="1505"/>
      <c r="AG129" s="1505"/>
      <c r="AH129" s="1505"/>
      <c r="AI129" s="1505"/>
      <c r="AJ129" s="1505"/>
      <c r="AK129" s="1505"/>
      <c r="AL129" s="1505"/>
      <c r="AM129" s="1505"/>
      <c r="AN129" s="1505"/>
      <c r="AO129" s="1505"/>
      <c r="AP129" s="1505"/>
      <c r="AQ129" s="1505"/>
      <c r="AR129" s="1505"/>
      <c r="AS129" s="1505"/>
      <c r="AT129" s="1505"/>
      <c r="AU129" s="1505"/>
      <c r="AV129" s="1505"/>
      <c r="AW129" s="1460"/>
    </row>
    <row r="130">
      <c r="A130" s="1564"/>
      <c r="B130" s="1565"/>
      <c r="C130" s="1566"/>
      <c r="D130" s="1538"/>
      <c r="E130" s="1567"/>
      <c r="F130" s="1567"/>
      <c r="G130" s="1567"/>
      <c r="H130" s="1569"/>
      <c r="I130" s="1569"/>
      <c r="J130" s="1570"/>
      <c r="K130" s="1570"/>
      <c r="L130" s="1570"/>
      <c r="M130" s="1570"/>
      <c r="N130" s="1570"/>
      <c r="O130" s="1570"/>
      <c r="P130" s="1570"/>
      <c r="Q130" s="1571"/>
      <c r="R130" s="1571"/>
      <c r="S130" s="1571"/>
      <c r="T130" s="1571"/>
      <c r="U130" s="1571"/>
      <c r="V130" s="1571"/>
      <c r="W130" s="1572"/>
      <c r="X130" s="1572"/>
      <c r="Y130" s="1572"/>
      <c r="Z130" s="1572"/>
      <c r="AA130" s="1505"/>
      <c r="AB130" s="1572"/>
      <c r="AC130" s="1572"/>
      <c r="AD130" s="1567"/>
      <c r="AE130" s="1567"/>
      <c r="AF130" s="1573"/>
      <c r="AG130" s="1573"/>
      <c r="AH130" s="1573"/>
      <c r="AI130" s="1573"/>
      <c r="AJ130" s="1573"/>
      <c r="AK130" s="1573"/>
      <c r="AL130" s="1573"/>
      <c r="AM130" s="1574"/>
      <c r="AN130" s="1574"/>
      <c r="AO130" s="1574"/>
      <c r="AP130" s="1574"/>
      <c r="AQ130" s="1574"/>
      <c r="AR130" s="1574"/>
      <c r="AS130" s="1574"/>
      <c r="AT130" s="1570"/>
      <c r="AU130" s="1575"/>
      <c r="AV130" s="1575"/>
      <c r="AW130" s="1480"/>
    </row>
    <row r="131">
      <c r="A131" s="1576"/>
      <c r="B131" s="1577"/>
      <c r="C131" s="1578"/>
      <c r="D131" s="1538"/>
      <c r="E131" s="1505"/>
      <c r="F131" s="1505"/>
      <c r="G131" s="1505"/>
      <c r="H131" s="1505"/>
      <c r="I131" s="1505"/>
      <c r="J131" s="1505"/>
      <c r="K131" s="1505"/>
      <c r="L131" s="1505"/>
      <c r="M131" s="1505"/>
      <c r="N131" s="1505"/>
      <c r="O131" s="1505"/>
      <c r="P131" s="1505"/>
      <c r="Q131" s="1505"/>
      <c r="R131" s="1505"/>
      <c r="S131" s="1505"/>
      <c r="T131" s="1505"/>
      <c r="U131" s="1505"/>
      <c r="V131" s="1505"/>
      <c r="W131" s="1505"/>
      <c r="X131" s="1505"/>
      <c r="Y131" s="1505"/>
      <c r="Z131" s="1505"/>
      <c r="AA131" s="1572"/>
      <c r="AB131" s="1505"/>
      <c r="AC131" s="1505"/>
      <c r="AD131" s="1505"/>
      <c r="AE131" s="1505"/>
      <c r="AF131" s="1505"/>
      <c r="AG131" s="1505"/>
      <c r="AH131" s="1505"/>
      <c r="AI131" s="1505"/>
      <c r="AJ131" s="1505"/>
      <c r="AK131" s="1505"/>
      <c r="AL131" s="1505"/>
      <c r="AM131" s="1505"/>
      <c r="AN131" s="1505"/>
      <c r="AO131" s="1505"/>
      <c r="AP131" s="1505"/>
      <c r="AQ131" s="1505"/>
      <c r="AR131" s="1505"/>
      <c r="AS131" s="1505"/>
      <c r="AT131" s="1505"/>
      <c r="AU131" s="1505"/>
      <c r="AV131" s="1505"/>
      <c r="AW131" s="1460"/>
    </row>
    <row r="132">
      <c r="A132" s="1564"/>
      <c r="B132" s="1565"/>
      <c r="C132" s="1566"/>
      <c r="D132" s="1538"/>
      <c r="E132" s="1567"/>
      <c r="F132" s="1567"/>
      <c r="G132" s="1567"/>
      <c r="H132" s="1569"/>
      <c r="I132" s="1569"/>
      <c r="J132" s="1570"/>
      <c r="K132" s="1570"/>
      <c r="L132" s="1570"/>
      <c r="M132" s="1570"/>
      <c r="N132" s="1570"/>
      <c r="O132" s="1570"/>
      <c r="P132" s="1570"/>
      <c r="Q132" s="1571"/>
      <c r="R132" s="1571"/>
      <c r="S132" s="1571"/>
      <c r="T132" s="1571"/>
      <c r="U132" s="1571"/>
      <c r="V132" s="1571"/>
      <c r="W132" s="1572"/>
      <c r="X132" s="1572"/>
      <c r="Y132" s="1572"/>
      <c r="Z132" s="1572"/>
      <c r="AA132" s="1505"/>
      <c r="AB132" s="1572"/>
      <c r="AC132" s="1572"/>
      <c r="AD132" s="1567"/>
      <c r="AE132" s="1567"/>
      <c r="AF132" s="1573"/>
      <c r="AG132" s="1573"/>
      <c r="AH132" s="1573"/>
      <c r="AI132" s="1573"/>
      <c r="AJ132" s="1573"/>
      <c r="AK132" s="1573"/>
      <c r="AL132" s="1573"/>
      <c r="AM132" s="1574"/>
      <c r="AN132" s="1574"/>
      <c r="AO132" s="1574"/>
      <c r="AP132" s="1574"/>
      <c r="AQ132" s="1574"/>
      <c r="AR132" s="1574"/>
      <c r="AS132" s="1574"/>
      <c r="AT132" s="1570"/>
      <c r="AU132" s="1575"/>
      <c r="AV132" s="1575"/>
      <c r="AW132" s="1480"/>
    </row>
    <row r="133">
      <c r="A133" s="1576"/>
      <c r="B133" s="1577"/>
      <c r="C133" s="1578"/>
      <c r="D133" s="1538"/>
      <c r="E133" s="1505"/>
      <c r="F133" s="1505"/>
      <c r="G133" s="1505"/>
      <c r="H133" s="1505"/>
      <c r="I133" s="1505"/>
      <c r="J133" s="1505"/>
      <c r="K133" s="1505"/>
      <c r="L133" s="1505"/>
      <c r="M133" s="1505"/>
      <c r="N133" s="1505"/>
      <c r="O133" s="1505"/>
      <c r="P133" s="1505"/>
      <c r="Q133" s="1505"/>
      <c r="R133" s="1505"/>
      <c r="S133" s="1505"/>
      <c r="T133" s="1505"/>
      <c r="U133" s="1505"/>
      <c r="V133" s="1505"/>
      <c r="W133" s="1505"/>
      <c r="X133" s="1505"/>
      <c r="Y133" s="1505"/>
      <c r="Z133" s="1505"/>
      <c r="AA133" s="1572"/>
      <c r="AB133" s="1505"/>
      <c r="AC133" s="1505"/>
      <c r="AD133" s="1505"/>
      <c r="AE133" s="1505"/>
      <c r="AF133" s="1505"/>
      <c r="AG133" s="1505"/>
      <c r="AH133" s="1505"/>
      <c r="AI133" s="1505"/>
      <c r="AJ133" s="1505"/>
      <c r="AK133" s="1505"/>
      <c r="AL133" s="1505"/>
      <c r="AM133" s="1505"/>
      <c r="AN133" s="1505"/>
      <c r="AO133" s="1505"/>
      <c r="AP133" s="1505"/>
      <c r="AQ133" s="1505"/>
      <c r="AR133" s="1505"/>
      <c r="AS133" s="1505"/>
      <c r="AT133" s="1505"/>
      <c r="AU133" s="1505"/>
      <c r="AV133" s="1505"/>
      <c r="AW133" s="1460"/>
    </row>
    <row r="134">
      <c r="A134" s="1564"/>
      <c r="B134" s="1565"/>
      <c r="C134" s="1566"/>
      <c r="D134" s="1538"/>
      <c r="E134" s="1567"/>
      <c r="F134" s="1567"/>
      <c r="G134" s="1567"/>
      <c r="H134" s="1569"/>
      <c r="I134" s="1569"/>
      <c r="J134" s="1570"/>
      <c r="K134" s="1570"/>
      <c r="L134" s="1570"/>
      <c r="M134" s="1570"/>
      <c r="N134" s="1570"/>
      <c r="O134" s="1570"/>
      <c r="P134" s="1570"/>
      <c r="Q134" s="1571"/>
      <c r="R134" s="1571"/>
      <c r="S134" s="1571"/>
      <c r="T134" s="1571"/>
      <c r="U134" s="1571"/>
      <c r="V134" s="1571"/>
      <c r="W134" s="1572"/>
      <c r="X134" s="1572"/>
      <c r="Y134" s="1572"/>
      <c r="Z134" s="1572"/>
      <c r="AA134" s="1505"/>
      <c r="AB134" s="1572"/>
      <c r="AC134" s="1572"/>
      <c r="AD134" s="1567"/>
      <c r="AE134" s="1567"/>
      <c r="AF134" s="1573"/>
      <c r="AG134" s="1573"/>
      <c r="AH134" s="1573"/>
      <c r="AI134" s="1573"/>
      <c r="AJ134" s="1573"/>
      <c r="AK134" s="1573"/>
      <c r="AL134" s="1573"/>
      <c r="AM134" s="1574"/>
      <c r="AN134" s="1574"/>
      <c r="AO134" s="1574"/>
      <c r="AP134" s="1574"/>
      <c r="AQ134" s="1574"/>
      <c r="AR134" s="1574"/>
      <c r="AS134" s="1574"/>
      <c r="AT134" s="1570"/>
      <c r="AU134" s="1575"/>
      <c r="AV134" s="1575"/>
      <c r="AW134" s="1480"/>
    </row>
    <row r="135">
      <c r="A135" s="1576"/>
      <c r="B135" s="1577"/>
      <c r="C135" s="1578"/>
      <c r="D135" s="1538"/>
      <c r="E135" s="1505"/>
      <c r="F135" s="1505"/>
      <c r="G135" s="1505"/>
      <c r="H135" s="1505"/>
      <c r="I135" s="1505"/>
      <c r="J135" s="1505"/>
      <c r="K135" s="1505"/>
      <c r="L135" s="1505"/>
      <c r="M135" s="1505"/>
      <c r="N135" s="1505"/>
      <c r="O135" s="1505"/>
      <c r="P135" s="1505"/>
      <c r="Q135" s="1505"/>
      <c r="R135" s="1505"/>
      <c r="S135" s="1505"/>
      <c r="T135" s="1505"/>
      <c r="U135" s="1505"/>
      <c r="V135" s="1505"/>
      <c r="W135" s="1505"/>
      <c r="X135" s="1505"/>
      <c r="Y135" s="1505"/>
      <c r="Z135" s="1505"/>
      <c r="AA135" s="1572"/>
      <c r="AB135" s="1505"/>
      <c r="AC135" s="1505"/>
      <c r="AD135" s="1505"/>
      <c r="AE135" s="1505"/>
      <c r="AF135" s="1505"/>
      <c r="AG135" s="1505"/>
      <c r="AH135" s="1505"/>
      <c r="AI135" s="1505"/>
      <c r="AJ135" s="1505"/>
      <c r="AK135" s="1505"/>
      <c r="AL135" s="1505"/>
      <c r="AM135" s="1505"/>
      <c r="AN135" s="1505"/>
      <c r="AO135" s="1505"/>
      <c r="AP135" s="1505"/>
      <c r="AQ135" s="1505"/>
      <c r="AR135" s="1505"/>
      <c r="AS135" s="1505"/>
      <c r="AT135" s="1505"/>
      <c r="AU135" s="1505"/>
      <c r="AV135" s="1505"/>
      <c r="AW135" s="1460"/>
    </row>
    <row r="136">
      <c r="A136" s="1564"/>
      <c r="B136" s="1565"/>
      <c r="C136" s="1566"/>
      <c r="D136" s="1538"/>
      <c r="E136" s="1567"/>
      <c r="F136" s="1567"/>
      <c r="G136" s="1567"/>
      <c r="H136" s="1569"/>
      <c r="I136" s="1569"/>
      <c r="J136" s="1570"/>
      <c r="K136" s="1570"/>
      <c r="L136" s="1570"/>
      <c r="M136" s="1570"/>
      <c r="N136" s="1570"/>
      <c r="O136" s="1570"/>
      <c r="P136" s="1570"/>
      <c r="Q136" s="1571"/>
      <c r="R136" s="1571"/>
      <c r="S136" s="1571"/>
      <c r="T136" s="1571"/>
      <c r="U136" s="1571"/>
      <c r="V136" s="1571"/>
      <c r="W136" s="1572"/>
      <c r="X136" s="1572"/>
      <c r="Y136" s="1572"/>
      <c r="Z136" s="1572"/>
      <c r="AA136" s="1505"/>
      <c r="AB136" s="1572"/>
      <c r="AC136" s="1572"/>
      <c r="AD136" s="1567"/>
      <c r="AE136" s="1567"/>
      <c r="AF136" s="1573"/>
      <c r="AG136" s="1573"/>
      <c r="AH136" s="1573"/>
      <c r="AI136" s="1573"/>
      <c r="AJ136" s="1573"/>
      <c r="AK136" s="1573"/>
      <c r="AL136" s="1573"/>
      <c r="AM136" s="1574"/>
      <c r="AN136" s="1574"/>
      <c r="AO136" s="1574"/>
      <c r="AP136" s="1574"/>
      <c r="AQ136" s="1574"/>
      <c r="AR136" s="1574"/>
      <c r="AS136" s="1574"/>
      <c r="AT136" s="1570"/>
      <c r="AU136" s="1575"/>
      <c r="AV136" s="1575"/>
      <c r="AW136" s="1480"/>
    </row>
    <row r="137">
      <c r="A137" s="1576"/>
      <c r="B137" s="1577"/>
      <c r="C137" s="1578"/>
      <c r="D137" s="1505"/>
      <c r="E137" s="1505"/>
      <c r="F137" s="1505"/>
      <c r="G137" s="1505"/>
      <c r="H137" s="1505"/>
      <c r="I137" s="1505"/>
      <c r="J137" s="1505"/>
      <c r="K137" s="1505"/>
      <c r="L137" s="1505"/>
      <c r="M137" s="1505"/>
      <c r="N137" s="1505"/>
      <c r="O137" s="1505"/>
      <c r="P137" s="1505"/>
      <c r="Q137" s="1505"/>
      <c r="R137" s="1505"/>
      <c r="S137" s="1505"/>
      <c r="T137" s="1505"/>
      <c r="U137" s="1505"/>
      <c r="V137" s="1505"/>
      <c r="W137" s="1505"/>
      <c r="X137" s="1505"/>
      <c r="Y137" s="1505"/>
      <c r="Z137" s="1505"/>
      <c r="AA137" s="1572"/>
      <c r="AB137" s="1505"/>
      <c r="AC137" s="1505"/>
      <c r="AD137" s="1505"/>
      <c r="AE137" s="1505"/>
      <c r="AF137" s="1505"/>
      <c r="AG137" s="1505"/>
      <c r="AH137" s="1505"/>
      <c r="AI137" s="1505"/>
      <c r="AJ137" s="1505"/>
      <c r="AK137" s="1505"/>
      <c r="AL137" s="1505"/>
      <c r="AM137" s="1505"/>
      <c r="AN137" s="1505"/>
      <c r="AO137" s="1505"/>
      <c r="AP137" s="1505"/>
      <c r="AQ137" s="1505"/>
      <c r="AR137" s="1505"/>
      <c r="AS137" s="1505"/>
      <c r="AT137" s="1505"/>
      <c r="AU137" s="1505"/>
      <c r="AV137" s="1505"/>
      <c r="AW137" s="1460"/>
    </row>
    <row r="138">
      <c r="A138" s="1564"/>
      <c r="B138" s="1565"/>
      <c r="C138" s="1566"/>
      <c r="D138" s="1567"/>
      <c r="E138" s="1567"/>
      <c r="F138" s="1567"/>
      <c r="G138" s="1567"/>
      <c r="H138" s="1569"/>
      <c r="I138" s="1569"/>
      <c r="J138" s="1570"/>
      <c r="K138" s="1570"/>
      <c r="L138" s="1570"/>
      <c r="M138" s="1570"/>
      <c r="N138" s="1570"/>
      <c r="O138" s="1570"/>
      <c r="P138" s="1570"/>
      <c r="Q138" s="1571"/>
      <c r="R138" s="1571"/>
      <c r="S138" s="1571"/>
      <c r="T138" s="1571"/>
      <c r="U138" s="1571"/>
      <c r="V138" s="1571"/>
      <c r="W138" s="1572"/>
      <c r="X138" s="1572"/>
      <c r="Y138" s="1572"/>
      <c r="Z138" s="1572"/>
      <c r="AA138" s="1505"/>
      <c r="AB138" s="1572"/>
      <c r="AC138" s="1572"/>
      <c r="AD138" s="1567"/>
      <c r="AE138" s="1567"/>
      <c r="AF138" s="1573"/>
      <c r="AG138" s="1573"/>
      <c r="AH138" s="1573"/>
      <c r="AI138" s="1573"/>
      <c r="AJ138" s="1573"/>
      <c r="AK138" s="1573"/>
      <c r="AL138" s="1573"/>
      <c r="AM138" s="1574"/>
      <c r="AN138" s="1574"/>
      <c r="AO138" s="1574"/>
      <c r="AP138" s="1574"/>
      <c r="AQ138" s="1574"/>
      <c r="AR138" s="1574"/>
      <c r="AS138" s="1574"/>
      <c r="AT138" s="1570"/>
      <c r="AU138" s="1575"/>
      <c r="AV138" s="1575"/>
      <c r="AW138" s="1480"/>
    </row>
    <row r="139">
      <c r="A139" s="1576"/>
      <c r="B139" s="1577"/>
      <c r="C139" s="1578"/>
      <c r="D139" s="1505"/>
      <c r="E139" s="1505"/>
      <c r="F139" s="1505"/>
      <c r="G139" s="1505"/>
      <c r="H139" s="1505"/>
      <c r="I139" s="1505"/>
      <c r="J139" s="1505"/>
      <c r="K139" s="1505"/>
      <c r="L139" s="1505"/>
      <c r="M139" s="1505"/>
      <c r="N139" s="1505"/>
      <c r="O139" s="1505"/>
      <c r="P139" s="1505"/>
      <c r="Q139" s="1505"/>
      <c r="R139" s="1505"/>
      <c r="S139" s="1505"/>
      <c r="T139" s="1505"/>
      <c r="U139" s="1505"/>
      <c r="V139" s="1505"/>
      <c r="W139" s="1505"/>
      <c r="X139" s="1505"/>
      <c r="Y139" s="1505"/>
      <c r="Z139" s="1505"/>
      <c r="AA139" s="1572"/>
      <c r="AB139" s="1505"/>
      <c r="AC139" s="1505"/>
      <c r="AD139" s="1505"/>
      <c r="AE139" s="1505"/>
      <c r="AF139" s="1505"/>
      <c r="AG139" s="1505"/>
      <c r="AH139" s="1505"/>
      <c r="AI139" s="1505"/>
      <c r="AJ139" s="1505"/>
      <c r="AK139" s="1505"/>
      <c r="AL139" s="1505"/>
      <c r="AM139" s="1505"/>
      <c r="AN139" s="1505"/>
      <c r="AO139" s="1505"/>
      <c r="AP139" s="1505"/>
      <c r="AQ139" s="1505"/>
      <c r="AR139" s="1505"/>
      <c r="AS139" s="1505"/>
      <c r="AT139" s="1505"/>
      <c r="AU139" s="1505"/>
      <c r="AV139" s="1505"/>
      <c r="AW139" s="1460"/>
    </row>
    <row r="140">
      <c r="A140" s="1564"/>
      <c r="B140" s="1565"/>
      <c r="C140" s="1566"/>
      <c r="D140" s="1567"/>
      <c r="E140" s="1567"/>
      <c r="F140" s="1567"/>
      <c r="G140" s="1567"/>
      <c r="H140" s="1569"/>
      <c r="I140" s="1569"/>
      <c r="J140" s="1570"/>
      <c r="K140" s="1570"/>
      <c r="L140" s="1570"/>
      <c r="M140" s="1570"/>
      <c r="N140" s="1570"/>
      <c r="O140" s="1570"/>
      <c r="P140" s="1570"/>
      <c r="Q140" s="1571"/>
      <c r="R140" s="1571"/>
      <c r="S140" s="1571"/>
      <c r="T140" s="1571"/>
      <c r="U140" s="1571"/>
      <c r="V140" s="1571"/>
      <c r="W140" s="1572"/>
      <c r="X140" s="1572"/>
      <c r="Y140" s="1572"/>
      <c r="Z140" s="1572"/>
      <c r="AA140" s="1505"/>
      <c r="AB140" s="1572"/>
      <c r="AC140" s="1572"/>
      <c r="AD140" s="1567"/>
      <c r="AE140" s="1567"/>
      <c r="AF140" s="1573"/>
      <c r="AG140" s="1573"/>
      <c r="AH140" s="1573"/>
      <c r="AI140" s="1573"/>
      <c r="AJ140" s="1573"/>
      <c r="AK140" s="1573"/>
      <c r="AL140" s="1573"/>
      <c r="AM140" s="1574"/>
      <c r="AN140" s="1574"/>
      <c r="AO140" s="1574"/>
      <c r="AP140" s="1574"/>
      <c r="AQ140" s="1574"/>
      <c r="AR140" s="1574"/>
      <c r="AS140" s="1574"/>
      <c r="AT140" s="1570"/>
      <c r="AU140" s="1575"/>
      <c r="AV140" s="1575"/>
      <c r="AW140" s="1480"/>
    </row>
    <row r="141">
      <c r="A141" s="1576"/>
      <c r="B141" s="1577"/>
      <c r="C141" s="1578"/>
      <c r="D141" s="1505"/>
      <c r="E141" s="1505"/>
      <c r="F141" s="1505"/>
      <c r="G141" s="1505"/>
      <c r="H141" s="1505"/>
      <c r="I141" s="1505"/>
      <c r="J141" s="1505"/>
      <c r="K141" s="1505"/>
      <c r="L141" s="1505"/>
      <c r="M141" s="1505"/>
      <c r="N141" s="1505"/>
      <c r="O141" s="1505"/>
      <c r="P141" s="1505"/>
      <c r="Q141" s="1505"/>
      <c r="R141" s="1505"/>
      <c r="S141" s="1505"/>
      <c r="T141" s="1505"/>
      <c r="U141" s="1505"/>
      <c r="V141" s="1505"/>
      <c r="W141" s="1505"/>
      <c r="X141" s="1505"/>
      <c r="Y141" s="1505"/>
      <c r="Z141" s="1505"/>
      <c r="AA141" s="1572"/>
      <c r="AB141" s="1505"/>
      <c r="AC141" s="1505"/>
      <c r="AD141" s="1505"/>
      <c r="AE141" s="1505"/>
      <c r="AF141" s="1505"/>
      <c r="AG141" s="1505"/>
      <c r="AH141" s="1505"/>
      <c r="AI141" s="1505"/>
      <c r="AJ141" s="1505"/>
      <c r="AK141" s="1505"/>
      <c r="AL141" s="1505"/>
      <c r="AM141" s="1505"/>
      <c r="AN141" s="1505"/>
      <c r="AO141" s="1505"/>
      <c r="AP141" s="1505"/>
      <c r="AQ141" s="1505"/>
      <c r="AR141" s="1505"/>
      <c r="AS141" s="1505"/>
      <c r="AT141" s="1505"/>
      <c r="AU141" s="1505"/>
      <c r="AV141" s="1505"/>
      <c r="AW141" s="1460"/>
    </row>
    <row r="142">
      <c r="A142" s="1564"/>
      <c r="B142" s="1565"/>
      <c r="C142" s="1566"/>
      <c r="D142" s="1567"/>
      <c r="E142" s="1567"/>
      <c r="F142" s="1567"/>
      <c r="G142" s="1567"/>
      <c r="H142" s="1569"/>
      <c r="I142" s="1569"/>
      <c r="J142" s="1570"/>
      <c r="K142" s="1570"/>
      <c r="L142" s="1570"/>
      <c r="M142" s="1570"/>
      <c r="N142" s="1570"/>
      <c r="O142" s="1570"/>
      <c r="P142" s="1570"/>
      <c r="Q142" s="1571"/>
      <c r="R142" s="1571"/>
      <c r="S142" s="1571"/>
      <c r="T142" s="1571"/>
      <c r="U142" s="1571"/>
      <c r="V142" s="1571"/>
      <c r="W142" s="1572"/>
      <c r="X142" s="1572"/>
      <c r="Y142" s="1572"/>
      <c r="Z142" s="1572"/>
      <c r="AA142" s="1505"/>
      <c r="AB142" s="1572"/>
      <c r="AC142" s="1572"/>
      <c r="AD142" s="1567"/>
      <c r="AE142" s="1567"/>
      <c r="AF142" s="1573"/>
      <c r="AG142" s="1573"/>
      <c r="AH142" s="1573"/>
      <c r="AI142" s="1573"/>
      <c r="AJ142" s="1573"/>
      <c r="AK142" s="1573"/>
      <c r="AL142" s="1573"/>
      <c r="AM142" s="1574"/>
      <c r="AN142" s="1574"/>
      <c r="AO142" s="1574"/>
      <c r="AP142" s="1574"/>
      <c r="AQ142" s="1574"/>
      <c r="AR142" s="1574"/>
      <c r="AS142" s="1574"/>
      <c r="AT142" s="1570"/>
      <c r="AU142" s="1575"/>
      <c r="AV142" s="1575"/>
      <c r="AW142" s="1480"/>
    </row>
    <row r="143">
      <c r="A143" s="1576"/>
      <c r="B143" s="1577"/>
      <c r="C143" s="1578"/>
      <c r="D143" s="1505"/>
      <c r="E143" s="1505"/>
      <c r="F143" s="1505"/>
      <c r="G143" s="1505"/>
      <c r="H143" s="1505"/>
      <c r="I143" s="1505"/>
      <c r="J143" s="1505"/>
      <c r="K143" s="1505"/>
      <c r="L143" s="1505"/>
      <c r="M143" s="1505"/>
      <c r="N143" s="1505"/>
      <c r="O143" s="1505"/>
      <c r="P143" s="1505"/>
      <c r="Q143" s="1505"/>
      <c r="R143" s="1505"/>
      <c r="S143" s="1505"/>
      <c r="T143" s="1505"/>
      <c r="U143" s="1505"/>
      <c r="V143" s="1505"/>
      <c r="W143" s="1505"/>
      <c r="X143" s="1505"/>
      <c r="Y143" s="1505"/>
      <c r="Z143" s="1505"/>
      <c r="AA143" s="1572"/>
      <c r="AB143" s="1505"/>
      <c r="AC143" s="1505"/>
      <c r="AD143" s="1505"/>
      <c r="AE143" s="1505"/>
      <c r="AF143" s="1505"/>
      <c r="AG143" s="1505"/>
      <c r="AH143" s="1505"/>
      <c r="AI143" s="1505"/>
      <c r="AJ143" s="1505"/>
      <c r="AK143" s="1505"/>
      <c r="AL143" s="1505"/>
      <c r="AM143" s="1505"/>
      <c r="AN143" s="1505"/>
      <c r="AO143" s="1505"/>
      <c r="AP143" s="1505"/>
      <c r="AQ143" s="1505"/>
      <c r="AR143" s="1505"/>
      <c r="AS143" s="1505"/>
      <c r="AT143" s="1505"/>
      <c r="AU143" s="1505"/>
      <c r="AV143" s="1505"/>
      <c r="AW143" s="1460"/>
    </row>
    <row r="144">
      <c r="A144" s="1564"/>
      <c r="B144" s="1565"/>
      <c r="C144" s="1566"/>
      <c r="D144" s="1567"/>
      <c r="E144" s="1567"/>
      <c r="F144" s="1567"/>
      <c r="G144" s="1567"/>
      <c r="H144" s="1569"/>
      <c r="I144" s="1569"/>
      <c r="J144" s="1570"/>
      <c r="K144" s="1570"/>
      <c r="L144" s="1570"/>
      <c r="M144" s="1570"/>
      <c r="N144" s="1570"/>
      <c r="O144" s="1570"/>
      <c r="P144" s="1570"/>
      <c r="Q144" s="1571"/>
      <c r="R144" s="1571"/>
      <c r="S144" s="1571"/>
      <c r="T144" s="1571"/>
      <c r="U144" s="1571"/>
      <c r="V144" s="1571"/>
      <c r="W144" s="1572"/>
      <c r="X144" s="1572"/>
      <c r="Y144" s="1572"/>
      <c r="Z144" s="1572"/>
      <c r="AA144" s="1505"/>
      <c r="AB144" s="1572"/>
      <c r="AC144" s="1572"/>
      <c r="AD144" s="1567"/>
      <c r="AE144" s="1567"/>
      <c r="AF144" s="1573"/>
      <c r="AG144" s="1573"/>
      <c r="AH144" s="1573"/>
      <c r="AI144" s="1573"/>
      <c r="AJ144" s="1573"/>
      <c r="AK144" s="1573"/>
      <c r="AL144" s="1573"/>
      <c r="AM144" s="1574"/>
      <c r="AN144" s="1574"/>
      <c r="AO144" s="1574"/>
      <c r="AP144" s="1574"/>
      <c r="AQ144" s="1574"/>
      <c r="AR144" s="1574"/>
      <c r="AS144" s="1574"/>
      <c r="AT144" s="1570"/>
      <c r="AU144" s="1575"/>
      <c r="AV144" s="1575"/>
      <c r="AW144" s="1480"/>
    </row>
    <row r="145">
      <c r="A145" s="1576"/>
      <c r="B145" s="1577"/>
      <c r="C145" s="1578"/>
      <c r="D145" s="1505"/>
      <c r="E145" s="1505"/>
      <c r="F145" s="1505"/>
      <c r="G145" s="1505"/>
      <c r="H145" s="1505"/>
      <c r="I145" s="1505"/>
      <c r="J145" s="1505"/>
      <c r="K145" s="1505"/>
      <c r="L145" s="1505"/>
      <c r="M145" s="1505"/>
      <c r="N145" s="1505"/>
      <c r="O145" s="1505"/>
      <c r="P145" s="1505"/>
      <c r="Q145" s="1505"/>
      <c r="R145" s="1505"/>
      <c r="S145" s="1505"/>
      <c r="T145" s="1505"/>
      <c r="U145" s="1505"/>
      <c r="V145" s="1505"/>
      <c r="W145" s="1505"/>
      <c r="X145" s="1505"/>
      <c r="Y145" s="1505"/>
      <c r="Z145" s="1505"/>
      <c r="AA145" s="1572"/>
      <c r="AB145" s="1505"/>
      <c r="AC145" s="1505"/>
      <c r="AD145" s="1505"/>
      <c r="AE145" s="1505"/>
      <c r="AF145" s="1505"/>
      <c r="AG145" s="1505"/>
      <c r="AH145" s="1505"/>
      <c r="AI145" s="1505"/>
      <c r="AJ145" s="1505"/>
      <c r="AK145" s="1505"/>
      <c r="AL145" s="1505"/>
      <c r="AM145" s="1505"/>
      <c r="AN145" s="1505"/>
      <c r="AO145" s="1505"/>
      <c r="AP145" s="1505"/>
      <c r="AQ145" s="1505"/>
      <c r="AR145" s="1505"/>
      <c r="AS145" s="1505"/>
      <c r="AT145" s="1505"/>
      <c r="AU145" s="1505"/>
      <c r="AV145" s="1505"/>
      <c r="AW145" s="1460"/>
    </row>
    <row r="146">
      <c r="A146" s="1564"/>
      <c r="B146" s="1565"/>
      <c r="C146" s="1566"/>
      <c r="D146" s="1567"/>
      <c r="E146" s="1567"/>
      <c r="F146" s="1567"/>
      <c r="G146" s="1567"/>
      <c r="H146" s="1569"/>
      <c r="I146" s="1569"/>
      <c r="J146" s="1570"/>
      <c r="K146" s="1570"/>
      <c r="L146" s="1570"/>
      <c r="M146" s="1570"/>
      <c r="N146" s="1570"/>
      <c r="O146" s="1570"/>
      <c r="P146" s="1570"/>
      <c r="Q146" s="1571"/>
      <c r="R146" s="1571"/>
      <c r="S146" s="1571"/>
      <c r="T146" s="1571"/>
      <c r="U146" s="1571"/>
      <c r="V146" s="1571"/>
      <c r="W146" s="1572"/>
      <c r="X146" s="1572"/>
      <c r="Y146" s="1572"/>
      <c r="Z146" s="1572"/>
      <c r="AA146" s="1505"/>
      <c r="AB146" s="1572"/>
      <c r="AC146" s="1572"/>
      <c r="AD146" s="1567"/>
      <c r="AE146" s="1567"/>
      <c r="AF146" s="1573"/>
      <c r="AG146" s="1573"/>
      <c r="AH146" s="1573"/>
      <c r="AI146" s="1573"/>
      <c r="AJ146" s="1573"/>
      <c r="AK146" s="1573"/>
      <c r="AL146" s="1573"/>
      <c r="AM146" s="1574"/>
      <c r="AN146" s="1574"/>
      <c r="AO146" s="1574"/>
      <c r="AP146" s="1574"/>
      <c r="AQ146" s="1574"/>
      <c r="AR146" s="1574"/>
      <c r="AS146" s="1574"/>
      <c r="AT146" s="1570"/>
      <c r="AU146" s="1575"/>
      <c r="AV146" s="1575"/>
      <c r="AW146" s="1480"/>
    </row>
    <row r="147">
      <c r="A147" s="1576"/>
      <c r="B147" s="1577"/>
      <c r="C147" s="1578"/>
      <c r="D147" s="1505"/>
      <c r="E147" s="1505"/>
      <c r="F147" s="1505"/>
      <c r="G147" s="1505"/>
      <c r="H147" s="1505"/>
      <c r="I147" s="1505"/>
      <c r="J147" s="1505"/>
      <c r="K147" s="1505"/>
      <c r="L147" s="1505"/>
      <c r="M147" s="1505"/>
      <c r="N147" s="1505"/>
      <c r="O147" s="1505"/>
      <c r="P147" s="1505"/>
      <c r="Q147" s="1505"/>
      <c r="R147" s="1505"/>
      <c r="S147" s="1505"/>
      <c r="T147" s="1505"/>
      <c r="U147" s="1505"/>
      <c r="V147" s="1505"/>
      <c r="W147" s="1505"/>
      <c r="X147" s="1505"/>
      <c r="Y147" s="1505"/>
      <c r="Z147" s="1505"/>
      <c r="AA147" s="1572"/>
      <c r="AB147" s="1505"/>
      <c r="AC147" s="1505"/>
      <c r="AD147" s="1505"/>
      <c r="AE147" s="1505"/>
      <c r="AF147" s="1505"/>
      <c r="AG147" s="1505"/>
      <c r="AH147" s="1505"/>
      <c r="AI147" s="1505"/>
      <c r="AJ147" s="1505"/>
      <c r="AK147" s="1505"/>
      <c r="AL147" s="1505"/>
      <c r="AM147" s="1505"/>
      <c r="AN147" s="1505"/>
      <c r="AO147" s="1505"/>
      <c r="AP147" s="1505"/>
      <c r="AQ147" s="1505"/>
      <c r="AR147" s="1505"/>
      <c r="AS147" s="1505"/>
      <c r="AT147" s="1505"/>
      <c r="AU147" s="1505"/>
      <c r="AV147" s="1505"/>
      <c r="AW147" s="1460"/>
    </row>
    <row r="148">
      <c r="A148" s="1564"/>
      <c r="B148" s="1565"/>
      <c r="C148" s="1566"/>
      <c r="D148" s="1567"/>
      <c r="E148" s="1567"/>
      <c r="F148" s="1567"/>
      <c r="G148" s="1567"/>
      <c r="H148" s="1569"/>
      <c r="I148" s="1569"/>
      <c r="J148" s="1570"/>
      <c r="K148" s="1570"/>
      <c r="L148" s="1570"/>
      <c r="M148" s="1570"/>
      <c r="N148" s="1570"/>
      <c r="O148" s="1570"/>
      <c r="P148" s="1570"/>
      <c r="Q148" s="1571"/>
      <c r="R148" s="1571"/>
      <c r="S148" s="1571"/>
      <c r="T148" s="1571"/>
      <c r="U148" s="1571"/>
      <c r="V148" s="1571"/>
      <c r="W148" s="1572"/>
      <c r="X148" s="1572"/>
      <c r="Y148" s="1572"/>
      <c r="Z148" s="1572"/>
      <c r="AA148" s="1505"/>
      <c r="AB148" s="1572"/>
      <c r="AC148" s="1572"/>
      <c r="AD148" s="1567"/>
      <c r="AE148" s="1567"/>
      <c r="AF148" s="1573"/>
      <c r="AG148" s="1573"/>
      <c r="AH148" s="1573"/>
      <c r="AI148" s="1573"/>
      <c r="AJ148" s="1573"/>
      <c r="AK148" s="1573"/>
      <c r="AL148" s="1573"/>
      <c r="AM148" s="1574"/>
      <c r="AN148" s="1574"/>
      <c r="AO148" s="1574"/>
      <c r="AP148" s="1574"/>
      <c r="AQ148" s="1574"/>
      <c r="AR148" s="1574"/>
      <c r="AS148" s="1574"/>
      <c r="AT148" s="1570"/>
      <c r="AU148" s="1575"/>
      <c r="AV148" s="1575"/>
      <c r="AW148" s="1480"/>
    </row>
    <row r="149">
      <c r="A149" s="1576"/>
      <c r="B149" s="1577"/>
      <c r="C149" s="1578"/>
      <c r="D149" s="1505"/>
      <c r="E149" s="1505"/>
      <c r="F149" s="1505"/>
      <c r="G149" s="1505"/>
      <c r="H149" s="1505"/>
      <c r="I149" s="1505"/>
      <c r="J149" s="1505"/>
      <c r="K149" s="1505"/>
      <c r="L149" s="1505"/>
      <c r="M149" s="1505"/>
      <c r="N149" s="1505"/>
      <c r="O149" s="1505"/>
      <c r="P149" s="1505"/>
      <c r="Q149" s="1505"/>
      <c r="R149" s="1505"/>
      <c r="S149" s="1505"/>
      <c r="T149" s="1505"/>
      <c r="U149" s="1505"/>
      <c r="V149" s="1505"/>
      <c r="W149" s="1505"/>
      <c r="X149" s="1505"/>
      <c r="Y149" s="1505"/>
      <c r="Z149" s="1505"/>
      <c r="AA149" s="1572"/>
      <c r="AB149" s="1505"/>
      <c r="AC149" s="1505"/>
      <c r="AD149" s="1505"/>
      <c r="AE149" s="1505"/>
      <c r="AF149" s="1505"/>
      <c r="AG149" s="1505"/>
      <c r="AH149" s="1505"/>
      <c r="AI149" s="1505"/>
      <c r="AJ149" s="1505"/>
      <c r="AK149" s="1505"/>
      <c r="AL149" s="1505"/>
      <c r="AM149" s="1505"/>
      <c r="AN149" s="1505"/>
      <c r="AO149" s="1505"/>
      <c r="AP149" s="1505"/>
      <c r="AQ149" s="1505"/>
      <c r="AR149" s="1505"/>
      <c r="AS149" s="1505"/>
      <c r="AT149" s="1505"/>
      <c r="AU149" s="1505"/>
      <c r="AV149" s="1505"/>
      <c r="AW149" s="1460"/>
    </row>
    <row r="150">
      <c r="A150" s="1564"/>
      <c r="B150" s="1565"/>
      <c r="C150" s="1566"/>
      <c r="D150" s="1567"/>
      <c r="E150" s="1567"/>
      <c r="F150" s="1567"/>
      <c r="G150" s="1567"/>
      <c r="H150" s="1569"/>
      <c r="I150" s="1569"/>
      <c r="J150" s="1570"/>
      <c r="K150" s="1570"/>
      <c r="L150" s="1570"/>
      <c r="M150" s="1570"/>
      <c r="N150" s="1570"/>
      <c r="O150" s="1570"/>
      <c r="P150" s="1570"/>
      <c r="Q150" s="1571"/>
      <c r="R150" s="1571"/>
      <c r="S150" s="1571"/>
      <c r="T150" s="1571"/>
      <c r="U150" s="1571"/>
      <c r="V150" s="1571"/>
      <c r="W150" s="1572"/>
      <c r="X150" s="1572"/>
      <c r="Y150" s="1572"/>
      <c r="Z150" s="1572"/>
      <c r="AA150" s="1505"/>
      <c r="AB150" s="1572"/>
      <c r="AC150" s="1572"/>
      <c r="AD150" s="1567"/>
      <c r="AE150" s="1567"/>
      <c r="AF150" s="1573"/>
      <c r="AG150" s="1573"/>
      <c r="AH150" s="1573"/>
      <c r="AI150" s="1573"/>
      <c r="AJ150" s="1573"/>
      <c r="AK150" s="1573"/>
      <c r="AL150" s="1573"/>
      <c r="AM150" s="1574"/>
      <c r="AN150" s="1574"/>
      <c r="AO150" s="1574"/>
      <c r="AP150" s="1574"/>
      <c r="AQ150" s="1574"/>
      <c r="AR150" s="1574"/>
      <c r="AS150" s="1574"/>
      <c r="AT150" s="1570"/>
      <c r="AU150" s="1575"/>
      <c r="AV150" s="1575"/>
      <c r="AW150" s="1480"/>
    </row>
    <row r="151">
      <c r="A151" s="1576"/>
      <c r="B151" s="1577"/>
      <c r="C151" s="1578"/>
      <c r="D151" s="1505"/>
      <c r="E151" s="1505"/>
      <c r="F151" s="1505"/>
      <c r="G151" s="1505"/>
      <c r="H151" s="1505"/>
      <c r="I151" s="1505"/>
      <c r="J151" s="1505"/>
      <c r="K151" s="1505"/>
      <c r="L151" s="1505"/>
      <c r="M151" s="1505"/>
      <c r="N151" s="1505"/>
      <c r="O151" s="1505"/>
      <c r="P151" s="1505"/>
      <c r="Q151" s="1505"/>
      <c r="R151" s="1505"/>
      <c r="S151" s="1505"/>
      <c r="T151" s="1505"/>
      <c r="U151" s="1505"/>
      <c r="V151" s="1505"/>
      <c r="W151" s="1505"/>
      <c r="X151" s="1505"/>
      <c r="Y151" s="1505"/>
      <c r="Z151" s="1505"/>
      <c r="AA151" s="1572"/>
      <c r="AB151" s="1505"/>
      <c r="AC151" s="1505"/>
      <c r="AD151" s="1505"/>
      <c r="AE151" s="1505"/>
      <c r="AF151" s="1505"/>
      <c r="AG151" s="1505"/>
      <c r="AH151" s="1505"/>
      <c r="AI151" s="1505"/>
      <c r="AJ151" s="1505"/>
      <c r="AK151" s="1505"/>
      <c r="AL151" s="1505"/>
      <c r="AM151" s="1505"/>
      <c r="AN151" s="1505"/>
      <c r="AO151" s="1505"/>
      <c r="AP151" s="1505"/>
      <c r="AQ151" s="1505"/>
      <c r="AR151" s="1505"/>
      <c r="AS151" s="1505"/>
      <c r="AT151" s="1505"/>
      <c r="AU151" s="1505"/>
      <c r="AV151" s="1505"/>
      <c r="AW151" s="1460"/>
    </row>
    <row r="152">
      <c r="A152" s="1564"/>
      <c r="B152" s="1565"/>
      <c r="C152" s="1566"/>
      <c r="D152" s="1567"/>
      <c r="E152" s="1567"/>
      <c r="F152" s="1567"/>
      <c r="G152" s="1567"/>
      <c r="H152" s="1569"/>
      <c r="I152" s="1569"/>
      <c r="J152" s="1570"/>
      <c r="K152" s="1570"/>
      <c r="L152" s="1570"/>
      <c r="M152" s="1570"/>
      <c r="N152" s="1570"/>
      <c r="O152" s="1570"/>
      <c r="P152" s="1570"/>
      <c r="Q152" s="1571"/>
      <c r="R152" s="1571"/>
      <c r="S152" s="1571"/>
      <c r="T152" s="1571"/>
      <c r="U152" s="1571"/>
      <c r="V152" s="1571"/>
      <c r="W152" s="1572"/>
      <c r="X152" s="1572"/>
      <c r="Y152" s="1572"/>
      <c r="Z152" s="1572"/>
      <c r="AA152" s="1505"/>
      <c r="AB152" s="1572"/>
      <c r="AC152" s="1572"/>
      <c r="AD152" s="1567"/>
      <c r="AE152" s="1567"/>
      <c r="AF152" s="1573"/>
      <c r="AG152" s="1573"/>
      <c r="AH152" s="1573"/>
      <c r="AI152" s="1573"/>
      <c r="AJ152" s="1573"/>
      <c r="AK152" s="1573"/>
      <c r="AL152" s="1573"/>
      <c r="AM152" s="1574"/>
      <c r="AN152" s="1574"/>
      <c r="AO152" s="1574"/>
      <c r="AP152" s="1574"/>
      <c r="AQ152" s="1574"/>
      <c r="AR152" s="1574"/>
      <c r="AS152" s="1574"/>
      <c r="AT152" s="1570"/>
      <c r="AU152" s="1575"/>
      <c r="AV152" s="1575"/>
      <c r="AW152" s="1480"/>
    </row>
    <row r="153">
      <c r="A153" s="1576"/>
      <c r="B153" s="1577"/>
      <c r="C153" s="1578"/>
      <c r="D153" s="1505"/>
      <c r="E153" s="1505"/>
      <c r="F153" s="1505"/>
      <c r="G153" s="1505"/>
      <c r="H153" s="1505"/>
      <c r="I153" s="1505"/>
      <c r="J153" s="1505"/>
      <c r="K153" s="1505"/>
      <c r="L153" s="1505"/>
      <c r="M153" s="1505"/>
      <c r="N153" s="1505"/>
      <c r="O153" s="1505"/>
      <c r="P153" s="1505"/>
      <c r="Q153" s="1505"/>
      <c r="R153" s="1505"/>
      <c r="S153" s="1505"/>
      <c r="T153" s="1505"/>
      <c r="U153" s="1505"/>
      <c r="V153" s="1505"/>
      <c r="W153" s="1505"/>
      <c r="X153" s="1505"/>
      <c r="Y153" s="1505"/>
      <c r="Z153" s="1505"/>
      <c r="AA153" s="1572"/>
      <c r="AB153" s="1505"/>
      <c r="AC153" s="1505"/>
      <c r="AD153" s="1505"/>
      <c r="AE153" s="1505"/>
      <c r="AF153" s="1505"/>
      <c r="AG153" s="1505"/>
      <c r="AH153" s="1505"/>
      <c r="AI153" s="1505"/>
      <c r="AJ153" s="1505"/>
      <c r="AK153" s="1505"/>
      <c r="AL153" s="1505"/>
      <c r="AM153" s="1505"/>
      <c r="AN153" s="1505"/>
      <c r="AO153" s="1505"/>
      <c r="AP153" s="1505"/>
      <c r="AQ153" s="1505"/>
      <c r="AR153" s="1505"/>
      <c r="AS153" s="1505"/>
      <c r="AT153" s="1505"/>
      <c r="AU153" s="1505"/>
      <c r="AV153" s="1505"/>
      <c r="AW153" s="1460"/>
    </row>
    <row r="154">
      <c r="A154" s="1564"/>
      <c r="B154" s="1565"/>
      <c r="C154" s="1566"/>
      <c r="D154" s="1567"/>
      <c r="E154" s="1567"/>
      <c r="F154" s="1567"/>
      <c r="G154" s="1567"/>
      <c r="H154" s="1569"/>
      <c r="I154" s="1569"/>
      <c r="J154" s="1570"/>
      <c r="K154" s="1570"/>
      <c r="L154" s="1570"/>
      <c r="M154" s="1570"/>
      <c r="N154" s="1570"/>
      <c r="O154" s="1570"/>
      <c r="P154" s="1570"/>
      <c r="Q154" s="1571"/>
      <c r="R154" s="1571"/>
      <c r="S154" s="1571"/>
      <c r="T154" s="1571"/>
      <c r="U154" s="1571"/>
      <c r="V154" s="1571"/>
      <c r="W154" s="1572"/>
      <c r="X154" s="1572"/>
      <c r="Y154" s="1572"/>
      <c r="Z154" s="1572"/>
      <c r="AA154" s="1505"/>
      <c r="AB154" s="1572"/>
      <c r="AC154" s="1572"/>
      <c r="AD154" s="1567"/>
      <c r="AE154" s="1567"/>
      <c r="AF154" s="1573"/>
      <c r="AG154" s="1573"/>
      <c r="AH154" s="1573"/>
      <c r="AI154" s="1573"/>
      <c r="AJ154" s="1573"/>
      <c r="AK154" s="1573"/>
      <c r="AL154" s="1573"/>
      <c r="AM154" s="1574"/>
      <c r="AN154" s="1574"/>
      <c r="AO154" s="1574"/>
      <c r="AP154" s="1574"/>
      <c r="AQ154" s="1574"/>
      <c r="AR154" s="1574"/>
      <c r="AS154" s="1574"/>
      <c r="AT154" s="1570"/>
      <c r="AU154" s="1575"/>
      <c r="AV154" s="1575"/>
      <c r="AW154" s="1480"/>
    </row>
    <row r="155">
      <c r="A155" s="1576"/>
      <c r="B155" s="1577"/>
      <c r="C155" s="1578"/>
      <c r="D155" s="1505"/>
      <c r="E155" s="1505"/>
      <c r="F155" s="1505"/>
      <c r="G155" s="1505"/>
      <c r="H155" s="1505"/>
      <c r="I155" s="1505"/>
      <c r="J155" s="1505"/>
      <c r="K155" s="1505"/>
      <c r="L155" s="1505"/>
      <c r="M155" s="1505"/>
      <c r="N155" s="1505"/>
      <c r="O155" s="1505"/>
      <c r="P155" s="1505"/>
      <c r="Q155" s="1505"/>
      <c r="R155" s="1505"/>
      <c r="S155" s="1505"/>
      <c r="T155" s="1505"/>
      <c r="U155" s="1505"/>
      <c r="V155" s="1505"/>
      <c r="W155" s="1505"/>
      <c r="X155" s="1505"/>
      <c r="Y155" s="1505"/>
      <c r="Z155" s="1505"/>
      <c r="AA155" s="1572"/>
      <c r="AB155" s="1505"/>
      <c r="AC155" s="1505"/>
      <c r="AD155" s="1505"/>
      <c r="AE155" s="1505"/>
      <c r="AF155" s="1505"/>
      <c r="AG155" s="1505"/>
      <c r="AH155" s="1505"/>
      <c r="AI155" s="1505"/>
      <c r="AJ155" s="1505"/>
      <c r="AK155" s="1505"/>
      <c r="AL155" s="1505"/>
      <c r="AM155" s="1505"/>
      <c r="AN155" s="1505"/>
      <c r="AO155" s="1505"/>
      <c r="AP155" s="1505"/>
      <c r="AQ155" s="1505"/>
      <c r="AR155" s="1505"/>
      <c r="AS155" s="1505"/>
      <c r="AT155" s="1505"/>
      <c r="AU155" s="1505"/>
      <c r="AV155" s="1505"/>
      <c r="AW155" s="1460"/>
    </row>
    <row r="156">
      <c r="A156" s="1564"/>
      <c r="B156" s="1565"/>
      <c r="C156" s="1566"/>
      <c r="D156" s="1567"/>
      <c r="E156" s="1567"/>
      <c r="F156" s="1567"/>
      <c r="G156" s="1567"/>
      <c r="H156" s="1569"/>
      <c r="I156" s="1569"/>
      <c r="J156" s="1570"/>
      <c r="K156" s="1570"/>
      <c r="L156" s="1570"/>
      <c r="M156" s="1570"/>
      <c r="N156" s="1570"/>
      <c r="O156" s="1570"/>
      <c r="P156" s="1570"/>
      <c r="Q156" s="1571"/>
      <c r="R156" s="1571"/>
      <c r="S156" s="1571"/>
      <c r="T156" s="1571"/>
      <c r="U156" s="1571"/>
      <c r="V156" s="1571"/>
      <c r="W156" s="1572"/>
      <c r="X156" s="1572"/>
      <c r="Y156" s="1572"/>
      <c r="Z156" s="1572"/>
      <c r="AA156" s="1505"/>
      <c r="AB156" s="1572"/>
      <c r="AC156" s="1572"/>
      <c r="AD156" s="1567"/>
      <c r="AE156" s="1567"/>
      <c r="AF156" s="1573"/>
      <c r="AG156" s="1573"/>
      <c r="AH156" s="1573"/>
      <c r="AI156" s="1573"/>
      <c r="AJ156" s="1573"/>
      <c r="AK156" s="1573"/>
      <c r="AL156" s="1573"/>
      <c r="AM156" s="1574"/>
      <c r="AN156" s="1574"/>
      <c r="AO156" s="1574"/>
      <c r="AP156" s="1574"/>
      <c r="AQ156" s="1574"/>
      <c r="AR156" s="1574"/>
      <c r="AS156" s="1574"/>
      <c r="AT156" s="1570"/>
      <c r="AU156" s="1575"/>
      <c r="AV156" s="1575"/>
      <c r="AW156" s="1480"/>
    </row>
    <row r="157">
      <c r="A157" s="1576"/>
      <c r="B157" s="1577"/>
      <c r="C157" s="1578"/>
      <c r="D157" s="1505"/>
      <c r="E157" s="1505"/>
      <c r="F157" s="1505"/>
      <c r="G157" s="1505"/>
      <c r="H157" s="1505"/>
      <c r="I157" s="1505"/>
      <c r="J157" s="1505"/>
      <c r="K157" s="1505"/>
      <c r="L157" s="1505"/>
      <c r="M157" s="1505"/>
      <c r="N157" s="1505"/>
      <c r="O157" s="1505"/>
      <c r="P157" s="1505"/>
      <c r="Q157" s="1505"/>
      <c r="R157" s="1505"/>
      <c r="S157" s="1505"/>
      <c r="T157" s="1505"/>
      <c r="U157" s="1505"/>
      <c r="V157" s="1505"/>
      <c r="W157" s="1505"/>
      <c r="X157" s="1505"/>
      <c r="Y157" s="1505"/>
      <c r="Z157" s="1505"/>
      <c r="AA157" s="1572"/>
      <c r="AB157" s="1505"/>
      <c r="AC157" s="1505"/>
      <c r="AD157" s="1505"/>
      <c r="AE157" s="1505"/>
      <c r="AF157" s="1505"/>
      <c r="AG157" s="1505"/>
      <c r="AH157" s="1505"/>
      <c r="AI157" s="1505"/>
      <c r="AJ157" s="1505"/>
      <c r="AK157" s="1505"/>
      <c r="AL157" s="1505"/>
      <c r="AM157" s="1505"/>
      <c r="AN157" s="1505"/>
      <c r="AO157" s="1505"/>
      <c r="AP157" s="1505"/>
      <c r="AQ157" s="1505"/>
      <c r="AR157" s="1505"/>
      <c r="AS157" s="1505"/>
      <c r="AT157" s="1505"/>
      <c r="AU157" s="1505"/>
      <c r="AV157" s="1505"/>
      <c r="AW157" s="1460"/>
    </row>
    <row r="158">
      <c r="A158" s="1564"/>
      <c r="B158" s="1565"/>
      <c r="C158" s="1566"/>
      <c r="D158" s="1567"/>
      <c r="E158" s="1567"/>
      <c r="F158" s="1567"/>
      <c r="G158" s="1567"/>
      <c r="H158" s="1569"/>
      <c r="I158" s="1569"/>
      <c r="J158" s="1570"/>
      <c r="K158" s="1570"/>
      <c r="L158" s="1570"/>
      <c r="M158" s="1570"/>
      <c r="N158" s="1570"/>
      <c r="O158" s="1570"/>
      <c r="P158" s="1570"/>
      <c r="Q158" s="1571"/>
      <c r="R158" s="1571"/>
      <c r="S158" s="1571"/>
      <c r="T158" s="1571"/>
      <c r="U158" s="1571"/>
      <c r="V158" s="1571"/>
      <c r="W158" s="1572"/>
      <c r="X158" s="1572"/>
      <c r="Y158" s="1572"/>
      <c r="Z158" s="1572"/>
      <c r="AA158" s="1505"/>
      <c r="AB158" s="1572"/>
      <c r="AC158" s="1572"/>
      <c r="AD158" s="1567"/>
      <c r="AE158" s="1567"/>
      <c r="AF158" s="1573"/>
      <c r="AG158" s="1573"/>
      <c r="AH158" s="1573"/>
      <c r="AI158" s="1573"/>
      <c r="AJ158" s="1573"/>
      <c r="AK158" s="1573"/>
      <c r="AL158" s="1573"/>
      <c r="AM158" s="1574"/>
      <c r="AN158" s="1574"/>
      <c r="AO158" s="1574"/>
      <c r="AP158" s="1574"/>
      <c r="AQ158" s="1574"/>
      <c r="AR158" s="1574"/>
      <c r="AS158" s="1574"/>
      <c r="AT158" s="1570"/>
      <c r="AU158" s="1575"/>
      <c r="AV158" s="1575"/>
      <c r="AW158" s="1480"/>
    </row>
    <row r="159">
      <c r="A159" s="1576"/>
      <c r="B159" s="1577"/>
      <c r="C159" s="1578"/>
      <c r="D159" s="1505"/>
      <c r="E159" s="1505"/>
      <c r="F159" s="1505"/>
      <c r="G159" s="1505"/>
      <c r="H159" s="1505"/>
      <c r="I159" s="1505"/>
      <c r="J159" s="1505"/>
      <c r="K159" s="1505"/>
      <c r="L159" s="1505"/>
      <c r="M159" s="1505"/>
      <c r="N159" s="1505"/>
      <c r="O159" s="1505"/>
      <c r="P159" s="1505"/>
      <c r="Q159" s="1505"/>
      <c r="R159" s="1505"/>
      <c r="S159" s="1505"/>
      <c r="T159" s="1505"/>
      <c r="U159" s="1505"/>
      <c r="V159" s="1505"/>
      <c r="W159" s="1505"/>
      <c r="X159" s="1505"/>
      <c r="Y159" s="1505"/>
      <c r="Z159" s="1505"/>
      <c r="AA159" s="1572"/>
      <c r="AB159" s="1505"/>
      <c r="AC159" s="1505"/>
      <c r="AD159" s="1505"/>
      <c r="AE159" s="1505"/>
      <c r="AF159" s="1505"/>
      <c r="AG159" s="1505"/>
      <c r="AH159" s="1505"/>
      <c r="AI159" s="1505"/>
      <c r="AJ159" s="1505"/>
      <c r="AK159" s="1505"/>
      <c r="AL159" s="1505"/>
      <c r="AM159" s="1505"/>
      <c r="AN159" s="1505"/>
      <c r="AO159" s="1505"/>
      <c r="AP159" s="1505"/>
      <c r="AQ159" s="1505"/>
      <c r="AR159" s="1505"/>
      <c r="AS159" s="1505"/>
      <c r="AT159" s="1505"/>
      <c r="AU159" s="1505"/>
      <c r="AV159" s="1505"/>
      <c r="AW159" s="1460"/>
    </row>
    <row r="160">
      <c r="A160" s="1564"/>
      <c r="B160" s="1565"/>
      <c r="C160" s="1566"/>
      <c r="D160" s="1567"/>
      <c r="E160" s="1567"/>
      <c r="F160" s="1567"/>
      <c r="G160" s="1567"/>
      <c r="H160" s="1569"/>
      <c r="I160" s="1569"/>
      <c r="J160" s="1570"/>
      <c r="K160" s="1570"/>
      <c r="L160" s="1570"/>
      <c r="M160" s="1570"/>
      <c r="N160" s="1570"/>
      <c r="O160" s="1570"/>
      <c r="P160" s="1570"/>
      <c r="Q160" s="1571"/>
      <c r="R160" s="1571"/>
      <c r="S160" s="1571"/>
      <c r="T160" s="1571"/>
      <c r="U160" s="1571"/>
      <c r="V160" s="1571"/>
      <c r="W160" s="1572"/>
      <c r="X160" s="1572"/>
      <c r="Y160" s="1572"/>
      <c r="Z160" s="1572"/>
      <c r="AA160" s="1505"/>
      <c r="AB160" s="1572"/>
      <c r="AC160" s="1572"/>
      <c r="AD160" s="1567"/>
      <c r="AE160" s="1567"/>
      <c r="AF160" s="1573"/>
      <c r="AG160" s="1573"/>
      <c r="AH160" s="1573"/>
      <c r="AI160" s="1573"/>
      <c r="AJ160" s="1573"/>
      <c r="AK160" s="1573"/>
      <c r="AL160" s="1573"/>
      <c r="AM160" s="1574"/>
      <c r="AN160" s="1574"/>
      <c r="AO160" s="1574"/>
      <c r="AP160" s="1574"/>
      <c r="AQ160" s="1574"/>
      <c r="AR160" s="1574"/>
      <c r="AS160" s="1574"/>
      <c r="AT160" s="1570"/>
      <c r="AU160" s="1575"/>
      <c r="AV160" s="1575"/>
      <c r="AW160" s="1480"/>
    </row>
    <row r="161">
      <c r="A161" s="1576"/>
      <c r="B161" s="1577"/>
      <c r="C161" s="1578"/>
      <c r="D161" s="1505"/>
      <c r="E161" s="1505"/>
      <c r="F161" s="1505"/>
      <c r="G161" s="1505"/>
      <c r="H161" s="1505"/>
      <c r="I161" s="1505"/>
      <c r="J161" s="1505"/>
      <c r="K161" s="1505"/>
      <c r="L161" s="1505"/>
      <c r="M161" s="1505"/>
      <c r="N161" s="1505"/>
      <c r="O161" s="1505"/>
      <c r="P161" s="1505"/>
      <c r="Q161" s="1505"/>
      <c r="R161" s="1505"/>
      <c r="S161" s="1505"/>
      <c r="T161" s="1505"/>
      <c r="U161" s="1505"/>
      <c r="V161" s="1505"/>
      <c r="W161" s="1505"/>
      <c r="X161" s="1505"/>
      <c r="Y161" s="1505"/>
      <c r="Z161" s="1505"/>
      <c r="AA161" s="1572"/>
      <c r="AB161" s="1505"/>
      <c r="AC161" s="1505"/>
      <c r="AD161" s="1505"/>
      <c r="AE161" s="1505"/>
      <c r="AF161" s="1505"/>
      <c r="AG161" s="1505"/>
      <c r="AH161" s="1505"/>
      <c r="AI161" s="1505"/>
      <c r="AJ161" s="1505"/>
      <c r="AK161" s="1505"/>
      <c r="AL161" s="1505"/>
      <c r="AM161" s="1505"/>
      <c r="AN161" s="1505"/>
      <c r="AO161" s="1505"/>
      <c r="AP161" s="1505"/>
      <c r="AQ161" s="1505"/>
      <c r="AR161" s="1505"/>
      <c r="AS161" s="1505"/>
      <c r="AT161" s="1505"/>
      <c r="AU161" s="1505"/>
      <c r="AV161" s="1505"/>
      <c r="AW161" s="1460"/>
    </row>
    <row r="162">
      <c r="A162" s="1564"/>
      <c r="B162" s="1565"/>
      <c r="C162" s="1566"/>
      <c r="D162" s="1567"/>
      <c r="E162" s="1567"/>
      <c r="F162" s="1567"/>
      <c r="G162" s="1567"/>
      <c r="H162" s="1569"/>
      <c r="I162" s="1569"/>
      <c r="J162" s="1570"/>
      <c r="K162" s="1570"/>
      <c r="L162" s="1570"/>
      <c r="M162" s="1570"/>
      <c r="N162" s="1570"/>
      <c r="O162" s="1570"/>
      <c r="P162" s="1570"/>
      <c r="Q162" s="1571"/>
      <c r="R162" s="1571"/>
      <c r="S162" s="1571"/>
      <c r="T162" s="1571"/>
      <c r="U162" s="1571"/>
      <c r="V162" s="1571"/>
      <c r="W162" s="1572"/>
      <c r="X162" s="1572"/>
      <c r="Y162" s="1572"/>
      <c r="Z162" s="1572"/>
      <c r="AA162" s="1505"/>
      <c r="AB162" s="1572"/>
      <c r="AC162" s="1572"/>
      <c r="AD162" s="1567"/>
      <c r="AE162" s="1567"/>
      <c r="AF162" s="1573"/>
      <c r="AG162" s="1573"/>
      <c r="AH162" s="1573"/>
      <c r="AI162" s="1573"/>
      <c r="AJ162" s="1573"/>
      <c r="AK162" s="1573"/>
      <c r="AL162" s="1573"/>
      <c r="AM162" s="1574"/>
      <c r="AN162" s="1574"/>
      <c r="AO162" s="1574"/>
      <c r="AP162" s="1574"/>
      <c r="AQ162" s="1574"/>
      <c r="AR162" s="1574"/>
      <c r="AS162" s="1574"/>
      <c r="AT162" s="1570"/>
      <c r="AU162" s="1575"/>
      <c r="AV162" s="1575"/>
      <c r="AW162" s="1480"/>
    </row>
    <row r="163">
      <c r="A163" s="1576"/>
      <c r="B163" s="1577"/>
      <c r="C163" s="1578"/>
      <c r="D163" s="1505"/>
      <c r="E163" s="1505"/>
      <c r="F163" s="1505"/>
      <c r="G163" s="1505"/>
      <c r="H163" s="1505"/>
      <c r="I163" s="1505"/>
      <c r="J163" s="1505"/>
      <c r="K163" s="1505"/>
      <c r="L163" s="1505"/>
      <c r="M163" s="1505"/>
      <c r="N163" s="1505"/>
      <c r="O163" s="1505"/>
      <c r="P163" s="1505"/>
      <c r="Q163" s="1505"/>
      <c r="R163" s="1505"/>
      <c r="S163" s="1505"/>
      <c r="T163" s="1505"/>
      <c r="U163" s="1505"/>
      <c r="V163" s="1505"/>
      <c r="W163" s="1505"/>
      <c r="X163" s="1505"/>
      <c r="Y163" s="1505"/>
      <c r="Z163" s="1505"/>
      <c r="AA163" s="1572"/>
      <c r="AB163" s="1505"/>
      <c r="AC163" s="1505"/>
      <c r="AD163" s="1505"/>
      <c r="AE163" s="1505"/>
      <c r="AF163" s="1505"/>
      <c r="AG163" s="1505"/>
      <c r="AH163" s="1505"/>
      <c r="AI163" s="1505"/>
      <c r="AJ163" s="1505"/>
      <c r="AK163" s="1505"/>
      <c r="AL163" s="1505"/>
      <c r="AM163" s="1505"/>
      <c r="AN163" s="1505"/>
      <c r="AO163" s="1505"/>
      <c r="AP163" s="1505"/>
      <c r="AQ163" s="1505"/>
      <c r="AR163" s="1505"/>
      <c r="AS163" s="1505"/>
      <c r="AT163" s="1505"/>
      <c r="AU163" s="1505"/>
      <c r="AV163" s="1505"/>
      <c r="AW163" s="1460"/>
    </row>
    <row r="164">
      <c r="A164" s="1564"/>
      <c r="B164" s="1565"/>
      <c r="C164" s="1566"/>
      <c r="D164" s="1567"/>
      <c r="E164" s="1567"/>
      <c r="F164" s="1567"/>
      <c r="G164" s="1567"/>
      <c r="H164" s="1569"/>
      <c r="I164" s="1569"/>
      <c r="J164" s="1570"/>
      <c r="K164" s="1570"/>
      <c r="L164" s="1570"/>
      <c r="M164" s="1570"/>
      <c r="N164" s="1570"/>
      <c r="O164" s="1570"/>
      <c r="P164" s="1570"/>
      <c r="Q164" s="1571"/>
      <c r="R164" s="1571"/>
      <c r="S164" s="1571"/>
      <c r="T164" s="1571"/>
      <c r="U164" s="1571"/>
      <c r="V164" s="1571"/>
      <c r="W164" s="1572"/>
      <c r="X164" s="1572"/>
      <c r="Y164" s="1572"/>
      <c r="Z164" s="1572"/>
      <c r="AA164" s="1505"/>
      <c r="AB164" s="1572"/>
      <c r="AC164" s="1572"/>
      <c r="AD164" s="1567"/>
      <c r="AE164" s="1567"/>
      <c r="AF164" s="1573"/>
      <c r="AG164" s="1573"/>
      <c r="AH164" s="1573"/>
      <c r="AI164" s="1573"/>
      <c r="AJ164" s="1573"/>
      <c r="AK164" s="1573"/>
      <c r="AL164" s="1573"/>
      <c r="AM164" s="1574"/>
      <c r="AN164" s="1574"/>
      <c r="AO164" s="1574"/>
      <c r="AP164" s="1574"/>
      <c r="AQ164" s="1574"/>
      <c r="AR164" s="1574"/>
      <c r="AS164" s="1574"/>
      <c r="AT164" s="1570"/>
      <c r="AU164" s="1575"/>
      <c r="AV164" s="1575"/>
      <c r="AW164" s="1480"/>
    </row>
    <row r="165">
      <c r="A165" s="1576"/>
      <c r="B165" s="1577"/>
      <c r="C165" s="1578"/>
      <c r="D165" s="1505"/>
      <c r="E165" s="1505"/>
      <c r="F165" s="1505"/>
      <c r="G165" s="1505"/>
      <c r="H165" s="1505"/>
      <c r="I165" s="1505"/>
      <c r="J165" s="1505"/>
      <c r="K165" s="1505"/>
      <c r="L165" s="1505"/>
      <c r="M165" s="1505"/>
      <c r="N165" s="1505"/>
      <c r="O165" s="1505"/>
      <c r="P165" s="1505"/>
      <c r="Q165" s="1505"/>
      <c r="R165" s="1505"/>
      <c r="S165" s="1505"/>
      <c r="T165" s="1505"/>
      <c r="U165" s="1505"/>
      <c r="V165" s="1505"/>
      <c r="W165" s="1505"/>
      <c r="X165" s="1505"/>
      <c r="Y165" s="1505"/>
      <c r="Z165" s="1505"/>
      <c r="AA165" s="1572"/>
      <c r="AB165" s="1505"/>
      <c r="AC165" s="1505"/>
      <c r="AD165" s="1505"/>
      <c r="AE165" s="1505"/>
      <c r="AF165" s="1505"/>
      <c r="AG165" s="1505"/>
      <c r="AH165" s="1505"/>
      <c r="AI165" s="1505"/>
      <c r="AJ165" s="1505"/>
      <c r="AK165" s="1505"/>
      <c r="AL165" s="1505"/>
      <c r="AM165" s="1505"/>
      <c r="AN165" s="1505"/>
      <c r="AO165" s="1505"/>
      <c r="AP165" s="1505"/>
      <c r="AQ165" s="1505"/>
      <c r="AR165" s="1505"/>
      <c r="AS165" s="1505"/>
      <c r="AT165" s="1505"/>
      <c r="AU165" s="1505"/>
      <c r="AV165" s="1505"/>
      <c r="AW165" s="1460"/>
    </row>
    <row r="166">
      <c r="A166" s="1564"/>
      <c r="B166" s="1565"/>
      <c r="C166" s="1566"/>
      <c r="D166" s="1567"/>
      <c r="E166" s="1567"/>
      <c r="F166" s="1567"/>
      <c r="G166" s="1567"/>
      <c r="H166" s="1569"/>
      <c r="I166" s="1569"/>
      <c r="J166" s="1570"/>
      <c r="K166" s="1570"/>
      <c r="L166" s="1570"/>
      <c r="M166" s="1570"/>
      <c r="N166" s="1570"/>
      <c r="O166" s="1570"/>
      <c r="P166" s="1570"/>
      <c r="Q166" s="1571"/>
      <c r="R166" s="1571"/>
      <c r="S166" s="1571"/>
      <c r="T166" s="1571"/>
      <c r="U166" s="1571"/>
      <c r="V166" s="1571"/>
      <c r="W166" s="1572"/>
      <c r="X166" s="1572"/>
      <c r="Y166" s="1572"/>
      <c r="Z166" s="1572"/>
      <c r="AA166" s="1505"/>
      <c r="AB166" s="1572"/>
      <c r="AC166" s="1572"/>
      <c r="AD166" s="1567"/>
      <c r="AE166" s="1567"/>
      <c r="AF166" s="1573"/>
      <c r="AG166" s="1573"/>
      <c r="AH166" s="1573"/>
      <c r="AI166" s="1573"/>
      <c r="AJ166" s="1573"/>
      <c r="AK166" s="1573"/>
      <c r="AL166" s="1573"/>
      <c r="AM166" s="1574"/>
      <c r="AN166" s="1574"/>
      <c r="AO166" s="1574"/>
      <c r="AP166" s="1574"/>
      <c r="AQ166" s="1574"/>
      <c r="AR166" s="1574"/>
      <c r="AS166" s="1574"/>
      <c r="AT166" s="1570"/>
      <c r="AU166" s="1575"/>
      <c r="AV166" s="1575"/>
      <c r="AW166" s="1480"/>
    </row>
    <row r="167">
      <c r="A167" s="1576"/>
      <c r="B167" s="1577"/>
      <c r="C167" s="1578"/>
      <c r="D167" s="1505"/>
      <c r="E167" s="1505"/>
      <c r="F167" s="1505"/>
      <c r="G167" s="1505"/>
      <c r="H167" s="1505"/>
      <c r="I167" s="1505"/>
      <c r="J167" s="1505"/>
      <c r="K167" s="1505"/>
      <c r="L167" s="1505"/>
      <c r="M167" s="1505"/>
      <c r="N167" s="1505"/>
      <c r="O167" s="1505"/>
      <c r="P167" s="1505"/>
      <c r="Q167" s="1505"/>
      <c r="R167" s="1505"/>
      <c r="S167" s="1505"/>
      <c r="T167" s="1505"/>
      <c r="U167" s="1505"/>
      <c r="V167" s="1505"/>
      <c r="W167" s="1505"/>
      <c r="X167" s="1505"/>
      <c r="Y167" s="1505"/>
      <c r="Z167" s="1505"/>
      <c r="AA167" s="1572"/>
      <c r="AB167" s="1505"/>
      <c r="AC167" s="1505"/>
      <c r="AD167" s="1505"/>
      <c r="AE167" s="1505"/>
      <c r="AF167" s="1505"/>
      <c r="AG167" s="1505"/>
      <c r="AH167" s="1505"/>
      <c r="AI167" s="1505"/>
      <c r="AJ167" s="1505"/>
      <c r="AK167" s="1505"/>
      <c r="AL167" s="1505"/>
      <c r="AM167" s="1505"/>
      <c r="AN167" s="1505"/>
      <c r="AO167" s="1505"/>
      <c r="AP167" s="1505"/>
      <c r="AQ167" s="1505"/>
      <c r="AR167" s="1505"/>
      <c r="AS167" s="1505"/>
      <c r="AT167" s="1505"/>
      <c r="AU167" s="1505"/>
      <c r="AV167" s="1505"/>
      <c r="AW167" s="1460"/>
    </row>
    <row r="168">
      <c r="A168" s="1564"/>
      <c r="B168" s="1565"/>
      <c r="C168" s="1566"/>
      <c r="D168" s="1567"/>
      <c r="E168" s="1567"/>
      <c r="F168" s="1567"/>
      <c r="G168" s="1567"/>
      <c r="H168" s="1569"/>
      <c r="I168" s="1569"/>
      <c r="J168" s="1570"/>
      <c r="K168" s="1570"/>
      <c r="L168" s="1570"/>
      <c r="M168" s="1570"/>
      <c r="N168" s="1570"/>
      <c r="O168" s="1570"/>
      <c r="P168" s="1570"/>
      <c r="Q168" s="1571"/>
      <c r="R168" s="1571"/>
      <c r="S168" s="1571"/>
      <c r="T168" s="1571"/>
      <c r="U168" s="1571"/>
      <c r="V168" s="1571"/>
      <c r="W168" s="1572"/>
      <c r="X168" s="1572"/>
      <c r="Y168" s="1572"/>
      <c r="Z168" s="1572"/>
      <c r="AA168" s="1505"/>
      <c r="AB168" s="1572"/>
      <c r="AC168" s="1572"/>
      <c r="AD168" s="1567"/>
      <c r="AE168" s="1567"/>
      <c r="AF168" s="1573"/>
      <c r="AG168" s="1573"/>
      <c r="AH168" s="1573"/>
      <c r="AI168" s="1573"/>
      <c r="AJ168" s="1573"/>
      <c r="AK168" s="1573"/>
      <c r="AL168" s="1573"/>
      <c r="AM168" s="1574"/>
      <c r="AN168" s="1574"/>
      <c r="AO168" s="1574"/>
      <c r="AP168" s="1574"/>
      <c r="AQ168" s="1574"/>
      <c r="AR168" s="1574"/>
      <c r="AS168" s="1574"/>
      <c r="AT168" s="1570"/>
      <c r="AU168" s="1575"/>
      <c r="AV168" s="1575"/>
      <c r="AW168" s="1480"/>
    </row>
    <row r="169">
      <c r="A169" s="1576"/>
      <c r="B169" s="1577"/>
      <c r="C169" s="1578"/>
      <c r="D169" s="1505"/>
      <c r="E169" s="1505"/>
      <c r="F169" s="1505"/>
      <c r="G169" s="1505"/>
      <c r="H169" s="1505"/>
      <c r="I169" s="1505"/>
      <c r="J169" s="1505"/>
      <c r="K169" s="1505"/>
      <c r="L169" s="1505"/>
      <c r="M169" s="1505"/>
      <c r="N169" s="1505"/>
      <c r="O169" s="1505"/>
      <c r="P169" s="1505"/>
      <c r="Q169" s="1505"/>
      <c r="R169" s="1505"/>
      <c r="S169" s="1505"/>
      <c r="T169" s="1505"/>
      <c r="U169" s="1505"/>
      <c r="V169" s="1505"/>
      <c r="W169" s="1505"/>
      <c r="X169" s="1505"/>
      <c r="Y169" s="1505"/>
      <c r="Z169" s="1505"/>
      <c r="AA169" s="1572"/>
      <c r="AB169" s="1505"/>
      <c r="AC169" s="1505"/>
      <c r="AD169" s="1505"/>
      <c r="AE169" s="1505"/>
      <c r="AF169" s="1505"/>
      <c r="AG169" s="1505"/>
      <c r="AH169" s="1505"/>
      <c r="AI169" s="1505"/>
      <c r="AJ169" s="1505"/>
      <c r="AK169" s="1505"/>
      <c r="AL169" s="1505"/>
      <c r="AM169" s="1505"/>
      <c r="AN169" s="1505"/>
      <c r="AO169" s="1505"/>
      <c r="AP169" s="1505"/>
      <c r="AQ169" s="1505"/>
      <c r="AR169" s="1505"/>
      <c r="AS169" s="1505"/>
      <c r="AT169" s="1505"/>
      <c r="AU169" s="1505"/>
      <c r="AV169" s="1505"/>
      <c r="AW169" s="1460"/>
    </row>
    <row r="170">
      <c r="A170" s="1564"/>
      <c r="B170" s="1565"/>
      <c r="C170" s="1566"/>
      <c r="D170" s="1567"/>
      <c r="E170" s="1567"/>
      <c r="F170" s="1567"/>
      <c r="G170" s="1567"/>
      <c r="H170" s="1569"/>
      <c r="I170" s="1569"/>
      <c r="J170" s="1570"/>
      <c r="K170" s="1570"/>
      <c r="L170" s="1570"/>
      <c r="M170" s="1570"/>
      <c r="N170" s="1570"/>
      <c r="O170" s="1570"/>
      <c r="P170" s="1570"/>
      <c r="Q170" s="1571"/>
      <c r="R170" s="1571"/>
      <c r="S170" s="1571"/>
      <c r="T170" s="1571"/>
      <c r="U170" s="1571"/>
      <c r="V170" s="1571"/>
      <c r="W170" s="1572"/>
      <c r="X170" s="1572"/>
      <c r="Y170" s="1572"/>
      <c r="Z170" s="1572"/>
      <c r="AA170" s="1505"/>
      <c r="AB170" s="1572"/>
      <c r="AC170" s="1572"/>
      <c r="AD170" s="1567"/>
      <c r="AE170" s="1567"/>
      <c r="AF170" s="1573"/>
      <c r="AG170" s="1573"/>
      <c r="AH170" s="1573"/>
      <c r="AI170" s="1573"/>
      <c r="AJ170" s="1573"/>
      <c r="AK170" s="1573"/>
      <c r="AL170" s="1573"/>
      <c r="AM170" s="1574"/>
      <c r="AN170" s="1574"/>
      <c r="AO170" s="1574"/>
      <c r="AP170" s="1574"/>
      <c r="AQ170" s="1574"/>
      <c r="AR170" s="1574"/>
      <c r="AS170" s="1574"/>
      <c r="AT170" s="1570"/>
      <c r="AU170" s="1575"/>
      <c r="AV170" s="1575"/>
      <c r="AW170" s="1480"/>
    </row>
    <row r="171">
      <c r="A171" s="1576"/>
      <c r="B171" s="1577"/>
      <c r="C171" s="1578"/>
      <c r="D171" s="1505"/>
      <c r="E171" s="1505"/>
      <c r="F171" s="1505"/>
      <c r="G171" s="1505"/>
      <c r="H171" s="1505"/>
      <c r="I171" s="1505"/>
      <c r="J171" s="1505"/>
      <c r="K171" s="1505"/>
      <c r="L171" s="1505"/>
      <c r="M171" s="1505"/>
      <c r="N171" s="1505"/>
      <c r="O171" s="1505"/>
      <c r="P171" s="1505"/>
      <c r="Q171" s="1505"/>
      <c r="R171" s="1505"/>
      <c r="S171" s="1505"/>
      <c r="T171" s="1505"/>
      <c r="U171" s="1505"/>
      <c r="V171" s="1505"/>
      <c r="W171" s="1505"/>
      <c r="X171" s="1505"/>
      <c r="Y171" s="1505"/>
      <c r="Z171" s="1505"/>
      <c r="AA171" s="1572"/>
      <c r="AB171" s="1505"/>
      <c r="AC171" s="1505"/>
      <c r="AD171" s="1505"/>
      <c r="AE171" s="1505"/>
      <c r="AF171" s="1505"/>
      <c r="AG171" s="1505"/>
      <c r="AH171" s="1505"/>
      <c r="AI171" s="1505"/>
      <c r="AJ171" s="1505"/>
      <c r="AK171" s="1505"/>
      <c r="AL171" s="1505"/>
      <c r="AM171" s="1505"/>
      <c r="AN171" s="1505"/>
      <c r="AO171" s="1505"/>
      <c r="AP171" s="1505"/>
      <c r="AQ171" s="1505"/>
      <c r="AR171" s="1505"/>
      <c r="AS171" s="1505"/>
      <c r="AT171" s="1505"/>
      <c r="AU171" s="1505"/>
      <c r="AV171" s="1505"/>
      <c r="AW171" s="1460"/>
    </row>
    <row r="172">
      <c r="A172" s="1564"/>
      <c r="B172" s="1565"/>
      <c r="C172" s="1566"/>
      <c r="D172" s="1567"/>
      <c r="E172" s="1567"/>
      <c r="F172" s="1567"/>
      <c r="G172" s="1567"/>
      <c r="H172" s="1569"/>
      <c r="I172" s="1569"/>
      <c r="J172" s="1570"/>
      <c r="K172" s="1570"/>
      <c r="L172" s="1570"/>
      <c r="M172" s="1570"/>
      <c r="N172" s="1570"/>
      <c r="O172" s="1570"/>
      <c r="P172" s="1570"/>
      <c r="Q172" s="1571"/>
      <c r="R172" s="1571"/>
      <c r="S172" s="1571"/>
      <c r="T172" s="1571"/>
      <c r="U172" s="1571"/>
      <c r="V172" s="1571"/>
      <c r="W172" s="1572"/>
      <c r="X172" s="1572"/>
      <c r="Y172" s="1572"/>
      <c r="Z172" s="1572"/>
      <c r="AA172" s="1505"/>
      <c r="AB172" s="1572"/>
      <c r="AC172" s="1572"/>
      <c r="AD172" s="1567"/>
      <c r="AE172" s="1567"/>
      <c r="AF172" s="1573"/>
      <c r="AG172" s="1573"/>
      <c r="AH172" s="1573"/>
      <c r="AI172" s="1573"/>
      <c r="AJ172" s="1573"/>
      <c r="AK172" s="1573"/>
      <c r="AL172" s="1573"/>
      <c r="AM172" s="1574"/>
      <c r="AN172" s="1574"/>
      <c r="AO172" s="1574"/>
      <c r="AP172" s="1574"/>
      <c r="AQ172" s="1574"/>
      <c r="AR172" s="1574"/>
      <c r="AS172" s="1574"/>
      <c r="AT172" s="1570"/>
      <c r="AU172" s="1575"/>
      <c r="AV172" s="1575"/>
      <c r="AW172" s="1480"/>
    </row>
    <row r="173">
      <c r="A173" s="1576"/>
      <c r="B173" s="1577"/>
      <c r="C173" s="1578"/>
      <c r="D173" s="1505"/>
      <c r="E173" s="1505"/>
      <c r="F173" s="1505"/>
      <c r="G173" s="1505"/>
      <c r="H173" s="1505"/>
      <c r="I173" s="1505"/>
      <c r="J173" s="1505"/>
      <c r="K173" s="1505"/>
      <c r="L173" s="1505"/>
      <c r="M173" s="1505"/>
      <c r="N173" s="1505"/>
      <c r="O173" s="1505"/>
      <c r="P173" s="1505"/>
      <c r="Q173" s="1505"/>
      <c r="R173" s="1505"/>
      <c r="S173" s="1505"/>
      <c r="T173" s="1505"/>
      <c r="U173" s="1505"/>
      <c r="V173" s="1505"/>
      <c r="W173" s="1505"/>
      <c r="X173" s="1505"/>
      <c r="Y173" s="1505"/>
      <c r="Z173" s="1505"/>
      <c r="AA173" s="1572"/>
      <c r="AB173" s="1505"/>
      <c r="AC173" s="1505"/>
      <c r="AD173" s="1505"/>
      <c r="AE173" s="1505"/>
      <c r="AF173" s="1505"/>
      <c r="AG173" s="1505"/>
      <c r="AH173" s="1505"/>
      <c r="AI173" s="1505"/>
      <c r="AJ173" s="1505"/>
      <c r="AK173" s="1505"/>
      <c r="AL173" s="1505"/>
      <c r="AM173" s="1505"/>
      <c r="AN173" s="1505"/>
      <c r="AO173" s="1505"/>
      <c r="AP173" s="1505"/>
      <c r="AQ173" s="1505"/>
      <c r="AR173" s="1505"/>
      <c r="AS173" s="1505"/>
      <c r="AT173" s="1505"/>
      <c r="AU173" s="1505"/>
      <c r="AV173" s="1505"/>
      <c r="AW173" s="1460"/>
    </row>
    <row r="174">
      <c r="A174" s="1564"/>
      <c r="B174" s="1565"/>
      <c r="C174" s="1566"/>
      <c r="D174" s="1567"/>
      <c r="E174" s="1567"/>
      <c r="F174" s="1567"/>
      <c r="G174" s="1567"/>
      <c r="H174" s="1569"/>
      <c r="I174" s="1569"/>
      <c r="J174" s="1570"/>
      <c r="K174" s="1570"/>
      <c r="L174" s="1570"/>
      <c r="M174" s="1570"/>
      <c r="N174" s="1570"/>
      <c r="O174" s="1570"/>
      <c r="P174" s="1570"/>
      <c r="Q174" s="1571"/>
      <c r="R174" s="1571"/>
      <c r="S174" s="1571"/>
      <c r="T174" s="1571"/>
      <c r="U174" s="1571"/>
      <c r="V174" s="1571"/>
      <c r="W174" s="1572"/>
      <c r="X174" s="1572"/>
      <c r="Y174" s="1572"/>
      <c r="Z174" s="1572"/>
      <c r="AA174" s="1505"/>
      <c r="AB174" s="1572"/>
      <c r="AC174" s="1572"/>
      <c r="AD174" s="1567"/>
      <c r="AE174" s="1567"/>
      <c r="AF174" s="1573"/>
      <c r="AG174" s="1573"/>
      <c r="AH174" s="1573"/>
      <c r="AI174" s="1573"/>
      <c r="AJ174" s="1573"/>
      <c r="AK174" s="1573"/>
      <c r="AL174" s="1573"/>
      <c r="AM174" s="1574"/>
      <c r="AN174" s="1574"/>
      <c r="AO174" s="1574"/>
      <c r="AP174" s="1574"/>
      <c r="AQ174" s="1574"/>
      <c r="AR174" s="1574"/>
      <c r="AS174" s="1574"/>
      <c r="AT174" s="1570"/>
      <c r="AU174" s="1575"/>
      <c r="AV174" s="1575"/>
      <c r="AW174" s="1480"/>
    </row>
    <row r="175">
      <c r="A175" s="1576"/>
      <c r="B175" s="1577"/>
      <c r="C175" s="1578"/>
      <c r="D175" s="1505"/>
      <c r="E175" s="1505"/>
      <c r="F175" s="1505"/>
      <c r="G175" s="1505"/>
      <c r="H175" s="1505"/>
      <c r="I175" s="1505"/>
      <c r="J175" s="1505"/>
      <c r="K175" s="1505"/>
      <c r="L175" s="1505"/>
      <c r="M175" s="1505"/>
      <c r="N175" s="1505"/>
      <c r="O175" s="1505"/>
      <c r="P175" s="1505"/>
      <c r="Q175" s="1505"/>
      <c r="R175" s="1505"/>
      <c r="S175" s="1505"/>
      <c r="T175" s="1505"/>
      <c r="U175" s="1505"/>
      <c r="V175" s="1505"/>
      <c r="W175" s="1505"/>
      <c r="X175" s="1505"/>
      <c r="Y175" s="1505"/>
      <c r="Z175" s="1505"/>
      <c r="AA175" s="1572"/>
      <c r="AB175" s="1505"/>
      <c r="AC175" s="1505"/>
      <c r="AD175" s="1505"/>
      <c r="AE175" s="1505"/>
      <c r="AF175" s="1505"/>
      <c r="AG175" s="1505"/>
      <c r="AH175" s="1505"/>
      <c r="AI175" s="1505"/>
      <c r="AJ175" s="1505"/>
      <c r="AK175" s="1505"/>
      <c r="AL175" s="1505"/>
      <c r="AM175" s="1505"/>
      <c r="AN175" s="1505"/>
      <c r="AO175" s="1505"/>
      <c r="AP175" s="1505"/>
      <c r="AQ175" s="1505"/>
      <c r="AR175" s="1505"/>
      <c r="AS175" s="1505"/>
      <c r="AT175" s="1505"/>
      <c r="AU175" s="1505"/>
      <c r="AV175" s="1505"/>
      <c r="AW175" s="1460"/>
    </row>
    <row r="176">
      <c r="A176" s="1564"/>
      <c r="B176" s="1565"/>
      <c r="C176" s="1566"/>
      <c r="D176" s="1567"/>
      <c r="E176" s="1567"/>
      <c r="F176" s="1567"/>
      <c r="G176" s="1567"/>
      <c r="H176" s="1569"/>
      <c r="I176" s="1569"/>
      <c r="J176" s="1570"/>
      <c r="K176" s="1570"/>
      <c r="L176" s="1570"/>
      <c r="M176" s="1570"/>
      <c r="N176" s="1570"/>
      <c r="O176" s="1570"/>
      <c r="P176" s="1570"/>
      <c r="Q176" s="1571"/>
      <c r="R176" s="1571"/>
      <c r="S176" s="1571"/>
      <c r="T176" s="1571"/>
      <c r="U176" s="1571"/>
      <c r="V176" s="1571"/>
      <c r="W176" s="1572"/>
      <c r="X176" s="1572"/>
      <c r="Y176" s="1572"/>
      <c r="Z176" s="1572"/>
      <c r="AA176" s="1505"/>
      <c r="AB176" s="1572"/>
      <c r="AC176" s="1572"/>
      <c r="AD176" s="1567"/>
      <c r="AE176" s="1567"/>
      <c r="AF176" s="1573"/>
      <c r="AG176" s="1573"/>
      <c r="AH176" s="1573"/>
      <c r="AI176" s="1573"/>
      <c r="AJ176" s="1573"/>
      <c r="AK176" s="1573"/>
      <c r="AL176" s="1573"/>
      <c r="AM176" s="1574"/>
      <c r="AN176" s="1574"/>
      <c r="AO176" s="1574"/>
      <c r="AP176" s="1574"/>
      <c r="AQ176" s="1574"/>
      <c r="AR176" s="1574"/>
      <c r="AS176" s="1574"/>
      <c r="AT176" s="1570"/>
      <c r="AU176" s="1575"/>
      <c r="AV176" s="1575"/>
      <c r="AW176" s="1480"/>
    </row>
    <row r="177">
      <c r="A177" s="1576"/>
      <c r="B177" s="1577"/>
      <c r="C177" s="1578"/>
      <c r="D177" s="1505"/>
      <c r="E177" s="1505"/>
      <c r="F177" s="1505"/>
      <c r="G177" s="1505"/>
      <c r="H177" s="1505"/>
      <c r="I177" s="1505"/>
      <c r="J177" s="1505"/>
      <c r="K177" s="1505"/>
      <c r="L177" s="1505"/>
      <c r="M177" s="1505"/>
      <c r="N177" s="1505"/>
      <c r="O177" s="1505"/>
      <c r="P177" s="1505"/>
      <c r="Q177" s="1505"/>
      <c r="R177" s="1505"/>
      <c r="S177" s="1505"/>
      <c r="T177" s="1505"/>
      <c r="U177" s="1505"/>
      <c r="V177" s="1505"/>
      <c r="W177" s="1505"/>
      <c r="X177" s="1505"/>
      <c r="Y177" s="1505"/>
      <c r="Z177" s="1505"/>
      <c r="AA177" s="1572"/>
      <c r="AB177" s="1505"/>
      <c r="AC177" s="1505"/>
      <c r="AD177" s="1505"/>
      <c r="AE177" s="1505"/>
      <c r="AF177" s="1505"/>
      <c r="AG177" s="1505"/>
      <c r="AH177" s="1505"/>
      <c r="AI177" s="1505"/>
      <c r="AJ177" s="1505"/>
      <c r="AK177" s="1505"/>
      <c r="AL177" s="1505"/>
      <c r="AM177" s="1505"/>
      <c r="AN177" s="1505"/>
      <c r="AO177" s="1505"/>
      <c r="AP177" s="1505"/>
      <c r="AQ177" s="1505"/>
      <c r="AR177" s="1505"/>
      <c r="AS177" s="1505"/>
      <c r="AT177" s="1505"/>
      <c r="AU177" s="1505"/>
      <c r="AV177" s="1505"/>
      <c r="AW177" s="1460"/>
    </row>
    <row r="178">
      <c r="A178" s="1564"/>
      <c r="B178" s="1565"/>
      <c r="C178" s="1566"/>
      <c r="D178" s="1567"/>
      <c r="E178" s="1567"/>
      <c r="F178" s="1567"/>
      <c r="G178" s="1567"/>
      <c r="H178" s="1569"/>
      <c r="I178" s="1569"/>
      <c r="J178" s="1570"/>
      <c r="K178" s="1570"/>
      <c r="L178" s="1570"/>
      <c r="M178" s="1570"/>
      <c r="N178" s="1570"/>
      <c r="O178" s="1570"/>
      <c r="P178" s="1570"/>
      <c r="Q178" s="1571"/>
      <c r="R178" s="1571"/>
      <c r="S178" s="1571"/>
      <c r="T178" s="1571"/>
      <c r="U178" s="1571"/>
      <c r="V178" s="1571"/>
      <c r="W178" s="1572"/>
      <c r="X178" s="1572"/>
      <c r="Y178" s="1572"/>
      <c r="Z178" s="1572"/>
      <c r="AA178" s="1505"/>
      <c r="AB178" s="1572"/>
      <c r="AC178" s="1572"/>
      <c r="AD178" s="1567"/>
      <c r="AE178" s="1567"/>
      <c r="AF178" s="1573"/>
      <c r="AG178" s="1573"/>
      <c r="AH178" s="1573"/>
      <c r="AI178" s="1573"/>
      <c r="AJ178" s="1573"/>
      <c r="AK178" s="1573"/>
      <c r="AL178" s="1573"/>
      <c r="AM178" s="1574"/>
      <c r="AN178" s="1574"/>
      <c r="AO178" s="1574"/>
      <c r="AP178" s="1574"/>
      <c r="AQ178" s="1574"/>
      <c r="AR178" s="1574"/>
      <c r="AS178" s="1574"/>
      <c r="AT178" s="1570"/>
      <c r="AU178" s="1575"/>
      <c r="AV178" s="1575"/>
      <c r="AW178" s="1480"/>
    </row>
    <row r="179">
      <c r="A179" s="1576"/>
      <c r="B179" s="1577"/>
      <c r="C179" s="1578"/>
      <c r="D179" s="1505"/>
      <c r="E179" s="1505"/>
      <c r="F179" s="1505"/>
      <c r="G179" s="1505"/>
      <c r="H179" s="1505"/>
      <c r="I179" s="1505"/>
      <c r="J179" s="1505"/>
      <c r="K179" s="1505"/>
      <c r="L179" s="1505"/>
      <c r="M179" s="1505"/>
      <c r="N179" s="1505"/>
      <c r="O179" s="1505"/>
      <c r="P179" s="1505"/>
      <c r="Q179" s="1505"/>
      <c r="R179" s="1505"/>
      <c r="S179" s="1505"/>
      <c r="T179" s="1505"/>
      <c r="U179" s="1505"/>
      <c r="V179" s="1505"/>
      <c r="W179" s="1505"/>
      <c r="X179" s="1505"/>
      <c r="Y179" s="1505"/>
      <c r="Z179" s="1505"/>
      <c r="AA179" s="1572"/>
      <c r="AB179" s="1505"/>
      <c r="AC179" s="1505"/>
      <c r="AD179" s="1505"/>
      <c r="AE179" s="1505"/>
      <c r="AF179" s="1505"/>
      <c r="AG179" s="1505"/>
      <c r="AH179" s="1505"/>
      <c r="AI179" s="1505"/>
      <c r="AJ179" s="1505"/>
      <c r="AK179" s="1505"/>
      <c r="AL179" s="1505"/>
      <c r="AM179" s="1505"/>
      <c r="AN179" s="1505"/>
      <c r="AO179" s="1505"/>
      <c r="AP179" s="1505"/>
      <c r="AQ179" s="1505"/>
      <c r="AR179" s="1505"/>
      <c r="AS179" s="1505"/>
      <c r="AT179" s="1505"/>
      <c r="AU179" s="1505"/>
      <c r="AV179" s="1505"/>
      <c r="AW179" s="1460"/>
    </row>
    <row r="180">
      <c r="A180" s="1564"/>
      <c r="B180" s="1565"/>
      <c r="C180" s="1566"/>
      <c r="D180" s="1567"/>
      <c r="E180" s="1567"/>
      <c r="F180" s="1567"/>
      <c r="G180" s="1567"/>
      <c r="H180" s="1569"/>
      <c r="I180" s="1569"/>
      <c r="J180" s="1570"/>
      <c r="K180" s="1570"/>
      <c r="L180" s="1570"/>
      <c r="M180" s="1570"/>
      <c r="N180" s="1570"/>
      <c r="O180" s="1570"/>
      <c r="P180" s="1570"/>
      <c r="Q180" s="1571"/>
      <c r="R180" s="1571"/>
      <c r="S180" s="1571"/>
      <c r="T180" s="1571"/>
      <c r="U180" s="1571"/>
      <c r="V180" s="1571"/>
      <c r="W180" s="1572"/>
      <c r="X180" s="1572"/>
      <c r="Y180" s="1572"/>
      <c r="Z180" s="1572"/>
      <c r="AA180" s="1505"/>
      <c r="AB180" s="1572"/>
      <c r="AC180" s="1572"/>
      <c r="AD180" s="1567"/>
      <c r="AE180" s="1567"/>
      <c r="AF180" s="1573"/>
      <c r="AG180" s="1573"/>
      <c r="AH180" s="1573"/>
      <c r="AI180" s="1573"/>
      <c r="AJ180" s="1573"/>
      <c r="AK180" s="1573"/>
      <c r="AL180" s="1573"/>
      <c r="AM180" s="1574"/>
      <c r="AN180" s="1574"/>
      <c r="AO180" s="1574"/>
      <c r="AP180" s="1574"/>
      <c r="AQ180" s="1574"/>
      <c r="AR180" s="1574"/>
      <c r="AS180" s="1574"/>
      <c r="AT180" s="1570"/>
      <c r="AU180" s="1575"/>
      <c r="AV180" s="1575"/>
      <c r="AW180" s="1480"/>
    </row>
    <row r="181">
      <c r="A181" s="1576"/>
      <c r="B181" s="1577"/>
      <c r="C181" s="1578"/>
      <c r="D181" s="1505"/>
      <c r="E181" s="1505"/>
      <c r="F181" s="1505"/>
      <c r="G181" s="1505"/>
      <c r="H181" s="1505"/>
      <c r="I181" s="1505"/>
      <c r="J181" s="1505"/>
      <c r="K181" s="1505"/>
      <c r="L181" s="1505"/>
      <c r="M181" s="1505"/>
      <c r="N181" s="1505"/>
      <c r="O181" s="1505"/>
      <c r="P181" s="1505"/>
      <c r="Q181" s="1505"/>
      <c r="R181" s="1505"/>
      <c r="S181" s="1505"/>
      <c r="T181" s="1505"/>
      <c r="U181" s="1505"/>
      <c r="V181" s="1505"/>
      <c r="W181" s="1505"/>
      <c r="X181" s="1505"/>
      <c r="Y181" s="1505"/>
      <c r="Z181" s="1505"/>
      <c r="AA181" s="1572"/>
      <c r="AB181" s="1505"/>
      <c r="AC181" s="1505"/>
      <c r="AD181" s="1505"/>
      <c r="AE181" s="1505"/>
      <c r="AF181" s="1505"/>
      <c r="AG181" s="1505"/>
      <c r="AH181" s="1505"/>
      <c r="AI181" s="1505"/>
      <c r="AJ181" s="1505"/>
      <c r="AK181" s="1505"/>
      <c r="AL181" s="1505"/>
      <c r="AM181" s="1505"/>
      <c r="AN181" s="1505"/>
      <c r="AO181" s="1505"/>
      <c r="AP181" s="1505"/>
      <c r="AQ181" s="1505"/>
      <c r="AR181" s="1505"/>
      <c r="AS181" s="1505"/>
      <c r="AT181" s="1505"/>
      <c r="AU181" s="1505"/>
      <c r="AV181" s="1505"/>
      <c r="AW181" s="1460"/>
    </row>
    <row r="182">
      <c r="A182" s="1564"/>
      <c r="B182" s="1565"/>
      <c r="C182" s="1566"/>
      <c r="D182" s="1567"/>
      <c r="E182" s="1567"/>
      <c r="F182" s="1567"/>
      <c r="G182" s="1567"/>
      <c r="H182" s="1569"/>
      <c r="I182" s="1569"/>
      <c r="J182" s="1570"/>
      <c r="K182" s="1570"/>
      <c r="L182" s="1570"/>
      <c r="M182" s="1570"/>
      <c r="N182" s="1570"/>
      <c r="O182" s="1570"/>
      <c r="P182" s="1570"/>
      <c r="Q182" s="1571"/>
      <c r="R182" s="1571"/>
      <c r="S182" s="1571"/>
      <c r="T182" s="1571"/>
      <c r="U182" s="1571"/>
      <c r="V182" s="1571"/>
      <c r="W182" s="1572"/>
      <c r="X182" s="1572"/>
      <c r="Y182" s="1572"/>
      <c r="Z182" s="1572"/>
      <c r="AA182" s="1505"/>
      <c r="AB182" s="1572"/>
      <c r="AC182" s="1572"/>
      <c r="AD182" s="1567"/>
      <c r="AE182" s="1567"/>
      <c r="AF182" s="1573"/>
      <c r="AG182" s="1573"/>
      <c r="AH182" s="1573"/>
      <c r="AI182" s="1573"/>
      <c r="AJ182" s="1573"/>
      <c r="AK182" s="1573"/>
      <c r="AL182" s="1573"/>
      <c r="AM182" s="1574"/>
      <c r="AN182" s="1574"/>
      <c r="AO182" s="1574"/>
      <c r="AP182" s="1574"/>
      <c r="AQ182" s="1574"/>
      <c r="AR182" s="1574"/>
      <c r="AS182" s="1574"/>
      <c r="AT182" s="1570"/>
      <c r="AU182" s="1575"/>
      <c r="AV182" s="1575"/>
      <c r="AW182" s="1480"/>
    </row>
    <row r="183">
      <c r="A183" s="1576"/>
      <c r="B183" s="1577"/>
      <c r="C183" s="1578"/>
      <c r="D183" s="1505"/>
      <c r="E183" s="1505"/>
      <c r="F183" s="1505"/>
      <c r="G183" s="1505"/>
      <c r="H183" s="1505"/>
      <c r="I183" s="1505"/>
      <c r="J183" s="1505"/>
      <c r="K183" s="1505"/>
      <c r="L183" s="1505"/>
      <c r="M183" s="1505"/>
      <c r="N183" s="1505"/>
      <c r="O183" s="1505"/>
      <c r="P183" s="1505"/>
      <c r="Q183" s="1505"/>
      <c r="R183" s="1505"/>
      <c r="S183" s="1505"/>
      <c r="T183" s="1505"/>
      <c r="U183" s="1505"/>
      <c r="V183" s="1505"/>
      <c r="W183" s="1505"/>
      <c r="X183" s="1505"/>
      <c r="Y183" s="1505"/>
      <c r="Z183" s="1505"/>
      <c r="AA183" s="1572"/>
      <c r="AB183" s="1505"/>
      <c r="AC183" s="1505"/>
      <c r="AD183" s="1505"/>
      <c r="AE183" s="1505"/>
      <c r="AF183" s="1505"/>
      <c r="AG183" s="1505"/>
      <c r="AH183" s="1505"/>
      <c r="AI183" s="1505"/>
      <c r="AJ183" s="1505"/>
      <c r="AK183" s="1505"/>
      <c r="AL183" s="1505"/>
      <c r="AM183" s="1505"/>
      <c r="AN183" s="1505"/>
      <c r="AO183" s="1505"/>
      <c r="AP183" s="1505"/>
      <c r="AQ183" s="1505"/>
      <c r="AR183" s="1505"/>
      <c r="AS183" s="1505"/>
      <c r="AT183" s="1505"/>
      <c r="AU183" s="1505"/>
      <c r="AV183" s="1505"/>
      <c r="AW183" s="1460"/>
    </row>
    <row r="184">
      <c r="A184" s="1564"/>
      <c r="B184" s="1565"/>
      <c r="C184" s="1566"/>
      <c r="D184" s="1567"/>
      <c r="E184" s="1567"/>
      <c r="F184" s="1567"/>
      <c r="G184" s="1567"/>
      <c r="H184" s="1569"/>
      <c r="I184" s="1569"/>
      <c r="J184" s="1570"/>
      <c r="K184" s="1570"/>
      <c r="L184" s="1570"/>
      <c r="M184" s="1570"/>
      <c r="N184" s="1570"/>
      <c r="O184" s="1570"/>
      <c r="P184" s="1570"/>
      <c r="Q184" s="1571"/>
      <c r="R184" s="1571"/>
      <c r="S184" s="1571"/>
      <c r="T184" s="1571"/>
      <c r="U184" s="1571"/>
      <c r="V184" s="1571"/>
      <c r="W184" s="1572"/>
      <c r="X184" s="1572"/>
      <c r="Y184" s="1572"/>
      <c r="Z184" s="1572"/>
      <c r="AA184" s="1505"/>
      <c r="AB184" s="1572"/>
      <c r="AC184" s="1572"/>
      <c r="AD184" s="1567"/>
      <c r="AE184" s="1567"/>
      <c r="AF184" s="1573"/>
      <c r="AG184" s="1573"/>
      <c r="AH184" s="1573"/>
      <c r="AI184" s="1573"/>
      <c r="AJ184" s="1573"/>
      <c r="AK184" s="1573"/>
      <c r="AL184" s="1573"/>
      <c r="AM184" s="1574"/>
      <c r="AN184" s="1574"/>
      <c r="AO184" s="1574"/>
      <c r="AP184" s="1574"/>
      <c r="AQ184" s="1574"/>
      <c r="AR184" s="1574"/>
      <c r="AS184" s="1574"/>
      <c r="AT184" s="1570"/>
      <c r="AU184" s="1575"/>
      <c r="AV184" s="1575"/>
      <c r="AW184" s="1480"/>
    </row>
    <row r="185">
      <c r="A185" s="1576"/>
      <c r="B185" s="1577"/>
      <c r="C185" s="1578"/>
      <c r="D185" s="1505"/>
      <c r="E185" s="1505"/>
      <c r="F185" s="1505"/>
      <c r="G185" s="1505"/>
      <c r="H185" s="1505"/>
      <c r="I185" s="1505"/>
      <c r="J185" s="1505"/>
      <c r="K185" s="1505"/>
      <c r="L185" s="1505"/>
      <c r="M185" s="1505"/>
      <c r="N185" s="1505"/>
      <c r="O185" s="1505"/>
      <c r="P185" s="1505"/>
      <c r="Q185" s="1505"/>
      <c r="R185" s="1505"/>
      <c r="S185" s="1505"/>
      <c r="T185" s="1505"/>
      <c r="U185" s="1505"/>
      <c r="V185" s="1505"/>
      <c r="W185" s="1505"/>
      <c r="X185" s="1505"/>
      <c r="Y185" s="1505"/>
      <c r="Z185" s="1505"/>
      <c r="AA185" s="1572"/>
      <c r="AB185" s="1505"/>
      <c r="AC185" s="1505"/>
      <c r="AD185" s="1505"/>
      <c r="AE185" s="1505"/>
      <c r="AF185" s="1505"/>
      <c r="AG185" s="1505"/>
      <c r="AH185" s="1505"/>
      <c r="AI185" s="1505"/>
      <c r="AJ185" s="1505"/>
      <c r="AK185" s="1505"/>
      <c r="AL185" s="1505"/>
      <c r="AM185" s="1505"/>
      <c r="AN185" s="1505"/>
      <c r="AO185" s="1505"/>
      <c r="AP185" s="1505"/>
      <c r="AQ185" s="1505"/>
      <c r="AR185" s="1505"/>
      <c r="AS185" s="1505"/>
      <c r="AT185" s="1505"/>
      <c r="AU185" s="1505"/>
      <c r="AV185" s="1505"/>
      <c r="AW185" s="1460"/>
    </row>
    <row r="186">
      <c r="A186" s="1564"/>
      <c r="B186" s="1565"/>
      <c r="C186" s="1566"/>
      <c r="D186" s="1567"/>
      <c r="E186" s="1567"/>
      <c r="F186" s="1567"/>
      <c r="G186" s="1567"/>
      <c r="H186" s="1569"/>
      <c r="I186" s="1569"/>
      <c r="J186" s="1570"/>
      <c r="K186" s="1570"/>
      <c r="L186" s="1570"/>
      <c r="M186" s="1570"/>
      <c r="N186" s="1570"/>
      <c r="O186" s="1570"/>
      <c r="P186" s="1570"/>
      <c r="Q186" s="1571"/>
      <c r="R186" s="1571"/>
      <c r="S186" s="1571"/>
      <c r="T186" s="1571"/>
      <c r="U186" s="1571"/>
      <c r="V186" s="1571"/>
      <c r="W186" s="1572"/>
      <c r="X186" s="1572"/>
      <c r="Y186" s="1572"/>
      <c r="Z186" s="1572"/>
      <c r="AA186" s="1505"/>
      <c r="AB186" s="1572"/>
      <c r="AC186" s="1572"/>
      <c r="AD186" s="1567"/>
      <c r="AE186" s="1567"/>
      <c r="AF186" s="1573"/>
      <c r="AG186" s="1573"/>
      <c r="AH186" s="1573"/>
      <c r="AI186" s="1573"/>
      <c r="AJ186" s="1573"/>
      <c r="AK186" s="1573"/>
      <c r="AL186" s="1573"/>
      <c r="AM186" s="1574"/>
      <c r="AN186" s="1574"/>
      <c r="AO186" s="1574"/>
      <c r="AP186" s="1574"/>
      <c r="AQ186" s="1574"/>
      <c r="AR186" s="1574"/>
      <c r="AS186" s="1574"/>
      <c r="AT186" s="1570"/>
      <c r="AU186" s="1575"/>
      <c r="AV186" s="1575"/>
      <c r="AW186" s="1480"/>
    </row>
    <row r="187">
      <c r="A187" s="1576"/>
      <c r="B187" s="1577"/>
      <c r="C187" s="1578"/>
      <c r="D187" s="1505"/>
      <c r="E187" s="1505"/>
      <c r="F187" s="1505"/>
      <c r="G187" s="1505"/>
      <c r="H187" s="1505"/>
      <c r="I187" s="1505"/>
      <c r="J187" s="1505"/>
      <c r="K187" s="1505"/>
      <c r="L187" s="1505"/>
      <c r="M187" s="1505"/>
      <c r="N187" s="1505"/>
      <c r="O187" s="1505"/>
      <c r="P187" s="1505"/>
      <c r="Q187" s="1505"/>
      <c r="R187" s="1505"/>
      <c r="S187" s="1505"/>
      <c r="T187" s="1505"/>
      <c r="U187" s="1505"/>
      <c r="V187" s="1505"/>
      <c r="W187" s="1505"/>
      <c r="X187" s="1505"/>
      <c r="Y187" s="1505"/>
      <c r="Z187" s="1505"/>
      <c r="AA187" s="1572"/>
      <c r="AB187" s="1505"/>
      <c r="AC187" s="1505"/>
      <c r="AD187" s="1505"/>
      <c r="AE187" s="1505"/>
      <c r="AF187" s="1505"/>
      <c r="AG187" s="1505"/>
      <c r="AH187" s="1505"/>
      <c r="AI187" s="1505"/>
      <c r="AJ187" s="1505"/>
      <c r="AK187" s="1505"/>
      <c r="AL187" s="1505"/>
      <c r="AM187" s="1505"/>
      <c r="AN187" s="1505"/>
      <c r="AO187" s="1505"/>
      <c r="AP187" s="1505"/>
      <c r="AQ187" s="1505"/>
      <c r="AR187" s="1505"/>
      <c r="AS187" s="1505"/>
      <c r="AT187" s="1505"/>
      <c r="AU187" s="1505"/>
      <c r="AV187" s="1505"/>
      <c r="AW187" s="1460"/>
    </row>
    <row r="188">
      <c r="A188" s="1564"/>
      <c r="B188" s="1565"/>
      <c r="C188" s="1566"/>
      <c r="D188" s="1567"/>
      <c r="E188" s="1567"/>
      <c r="F188" s="1567"/>
      <c r="G188" s="1567"/>
      <c r="H188" s="1569"/>
      <c r="I188" s="1569"/>
      <c r="J188" s="1570"/>
      <c r="K188" s="1570"/>
      <c r="L188" s="1570"/>
      <c r="M188" s="1570"/>
      <c r="N188" s="1570"/>
      <c r="O188" s="1570"/>
      <c r="P188" s="1570"/>
      <c r="Q188" s="1571"/>
      <c r="R188" s="1571"/>
      <c r="S188" s="1571"/>
      <c r="T188" s="1571"/>
      <c r="U188" s="1571"/>
      <c r="V188" s="1571"/>
      <c r="W188" s="1572"/>
      <c r="X188" s="1572"/>
      <c r="Y188" s="1572"/>
      <c r="Z188" s="1572"/>
      <c r="AA188" s="1505"/>
      <c r="AB188" s="1572"/>
      <c r="AC188" s="1572"/>
      <c r="AD188" s="1567"/>
      <c r="AE188" s="1567"/>
      <c r="AF188" s="1573"/>
      <c r="AG188" s="1573"/>
      <c r="AH188" s="1573"/>
      <c r="AI188" s="1573"/>
      <c r="AJ188" s="1573"/>
      <c r="AK188" s="1573"/>
      <c r="AL188" s="1573"/>
      <c r="AM188" s="1574"/>
      <c r="AN188" s="1574"/>
      <c r="AO188" s="1574"/>
      <c r="AP188" s="1574"/>
      <c r="AQ188" s="1574"/>
      <c r="AR188" s="1574"/>
      <c r="AS188" s="1574"/>
      <c r="AT188" s="1570"/>
      <c r="AU188" s="1575"/>
      <c r="AV188" s="1575"/>
      <c r="AW188" s="1480"/>
    </row>
    <row r="189">
      <c r="A189" s="1576"/>
      <c r="B189" s="1577"/>
      <c r="C189" s="1578"/>
      <c r="D189" s="1505"/>
      <c r="E189" s="1505"/>
      <c r="F189" s="1505"/>
      <c r="G189" s="1505"/>
      <c r="H189" s="1505"/>
      <c r="I189" s="1505"/>
      <c r="J189" s="1505"/>
      <c r="K189" s="1505"/>
      <c r="L189" s="1505"/>
      <c r="M189" s="1505"/>
      <c r="N189" s="1505"/>
      <c r="O189" s="1505"/>
      <c r="P189" s="1505"/>
      <c r="Q189" s="1505"/>
      <c r="R189" s="1505"/>
      <c r="S189" s="1505"/>
      <c r="T189" s="1505"/>
      <c r="U189" s="1505"/>
      <c r="V189" s="1505"/>
      <c r="W189" s="1505"/>
      <c r="X189" s="1505"/>
      <c r="Y189" s="1505"/>
      <c r="Z189" s="1505"/>
      <c r="AA189" s="1572"/>
      <c r="AB189" s="1505"/>
      <c r="AC189" s="1505"/>
      <c r="AD189" s="1505"/>
      <c r="AE189" s="1505"/>
      <c r="AF189" s="1505"/>
      <c r="AG189" s="1505"/>
      <c r="AH189" s="1505"/>
      <c r="AI189" s="1505"/>
      <c r="AJ189" s="1505"/>
      <c r="AK189" s="1505"/>
      <c r="AL189" s="1505"/>
      <c r="AM189" s="1505"/>
      <c r="AN189" s="1505"/>
      <c r="AO189" s="1505"/>
      <c r="AP189" s="1505"/>
      <c r="AQ189" s="1505"/>
      <c r="AR189" s="1505"/>
      <c r="AS189" s="1505"/>
      <c r="AT189" s="1505"/>
      <c r="AU189" s="1505"/>
      <c r="AV189" s="1505"/>
      <c r="AW189" s="1460"/>
    </row>
    <row r="190">
      <c r="A190" s="1564"/>
      <c r="B190" s="1565"/>
      <c r="C190" s="1566"/>
      <c r="D190" s="1567"/>
      <c r="E190" s="1567"/>
      <c r="F190" s="1567"/>
      <c r="G190" s="1567"/>
      <c r="H190" s="1569"/>
      <c r="I190" s="1569"/>
      <c r="J190" s="1570"/>
      <c r="K190" s="1570"/>
      <c r="L190" s="1570"/>
      <c r="M190" s="1570"/>
      <c r="N190" s="1570"/>
      <c r="O190" s="1570"/>
      <c r="P190" s="1570"/>
      <c r="Q190" s="1571"/>
      <c r="R190" s="1571"/>
      <c r="S190" s="1571"/>
      <c r="T190" s="1571"/>
      <c r="U190" s="1571"/>
      <c r="V190" s="1571"/>
      <c r="W190" s="1572"/>
      <c r="X190" s="1572"/>
      <c r="Y190" s="1572"/>
      <c r="Z190" s="1572"/>
      <c r="AA190" s="1505"/>
      <c r="AB190" s="1572"/>
      <c r="AC190" s="1572"/>
      <c r="AD190" s="1567"/>
      <c r="AE190" s="1567"/>
      <c r="AF190" s="1573"/>
      <c r="AG190" s="1573"/>
      <c r="AH190" s="1573"/>
      <c r="AI190" s="1573"/>
      <c r="AJ190" s="1573"/>
      <c r="AK190" s="1573"/>
      <c r="AL190" s="1573"/>
      <c r="AM190" s="1574"/>
      <c r="AN190" s="1574"/>
      <c r="AO190" s="1574"/>
      <c r="AP190" s="1574"/>
      <c r="AQ190" s="1574"/>
      <c r="AR190" s="1574"/>
      <c r="AS190" s="1574"/>
      <c r="AT190" s="1570"/>
      <c r="AU190" s="1575"/>
      <c r="AV190" s="1575"/>
      <c r="AW190" s="1480"/>
    </row>
    <row r="191">
      <c r="A191" s="1576"/>
      <c r="B191" s="1577"/>
      <c r="C191" s="1578"/>
      <c r="D191" s="1505"/>
      <c r="E191" s="1505"/>
      <c r="F191" s="1505"/>
      <c r="G191" s="1505"/>
      <c r="H191" s="1505"/>
      <c r="I191" s="1505"/>
      <c r="J191" s="1505"/>
      <c r="K191" s="1505"/>
      <c r="L191" s="1505"/>
      <c r="M191" s="1505"/>
      <c r="N191" s="1505"/>
      <c r="O191" s="1505"/>
      <c r="P191" s="1505"/>
      <c r="Q191" s="1505"/>
      <c r="R191" s="1505"/>
      <c r="S191" s="1505"/>
      <c r="T191" s="1505"/>
      <c r="U191" s="1505"/>
      <c r="V191" s="1505"/>
      <c r="W191" s="1505"/>
      <c r="X191" s="1505"/>
      <c r="Y191" s="1505"/>
      <c r="Z191" s="1505"/>
      <c r="AA191" s="1572"/>
      <c r="AB191" s="1505"/>
      <c r="AC191" s="1505"/>
      <c r="AD191" s="1505"/>
      <c r="AE191" s="1505"/>
      <c r="AF191" s="1505"/>
      <c r="AG191" s="1505"/>
      <c r="AH191" s="1505"/>
      <c r="AI191" s="1505"/>
      <c r="AJ191" s="1505"/>
      <c r="AK191" s="1505"/>
      <c r="AL191" s="1505"/>
      <c r="AM191" s="1505"/>
      <c r="AN191" s="1505"/>
      <c r="AO191" s="1505"/>
      <c r="AP191" s="1505"/>
      <c r="AQ191" s="1505"/>
      <c r="AR191" s="1505"/>
      <c r="AS191" s="1505"/>
      <c r="AT191" s="1505"/>
      <c r="AU191" s="1505"/>
      <c r="AV191" s="1505"/>
      <c r="AW191" s="1460"/>
    </row>
    <row r="192">
      <c r="A192" s="1564"/>
      <c r="B192" s="1565"/>
      <c r="C192" s="1566"/>
      <c r="D192" s="1567"/>
      <c r="E192" s="1567"/>
      <c r="F192" s="1567"/>
      <c r="G192" s="1567"/>
      <c r="H192" s="1569"/>
      <c r="I192" s="1569"/>
      <c r="J192" s="1570"/>
      <c r="K192" s="1570"/>
      <c r="L192" s="1570"/>
      <c r="M192" s="1570"/>
      <c r="N192" s="1570"/>
      <c r="O192" s="1570"/>
      <c r="P192" s="1570"/>
      <c r="Q192" s="1571"/>
      <c r="R192" s="1571"/>
      <c r="S192" s="1571"/>
      <c r="T192" s="1571"/>
      <c r="U192" s="1571"/>
      <c r="V192" s="1571"/>
      <c r="W192" s="1572"/>
      <c r="X192" s="1572"/>
      <c r="Y192" s="1572"/>
      <c r="Z192" s="1572"/>
      <c r="AA192" s="1505"/>
      <c r="AB192" s="1572"/>
      <c r="AC192" s="1572"/>
      <c r="AD192" s="1567"/>
      <c r="AE192" s="1567"/>
      <c r="AF192" s="1573"/>
      <c r="AG192" s="1573"/>
      <c r="AH192" s="1573"/>
      <c r="AI192" s="1573"/>
      <c r="AJ192" s="1573"/>
      <c r="AK192" s="1573"/>
      <c r="AL192" s="1573"/>
      <c r="AM192" s="1574"/>
      <c r="AN192" s="1574"/>
      <c r="AO192" s="1574"/>
      <c r="AP192" s="1574"/>
      <c r="AQ192" s="1574"/>
      <c r="AR192" s="1574"/>
      <c r="AS192" s="1574"/>
      <c r="AT192" s="1570"/>
      <c r="AU192" s="1575"/>
      <c r="AV192" s="1575"/>
      <c r="AW192" s="1480"/>
    </row>
    <row r="193">
      <c r="A193" s="1576"/>
      <c r="B193" s="1577"/>
      <c r="C193" s="1578"/>
      <c r="D193" s="1505"/>
      <c r="E193" s="1505"/>
      <c r="F193" s="1505"/>
      <c r="G193" s="1505"/>
      <c r="H193" s="1505"/>
      <c r="I193" s="1505"/>
      <c r="J193" s="1505"/>
      <c r="K193" s="1505"/>
      <c r="L193" s="1505"/>
      <c r="M193" s="1505"/>
      <c r="N193" s="1505"/>
      <c r="O193" s="1505"/>
      <c r="P193" s="1505"/>
      <c r="Q193" s="1505"/>
      <c r="R193" s="1505"/>
      <c r="S193" s="1505"/>
      <c r="T193" s="1505"/>
      <c r="U193" s="1505"/>
      <c r="V193" s="1505"/>
      <c r="W193" s="1505"/>
      <c r="X193" s="1505"/>
      <c r="Y193" s="1505"/>
      <c r="Z193" s="1505"/>
      <c r="AA193" s="1572"/>
      <c r="AB193" s="1505"/>
      <c r="AC193" s="1505"/>
      <c r="AD193" s="1505"/>
      <c r="AE193" s="1505"/>
      <c r="AF193" s="1505"/>
      <c r="AG193" s="1505"/>
      <c r="AH193" s="1505"/>
      <c r="AI193" s="1505"/>
      <c r="AJ193" s="1505"/>
      <c r="AK193" s="1505"/>
      <c r="AL193" s="1505"/>
      <c r="AM193" s="1505"/>
      <c r="AN193" s="1505"/>
      <c r="AO193" s="1505"/>
      <c r="AP193" s="1505"/>
      <c r="AQ193" s="1505"/>
      <c r="AR193" s="1505"/>
      <c r="AS193" s="1505"/>
      <c r="AT193" s="1505"/>
      <c r="AU193" s="1505"/>
      <c r="AV193" s="1505"/>
      <c r="AW193" s="1460"/>
    </row>
    <row r="194">
      <c r="A194" s="1564"/>
      <c r="B194" s="1565"/>
      <c r="C194" s="1566"/>
      <c r="D194" s="1567"/>
      <c r="E194" s="1567"/>
      <c r="F194" s="1567"/>
      <c r="G194" s="1567"/>
      <c r="H194" s="1569"/>
      <c r="I194" s="1569"/>
      <c r="J194" s="1570"/>
      <c r="K194" s="1570"/>
      <c r="L194" s="1570"/>
      <c r="M194" s="1570"/>
      <c r="N194" s="1570"/>
      <c r="O194" s="1570"/>
      <c r="P194" s="1570"/>
      <c r="Q194" s="1571"/>
      <c r="R194" s="1571"/>
      <c r="S194" s="1571"/>
      <c r="T194" s="1571"/>
      <c r="U194" s="1571"/>
      <c r="V194" s="1571"/>
      <c r="W194" s="1572"/>
      <c r="X194" s="1572"/>
      <c r="Y194" s="1572"/>
      <c r="Z194" s="1572"/>
      <c r="AA194" s="1505"/>
      <c r="AB194" s="1572"/>
      <c r="AC194" s="1572"/>
      <c r="AD194" s="1567"/>
      <c r="AE194" s="1567"/>
      <c r="AF194" s="1573"/>
      <c r="AG194" s="1573"/>
      <c r="AH194" s="1573"/>
      <c r="AI194" s="1573"/>
      <c r="AJ194" s="1573"/>
      <c r="AK194" s="1573"/>
      <c r="AL194" s="1573"/>
      <c r="AM194" s="1574"/>
      <c r="AN194" s="1574"/>
      <c r="AO194" s="1574"/>
      <c r="AP194" s="1574"/>
      <c r="AQ194" s="1574"/>
      <c r="AR194" s="1574"/>
      <c r="AS194" s="1574"/>
      <c r="AT194" s="1570"/>
      <c r="AU194" s="1575"/>
      <c r="AV194" s="1575"/>
      <c r="AW194" s="1480"/>
    </row>
    <row r="195">
      <c r="A195" s="1576"/>
      <c r="B195" s="1577"/>
      <c r="C195" s="1578"/>
      <c r="D195" s="1505"/>
      <c r="E195" s="1505"/>
      <c r="F195" s="1505"/>
      <c r="G195" s="1505"/>
      <c r="H195" s="1505"/>
      <c r="I195" s="1505"/>
      <c r="J195" s="1505"/>
      <c r="K195" s="1505"/>
      <c r="L195" s="1505"/>
      <c r="M195" s="1505"/>
      <c r="N195" s="1505"/>
      <c r="O195" s="1505"/>
      <c r="P195" s="1505"/>
      <c r="Q195" s="1505"/>
      <c r="R195" s="1505"/>
      <c r="S195" s="1505"/>
      <c r="T195" s="1505"/>
      <c r="U195" s="1505"/>
      <c r="V195" s="1505"/>
      <c r="W195" s="1505"/>
      <c r="X195" s="1505"/>
      <c r="Y195" s="1505"/>
      <c r="Z195" s="1505"/>
      <c r="AA195" s="1572"/>
      <c r="AB195" s="1505"/>
      <c r="AC195" s="1505"/>
      <c r="AD195" s="1505"/>
      <c r="AE195" s="1505"/>
      <c r="AF195" s="1505"/>
      <c r="AG195" s="1505"/>
      <c r="AH195" s="1505"/>
      <c r="AI195" s="1505"/>
      <c r="AJ195" s="1505"/>
      <c r="AK195" s="1505"/>
      <c r="AL195" s="1505"/>
      <c r="AM195" s="1505"/>
      <c r="AN195" s="1505"/>
      <c r="AO195" s="1505"/>
      <c r="AP195" s="1505"/>
      <c r="AQ195" s="1505"/>
      <c r="AR195" s="1505"/>
      <c r="AS195" s="1505"/>
      <c r="AT195" s="1505"/>
      <c r="AU195" s="1505"/>
      <c r="AV195" s="1505"/>
      <c r="AW195" s="1460"/>
    </row>
    <row r="196">
      <c r="A196" s="1564"/>
      <c r="B196" s="1565"/>
      <c r="C196" s="1566"/>
      <c r="D196" s="1567"/>
      <c r="E196" s="1567"/>
      <c r="F196" s="1567"/>
      <c r="G196" s="1567"/>
      <c r="H196" s="1569"/>
      <c r="I196" s="1569"/>
      <c r="J196" s="1570"/>
      <c r="K196" s="1570"/>
      <c r="L196" s="1570"/>
      <c r="M196" s="1570"/>
      <c r="N196" s="1570"/>
      <c r="O196" s="1570"/>
      <c r="P196" s="1570"/>
      <c r="Q196" s="1571"/>
      <c r="R196" s="1571"/>
      <c r="S196" s="1571"/>
      <c r="T196" s="1571"/>
      <c r="U196" s="1571"/>
      <c r="V196" s="1571"/>
      <c r="W196" s="1572"/>
      <c r="X196" s="1572"/>
      <c r="Y196" s="1572"/>
      <c r="Z196" s="1572"/>
      <c r="AA196" s="1505"/>
      <c r="AB196" s="1572"/>
      <c r="AC196" s="1572"/>
      <c r="AD196" s="1567"/>
      <c r="AE196" s="1567"/>
      <c r="AF196" s="1573"/>
      <c r="AG196" s="1573"/>
      <c r="AH196" s="1573"/>
      <c r="AI196" s="1573"/>
      <c r="AJ196" s="1573"/>
      <c r="AK196" s="1573"/>
      <c r="AL196" s="1573"/>
      <c r="AM196" s="1574"/>
      <c r="AN196" s="1574"/>
      <c r="AO196" s="1574"/>
      <c r="AP196" s="1574"/>
      <c r="AQ196" s="1574"/>
      <c r="AR196" s="1574"/>
      <c r="AS196" s="1574"/>
      <c r="AT196" s="1570"/>
      <c r="AU196" s="1575"/>
      <c r="AV196" s="1575"/>
      <c r="AW196" s="1480"/>
    </row>
    <row r="197">
      <c r="A197" s="1576"/>
      <c r="B197" s="1577"/>
      <c r="C197" s="1578"/>
      <c r="D197" s="1505"/>
      <c r="E197" s="1505"/>
      <c r="F197" s="1505"/>
      <c r="G197" s="1505"/>
      <c r="H197" s="1505"/>
      <c r="I197" s="1505"/>
      <c r="J197" s="1505"/>
      <c r="K197" s="1505"/>
      <c r="L197" s="1505"/>
      <c r="M197" s="1505"/>
      <c r="N197" s="1505"/>
      <c r="O197" s="1505"/>
      <c r="P197" s="1505"/>
      <c r="Q197" s="1505"/>
      <c r="R197" s="1505"/>
      <c r="S197" s="1505"/>
      <c r="T197" s="1505"/>
      <c r="U197" s="1505"/>
      <c r="V197" s="1505"/>
      <c r="W197" s="1505"/>
      <c r="X197" s="1505"/>
      <c r="Y197" s="1505"/>
      <c r="Z197" s="1505"/>
      <c r="AA197" s="1572"/>
      <c r="AB197" s="1505"/>
      <c r="AC197" s="1505"/>
      <c r="AD197" s="1505"/>
      <c r="AE197" s="1505"/>
      <c r="AF197" s="1505"/>
      <c r="AG197" s="1505"/>
      <c r="AH197" s="1505"/>
      <c r="AI197" s="1505"/>
      <c r="AJ197" s="1505"/>
      <c r="AK197" s="1505"/>
      <c r="AL197" s="1505"/>
      <c r="AM197" s="1505"/>
      <c r="AN197" s="1505"/>
      <c r="AO197" s="1505"/>
      <c r="AP197" s="1505"/>
      <c r="AQ197" s="1505"/>
      <c r="AR197" s="1505"/>
      <c r="AS197" s="1505"/>
      <c r="AT197" s="1505"/>
      <c r="AU197" s="1505"/>
      <c r="AV197" s="1505"/>
      <c r="AW197" s="1460"/>
    </row>
    <row r="198">
      <c r="A198" s="1564"/>
      <c r="B198" s="1565"/>
      <c r="C198" s="1566"/>
      <c r="D198" s="1567"/>
      <c r="E198" s="1567"/>
      <c r="F198" s="1567"/>
      <c r="G198" s="1567"/>
      <c r="H198" s="1569"/>
      <c r="I198" s="1569"/>
      <c r="J198" s="1570"/>
      <c r="K198" s="1570"/>
      <c r="L198" s="1570"/>
      <c r="M198" s="1570"/>
      <c r="N198" s="1570"/>
      <c r="O198" s="1570"/>
      <c r="P198" s="1570"/>
      <c r="Q198" s="1571"/>
      <c r="R198" s="1571"/>
      <c r="S198" s="1571"/>
      <c r="T198" s="1571"/>
      <c r="U198" s="1571"/>
      <c r="V198" s="1571"/>
      <c r="W198" s="1572"/>
      <c r="X198" s="1572"/>
      <c r="Y198" s="1572"/>
      <c r="Z198" s="1572"/>
      <c r="AA198" s="1505"/>
      <c r="AB198" s="1572"/>
      <c r="AC198" s="1572"/>
      <c r="AD198" s="1567"/>
      <c r="AE198" s="1567"/>
      <c r="AF198" s="1573"/>
      <c r="AG198" s="1573"/>
      <c r="AH198" s="1573"/>
      <c r="AI198" s="1573"/>
      <c r="AJ198" s="1573"/>
      <c r="AK198" s="1573"/>
      <c r="AL198" s="1573"/>
      <c r="AM198" s="1574"/>
      <c r="AN198" s="1574"/>
      <c r="AO198" s="1574"/>
      <c r="AP198" s="1574"/>
      <c r="AQ198" s="1574"/>
      <c r="AR198" s="1574"/>
      <c r="AS198" s="1574"/>
      <c r="AT198" s="1570"/>
      <c r="AU198" s="1575"/>
      <c r="AV198" s="1575"/>
      <c r="AW198" s="1480"/>
    </row>
    <row r="199">
      <c r="A199" s="1576"/>
      <c r="B199" s="1577"/>
      <c r="C199" s="1578"/>
      <c r="D199" s="1505"/>
      <c r="E199" s="1505"/>
      <c r="F199" s="1505"/>
      <c r="G199" s="1505"/>
      <c r="H199" s="1505"/>
      <c r="I199" s="1505"/>
      <c r="J199" s="1505"/>
      <c r="K199" s="1505"/>
      <c r="L199" s="1505"/>
      <c r="M199" s="1505"/>
      <c r="N199" s="1505"/>
      <c r="O199" s="1505"/>
      <c r="P199" s="1505"/>
      <c r="Q199" s="1505"/>
      <c r="R199" s="1505"/>
      <c r="S199" s="1505"/>
      <c r="T199" s="1505"/>
      <c r="U199" s="1505"/>
      <c r="V199" s="1505"/>
      <c r="W199" s="1505"/>
      <c r="X199" s="1505"/>
      <c r="Y199" s="1505"/>
      <c r="Z199" s="1505"/>
      <c r="AA199" s="1572"/>
      <c r="AB199" s="1505"/>
      <c r="AC199" s="1505"/>
      <c r="AD199" s="1505"/>
      <c r="AE199" s="1505"/>
      <c r="AF199" s="1505"/>
      <c r="AG199" s="1505"/>
      <c r="AH199" s="1505"/>
      <c r="AI199" s="1505"/>
      <c r="AJ199" s="1505"/>
      <c r="AK199" s="1505"/>
      <c r="AL199" s="1505"/>
      <c r="AM199" s="1505"/>
      <c r="AN199" s="1505"/>
      <c r="AO199" s="1505"/>
      <c r="AP199" s="1505"/>
      <c r="AQ199" s="1505"/>
      <c r="AR199" s="1505"/>
      <c r="AS199" s="1505"/>
      <c r="AT199" s="1505"/>
      <c r="AU199" s="1505"/>
      <c r="AV199" s="1505"/>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09" t="s">
        <v>43</v>
      </c>
      <c r="B1" s="1310" t="s">
        <v>8242</v>
      </c>
      <c r="C1" s="1311" t="s">
        <v>8243</v>
      </c>
      <c r="D1" s="1579" t="s">
        <v>10412</v>
      </c>
      <c r="E1" s="1580" t="s">
        <v>6486</v>
      </c>
      <c r="F1" s="1581" t="s">
        <v>6752</v>
      </c>
      <c r="G1" s="1582" t="s">
        <v>38</v>
      </c>
      <c r="H1" s="1583" t="s">
        <v>36</v>
      </c>
      <c r="I1" s="1579" t="s">
        <v>10413</v>
      </c>
      <c r="J1" s="1584" t="s">
        <v>39</v>
      </c>
      <c r="K1" s="1585" t="s">
        <v>6700</v>
      </c>
      <c r="L1" s="1319" t="s">
        <v>8275</v>
      </c>
      <c r="M1" s="1586" t="s">
        <v>8276</v>
      </c>
      <c r="N1" s="1587" t="s">
        <v>8277</v>
      </c>
      <c r="O1" s="1309" t="s">
        <v>8278</v>
      </c>
    </row>
    <row r="2" ht="15.75" customHeight="1">
      <c r="A2" s="1322" t="s">
        <v>8279</v>
      </c>
      <c r="B2" s="1322" t="s">
        <v>8280</v>
      </c>
      <c r="C2" s="1588">
        <v>0.04982638888888889</v>
      </c>
      <c r="D2" s="1589" t="s">
        <v>10414</v>
      </c>
      <c r="E2" s="1590" t="s">
        <v>10415</v>
      </c>
      <c r="F2" s="1591" t="s">
        <v>10416</v>
      </c>
      <c r="G2" s="1592" t="s">
        <v>10417</v>
      </c>
      <c r="H2" s="1593" t="s">
        <v>10418</v>
      </c>
      <c r="I2" s="1589" t="s">
        <v>10419</v>
      </c>
      <c r="J2" s="1594" t="s">
        <v>10420</v>
      </c>
      <c r="K2" s="1595" t="s">
        <v>10421</v>
      </c>
      <c r="L2" s="1596" t="s">
        <v>8305</v>
      </c>
      <c r="M2" s="1597">
        <v>0.0506712962962963</v>
      </c>
      <c r="N2" s="1598" t="str">
        <f t="shared" ref="N2:N36" si="1">TEXT(M2-C2, "m:ss")</f>
        <v>1:13</v>
      </c>
      <c r="O2" s="1346"/>
    </row>
    <row r="3" ht="15.75" customHeight="1">
      <c r="A3" s="1347" t="s">
        <v>8307</v>
      </c>
      <c r="B3" s="1347" t="s">
        <v>8308</v>
      </c>
      <c r="C3" s="1599">
        <v>0.051458333333333335</v>
      </c>
      <c r="D3" s="1350" t="s">
        <v>10422</v>
      </c>
      <c r="E3" s="1600" t="s">
        <v>5762</v>
      </c>
      <c r="F3" s="1352" t="s">
        <v>10423</v>
      </c>
      <c r="G3" s="1353" t="s">
        <v>10424</v>
      </c>
      <c r="H3" s="1356" t="s">
        <v>10425</v>
      </c>
      <c r="I3" s="1350" t="s">
        <v>10426</v>
      </c>
      <c r="J3" s="1358" t="s">
        <v>10427</v>
      </c>
      <c r="K3" s="1360" t="s">
        <v>10428</v>
      </c>
      <c r="L3" s="1361" t="s">
        <v>8848</v>
      </c>
      <c r="M3" s="1601">
        <v>0.05236111111111111</v>
      </c>
      <c r="N3" s="1602" t="str">
        <f t="shared" si="1"/>
        <v>1:18</v>
      </c>
    </row>
    <row r="4" ht="15.75" customHeight="1">
      <c r="A4" s="1363" t="s">
        <v>8335</v>
      </c>
      <c r="B4" s="1363" t="s">
        <v>8336</v>
      </c>
      <c r="C4" s="1603">
        <f>C21</f>
        <v>0.05158564815</v>
      </c>
      <c r="D4" s="1366" t="s">
        <v>10429</v>
      </c>
      <c r="E4" s="1604" t="s">
        <v>10430</v>
      </c>
      <c r="F4" s="1368" t="s">
        <v>10431</v>
      </c>
      <c r="G4" s="1369" t="s">
        <v>10432</v>
      </c>
      <c r="H4" s="1370" t="s">
        <v>10433</v>
      </c>
      <c r="I4" s="1366" t="s">
        <v>10434</v>
      </c>
      <c r="J4" s="1372" t="s">
        <v>10435</v>
      </c>
      <c r="K4" s="1373" t="s">
        <v>10436</v>
      </c>
      <c r="L4" s="1375" t="s">
        <v>8368</v>
      </c>
      <c r="M4" s="1605">
        <f>M21</f>
        <v>0.0521412037</v>
      </c>
      <c r="N4" s="1605" t="str">
        <f t="shared" si="1"/>
        <v>0:48</v>
      </c>
    </row>
    <row r="5" ht="15.75" customHeight="1">
      <c r="A5" s="1606" t="s">
        <v>431</v>
      </c>
      <c r="B5" s="1379" t="s">
        <v>8280</v>
      </c>
      <c r="C5" s="1607">
        <v>0.04998842592592593</v>
      </c>
      <c r="D5" s="1392" t="s">
        <v>10437</v>
      </c>
      <c r="E5" s="1608" t="s">
        <v>10415</v>
      </c>
      <c r="F5" s="1392" t="s">
        <v>10438</v>
      </c>
      <c r="G5" s="1392" t="s">
        <v>10439</v>
      </c>
      <c r="H5" s="1443" t="s">
        <v>10418</v>
      </c>
      <c r="I5" s="1392" t="s">
        <v>10440</v>
      </c>
      <c r="J5" s="1443" t="s">
        <v>10420</v>
      </c>
      <c r="K5" s="1392" t="s">
        <v>10441</v>
      </c>
      <c r="L5" s="1392" t="s">
        <v>8404</v>
      </c>
      <c r="M5" s="1392" t="s">
        <v>8386</v>
      </c>
      <c r="N5" s="1609" t="str">
        <f t="shared" si="1"/>
        <v>1:18</v>
      </c>
      <c r="O5" s="1392" t="s">
        <v>10442</v>
      </c>
    </row>
    <row r="6" ht="15.75" customHeight="1">
      <c r="A6" s="1541" t="s">
        <v>1128</v>
      </c>
      <c r="B6" s="1506" t="s">
        <v>8280</v>
      </c>
      <c r="C6" s="1610">
        <v>0.0500462962962963</v>
      </c>
      <c r="D6" s="1402" t="s">
        <v>10443</v>
      </c>
      <c r="E6" s="1402" t="s">
        <v>10444</v>
      </c>
      <c r="F6" s="1405" t="s">
        <v>10416</v>
      </c>
      <c r="G6" s="1405" t="s">
        <v>10417</v>
      </c>
      <c r="H6" s="1611" t="s">
        <v>10445</v>
      </c>
      <c r="I6" s="1392" t="s">
        <v>10446</v>
      </c>
      <c r="J6" s="1392" t="s">
        <v>10447</v>
      </c>
      <c r="K6" s="1392" t="s">
        <v>10448</v>
      </c>
      <c r="L6" s="1392" t="s">
        <v>2059</v>
      </c>
      <c r="M6" s="1612">
        <v>0.0508912037037037</v>
      </c>
      <c r="N6" s="1609" t="str">
        <f t="shared" si="1"/>
        <v>1:13</v>
      </c>
      <c r="O6" s="1392" t="s">
        <v>10449</v>
      </c>
    </row>
    <row r="7" ht="15.75" customHeight="1">
      <c r="A7" s="1576" t="s">
        <v>1936</v>
      </c>
      <c r="B7" s="1379" t="s">
        <v>8280</v>
      </c>
      <c r="C7" s="1610">
        <v>0.050150462962962966</v>
      </c>
      <c r="D7" s="1392" t="s">
        <v>10450</v>
      </c>
      <c r="E7" s="1392" t="s">
        <v>10451</v>
      </c>
      <c r="F7" s="1392" t="s">
        <v>10452</v>
      </c>
      <c r="G7" s="1392" t="s">
        <v>10453</v>
      </c>
      <c r="H7" s="1392" t="s">
        <v>10454</v>
      </c>
      <c r="I7" s="1392" t="s">
        <v>10455</v>
      </c>
      <c r="J7" s="1392" t="s">
        <v>10456</v>
      </c>
      <c r="K7" s="1443" t="s">
        <v>10421</v>
      </c>
      <c r="L7" s="1392" t="s">
        <v>10457</v>
      </c>
      <c r="M7" s="1612">
        <v>0.05077546296296296</v>
      </c>
      <c r="N7" s="1609" t="str">
        <f t="shared" si="1"/>
        <v>0:54</v>
      </c>
      <c r="O7" s="1392" t="s">
        <v>10442</v>
      </c>
    </row>
    <row r="8" ht="15.75" customHeight="1">
      <c r="A8" s="1541" t="s">
        <v>6155</v>
      </c>
      <c r="B8" s="1492" t="s">
        <v>8280</v>
      </c>
      <c r="C8" s="1613">
        <v>0.05025462962962963</v>
      </c>
      <c r="D8" s="1523" t="s">
        <v>10458</v>
      </c>
      <c r="E8" s="1400" t="s">
        <v>10459</v>
      </c>
      <c r="F8" s="1392" t="s">
        <v>10460</v>
      </c>
      <c r="G8" s="1392" t="s">
        <v>10461</v>
      </c>
      <c r="H8" s="1392" t="s">
        <v>10462</v>
      </c>
      <c r="I8" s="1392" t="s">
        <v>10242</v>
      </c>
      <c r="J8" s="1392" t="s">
        <v>10463</v>
      </c>
      <c r="K8" s="1392" t="s">
        <v>10464</v>
      </c>
      <c r="L8" s="1392" t="s">
        <v>8489</v>
      </c>
      <c r="M8" s="1443" t="s">
        <v>8490</v>
      </c>
      <c r="N8" s="1609" t="str">
        <f t="shared" si="1"/>
        <v>0:36</v>
      </c>
      <c r="O8" s="1392"/>
    </row>
    <row r="9" ht="15.75" customHeight="1">
      <c r="A9" s="1576" t="s">
        <v>6266</v>
      </c>
      <c r="B9" s="1379" t="s">
        <v>8280</v>
      </c>
      <c r="C9" s="1613">
        <v>0.050416666666666665</v>
      </c>
      <c r="D9" s="1392" t="s">
        <v>10465</v>
      </c>
      <c r="E9" s="1400" t="s">
        <v>10466</v>
      </c>
      <c r="F9" s="1402" t="s">
        <v>10467</v>
      </c>
      <c r="G9" s="1402" t="s">
        <v>10468</v>
      </c>
      <c r="H9" s="1392" t="s">
        <v>10469</v>
      </c>
      <c r="I9" s="1443" t="s">
        <v>10419</v>
      </c>
      <c r="J9" s="1392" t="s">
        <v>10470</v>
      </c>
      <c r="K9" s="1392" t="s">
        <v>10471</v>
      </c>
      <c r="L9" s="1402" t="s">
        <v>10457</v>
      </c>
      <c r="M9" s="1612">
        <v>0.0512037037037037</v>
      </c>
      <c r="N9" s="1609" t="str">
        <f t="shared" si="1"/>
        <v>1:08</v>
      </c>
      <c r="O9" s="1392" t="s">
        <v>10442</v>
      </c>
    </row>
    <row r="10" ht="15.75" customHeight="1">
      <c r="A10" s="1564" t="s">
        <v>2000</v>
      </c>
      <c r="B10" s="1379" t="s">
        <v>8280</v>
      </c>
      <c r="C10" s="1607">
        <v>0.05061342592592592</v>
      </c>
      <c r="D10" s="1443" t="s">
        <v>10414</v>
      </c>
      <c r="E10" s="1614" t="s">
        <v>10472</v>
      </c>
      <c r="F10" s="1392" t="s">
        <v>10473</v>
      </c>
      <c r="G10" s="1392" t="s">
        <v>10474</v>
      </c>
      <c r="H10" s="1392" t="s">
        <v>10475</v>
      </c>
      <c r="I10" s="1392" t="s">
        <v>10476</v>
      </c>
      <c r="J10" s="1392" t="s">
        <v>10477</v>
      </c>
      <c r="K10" s="1392" t="s">
        <v>10478</v>
      </c>
      <c r="L10" s="1392" t="s">
        <v>6185</v>
      </c>
      <c r="M10" s="1612">
        <v>0.05153935185185185</v>
      </c>
      <c r="N10" s="1609" t="str">
        <f t="shared" si="1"/>
        <v>1:20</v>
      </c>
      <c r="O10" s="1392" t="s">
        <v>10442</v>
      </c>
    </row>
    <row r="11">
      <c r="A11" s="1615" t="s">
        <v>908</v>
      </c>
      <c r="B11" s="1616" t="s">
        <v>8280</v>
      </c>
      <c r="C11" s="1613">
        <v>0.0506712962962963</v>
      </c>
      <c r="D11" s="1468" t="s">
        <v>10479</v>
      </c>
      <c r="E11" s="1400" t="s">
        <v>10480</v>
      </c>
      <c r="F11" s="1392" t="s">
        <v>10481</v>
      </c>
      <c r="G11" s="1392" t="s">
        <v>10482</v>
      </c>
      <c r="H11" s="1392" t="s">
        <v>10483</v>
      </c>
      <c r="I11" s="1392" t="s">
        <v>10484</v>
      </c>
      <c r="J11" s="1392" t="s">
        <v>10485</v>
      </c>
      <c r="K11" s="1392" t="s">
        <v>10486</v>
      </c>
      <c r="L11" s="1392" t="s">
        <v>8560</v>
      </c>
      <c r="M11" s="1612">
        <v>0.051354166666666666</v>
      </c>
      <c r="N11" s="1609" t="str">
        <f t="shared" si="1"/>
        <v>0:59</v>
      </c>
      <c r="O11" s="1392" t="s">
        <v>10487</v>
      </c>
    </row>
    <row r="12" ht="15.75" customHeight="1">
      <c r="A12" s="1606" t="s">
        <v>327</v>
      </c>
      <c r="B12" s="1379" t="s">
        <v>8280</v>
      </c>
      <c r="C12" s="1607">
        <v>0.05068287037037037</v>
      </c>
      <c r="D12" s="1392" t="s">
        <v>10488</v>
      </c>
      <c r="E12" s="1614" t="s">
        <v>10489</v>
      </c>
      <c r="F12" s="1392" t="s">
        <v>10490</v>
      </c>
      <c r="G12" s="1392" t="s">
        <v>10491</v>
      </c>
      <c r="H12" s="1392" t="s">
        <v>10492</v>
      </c>
      <c r="I12" s="1392" t="s">
        <v>10493</v>
      </c>
      <c r="J12" s="1392" t="s">
        <v>10494</v>
      </c>
      <c r="K12" s="1392" t="s">
        <v>10495</v>
      </c>
      <c r="L12" s="1417" t="s">
        <v>8305</v>
      </c>
      <c r="M12" s="1612">
        <v>0.05164351851851852</v>
      </c>
      <c r="N12" s="1609" t="str">
        <f t="shared" si="1"/>
        <v>1:23</v>
      </c>
      <c r="O12" s="1392" t="s">
        <v>10442</v>
      </c>
    </row>
    <row r="13" ht="15.75" customHeight="1">
      <c r="A13" s="1617" t="s">
        <v>2633</v>
      </c>
      <c r="B13" s="1379" t="s">
        <v>8280</v>
      </c>
      <c r="C13" s="1618">
        <v>0.05103009259259259</v>
      </c>
      <c r="D13" s="1392" t="s">
        <v>10496</v>
      </c>
      <c r="E13" s="1614" t="s">
        <v>10034</v>
      </c>
      <c r="F13" s="1392" t="s">
        <v>10497</v>
      </c>
      <c r="G13" s="1392" t="s">
        <v>10498</v>
      </c>
      <c r="H13" s="1611" t="s">
        <v>10499</v>
      </c>
      <c r="I13" s="1392" t="s">
        <v>10500</v>
      </c>
      <c r="J13" s="1392" t="s">
        <v>10501</v>
      </c>
      <c r="K13" s="1392" t="s">
        <v>10502</v>
      </c>
      <c r="L13" s="1392" t="s">
        <v>10503</v>
      </c>
      <c r="M13" s="1612">
        <v>0.051909722222222225</v>
      </c>
      <c r="N13" s="1609" t="str">
        <f t="shared" si="1"/>
        <v>1:16</v>
      </c>
      <c r="O13" s="1392" t="s">
        <v>10442</v>
      </c>
    </row>
    <row r="14" ht="15.75" customHeight="1">
      <c r="A14" s="1606" t="s">
        <v>1411</v>
      </c>
      <c r="B14" s="1379" t="s">
        <v>8280</v>
      </c>
      <c r="C14" s="1607">
        <v>0.05122685185185185</v>
      </c>
      <c r="D14" s="1392" t="s">
        <v>10504</v>
      </c>
      <c r="E14" s="1614" t="s">
        <v>8340</v>
      </c>
      <c r="F14" s="1392" t="s">
        <v>10505</v>
      </c>
      <c r="G14" s="1392" t="s">
        <v>10506</v>
      </c>
      <c r="H14" s="1392" t="s">
        <v>10417</v>
      </c>
      <c r="I14" s="1392" t="s">
        <v>8285</v>
      </c>
      <c r="J14" s="1392" t="s">
        <v>10507</v>
      </c>
      <c r="K14" s="1392" t="s">
        <v>10508</v>
      </c>
      <c r="L14" s="1392" t="s">
        <v>10509</v>
      </c>
      <c r="M14" s="1612">
        <v>0.052037037037037034</v>
      </c>
      <c r="N14" s="1609" t="str">
        <f t="shared" si="1"/>
        <v>1:10</v>
      </c>
      <c r="O14" s="1392" t="s">
        <v>10442</v>
      </c>
    </row>
    <row r="15" ht="15.75" customHeight="1">
      <c r="A15" s="1521" t="s">
        <v>1635</v>
      </c>
      <c r="B15" s="1492" t="s">
        <v>8280</v>
      </c>
      <c r="C15" s="1607">
        <v>0.05122685185185185</v>
      </c>
      <c r="D15" s="1523" t="s">
        <v>10510</v>
      </c>
      <c r="E15" s="1400" t="s">
        <v>10511</v>
      </c>
      <c r="F15" s="1392" t="s">
        <v>10512</v>
      </c>
      <c r="G15" s="1392" t="s">
        <v>10513</v>
      </c>
      <c r="H15" s="1392" t="s">
        <v>10514</v>
      </c>
      <c r="I15" s="1392" t="s">
        <v>10515</v>
      </c>
      <c r="J15" s="1392" t="s">
        <v>10516</v>
      </c>
      <c r="K15" s="1392" t="s">
        <v>10517</v>
      </c>
      <c r="L15" s="1392" t="s">
        <v>5839</v>
      </c>
      <c r="M15" s="1612">
        <v>0.05224537037037037</v>
      </c>
      <c r="N15" s="1609" t="str">
        <f t="shared" si="1"/>
        <v>1:28</v>
      </c>
      <c r="O15" s="1392" t="s">
        <v>10518</v>
      </c>
    </row>
    <row r="16" ht="15.75" customHeight="1">
      <c r="A16" s="1521" t="s">
        <v>6260</v>
      </c>
      <c r="B16" s="1492" t="s">
        <v>8280</v>
      </c>
      <c r="C16" s="1607">
        <v>0.05133101851851852</v>
      </c>
      <c r="D16" s="1392" t="s">
        <v>10519</v>
      </c>
      <c r="E16" s="1400" t="s">
        <v>10520</v>
      </c>
      <c r="F16" s="1392" t="s">
        <v>10521</v>
      </c>
      <c r="G16" s="1402" t="s">
        <v>10522</v>
      </c>
      <c r="H16" s="1402" t="s">
        <v>10523</v>
      </c>
      <c r="I16" s="1392" t="s">
        <v>10524</v>
      </c>
      <c r="J16" s="1392" t="s">
        <v>10525</v>
      </c>
      <c r="K16" s="1392" t="s">
        <v>10526</v>
      </c>
      <c r="L16" s="1392" t="s">
        <v>10527</v>
      </c>
      <c r="M16" s="1612">
        <v>0.05197916666666667</v>
      </c>
      <c r="N16" s="1609" t="str">
        <f t="shared" si="1"/>
        <v>0:56</v>
      </c>
      <c r="O16" s="1392" t="s">
        <v>10528</v>
      </c>
    </row>
    <row r="17" ht="15.75" customHeight="1">
      <c r="A17" s="1576" t="s">
        <v>8666</v>
      </c>
      <c r="B17" s="1379" t="s">
        <v>8280</v>
      </c>
      <c r="C17" s="1613">
        <v>0.05144675925925926</v>
      </c>
      <c r="D17" s="1392" t="s">
        <v>10529</v>
      </c>
      <c r="E17" s="1614" t="s">
        <v>10530</v>
      </c>
      <c r="F17" s="1392" t="s">
        <v>10531</v>
      </c>
      <c r="G17" s="1392" t="s">
        <v>10532</v>
      </c>
      <c r="H17" s="1392" t="s">
        <v>10533</v>
      </c>
      <c r="I17" s="1392" t="s">
        <v>9491</v>
      </c>
      <c r="J17" s="1392" t="s">
        <v>10534</v>
      </c>
      <c r="K17" s="1392" t="s">
        <v>10535</v>
      </c>
      <c r="L17" s="1619" t="s">
        <v>8575</v>
      </c>
      <c r="M17" s="1612">
        <v>0.05258101851851852</v>
      </c>
      <c r="N17" s="1609" t="str">
        <f t="shared" si="1"/>
        <v>1:38</v>
      </c>
      <c r="O17" s="1392" t="s">
        <v>10442</v>
      </c>
    </row>
    <row r="18" ht="15.75" customHeight="1">
      <c r="A18" s="1521" t="s">
        <v>8832</v>
      </c>
      <c r="B18" s="1492" t="s">
        <v>8308</v>
      </c>
      <c r="C18" s="1607">
        <v>0.05146990740740741</v>
      </c>
      <c r="D18" s="1620" t="s">
        <v>10422</v>
      </c>
      <c r="E18" s="1400" t="s">
        <v>9869</v>
      </c>
      <c r="F18" s="1620" t="s">
        <v>10423</v>
      </c>
      <c r="G18" s="1620" t="s">
        <v>10424</v>
      </c>
      <c r="H18" s="1620" t="s">
        <v>10425</v>
      </c>
      <c r="I18" s="1392" t="s">
        <v>10536</v>
      </c>
      <c r="J18" s="1620" t="s">
        <v>10427</v>
      </c>
      <c r="K18" s="1620" t="s">
        <v>10428</v>
      </c>
      <c r="L18" s="1621" t="s">
        <v>8848</v>
      </c>
      <c r="M18" s="1622">
        <v>0.05236111111111111</v>
      </c>
      <c r="N18" s="1609" t="str">
        <f t="shared" si="1"/>
        <v>1:17</v>
      </c>
      <c r="O18" s="1392" t="s">
        <v>10442</v>
      </c>
    </row>
    <row r="19" ht="15.75" customHeight="1">
      <c r="A19" s="1606" t="s">
        <v>822</v>
      </c>
      <c r="B19" s="1379" t="s">
        <v>8280</v>
      </c>
      <c r="C19" s="1613">
        <v>0.051550925925925924</v>
      </c>
      <c r="D19" s="1392" t="s">
        <v>10537</v>
      </c>
      <c r="E19" s="1614" t="s">
        <v>9854</v>
      </c>
      <c r="F19" s="1392" t="s">
        <v>10538</v>
      </c>
      <c r="G19" s="1392" t="s">
        <v>10539</v>
      </c>
      <c r="H19" s="1392" t="s">
        <v>10540</v>
      </c>
      <c r="I19" s="1392" t="s">
        <v>10541</v>
      </c>
      <c r="J19" s="1392" t="s">
        <v>10542</v>
      </c>
      <c r="K19" s="1392" t="s">
        <v>10543</v>
      </c>
      <c r="L19" s="1619" t="s">
        <v>10544</v>
      </c>
      <c r="M19" s="1612">
        <v>0.05229166666666667</v>
      </c>
      <c r="N19" s="1609" t="str">
        <f t="shared" si="1"/>
        <v>1:04</v>
      </c>
      <c r="O19" s="1392" t="s">
        <v>10442</v>
      </c>
    </row>
    <row r="20" ht="15.75" customHeight="1">
      <c r="A20" s="1541" t="s">
        <v>1719</v>
      </c>
      <c r="B20" s="1323" t="s">
        <v>8280</v>
      </c>
      <c r="C20" s="1613">
        <v>0.0515625</v>
      </c>
      <c r="D20" s="1623" t="s">
        <v>10545</v>
      </c>
      <c r="E20" s="1624" t="s">
        <v>10546</v>
      </c>
      <c r="F20" s="1611" t="s">
        <v>10547</v>
      </c>
      <c r="G20" s="1611" t="s">
        <v>10548</v>
      </c>
      <c r="H20" s="1611" t="s">
        <v>10549</v>
      </c>
      <c r="I20" s="1611" t="s">
        <v>8285</v>
      </c>
      <c r="J20" s="1625" t="s">
        <v>10550</v>
      </c>
      <c r="K20" s="1611" t="s">
        <v>10551</v>
      </c>
      <c r="L20" s="1626" t="s">
        <v>10552</v>
      </c>
      <c r="M20" s="1612">
        <v>0.05269675925925926</v>
      </c>
      <c r="N20" s="1609" t="str">
        <f t="shared" si="1"/>
        <v>1:38</v>
      </c>
      <c r="O20" s="1392" t="s">
        <v>10553</v>
      </c>
    </row>
    <row r="21">
      <c r="A21" s="1627" t="s">
        <v>1936</v>
      </c>
      <c r="B21" s="1506" t="s">
        <v>8336</v>
      </c>
      <c r="C21" s="1607">
        <v>0.05158564814814815</v>
      </c>
      <c r="D21" s="1628" t="s">
        <v>10429</v>
      </c>
      <c r="E21" s="1629" t="s">
        <v>10430</v>
      </c>
      <c r="F21" s="1628" t="s">
        <v>10431</v>
      </c>
      <c r="G21" s="1628" t="s">
        <v>10432</v>
      </c>
      <c r="H21" s="1628" t="s">
        <v>10433</v>
      </c>
      <c r="I21" s="1628" t="s">
        <v>10434</v>
      </c>
      <c r="J21" s="1628" t="s">
        <v>10435</v>
      </c>
      <c r="K21" s="1628" t="s">
        <v>10436</v>
      </c>
      <c r="L21" s="1628" t="s">
        <v>8368</v>
      </c>
      <c r="M21" s="1630">
        <v>0.052141203703703703</v>
      </c>
      <c r="N21" s="1609" t="str">
        <f t="shared" si="1"/>
        <v>0:48</v>
      </c>
      <c r="O21" s="1392" t="s">
        <v>10554</v>
      </c>
    </row>
    <row r="22" ht="15.75" customHeight="1">
      <c r="A22" s="1541" t="s">
        <v>3016</v>
      </c>
      <c r="B22" s="1492" t="s">
        <v>8280</v>
      </c>
      <c r="C22" s="1613">
        <v>0.051706365740740744</v>
      </c>
      <c r="D22" s="1468" t="s">
        <v>10555</v>
      </c>
      <c r="E22" s="1400" t="s">
        <v>10556</v>
      </c>
      <c r="F22" s="1392" t="s">
        <v>10557</v>
      </c>
      <c r="G22" s="1392" t="s">
        <v>10558</v>
      </c>
      <c r="H22" s="1392" t="s">
        <v>10559</v>
      </c>
      <c r="I22" s="1392" t="s">
        <v>10560</v>
      </c>
      <c r="J22" s="1392" t="s">
        <v>10561</v>
      </c>
      <c r="K22" s="1392" t="s">
        <v>10562</v>
      </c>
      <c r="L22" s="1392" t="s">
        <v>9211</v>
      </c>
      <c r="M22" s="1612">
        <v>0.0525</v>
      </c>
      <c r="N22" s="1612" t="str">
        <f t="shared" si="1"/>
        <v>1:09</v>
      </c>
      <c r="O22" s="1392"/>
    </row>
    <row r="23" ht="15.75" customHeight="1">
      <c r="A23" s="1421" t="s">
        <v>2084</v>
      </c>
      <c r="B23" s="1497" t="s">
        <v>8280</v>
      </c>
      <c r="C23" s="1613">
        <v>0.05171296296296296</v>
      </c>
      <c r="D23" s="1631" t="s">
        <v>10563</v>
      </c>
      <c r="E23" s="1631" t="s">
        <v>10564</v>
      </c>
      <c r="F23" s="1631" t="s">
        <v>10565</v>
      </c>
      <c r="G23" s="1631" t="s">
        <v>10566</v>
      </c>
      <c r="H23" s="1468" t="s">
        <v>10567</v>
      </c>
      <c r="I23" s="1631" t="s">
        <v>10568</v>
      </c>
      <c r="J23" s="1468" t="s">
        <v>10569</v>
      </c>
      <c r="K23" s="1631" t="s">
        <v>10570</v>
      </c>
      <c r="L23" s="1468" t="s">
        <v>7750</v>
      </c>
      <c r="M23" s="1612">
        <v>0.054375</v>
      </c>
      <c r="N23" s="1609" t="str">
        <f t="shared" si="1"/>
        <v>3:50</v>
      </c>
      <c r="O23" s="1392" t="s">
        <v>10571</v>
      </c>
    </row>
    <row r="24" ht="15.75" customHeight="1">
      <c r="A24" s="1521" t="s">
        <v>2922</v>
      </c>
      <c r="B24" s="1492" t="s">
        <v>8280</v>
      </c>
      <c r="C24" s="1607">
        <v>0.05180160879629629</v>
      </c>
      <c r="D24" s="1468" t="s">
        <v>10572</v>
      </c>
      <c r="E24" s="1400" t="s">
        <v>10573</v>
      </c>
      <c r="F24" s="1392" t="s">
        <v>10574</v>
      </c>
      <c r="G24" s="1392" t="s">
        <v>10575</v>
      </c>
      <c r="H24" s="1392" t="s">
        <v>10576</v>
      </c>
      <c r="I24" s="1392" t="s">
        <v>10577</v>
      </c>
      <c r="J24" s="1392" t="s">
        <v>10578</v>
      </c>
      <c r="K24" s="1392" t="s">
        <v>10579</v>
      </c>
      <c r="L24" s="1392" t="s">
        <v>10580</v>
      </c>
      <c r="M24" s="1612">
        <v>0.05303240740740741</v>
      </c>
      <c r="N24" s="1609" t="str">
        <f t="shared" si="1"/>
        <v>1:46</v>
      </c>
      <c r="O24" s="1392"/>
    </row>
    <row r="25" ht="15.75" customHeight="1">
      <c r="A25" s="1541" t="s">
        <v>1340</v>
      </c>
      <c r="B25" s="1506" t="s">
        <v>8336</v>
      </c>
      <c r="C25" s="1613">
        <v>0.052088194444444444</v>
      </c>
      <c r="D25" s="1468" t="s">
        <v>10581</v>
      </c>
      <c r="E25" s="1400" t="s">
        <v>10582</v>
      </c>
      <c r="F25" s="1392" t="s">
        <v>10583</v>
      </c>
      <c r="G25" s="1392" t="s">
        <v>10584</v>
      </c>
      <c r="H25" s="1392" t="s">
        <v>10585</v>
      </c>
      <c r="I25" s="1392" t="s">
        <v>10586</v>
      </c>
      <c r="J25" s="1392" t="s">
        <v>10587</v>
      </c>
      <c r="K25" s="1392" t="s">
        <v>10588</v>
      </c>
      <c r="L25" s="1392" t="s">
        <v>9481</v>
      </c>
      <c r="M25" s="1612">
        <v>0.053043981481481484</v>
      </c>
      <c r="N25" s="1609" t="str">
        <f t="shared" si="1"/>
        <v>1:23</v>
      </c>
      <c r="O25" s="1392" t="s">
        <v>10442</v>
      </c>
    </row>
    <row r="26" ht="15.75" customHeight="1">
      <c r="A26" s="1541" t="s">
        <v>2525</v>
      </c>
      <c r="B26" s="1492" t="s">
        <v>8308</v>
      </c>
      <c r="C26" s="1613">
        <v>0.05215277777777778</v>
      </c>
      <c r="D26" s="1392" t="s">
        <v>10589</v>
      </c>
      <c r="E26" s="1620" t="s">
        <v>5762</v>
      </c>
      <c r="F26" s="1392" t="s">
        <v>10590</v>
      </c>
      <c r="G26" s="1392" t="s">
        <v>10591</v>
      </c>
      <c r="H26" s="1392" t="s">
        <v>10592</v>
      </c>
      <c r="I26" s="1392" t="s">
        <v>10593</v>
      </c>
      <c r="J26" s="1392" t="s">
        <v>10594</v>
      </c>
      <c r="K26" s="1392" t="s">
        <v>10595</v>
      </c>
      <c r="L26" s="1392" t="s">
        <v>9264</v>
      </c>
      <c r="M26" s="1612">
        <v>0.05399305555555556</v>
      </c>
      <c r="N26" s="1609" t="str">
        <f t="shared" si="1"/>
        <v>2:39</v>
      </c>
      <c r="O26" s="1392" t="s">
        <v>10596</v>
      </c>
    </row>
    <row r="27" ht="15.75" customHeight="1">
      <c r="A27" s="1521" t="s">
        <v>2812</v>
      </c>
      <c r="B27" s="1492" t="s">
        <v>8280</v>
      </c>
      <c r="C27" s="1632">
        <v>0.05216435185185185</v>
      </c>
      <c r="D27" s="1392" t="s">
        <v>10597</v>
      </c>
      <c r="E27" s="1400" t="s">
        <v>10598</v>
      </c>
      <c r="F27" s="1392" t="s">
        <v>10599</v>
      </c>
      <c r="G27" s="1392" t="s">
        <v>10600</v>
      </c>
      <c r="H27" s="1392" t="s">
        <v>10601</v>
      </c>
      <c r="I27" s="1392" t="s">
        <v>10602</v>
      </c>
      <c r="J27" s="1392" t="s">
        <v>10603</v>
      </c>
      <c r="K27" s="1392" t="s">
        <v>10604</v>
      </c>
      <c r="L27" s="1392" t="s">
        <v>10605</v>
      </c>
      <c r="M27" s="1633">
        <v>0.05337962962962963</v>
      </c>
      <c r="N27" s="1609" t="str">
        <f t="shared" si="1"/>
        <v>1:45</v>
      </c>
      <c r="O27" s="1392" t="s">
        <v>10606</v>
      </c>
    </row>
    <row r="28" ht="15.75" customHeight="1">
      <c r="A28" s="1541" t="s">
        <v>734</v>
      </c>
      <c r="B28" s="1492" t="s">
        <v>8308</v>
      </c>
      <c r="C28" s="1613">
        <v>0.05224537037037037</v>
      </c>
      <c r="D28" s="1392" t="s">
        <v>10607</v>
      </c>
      <c r="E28" s="1634" t="s">
        <v>10608</v>
      </c>
      <c r="F28" s="1392" t="s">
        <v>10609</v>
      </c>
      <c r="G28" s="1392" t="s">
        <v>10610</v>
      </c>
      <c r="H28" s="1392" t="s">
        <v>10611</v>
      </c>
      <c r="I28" s="1620" t="s">
        <v>10426</v>
      </c>
      <c r="J28" s="1392" t="s">
        <v>10612</v>
      </c>
      <c r="K28" s="1402" t="s">
        <v>10613</v>
      </c>
      <c r="L28" s="1392" t="s">
        <v>10614</v>
      </c>
      <c r="M28" s="1612">
        <v>0.053043981481481484</v>
      </c>
      <c r="N28" s="1609" t="str">
        <f t="shared" si="1"/>
        <v>1:09</v>
      </c>
      <c r="O28" s="1392" t="s">
        <v>10615</v>
      </c>
    </row>
    <row r="29" ht="15.75" customHeight="1">
      <c r="A29" s="1521" t="s">
        <v>2922</v>
      </c>
      <c r="B29" s="1506" t="s">
        <v>8308</v>
      </c>
      <c r="C29" s="1607">
        <v>0.052316898148148154</v>
      </c>
      <c r="D29" s="1468" t="s">
        <v>10616</v>
      </c>
      <c r="E29" s="1400" t="s">
        <v>10617</v>
      </c>
      <c r="F29" s="1392" t="s">
        <v>10618</v>
      </c>
      <c r="G29" s="1392" t="s">
        <v>10619</v>
      </c>
      <c r="H29" s="1392" t="s">
        <v>10620</v>
      </c>
      <c r="I29" s="1392" t="s">
        <v>10621</v>
      </c>
      <c r="J29" s="1392" t="s">
        <v>10622</v>
      </c>
      <c r="K29" s="1392" t="s">
        <v>10623</v>
      </c>
      <c r="L29" s="1392" t="s">
        <v>8928</v>
      </c>
      <c r="M29" s="1612">
        <v>0.0537625</v>
      </c>
      <c r="N29" s="1609" t="str">
        <f t="shared" si="1"/>
        <v>2:05</v>
      </c>
      <c r="O29" s="1392" t="s">
        <v>10442</v>
      </c>
    </row>
    <row r="30" ht="15.75" customHeight="1">
      <c r="A30" s="1541" t="s">
        <v>3788</v>
      </c>
      <c r="B30" s="1492" t="s">
        <v>8280</v>
      </c>
      <c r="C30" s="1613">
        <v>0.05238425925925926</v>
      </c>
      <c r="D30" s="1523" t="s">
        <v>10624</v>
      </c>
      <c r="E30" s="1400" t="s">
        <v>10598</v>
      </c>
      <c r="F30" s="1392" t="s">
        <v>10625</v>
      </c>
      <c r="G30" s="1626" t="s">
        <v>10626</v>
      </c>
      <c r="H30" s="1392" t="s">
        <v>10627</v>
      </c>
      <c r="I30" s="1392" t="s">
        <v>10628</v>
      </c>
      <c r="J30" s="1392" t="s">
        <v>10629</v>
      </c>
      <c r="K30" s="1392" t="s">
        <v>10630</v>
      </c>
      <c r="L30" s="1392" t="s">
        <v>9537</v>
      </c>
      <c r="M30" s="1612">
        <v>0.05340277777777778</v>
      </c>
      <c r="N30" s="1609" t="str">
        <f t="shared" si="1"/>
        <v>1:28</v>
      </c>
      <c r="O30" s="1392" t="s">
        <v>10631</v>
      </c>
    </row>
    <row r="31">
      <c r="A31" s="1627" t="s">
        <v>3937</v>
      </c>
      <c r="B31" s="1627" t="s">
        <v>8280</v>
      </c>
      <c r="C31" s="1607">
        <v>0.05253472222222222</v>
      </c>
      <c r="D31" s="1623" t="s">
        <v>10632</v>
      </c>
      <c r="E31" s="1624" t="s">
        <v>8964</v>
      </c>
      <c r="F31" s="1611" t="s">
        <v>10633</v>
      </c>
      <c r="G31" s="1611" t="s">
        <v>10634</v>
      </c>
      <c r="H31" s="1611" t="s">
        <v>10635</v>
      </c>
      <c r="I31" s="1611" t="s">
        <v>10636</v>
      </c>
      <c r="J31" s="1611" t="s">
        <v>10637</v>
      </c>
      <c r="K31" s="1611" t="s">
        <v>10638</v>
      </c>
      <c r="L31" s="1611" t="s">
        <v>9519</v>
      </c>
      <c r="M31" s="1612">
        <v>0.05365740740740741</v>
      </c>
      <c r="N31" s="1612" t="str">
        <f t="shared" si="1"/>
        <v>1:37</v>
      </c>
      <c r="O31" s="1392"/>
    </row>
    <row r="32" ht="15.75" customHeight="1">
      <c r="A32" s="1616" t="s">
        <v>7627</v>
      </c>
      <c r="B32" s="1492" t="s">
        <v>8280</v>
      </c>
      <c r="C32" s="1613">
        <v>0.05258101851851852</v>
      </c>
      <c r="D32" s="1392" t="s">
        <v>10639</v>
      </c>
      <c r="E32" s="1400" t="s">
        <v>10640</v>
      </c>
      <c r="F32" s="1392" t="s">
        <v>10641</v>
      </c>
      <c r="G32" s="1392" t="s">
        <v>10642</v>
      </c>
      <c r="H32" s="1392" t="s">
        <v>10643</v>
      </c>
      <c r="I32" s="1392" t="s">
        <v>10644</v>
      </c>
      <c r="J32" s="1392" t="s">
        <v>10645</v>
      </c>
      <c r="K32" s="1392" t="s">
        <v>10646</v>
      </c>
      <c r="L32" s="1392" t="s">
        <v>10647</v>
      </c>
      <c r="M32" s="1612">
        <v>0.05425925925925926</v>
      </c>
      <c r="N32" s="1609" t="str">
        <f t="shared" si="1"/>
        <v>2:25</v>
      </c>
      <c r="O32" s="1392" t="s">
        <v>10648</v>
      </c>
    </row>
    <row r="33" ht="15.75" customHeight="1">
      <c r="A33" s="1521" t="s">
        <v>9564</v>
      </c>
      <c r="B33" s="1492" t="s">
        <v>8280</v>
      </c>
      <c r="C33" s="1607">
        <v>0.05268518518518518</v>
      </c>
      <c r="D33" s="1468" t="s">
        <v>10649</v>
      </c>
      <c r="E33" s="1400" t="s">
        <v>10650</v>
      </c>
      <c r="F33" s="1392" t="s">
        <v>10651</v>
      </c>
      <c r="G33" s="1392" t="s">
        <v>10652</v>
      </c>
      <c r="H33" s="1392" t="s">
        <v>10653</v>
      </c>
      <c r="I33" s="1392" t="s">
        <v>10654</v>
      </c>
      <c r="J33" s="1392" t="s">
        <v>10655</v>
      </c>
      <c r="K33" s="1392" t="s">
        <v>10656</v>
      </c>
      <c r="L33" s="1392" t="s">
        <v>9581</v>
      </c>
      <c r="M33" s="1612">
        <v>0.05331018518518518</v>
      </c>
      <c r="N33" s="1609" t="str">
        <f t="shared" si="1"/>
        <v>0:54</v>
      </c>
      <c r="O33" s="1392" t="s">
        <v>10657</v>
      </c>
    </row>
    <row r="34" ht="15.75" customHeight="1">
      <c r="A34" s="1541" t="s">
        <v>982</v>
      </c>
      <c r="B34" s="1347" t="s">
        <v>8308</v>
      </c>
      <c r="C34" s="1613">
        <v>0.05378472222222222</v>
      </c>
      <c r="D34" s="1468" t="s">
        <v>10658</v>
      </c>
      <c r="E34" s="1400" t="s">
        <v>10659</v>
      </c>
      <c r="F34" s="1392" t="s">
        <v>10660</v>
      </c>
      <c r="G34" s="1392" t="s">
        <v>10661</v>
      </c>
      <c r="H34" s="1392" t="s">
        <v>10662</v>
      </c>
      <c r="I34" s="1392" t="s">
        <v>7864</v>
      </c>
      <c r="J34" s="1392" t="s">
        <v>10663</v>
      </c>
      <c r="K34" s="1392" t="s">
        <v>10664</v>
      </c>
      <c r="L34" s="1392" t="s">
        <v>9314</v>
      </c>
      <c r="M34" s="1612">
        <v>0.054560185185185184</v>
      </c>
      <c r="N34" s="1609" t="str">
        <f t="shared" si="1"/>
        <v>1:07</v>
      </c>
      <c r="O34" s="1392"/>
    </row>
    <row r="35" ht="15.75" customHeight="1">
      <c r="A35" s="1541" t="s">
        <v>4785</v>
      </c>
      <c r="B35" s="1506" t="s">
        <v>8308</v>
      </c>
      <c r="C35" s="1613">
        <v>0.05748842592592593</v>
      </c>
      <c r="D35" s="1468" t="s">
        <v>10665</v>
      </c>
      <c r="E35" s="1400" t="s">
        <v>10666</v>
      </c>
      <c r="F35" s="1392" t="s">
        <v>10667</v>
      </c>
      <c r="G35" s="1392" t="s">
        <v>10668</v>
      </c>
      <c r="H35" s="1392" t="s">
        <v>10669</v>
      </c>
      <c r="I35" s="1392" t="s">
        <v>10670</v>
      </c>
      <c r="J35" s="1392" t="s">
        <v>10671</v>
      </c>
      <c r="K35" s="1392" t="s">
        <v>10672</v>
      </c>
      <c r="L35" s="1392" t="s">
        <v>10354</v>
      </c>
      <c r="M35" s="1612">
        <v>0.06149305555555556</v>
      </c>
      <c r="N35" s="1609" t="str">
        <f t="shared" si="1"/>
        <v>5:46</v>
      </c>
      <c r="O35" s="1392" t="s">
        <v>10442</v>
      </c>
    </row>
    <row r="36" ht="15.75" customHeight="1">
      <c r="A36" s="1521" t="s">
        <v>2212</v>
      </c>
      <c r="B36" s="1492" t="s">
        <v>8280</v>
      </c>
      <c r="C36" s="1607">
        <v>0.0499537037037037</v>
      </c>
      <c r="D36" s="1468" t="s">
        <v>10673</v>
      </c>
      <c r="E36" s="1400" t="s">
        <v>10674</v>
      </c>
      <c r="F36" s="1392" t="s">
        <v>10675</v>
      </c>
      <c r="G36" s="1392" t="s">
        <v>10676</v>
      </c>
      <c r="H36" s="1392" t="s">
        <v>10677</v>
      </c>
      <c r="I36" s="1392" t="s">
        <v>10678</v>
      </c>
      <c r="J36" s="1392" t="s">
        <v>10679</v>
      </c>
      <c r="K36" s="1392" t="s">
        <v>10680</v>
      </c>
      <c r="L36" s="1392" t="s">
        <v>2946</v>
      </c>
      <c r="M36" s="1612">
        <v>0.05228009259259259</v>
      </c>
      <c r="N36" s="1609" t="str">
        <f t="shared" si="1"/>
        <v>3:21</v>
      </c>
      <c r="O36" s="1392" t="s">
        <v>10681</v>
      </c>
    </row>
    <row r="37" ht="15.75" customHeight="1">
      <c r="A37" s="1521"/>
      <c r="B37" s="1507"/>
      <c r="C37" s="1635"/>
      <c r="D37" s="1636"/>
      <c r="E37" s="1614"/>
      <c r="F37" s="1392"/>
      <c r="G37" s="1392"/>
      <c r="H37" s="1392"/>
      <c r="I37" s="1392"/>
      <c r="J37" s="1392"/>
      <c r="K37" s="1392"/>
      <c r="L37" s="1392"/>
      <c r="M37" s="1612"/>
      <c r="N37" s="1612"/>
      <c r="O37" s="1392"/>
    </row>
    <row r="38" ht="15.75" customHeight="1">
      <c r="A38" s="1541"/>
      <c r="B38" s="1441"/>
      <c r="C38" s="1637"/>
      <c r="D38" s="1460"/>
      <c r="E38" s="1614"/>
      <c r="F38" s="1392"/>
      <c r="G38" s="1392"/>
      <c r="H38" s="1392"/>
      <c r="I38" s="1392"/>
      <c r="J38" s="1392"/>
      <c r="K38" s="1392"/>
      <c r="L38" s="1392"/>
      <c r="M38" s="1612"/>
      <c r="N38" s="1612"/>
      <c r="O38" s="1392"/>
    </row>
    <row r="39">
      <c r="A39" s="1616"/>
      <c r="B39" s="1616"/>
      <c r="C39" s="1607"/>
      <c r="D39" s="1636"/>
      <c r="E39" s="1614"/>
      <c r="F39" s="1392"/>
      <c r="G39" s="1392"/>
      <c r="H39" s="1392"/>
      <c r="I39" s="1392"/>
      <c r="J39" s="1392"/>
      <c r="K39" s="1392"/>
      <c r="L39" s="1392"/>
      <c r="M39" s="1612"/>
      <c r="N39" s="1612"/>
      <c r="O39" s="1392"/>
    </row>
    <row r="40" ht="15.75" customHeight="1">
      <c r="A40" s="1564"/>
      <c r="B40" s="1441"/>
      <c r="C40" s="1607"/>
      <c r="D40" s="1460"/>
      <c r="E40" s="1614"/>
      <c r="F40" s="1392"/>
      <c r="G40" s="1392"/>
      <c r="H40" s="1392"/>
      <c r="I40" s="1392"/>
      <c r="J40" s="1392"/>
      <c r="K40" s="1392"/>
      <c r="L40" s="1392"/>
      <c r="M40" s="1612"/>
      <c r="N40" s="1612"/>
      <c r="O40" s="1392"/>
    </row>
    <row r="41">
      <c r="A41" s="1521"/>
      <c r="B41" s="1521"/>
      <c r="C41" s="1607"/>
      <c r="D41" s="1636"/>
      <c r="E41" s="1614"/>
      <c r="F41" s="1392"/>
      <c r="G41" s="1392"/>
      <c r="H41" s="1392"/>
      <c r="I41" s="1392"/>
      <c r="J41" s="1392"/>
      <c r="K41" s="1392"/>
      <c r="L41" s="1392"/>
      <c r="M41" s="1612"/>
      <c r="N41" s="1612"/>
      <c r="O41" s="1392"/>
    </row>
    <row r="42" ht="15.75" customHeight="1">
      <c r="A42" s="1576"/>
      <c r="B42" s="1441"/>
      <c r="C42" s="1637"/>
      <c r="D42" s="1460"/>
      <c r="E42" s="1614"/>
      <c r="F42" s="1392"/>
      <c r="G42" s="1392"/>
      <c r="H42" s="1392"/>
      <c r="I42" s="1392"/>
      <c r="J42" s="1392"/>
      <c r="K42" s="1392"/>
      <c r="L42" s="1392"/>
      <c r="M42" s="1612"/>
      <c r="N42" s="1612"/>
      <c r="O42" s="1392"/>
    </row>
    <row r="43" ht="15.75" customHeight="1">
      <c r="A43" s="1564"/>
      <c r="B43" s="1379"/>
      <c r="C43" s="1635"/>
      <c r="D43" s="1636"/>
      <c r="E43" s="1614"/>
      <c r="F43" s="1392"/>
      <c r="G43" s="1392"/>
      <c r="H43" s="1392"/>
      <c r="I43" s="1392"/>
      <c r="J43" s="1392"/>
      <c r="K43" s="1392"/>
      <c r="L43" s="1392"/>
      <c r="M43" s="1612"/>
      <c r="N43" s="1612"/>
      <c r="O43" s="1392"/>
    </row>
    <row r="44">
      <c r="A44" s="1627"/>
      <c r="B44" s="1627"/>
      <c r="C44" s="1607"/>
      <c r="D44" s="1460"/>
      <c r="E44" s="1614"/>
      <c r="F44" s="1392"/>
      <c r="G44" s="1392"/>
      <c r="H44" s="1392"/>
      <c r="I44" s="1392"/>
      <c r="J44" s="1392"/>
      <c r="K44" s="1392"/>
      <c r="L44" s="1392"/>
      <c r="M44" s="1612"/>
      <c r="N44" s="1612"/>
      <c r="O44" s="1392"/>
    </row>
    <row r="45" ht="15.75" customHeight="1">
      <c r="A45" s="1521"/>
      <c r="B45" s="1492"/>
      <c r="C45" s="1607"/>
      <c r="D45" s="1636"/>
      <c r="E45" s="1614"/>
      <c r="F45" s="1392"/>
      <c r="G45" s="1392"/>
      <c r="H45" s="1392"/>
      <c r="I45" s="1392"/>
      <c r="J45" s="1392"/>
      <c r="K45" s="1392"/>
      <c r="L45" s="1392"/>
      <c r="M45" s="1612"/>
      <c r="N45" s="1612"/>
      <c r="O45" s="1392"/>
    </row>
    <row r="46" ht="15.75" customHeight="1">
      <c r="A46" s="1564"/>
      <c r="B46" s="1507"/>
      <c r="C46" s="1635"/>
      <c r="D46" s="1460"/>
      <c r="E46" s="1614"/>
      <c r="F46" s="1392"/>
      <c r="G46" s="1392"/>
      <c r="H46" s="1392"/>
      <c r="I46" s="1392"/>
      <c r="J46" s="1392"/>
      <c r="K46" s="1392"/>
      <c r="L46" s="1392"/>
      <c r="M46" s="1612"/>
      <c r="N46" s="1612"/>
      <c r="O46" s="1392"/>
    </row>
    <row r="47">
      <c r="A47" s="1616"/>
      <c r="B47" s="1616"/>
      <c r="C47" s="1638"/>
      <c r="D47" s="1636"/>
      <c r="E47" s="1614"/>
      <c r="F47" s="1392"/>
      <c r="G47" s="1392"/>
      <c r="H47" s="1392"/>
      <c r="I47" s="1392"/>
      <c r="J47" s="1392"/>
      <c r="K47" s="1392"/>
      <c r="L47" s="1392"/>
      <c r="M47" s="1612"/>
      <c r="N47" s="1612"/>
      <c r="O47" s="1392"/>
    </row>
    <row r="48" ht="15.75" customHeight="1">
      <c r="A48" s="1576"/>
      <c r="B48" s="1379"/>
      <c r="C48" s="1637"/>
      <c r="D48" s="1460"/>
      <c r="E48" s="1614"/>
      <c r="F48" s="1392"/>
      <c r="G48" s="1392"/>
      <c r="H48" s="1392"/>
      <c r="I48" s="1392"/>
      <c r="J48" s="1392"/>
      <c r="K48" s="1392"/>
      <c r="L48" s="1392"/>
      <c r="M48" s="1612"/>
      <c r="N48" s="1612"/>
      <c r="O48" s="1392"/>
    </row>
    <row r="49" ht="15.75" customHeight="1">
      <c r="A49" s="1564"/>
      <c r="B49" s="1379"/>
      <c r="C49" s="1635"/>
      <c r="D49" s="1636"/>
      <c r="E49" s="1614"/>
      <c r="F49" s="1392"/>
      <c r="G49" s="1392"/>
      <c r="H49" s="1392"/>
      <c r="I49" s="1392"/>
      <c r="J49" s="1392"/>
      <c r="K49" s="1392"/>
      <c r="L49" s="1392"/>
      <c r="M49" s="1612"/>
      <c r="N49" s="1612"/>
      <c r="O49" s="1392"/>
    </row>
    <row r="50" ht="15.75" customHeight="1">
      <c r="A50" s="1627"/>
      <c r="B50" s="1627"/>
      <c r="C50" s="1607"/>
      <c r="D50" s="1460"/>
      <c r="E50" s="1614"/>
      <c r="F50" s="1392"/>
      <c r="G50" s="1392"/>
      <c r="H50" s="1392"/>
      <c r="I50" s="1392"/>
      <c r="J50" s="1392"/>
      <c r="K50" s="1392"/>
      <c r="L50" s="1392"/>
      <c r="M50" s="1612"/>
      <c r="N50" s="1612"/>
      <c r="O50" s="1392"/>
    </row>
    <row r="51" ht="15.75" customHeight="1">
      <c r="A51" s="1576"/>
      <c r="B51" s="1441"/>
      <c r="C51" s="1637"/>
      <c r="D51" s="1636"/>
      <c r="E51" s="1614"/>
      <c r="F51" s="1392"/>
      <c r="G51" s="1392"/>
      <c r="H51" s="1392"/>
      <c r="I51" s="1392"/>
      <c r="J51" s="1392"/>
      <c r="K51" s="1392"/>
      <c r="L51" s="1392"/>
      <c r="M51" s="1612"/>
      <c r="N51" s="1612"/>
      <c r="O51" s="1392"/>
    </row>
    <row r="52" ht="15.75" customHeight="1">
      <c r="A52" s="1564"/>
      <c r="B52" s="1507"/>
      <c r="C52" s="1635"/>
      <c r="D52" s="1460"/>
      <c r="E52" s="1614"/>
      <c r="F52" s="1392"/>
      <c r="G52" s="1392"/>
      <c r="H52" s="1392"/>
      <c r="I52" s="1392"/>
      <c r="J52" s="1392"/>
      <c r="K52" s="1392"/>
      <c r="L52" s="1392"/>
      <c r="M52" s="1612"/>
      <c r="N52" s="1612"/>
      <c r="O52" s="1392"/>
    </row>
    <row r="53" ht="15.75" customHeight="1">
      <c r="A53" s="1627"/>
      <c r="B53" s="1492"/>
      <c r="C53" s="1607"/>
      <c r="D53" s="1636"/>
      <c r="E53" s="1614"/>
      <c r="F53" s="1392"/>
      <c r="G53" s="1392"/>
      <c r="H53" s="1392"/>
      <c r="I53" s="1392"/>
      <c r="J53" s="1392"/>
      <c r="K53" s="1392"/>
      <c r="L53" s="1392"/>
      <c r="M53" s="1612"/>
      <c r="N53" s="1612"/>
      <c r="O53" s="1392"/>
    </row>
    <row r="54" ht="15.75" customHeight="1">
      <c r="A54" s="1521"/>
      <c r="B54" s="1506"/>
      <c r="C54" s="1607"/>
      <c r="D54" s="1460"/>
      <c r="E54" s="1614"/>
      <c r="F54" s="1392"/>
      <c r="G54" s="1392"/>
      <c r="H54" s="1392"/>
      <c r="I54" s="1392"/>
      <c r="J54" s="1392"/>
      <c r="K54" s="1392"/>
      <c r="L54" s="1392"/>
      <c r="M54" s="1612"/>
      <c r="N54" s="1612"/>
      <c r="O54" s="1392"/>
    </row>
    <row r="55" ht="15.75" customHeight="1">
      <c r="A55" s="1627"/>
      <c r="B55" s="1627"/>
      <c r="C55" s="1607"/>
      <c r="D55" s="1636"/>
      <c r="E55" s="1614"/>
      <c r="F55" s="1392"/>
      <c r="G55" s="1392"/>
      <c r="H55" s="1392"/>
      <c r="I55" s="1392"/>
      <c r="J55" s="1392"/>
      <c r="K55" s="1392"/>
      <c r="L55" s="1392"/>
      <c r="M55" s="1612"/>
      <c r="N55" s="1612"/>
      <c r="O55" s="1392"/>
    </row>
    <row r="56" ht="15.75" customHeight="1">
      <c r="A56" s="1564"/>
      <c r="B56" s="1507"/>
      <c r="C56" s="1635"/>
      <c r="D56" s="1460"/>
      <c r="E56" s="1614"/>
      <c r="F56" s="1392"/>
      <c r="G56" s="1392"/>
      <c r="H56" s="1392"/>
      <c r="I56" s="1392"/>
      <c r="J56" s="1392"/>
      <c r="K56" s="1392"/>
      <c r="L56" s="1392"/>
      <c r="M56" s="1612"/>
      <c r="N56" s="1612"/>
      <c r="O56" s="1392"/>
    </row>
    <row r="57" ht="16.5" customHeight="1">
      <c r="A57" s="1576"/>
      <c r="B57" s="1507"/>
      <c r="C57" s="1637"/>
      <c r="D57" s="1636"/>
      <c r="E57" s="1614"/>
      <c r="F57" s="1392"/>
      <c r="G57" s="1392"/>
      <c r="H57" s="1392"/>
      <c r="I57" s="1392"/>
      <c r="J57" s="1392"/>
      <c r="K57" s="1392"/>
      <c r="L57" s="1392"/>
      <c r="M57" s="1612"/>
      <c r="N57" s="1612"/>
      <c r="O57" s="1392"/>
    </row>
    <row r="58">
      <c r="A58" s="1627"/>
      <c r="B58" s="1627"/>
      <c r="C58" s="1613"/>
      <c r="D58" s="1460"/>
      <c r="E58" s="1614"/>
      <c r="F58" s="1392"/>
      <c r="G58" s="1392"/>
      <c r="H58" s="1392"/>
      <c r="I58" s="1392"/>
      <c r="J58" s="1392"/>
      <c r="K58" s="1392"/>
      <c r="L58" s="1392"/>
      <c r="M58" s="1612"/>
      <c r="N58" s="1612"/>
      <c r="O58" s="1392"/>
    </row>
    <row r="59">
      <c r="A59" s="1616"/>
      <c r="B59" s="1497"/>
      <c r="C59" s="1613"/>
      <c r="D59" s="1460"/>
      <c r="E59" s="1614"/>
      <c r="F59" s="1392"/>
      <c r="G59" s="1392"/>
      <c r="H59" s="1392"/>
      <c r="I59" s="1392"/>
      <c r="J59" s="1392"/>
      <c r="K59" s="1392"/>
      <c r="L59" s="1392"/>
      <c r="M59" s="1612"/>
      <c r="N59" s="1612"/>
      <c r="O59" s="1392"/>
    </row>
    <row r="60">
      <c r="A60" s="1627"/>
      <c r="B60" s="1627"/>
      <c r="C60" s="1607"/>
      <c r="D60" s="1392"/>
      <c r="E60" s="1614"/>
      <c r="F60" s="1392"/>
      <c r="G60" s="1392"/>
      <c r="H60" s="1392"/>
      <c r="I60" s="1392"/>
      <c r="J60" s="1392"/>
      <c r="K60" s="1392"/>
      <c r="L60" s="1392"/>
      <c r="M60" s="1612"/>
      <c r="N60" s="1612"/>
      <c r="O60" s="1392"/>
    </row>
    <row r="61">
      <c r="A61" s="1564"/>
      <c r="B61" s="1441"/>
      <c r="C61" s="1635"/>
      <c r="D61" s="1392"/>
      <c r="E61" s="1614"/>
      <c r="F61" s="1392"/>
      <c r="G61" s="1392"/>
      <c r="H61" s="1392"/>
      <c r="I61" s="1392"/>
      <c r="J61" s="1392"/>
      <c r="K61" s="1392"/>
      <c r="L61" s="1392"/>
      <c r="M61" s="1612"/>
      <c r="N61" s="1612"/>
      <c r="O61" s="1392"/>
    </row>
    <row r="62">
      <c r="A62" s="1639"/>
      <c r="B62" s="1639"/>
      <c r="C62" s="1640"/>
      <c r="D62" s="1641"/>
      <c r="E62" s="1642"/>
      <c r="F62" s="1643"/>
      <c r="G62" s="1644"/>
      <c r="H62" s="1645"/>
      <c r="I62" s="1646"/>
      <c r="J62" s="1647"/>
      <c r="K62" s="1648"/>
      <c r="L62" s="1643"/>
      <c r="M62" s="1649"/>
      <c r="N62" s="1649"/>
      <c r="O62" s="1650"/>
    </row>
    <row r="63">
      <c r="A63" s="1651"/>
      <c r="B63" s="1651"/>
      <c r="C63" s="1652"/>
      <c r="D63" s="1641"/>
      <c r="E63" s="1653"/>
      <c r="F63" s="1654"/>
      <c r="G63" s="1654"/>
      <c r="H63" s="1654"/>
      <c r="I63" s="1654"/>
      <c r="J63" s="1654"/>
      <c r="K63" s="1654"/>
      <c r="L63" s="1654"/>
      <c r="M63" s="1655"/>
      <c r="N63" s="1655"/>
      <c r="O63" s="1656"/>
    </row>
    <row r="64">
      <c r="A64" s="1639"/>
      <c r="B64" s="1639"/>
      <c r="C64" s="1640"/>
      <c r="D64" s="1641"/>
      <c r="E64" s="1642"/>
      <c r="F64" s="1643"/>
      <c r="G64" s="1644"/>
      <c r="H64" s="1645"/>
      <c r="I64" s="1646"/>
      <c r="J64" s="1647"/>
      <c r="K64" s="1648"/>
      <c r="L64" s="1643"/>
      <c r="M64" s="1649"/>
      <c r="N64" s="1649"/>
      <c r="O64" s="1650"/>
    </row>
    <row r="65">
      <c r="A65" s="1651"/>
      <c r="B65" s="1651"/>
      <c r="C65" s="1652"/>
      <c r="D65" s="1641"/>
      <c r="E65" s="1653"/>
      <c r="F65" s="1654"/>
      <c r="G65" s="1654"/>
      <c r="H65" s="1654"/>
      <c r="I65" s="1654"/>
      <c r="J65" s="1654"/>
      <c r="K65" s="1654"/>
      <c r="L65" s="1654"/>
      <c r="M65" s="1655"/>
      <c r="N65" s="1655"/>
      <c r="O65" s="1656"/>
    </row>
    <row r="66">
      <c r="A66" s="1639"/>
      <c r="B66" s="1639"/>
      <c r="C66" s="1640"/>
      <c r="D66" s="1641"/>
      <c r="E66" s="1642"/>
      <c r="F66" s="1643"/>
      <c r="G66" s="1644"/>
      <c r="H66" s="1645"/>
      <c r="I66" s="1646"/>
      <c r="J66" s="1647"/>
      <c r="K66" s="1648"/>
      <c r="L66" s="1643"/>
      <c r="M66" s="1649"/>
      <c r="N66" s="1649"/>
      <c r="O66" s="1650"/>
    </row>
    <row r="67">
      <c r="A67" s="1651"/>
      <c r="B67" s="1651"/>
      <c r="C67" s="1652"/>
      <c r="D67" s="1641"/>
      <c r="E67" s="1653"/>
      <c r="F67" s="1654"/>
      <c r="G67" s="1654"/>
      <c r="H67" s="1654"/>
      <c r="I67" s="1654"/>
      <c r="J67" s="1654"/>
      <c r="K67" s="1654"/>
      <c r="L67" s="1654"/>
      <c r="M67" s="1655"/>
      <c r="N67" s="1655"/>
      <c r="O67" s="1656"/>
    </row>
    <row r="68">
      <c r="A68" s="1639"/>
      <c r="B68" s="1639"/>
      <c r="C68" s="1640"/>
      <c r="D68" s="1641"/>
      <c r="E68" s="1642"/>
      <c r="F68" s="1643"/>
      <c r="G68" s="1644"/>
      <c r="H68" s="1645"/>
      <c r="I68" s="1646"/>
      <c r="J68" s="1647"/>
      <c r="K68" s="1648"/>
      <c r="L68" s="1643"/>
      <c r="M68" s="1649"/>
      <c r="N68" s="1649"/>
      <c r="O68" s="1650"/>
    </row>
    <row r="69">
      <c r="A69" s="1651"/>
      <c r="B69" s="1651"/>
      <c r="C69" s="1652"/>
      <c r="D69" s="1641"/>
      <c r="E69" s="1653"/>
      <c r="F69" s="1654"/>
      <c r="G69" s="1654"/>
      <c r="H69" s="1654"/>
      <c r="I69" s="1654"/>
      <c r="J69" s="1654"/>
      <c r="K69" s="1654"/>
      <c r="L69" s="1654"/>
      <c r="M69" s="1655"/>
      <c r="N69" s="1655"/>
      <c r="O69" s="1656"/>
    </row>
    <row r="70">
      <c r="A70" s="1639"/>
      <c r="B70" s="1639"/>
      <c r="C70" s="1640"/>
      <c r="D70" s="1641"/>
      <c r="E70" s="1642"/>
      <c r="F70" s="1643"/>
      <c r="G70" s="1644"/>
      <c r="H70" s="1645"/>
      <c r="I70" s="1646"/>
      <c r="J70" s="1647"/>
      <c r="K70" s="1648"/>
      <c r="L70" s="1643"/>
      <c r="M70" s="1649"/>
      <c r="N70" s="1649"/>
      <c r="O70" s="1650"/>
    </row>
    <row r="71">
      <c r="A71" s="1651"/>
      <c r="B71" s="1651"/>
      <c r="C71" s="1652"/>
      <c r="D71" s="1641"/>
      <c r="E71" s="1653"/>
      <c r="F71" s="1654"/>
      <c r="G71" s="1654"/>
      <c r="H71" s="1654"/>
      <c r="I71" s="1654"/>
      <c r="J71" s="1654"/>
      <c r="K71" s="1654"/>
      <c r="L71" s="1654"/>
      <c r="M71" s="1655"/>
      <c r="N71" s="1655"/>
      <c r="O71" s="1656"/>
    </row>
    <row r="72">
      <c r="A72" s="1639"/>
      <c r="B72" s="1639"/>
      <c r="C72" s="1640"/>
      <c r="D72" s="1641"/>
      <c r="E72" s="1642"/>
      <c r="F72" s="1643"/>
      <c r="G72" s="1644"/>
      <c r="H72" s="1645"/>
      <c r="I72" s="1646"/>
      <c r="J72" s="1647"/>
      <c r="K72" s="1648"/>
      <c r="L72" s="1643"/>
      <c r="M72" s="1649"/>
      <c r="N72" s="1649"/>
      <c r="O72" s="1650"/>
    </row>
    <row r="73">
      <c r="A73" s="1651"/>
      <c r="B73" s="1651"/>
      <c r="C73" s="1652"/>
      <c r="D73" s="1641"/>
      <c r="E73" s="1653"/>
      <c r="F73" s="1654"/>
      <c r="G73" s="1654"/>
      <c r="H73" s="1654"/>
      <c r="I73" s="1654"/>
      <c r="J73" s="1654"/>
      <c r="K73" s="1654"/>
      <c r="L73" s="1654"/>
      <c r="M73" s="1655"/>
      <c r="N73" s="1655"/>
      <c r="O73" s="1656"/>
    </row>
    <row r="74">
      <c r="A74" s="1639"/>
      <c r="B74" s="1639"/>
      <c r="C74" s="1640"/>
      <c r="D74" s="1641"/>
      <c r="E74" s="1642"/>
      <c r="F74" s="1643"/>
      <c r="G74" s="1644"/>
      <c r="H74" s="1645"/>
      <c r="I74" s="1646"/>
      <c r="J74" s="1647"/>
      <c r="K74" s="1648"/>
      <c r="L74" s="1643"/>
      <c r="M74" s="1649"/>
      <c r="N74" s="1649"/>
      <c r="O74" s="1650"/>
    </row>
    <row r="75">
      <c r="A75" s="1651"/>
      <c r="B75" s="1651"/>
      <c r="C75" s="1652"/>
      <c r="D75" s="1641"/>
      <c r="E75" s="1653"/>
      <c r="F75" s="1654"/>
      <c r="G75" s="1654"/>
      <c r="H75" s="1654"/>
      <c r="I75" s="1654"/>
      <c r="J75" s="1654"/>
      <c r="K75" s="1654"/>
      <c r="L75" s="1654"/>
      <c r="M75" s="1655"/>
      <c r="N75" s="1655"/>
      <c r="O75" s="1656"/>
    </row>
    <row r="76">
      <c r="A76" s="1639"/>
      <c r="B76" s="1639"/>
      <c r="C76" s="1640"/>
      <c r="D76" s="1641"/>
      <c r="E76" s="1642"/>
      <c r="F76" s="1643"/>
      <c r="G76" s="1644"/>
      <c r="H76" s="1645"/>
      <c r="I76" s="1646"/>
      <c r="J76" s="1647"/>
      <c r="K76" s="1648"/>
      <c r="L76" s="1643"/>
      <c r="M76" s="1649"/>
      <c r="N76" s="1649"/>
      <c r="O76" s="1650"/>
    </row>
    <row r="77">
      <c r="A77" s="1651"/>
      <c r="B77" s="1651"/>
      <c r="C77" s="1652"/>
      <c r="D77" s="1641"/>
      <c r="E77" s="1653"/>
      <c r="F77" s="1654"/>
      <c r="G77" s="1654"/>
      <c r="H77" s="1654"/>
      <c r="I77" s="1654"/>
      <c r="J77" s="1654"/>
      <c r="K77" s="1654"/>
      <c r="L77" s="1654"/>
      <c r="M77" s="1655"/>
      <c r="N77" s="1655"/>
      <c r="O77" s="1656"/>
    </row>
    <row r="78">
      <c r="A78" s="1639"/>
      <c r="B78" s="1639"/>
      <c r="C78" s="1640"/>
      <c r="D78" s="1641"/>
      <c r="E78" s="1642"/>
      <c r="F78" s="1643"/>
      <c r="G78" s="1644"/>
      <c r="H78" s="1645"/>
      <c r="I78" s="1646"/>
      <c r="J78" s="1647"/>
      <c r="K78" s="1648"/>
      <c r="L78" s="1643"/>
      <c r="M78" s="1649"/>
      <c r="N78" s="1649"/>
      <c r="O78" s="1650"/>
    </row>
    <row r="79">
      <c r="A79" s="1651"/>
      <c r="B79" s="1651"/>
      <c r="C79" s="1652"/>
      <c r="D79" s="1641"/>
      <c r="E79" s="1653"/>
      <c r="F79" s="1654"/>
      <c r="G79" s="1654"/>
      <c r="H79" s="1654"/>
      <c r="I79" s="1654"/>
      <c r="J79" s="1654"/>
      <c r="K79" s="1654"/>
      <c r="L79" s="1654"/>
      <c r="M79" s="1655"/>
      <c r="N79" s="1655"/>
      <c r="O79" s="1656"/>
    </row>
    <row r="80">
      <c r="A80" s="1639"/>
      <c r="B80" s="1639"/>
      <c r="C80" s="1640"/>
      <c r="D80" s="1641"/>
      <c r="E80" s="1642"/>
      <c r="F80" s="1643"/>
      <c r="G80" s="1644"/>
      <c r="H80" s="1645"/>
      <c r="I80" s="1646"/>
      <c r="J80" s="1647"/>
      <c r="K80" s="1648"/>
      <c r="L80" s="1643"/>
      <c r="M80" s="1649"/>
      <c r="N80" s="1649"/>
      <c r="O80" s="1650"/>
    </row>
    <row r="81">
      <c r="A81" s="1651"/>
      <c r="B81" s="1651"/>
      <c r="C81" s="1652"/>
      <c r="D81" s="1641"/>
      <c r="E81" s="1653"/>
      <c r="F81" s="1654"/>
      <c r="G81" s="1654"/>
      <c r="H81" s="1654"/>
      <c r="I81" s="1654"/>
      <c r="J81" s="1654"/>
      <c r="K81" s="1654"/>
      <c r="L81" s="1654"/>
      <c r="M81" s="1655"/>
      <c r="N81" s="1655"/>
      <c r="O81" s="1656"/>
    </row>
    <row r="82">
      <c r="A82" s="1639"/>
      <c r="B82" s="1639"/>
      <c r="C82" s="1640"/>
      <c r="D82" s="1641"/>
      <c r="E82" s="1642"/>
      <c r="F82" s="1643"/>
      <c r="G82" s="1644"/>
      <c r="H82" s="1645"/>
      <c r="I82" s="1646"/>
      <c r="J82" s="1647"/>
      <c r="K82" s="1648"/>
      <c r="L82" s="1643"/>
      <c r="M82" s="1649"/>
      <c r="N82" s="1649"/>
      <c r="O82" s="1650"/>
    </row>
    <row r="83">
      <c r="A83" s="1651"/>
      <c r="B83" s="1651"/>
      <c r="C83" s="1652"/>
      <c r="D83" s="1641"/>
      <c r="E83" s="1653"/>
      <c r="F83" s="1654"/>
      <c r="G83" s="1654"/>
      <c r="H83" s="1654"/>
      <c r="I83" s="1654"/>
      <c r="J83" s="1654"/>
      <c r="K83" s="1654"/>
      <c r="L83" s="1654"/>
      <c r="M83" s="1655"/>
      <c r="N83" s="1655"/>
      <c r="O83" s="1656"/>
    </row>
    <row r="84">
      <c r="A84" s="1639"/>
      <c r="B84" s="1639"/>
      <c r="C84" s="1640"/>
      <c r="D84" s="1641"/>
      <c r="E84" s="1642"/>
      <c r="F84" s="1643"/>
      <c r="G84" s="1644"/>
      <c r="H84" s="1645"/>
      <c r="I84" s="1646"/>
      <c r="J84" s="1647"/>
      <c r="K84" s="1648"/>
      <c r="L84" s="1643"/>
      <c r="M84" s="1649"/>
      <c r="N84" s="1649"/>
      <c r="O84" s="1650"/>
    </row>
    <row r="85">
      <c r="A85" s="1651"/>
      <c r="B85" s="1651"/>
      <c r="C85" s="1652"/>
      <c r="D85" s="1641"/>
      <c r="E85" s="1653"/>
      <c r="F85" s="1654"/>
      <c r="G85" s="1654"/>
      <c r="H85" s="1654"/>
      <c r="I85" s="1654"/>
      <c r="J85" s="1654"/>
      <c r="K85" s="1654"/>
      <c r="L85" s="1654"/>
      <c r="M85" s="1655"/>
      <c r="N85" s="1655"/>
      <c r="O85" s="1656"/>
    </row>
    <row r="86">
      <c r="A86" s="1639"/>
      <c r="B86" s="1639"/>
      <c r="C86" s="1640"/>
      <c r="D86" s="1641"/>
      <c r="E86" s="1642"/>
      <c r="F86" s="1643"/>
      <c r="G86" s="1644"/>
      <c r="H86" s="1645"/>
      <c r="I86" s="1646"/>
      <c r="J86" s="1647"/>
      <c r="K86" s="1648"/>
      <c r="L86" s="1643"/>
      <c r="M86" s="1649"/>
      <c r="N86" s="1649"/>
      <c r="O86" s="1650"/>
    </row>
    <row r="87">
      <c r="A87" s="1651"/>
      <c r="B87" s="1651"/>
      <c r="C87" s="1652"/>
      <c r="D87" s="1641"/>
      <c r="E87" s="1653"/>
      <c r="F87" s="1654"/>
      <c r="G87" s="1654"/>
      <c r="H87" s="1654"/>
      <c r="I87" s="1654"/>
      <c r="J87" s="1654"/>
      <c r="K87" s="1654"/>
      <c r="L87" s="1654"/>
      <c r="M87" s="1655"/>
      <c r="N87" s="1655"/>
      <c r="O87" s="1656"/>
    </row>
    <row r="88">
      <c r="A88" s="1639"/>
      <c r="B88" s="1639"/>
      <c r="C88" s="1640"/>
      <c r="D88" s="1641"/>
      <c r="E88" s="1642"/>
      <c r="F88" s="1643"/>
      <c r="G88" s="1644"/>
      <c r="H88" s="1645"/>
      <c r="I88" s="1646"/>
      <c r="J88" s="1647"/>
      <c r="K88" s="1648"/>
      <c r="L88" s="1643"/>
      <c r="M88" s="1649"/>
      <c r="N88" s="1649"/>
      <c r="O88" s="1650"/>
    </row>
    <row r="89">
      <c r="A89" s="1651"/>
      <c r="B89" s="1651"/>
      <c r="C89" s="1652"/>
      <c r="D89" s="1641"/>
      <c r="E89" s="1653"/>
      <c r="F89" s="1654"/>
      <c r="G89" s="1654"/>
      <c r="H89" s="1654"/>
      <c r="I89" s="1654"/>
      <c r="J89" s="1654"/>
      <c r="K89" s="1654"/>
      <c r="L89" s="1654"/>
      <c r="M89" s="1655"/>
      <c r="N89" s="1655"/>
      <c r="O89" s="1656"/>
    </row>
    <row r="90">
      <c r="A90" s="1639"/>
      <c r="B90" s="1639"/>
      <c r="C90" s="1640"/>
      <c r="D90" s="1646"/>
      <c r="E90" s="1642"/>
      <c r="F90" s="1643"/>
      <c r="G90" s="1644"/>
      <c r="H90" s="1645"/>
      <c r="I90" s="1646"/>
      <c r="J90" s="1647"/>
      <c r="K90" s="1648"/>
      <c r="L90" s="1643"/>
      <c r="M90" s="1649"/>
      <c r="N90" s="1649"/>
      <c r="O90" s="1650"/>
    </row>
    <row r="91">
      <c r="A91" s="1651"/>
      <c r="B91" s="1651"/>
      <c r="C91" s="1652"/>
      <c r="D91" s="1654"/>
      <c r="E91" s="1653"/>
      <c r="F91" s="1654"/>
      <c r="G91" s="1654"/>
      <c r="H91" s="1654"/>
      <c r="I91" s="1654"/>
      <c r="J91" s="1654"/>
      <c r="K91" s="1654"/>
      <c r="L91" s="1654"/>
      <c r="M91" s="1655"/>
      <c r="N91" s="1655"/>
      <c r="O91" s="1656"/>
    </row>
    <row r="92">
      <c r="A92" s="1639"/>
      <c r="B92" s="1639"/>
      <c r="C92" s="1640"/>
      <c r="D92" s="1646"/>
      <c r="E92" s="1642"/>
      <c r="F92" s="1643"/>
      <c r="G92" s="1644"/>
      <c r="H92" s="1645"/>
      <c r="I92" s="1646"/>
      <c r="J92" s="1647"/>
      <c r="K92" s="1648"/>
      <c r="L92" s="1643"/>
      <c r="M92" s="1649"/>
      <c r="N92" s="1649"/>
      <c r="O92" s="1650"/>
    </row>
    <row r="93">
      <c r="A93" s="1651"/>
      <c r="B93" s="1651"/>
      <c r="C93" s="1652"/>
      <c r="D93" s="1654"/>
      <c r="E93" s="1653"/>
      <c r="F93" s="1654"/>
      <c r="G93" s="1654"/>
      <c r="H93" s="1654"/>
      <c r="I93" s="1654"/>
      <c r="J93" s="1654"/>
      <c r="K93" s="1654"/>
      <c r="L93" s="1654"/>
      <c r="M93" s="1655"/>
      <c r="N93" s="1655"/>
      <c r="O93" s="1656"/>
    </row>
    <row r="94">
      <c r="A94" s="1639"/>
      <c r="B94" s="1639"/>
      <c r="C94" s="1640"/>
      <c r="D94" s="1646"/>
      <c r="E94" s="1642"/>
      <c r="F94" s="1643"/>
      <c r="G94" s="1644"/>
      <c r="H94" s="1645"/>
      <c r="I94" s="1646"/>
      <c r="J94" s="1647"/>
      <c r="K94" s="1648"/>
      <c r="L94" s="1643"/>
      <c r="M94" s="1649"/>
      <c r="N94" s="1649"/>
      <c r="O94" s="1650"/>
    </row>
    <row r="95">
      <c r="A95" s="1651"/>
      <c r="B95" s="1651"/>
      <c r="C95" s="1652"/>
      <c r="D95" s="1654"/>
      <c r="E95" s="1653"/>
      <c r="F95" s="1654"/>
      <c r="G95" s="1654"/>
      <c r="H95" s="1654"/>
      <c r="I95" s="1654"/>
      <c r="J95" s="1654"/>
      <c r="K95" s="1654"/>
      <c r="L95" s="1654"/>
      <c r="M95" s="1655"/>
      <c r="N95" s="1655"/>
      <c r="O95" s="1656"/>
    </row>
    <row r="96">
      <c r="A96" s="1639"/>
      <c r="B96" s="1639"/>
      <c r="C96" s="1640"/>
      <c r="D96" s="1646"/>
      <c r="E96" s="1642"/>
      <c r="F96" s="1643"/>
      <c r="G96" s="1644"/>
      <c r="H96" s="1645"/>
      <c r="I96" s="1646"/>
      <c r="J96" s="1647"/>
      <c r="K96" s="1648"/>
      <c r="L96" s="1643"/>
      <c r="M96" s="1649"/>
      <c r="N96" s="1649"/>
      <c r="O96" s="1650"/>
    </row>
    <row r="97">
      <c r="A97" s="1651"/>
      <c r="B97" s="1651"/>
      <c r="C97" s="1652"/>
      <c r="D97" s="1654"/>
      <c r="E97" s="1653"/>
      <c r="F97" s="1654"/>
      <c r="G97" s="1654"/>
      <c r="H97" s="1654"/>
      <c r="I97" s="1654"/>
      <c r="J97" s="1654"/>
      <c r="K97" s="1654"/>
      <c r="L97" s="1654"/>
      <c r="M97" s="1655"/>
      <c r="N97" s="1655"/>
      <c r="O97" s="1656"/>
    </row>
    <row r="98">
      <c r="A98" s="1639"/>
      <c r="B98" s="1639"/>
      <c r="C98" s="1640"/>
      <c r="D98" s="1646"/>
      <c r="E98" s="1642"/>
      <c r="F98" s="1643"/>
      <c r="G98" s="1644"/>
      <c r="H98" s="1645"/>
      <c r="I98" s="1646"/>
      <c r="J98" s="1647"/>
      <c r="K98" s="1648"/>
      <c r="L98" s="1643"/>
      <c r="M98" s="1649"/>
      <c r="N98" s="1649"/>
      <c r="O98" s="1650"/>
    </row>
    <row r="99">
      <c r="A99" s="1651"/>
      <c r="B99" s="1651"/>
      <c r="C99" s="1652"/>
      <c r="D99" s="1654"/>
      <c r="E99" s="1653"/>
      <c r="F99" s="1654"/>
      <c r="G99" s="1654"/>
      <c r="H99" s="1654"/>
      <c r="I99" s="1654"/>
      <c r="J99" s="1654"/>
      <c r="K99" s="1654"/>
      <c r="L99" s="1654"/>
      <c r="M99" s="1655"/>
      <c r="N99" s="1655"/>
      <c r="O99" s="1656"/>
    </row>
    <row r="100">
      <c r="A100" s="1639"/>
      <c r="B100" s="1639"/>
      <c r="C100" s="1640"/>
      <c r="D100" s="1646"/>
      <c r="E100" s="1642"/>
      <c r="F100" s="1643"/>
      <c r="G100" s="1644"/>
      <c r="H100" s="1645"/>
      <c r="I100" s="1646"/>
      <c r="J100" s="1647"/>
      <c r="K100" s="1648"/>
      <c r="L100" s="1643"/>
      <c r="M100" s="1649"/>
      <c r="N100" s="1649"/>
      <c r="O100" s="1650"/>
    </row>
    <row r="101">
      <c r="A101" s="1651"/>
      <c r="B101" s="1651"/>
      <c r="C101" s="1652"/>
      <c r="D101" s="1654"/>
      <c r="E101" s="1653"/>
      <c r="F101" s="1654"/>
      <c r="G101" s="1654"/>
      <c r="H101" s="1654"/>
      <c r="I101" s="1654"/>
      <c r="J101" s="1654"/>
      <c r="K101" s="1654"/>
      <c r="L101" s="1654"/>
      <c r="M101" s="1655"/>
      <c r="N101" s="1655"/>
      <c r="O101" s="1656"/>
    </row>
    <row r="102">
      <c r="A102" s="1639"/>
      <c r="B102" s="1639"/>
      <c r="C102" s="1640"/>
      <c r="D102" s="1646"/>
      <c r="E102" s="1642"/>
      <c r="F102" s="1643"/>
      <c r="G102" s="1644"/>
      <c r="H102" s="1645"/>
      <c r="I102" s="1646"/>
      <c r="J102" s="1647"/>
      <c r="K102" s="1648"/>
      <c r="L102" s="1643"/>
      <c r="M102" s="1649"/>
      <c r="N102" s="1649"/>
      <c r="O102" s="1650"/>
    </row>
    <row r="103">
      <c r="A103" s="1651"/>
      <c r="B103" s="1651"/>
      <c r="C103" s="1652"/>
      <c r="D103" s="1654"/>
      <c r="E103" s="1653"/>
      <c r="F103" s="1654"/>
      <c r="G103" s="1654"/>
      <c r="H103" s="1654"/>
      <c r="I103" s="1654"/>
      <c r="J103" s="1654"/>
      <c r="K103" s="1654"/>
      <c r="L103" s="1654"/>
      <c r="M103" s="1655"/>
      <c r="N103" s="1655"/>
      <c r="O103" s="1656"/>
    </row>
    <row r="104">
      <c r="A104" s="1639"/>
      <c r="B104" s="1639"/>
      <c r="C104" s="1640"/>
      <c r="D104" s="1646"/>
      <c r="E104" s="1642"/>
      <c r="F104" s="1643"/>
      <c r="G104" s="1644"/>
      <c r="H104" s="1645"/>
      <c r="I104" s="1646"/>
      <c r="J104" s="1647"/>
      <c r="K104" s="1648"/>
      <c r="L104" s="1643"/>
      <c r="M104" s="1649"/>
      <c r="N104" s="1649"/>
      <c r="O104" s="1650"/>
    </row>
    <row r="105">
      <c r="A105" s="1651"/>
      <c r="B105" s="1651"/>
      <c r="C105" s="1652"/>
      <c r="D105" s="1654"/>
      <c r="E105" s="1653"/>
      <c r="F105" s="1654"/>
      <c r="G105" s="1654"/>
      <c r="H105" s="1654"/>
      <c r="I105" s="1654"/>
      <c r="J105" s="1654"/>
      <c r="K105" s="1654"/>
      <c r="L105" s="1654"/>
      <c r="M105" s="1655"/>
      <c r="N105" s="1655"/>
      <c r="O105" s="1656"/>
    </row>
    <row r="106">
      <c r="A106" s="1639"/>
      <c r="B106" s="1639"/>
      <c r="C106" s="1640"/>
      <c r="D106" s="1646"/>
      <c r="E106" s="1642"/>
      <c r="F106" s="1643"/>
      <c r="G106" s="1644"/>
      <c r="H106" s="1645"/>
      <c r="I106" s="1646"/>
      <c r="J106" s="1647"/>
      <c r="K106" s="1648"/>
      <c r="L106" s="1643"/>
      <c r="M106" s="1649"/>
      <c r="N106" s="1649"/>
      <c r="O106" s="1650"/>
    </row>
    <row r="107">
      <c r="A107" s="1651"/>
      <c r="B107" s="1651"/>
      <c r="C107" s="1652"/>
      <c r="D107" s="1654"/>
      <c r="E107" s="1653"/>
      <c r="F107" s="1654"/>
      <c r="G107" s="1654"/>
      <c r="H107" s="1654"/>
      <c r="I107" s="1654"/>
      <c r="J107" s="1654"/>
      <c r="K107" s="1654"/>
      <c r="L107" s="1654"/>
      <c r="M107" s="1655"/>
      <c r="N107" s="1655"/>
      <c r="O107" s="1656"/>
    </row>
    <row r="108">
      <c r="A108" s="1639"/>
      <c r="B108" s="1639"/>
      <c r="C108" s="1640"/>
      <c r="D108" s="1646"/>
      <c r="E108" s="1642"/>
      <c r="F108" s="1643"/>
      <c r="G108" s="1644"/>
      <c r="H108" s="1645"/>
      <c r="I108" s="1646"/>
      <c r="J108" s="1647"/>
      <c r="K108" s="1648"/>
      <c r="L108" s="1643"/>
      <c r="M108" s="1649"/>
      <c r="N108" s="1649"/>
      <c r="O108" s="1650"/>
    </row>
    <row r="109">
      <c r="A109" s="1651"/>
      <c r="B109" s="1651"/>
      <c r="C109" s="1652"/>
      <c r="D109" s="1654"/>
      <c r="E109" s="1653"/>
      <c r="F109" s="1654"/>
      <c r="G109" s="1654"/>
      <c r="H109" s="1654"/>
      <c r="I109" s="1654"/>
      <c r="J109" s="1654"/>
      <c r="K109" s="1654"/>
      <c r="L109" s="1654"/>
      <c r="M109" s="1655"/>
      <c r="N109" s="1655"/>
      <c r="O109" s="1656"/>
    </row>
    <row r="110">
      <c r="A110" s="1639"/>
      <c r="B110" s="1639"/>
      <c r="C110" s="1640"/>
      <c r="D110" s="1646"/>
      <c r="E110" s="1642"/>
      <c r="F110" s="1643"/>
      <c r="G110" s="1644"/>
      <c r="H110" s="1645"/>
      <c r="I110" s="1646"/>
      <c r="J110" s="1647"/>
      <c r="K110" s="1648"/>
      <c r="L110" s="1643"/>
      <c r="M110" s="1649"/>
      <c r="N110" s="1649"/>
      <c r="O110" s="1650"/>
    </row>
    <row r="111">
      <c r="A111" s="1651"/>
      <c r="B111" s="1651"/>
      <c r="C111" s="1652"/>
      <c r="D111" s="1654"/>
      <c r="E111" s="1653"/>
      <c r="F111" s="1654"/>
      <c r="G111" s="1654"/>
      <c r="H111" s="1654"/>
      <c r="I111" s="1654"/>
      <c r="J111" s="1654"/>
      <c r="K111" s="1654"/>
      <c r="L111" s="1654"/>
      <c r="M111" s="1655"/>
      <c r="N111" s="1655"/>
      <c r="O111" s="1656"/>
    </row>
    <row r="112">
      <c r="A112" s="1639"/>
      <c r="B112" s="1639"/>
      <c r="C112" s="1640"/>
      <c r="D112" s="1646"/>
      <c r="E112" s="1642"/>
      <c r="F112" s="1643"/>
      <c r="G112" s="1644"/>
      <c r="H112" s="1645"/>
      <c r="I112" s="1646"/>
      <c r="J112" s="1647"/>
      <c r="K112" s="1648"/>
      <c r="L112" s="1643"/>
      <c r="M112" s="1649"/>
      <c r="N112" s="1649"/>
      <c r="O112" s="1650"/>
    </row>
    <row r="113">
      <c r="A113" s="1651"/>
      <c r="B113" s="1651"/>
      <c r="C113" s="1652"/>
      <c r="D113" s="1654"/>
      <c r="E113" s="1653"/>
      <c r="F113" s="1654"/>
      <c r="G113" s="1654"/>
      <c r="H113" s="1654"/>
      <c r="I113" s="1654"/>
      <c r="J113" s="1654"/>
      <c r="K113" s="1654"/>
      <c r="L113" s="1654"/>
      <c r="M113" s="1655"/>
      <c r="N113" s="1655"/>
      <c r="O113" s="1656"/>
    </row>
    <row r="114">
      <c r="A114" s="1639"/>
      <c r="B114" s="1639"/>
      <c r="C114" s="1640"/>
      <c r="D114" s="1646"/>
      <c r="E114" s="1642"/>
      <c r="F114" s="1643"/>
      <c r="G114" s="1644"/>
      <c r="H114" s="1645"/>
      <c r="I114" s="1646"/>
      <c r="J114" s="1647"/>
      <c r="K114" s="1648"/>
      <c r="L114" s="1643"/>
      <c r="M114" s="1649"/>
      <c r="N114" s="1649"/>
      <c r="O114" s="1650"/>
    </row>
    <row r="115">
      <c r="A115" s="1651"/>
      <c r="B115" s="1651"/>
      <c r="C115" s="1652"/>
      <c r="D115" s="1654"/>
      <c r="E115" s="1653"/>
      <c r="F115" s="1654"/>
      <c r="G115" s="1654"/>
      <c r="H115" s="1654"/>
      <c r="I115" s="1654"/>
      <c r="J115" s="1654"/>
      <c r="K115" s="1654"/>
      <c r="L115" s="1654"/>
      <c r="M115" s="1655"/>
      <c r="N115" s="1655"/>
      <c r="O115" s="1656"/>
    </row>
    <row r="116">
      <c r="A116" s="1639"/>
      <c r="B116" s="1639"/>
      <c r="C116" s="1640"/>
      <c r="D116" s="1646"/>
      <c r="E116" s="1642"/>
      <c r="F116" s="1643"/>
      <c r="G116" s="1644"/>
      <c r="H116" s="1645"/>
      <c r="I116" s="1646"/>
      <c r="J116" s="1647"/>
      <c r="K116" s="1648"/>
      <c r="L116" s="1643"/>
      <c r="M116" s="1649"/>
      <c r="N116" s="1649"/>
      <c r="O116" s="1650"/>
    </row>
    <row r="117">
      <c r="A117" s="1651"/>
      <c r="B117" s="1651"/>
      <c r="C117" s="1652"/>
      <c r="D117" s="1654"/>
      <c r="E117" s="1653"/>
      <c r="F117" s="1654"/>
      <c r="G117" s="1654"/>
      <c r="H117" s="1654"/>
      <c r="I117" s="1654"/>
      <c r="J117" s="1654"/>
      <c r="K117" s="1654"/>
      <c r="L117" s="1654"/>
      <c r="M117" s="1655"/>
      <c r="N117" s="1655"/>
      <c r="O117" s="1656"/>
    </row>
    <row r="118">
      <c r="A118" s="1639"/>
      <c r="B118" s="1639"/>
      <c r="C118" s="1640"/>
      <c r="D118" s="1646"/>
      <c r="E118" s="1642"/>
      <c r="F118" s="1643"/>
      <c r="G118" s="1644"/>
      <c r="H118" s="1645"/>
      <c r="I118" s="1646"/>
      <c r="J118" s="1647"/>
      <c r="K118" s="1648"/>
      <c r="L118" s="1643"/>
      <c r="M118" s="1649"/>
      <c r="N118" s="1649"/>
      <c r="O118" s="1650"/>
    </row>
    <row r="119">
      <c r="A119" s="1651"/>
      <c r="B119" s="1651"/>
      <c r="C119" s="1652"/>
      <c r="D119" s="1654"/>
      <c r="E119" s="1653"/>
      <c r="F119" s="1654"/>
      <c r="G119" s="1654"/>
      <c r="H119" s="1654"/>
      <c r="I119" s="1654"/>
      <c r="J119" s="1654"/>
      <c r="K119" s="1654"/>
      <c r="L119" s="1654"/>
      <c r="M119" s="1655"/>
      <c r="N119" s="1655"/>
      <c r="O119" s="1656"/>
    </row>
    <row r="120">
      <c r="A120" s="1639"/>
      <c r="B120" s="1639"/>
      <c r="C120" s="1640"/>
      <c r="D120" s="1646"/>
      <c r="E120" s="1642"/>
      <c r="F120" s="1643"/>
      <c r="G120" s="1644"/>
      <c r="H120" s="1645"/>
      <c r="I120" s="1646"/>
      <c r="J120" s="1647"/>
      <c r="K120" s="1648"/>
      <c r="L120" s="1643"/>
      <c r="M120" s="1649"/>
      <c r="N120" s="1649"/>
      <c r="O120" s="1650"/>
    </row>
    <row r="121">
      <c r="A121" s="1651"/>
      <c r="B121" s="1651"/>
      <c r="C121" s="1652"/>
      <c r="D121" s="1654"/>
      <c r="E121" s="1653"/>
      <c r="F121" s="1654"/>
      <c r="G121" s="1654"/>
      <c r="H121" s="1654"/>
      <c r="I121" s="1654"/>
      <c r="J121" s="1654"/>
      <c r="K121" s="1654"/>
      <c r="L121" s="1654"/>
      <c r="M121" s="1655"/>
      <c r="N121" s="1655"/>
      <c r="O121" s="1656"/>
    </row>
    <row r="122">
      <c r="A122" s="1639"/>
      <c r="B122" s="1639"/>
      <c r="C122" s="1640"/>
      <c r="D122" s="1646"/>
      <c r="E122" s="1642"/>
      <c r="F122" s="1643"/>
      <c r="G122" s="1644"/>
      <c r="H122" s="1645"/>
      <c r="I122" s="1646"/>
      <c r="J122" s="1647"/>
      <c r="K122" s="1648"/>
      <c r="L122" s="1643"/>
      <c r="M122" s="1649"/>
      <c r="N122" s="1649"/>
      <c r="O122" s="1650"/>
    </row>
    <row r="123">
      <c r="A123" s="1651"/>
      <c r="B123" s="1651"/>
      <c r="C123" s="1652"/>
      <c r="D123" s="1654"/>
      <c r="E123" s="1653"/>
      <c r="F123" s="1654"/>
      <c r="G123" s="1654"/>
      <c r="H123" s="1654"/>
      <c r="I123" s="1654"/>
      <c r="J123" s="1654"/>
      <c r="K123" s="1654"/>
      <c r="L123" s="1654"/>
      <c r="M123" s="1655"/>
      <c r="N123" s="1655"/>
      <c r="O123" s="1656"/>
    </row>
    <row r="124">
      <c r="A124" s="1639"/>
      <c r="B124" s="1639"/>
      <c r="C124" s="1640"/>
      <c r="D124" s="1646"/>
      <c r="E124" s="1642"/>
      <c r="F124" s="1643"/>
      <c r="G124" s="1644"/>
      <c r="H124" s="1645"/>
      <c r="I124" s="1646"/>
      <c r="J124" s="1647"/>
      <c r="K124" s="1648"/>
      <c r="L124" s="1643"/>
      <c r="M124" s="1649"/>
      <c r="N124" s="1649"/>
      <c r="O124" s="1650"/>
    </row>
    <row r="125">
      <c r="A125" s="1651"/>
      <c r="B125" s="1651"/>
      <c r="C125" s="1652"/>
      <c r="D125" s="1654"/>
      <c r="E125" s="1653"/>
      <c r="F125" s="1654"/>
      <c r="G125" s="1654"/>
      <c r="H125" s="1654"/>
      <c r="I125" s="1654"/>
      <c r="J125" s="1654"/>
      <c r="K125" s="1654"/>
      <c r="L125" s="1654"/>
      <c r="M125" s="1655"/>
      <c r="N125" s="1655"/>
      <c r="O125" s="1656"/>
    </row>
    <row r="126">
      <c r="A126" s="1639"/>
      <c r="B126" s="1639"/>
      <c r="C126" s="1640"/>
      <c r="D126" s="1646"/>
      <c r="E126" s="1642"/>
      <c r="F126" s="1643"/>
      <c r="G126" s="1644"/>
      <c r="H126" s="1645"/>
      <c r="I126" s="1646"/>
      <c r="J126" s="1647"/>
      <c r="K126" s="1648"/>
      <c r="L126" s="1643"/>
      <c r="M126" s="1649"/>
      <c r="N126" s="1649"/>
      <c r="O126" s="1650"/>
    </row>
    <row r="127">
      <c r="A127" s="1651"/>
      <c r="B127" s="1651"/>
      <c r="C127" s="1652"/>
      <c r="D127" s="1654"/>
      <c r="E127" s="1653"/>
      <c r="F127" s="1654"/>
      <c r="G127" s="1654"/>
      <c r="H127" s="1654"/>
      <c r="I127" s="1654"/>
      <c r="J127" s="1654"/>
      <c r="K127" s="1654"/>
      <c r="L127" s="1654"/>
      <c r="M127" s="1655"/>
      <c r="N127" s="1655"/>
      <c r="O127" s="1656"/>
    </row>
    <row r="128">
      <c r="A128" s="1639"/>
      <c r="B128" s="1639"/>
      <c r="C128" s="1640"/>
      <c r="D128" s="1646"/>
      <c r="E128" s="1642"/>
      <c r="F128" s="1643"/>
      <c r="G128" s="1644"/>
      <c r="H128" s="1645"/>
      <c r="I128" s="1646"/>
      <c r="J128" s="1647"/>
      <c r="K128" s="1648"/>
      <c r="L128" s="1643"/>
      <c r="M128" s="1649"/>
      <c r="N128" s="1649"/>
      <c r="O128" s="1650"/>
    </row>
    <row r="129">
      <c r="A129" s="1651"/>
      <c r="B129" s="1651"/>
      <c r="C129" s="1652"/>
      <c r="D129" s="1654"/>
      <c r="E129" s="1653"/>
      <c r="F129" s="1654"/>
      <c r="G129" s="1654"/>
      <c r="H129" s="1654"/>
      <c r="I129" s="1654"/>
      <c r="J129" s="1654"/>
      <c r="K129" s="1654"/>
      <c r="L129" s="1654"/>
      <c r="M129" s="1655"/>
      <c r="N129" s="1655"/>
      <c r="O129" s="1656"/>
    </row>
    <row r="130">
      <c r="A130" s="1639"/>
      <c r="B130" s="1639"/>
      <c r="C130" s="1640"/>
      <c r="D130" s="1646"/>
      <c r="E130" s="1642"/>
      <c r="F130" s="1643"/>
      <c r="G130" s="1644"/>
      <c r="H130" s="1645"/>
      <c r="I130" s="1646"/>
      <c r="J130" s="1647"/>
      <c r="K130" s="1648"/>
      <c r="L130" s="1643"/>
      <c r="M130" s="1649"/>
      <c r="N130" s="1649"/>
      <c r="O130" s="1650"/>
    </row>
    <row r="131">
      <c r="A131" s="1651"/>
      <c r="B131" s="1651"/>
      <c r="C131" s="1652"/>
      <c r="D131" s="1654"/>
      <c r="E131" s="1653"/>
      <c r="F131" s="1654"/>
      <c r="G131" s="1654"/>
      <c r="H131" s="1654"/>
      <c r="I131" s="1654"/>
      <c r="J131" s="1654"/>
      <c r="K131" s="1654"/>
      <c r="L131" s="1654"/>
      <c r="M131" s="1655"/>
      <c r="N131" s="1655"/>
      <c r="O131" s="1656"/>
    </row>
    <row r="132">
      <c r="A132" s="1639"/>
      <c r="B132" s="1639"/>
      <c r="C132" s="1640"/>
      <c r="D132" s="1646"/>
      <c r="E132" s="1642"/>
      <c r="F132" s="1643"/>
      <c r="G132" s="1644"/>
      <c r="H132" s="1645"/>
      <c r="I132" s="1646"/>
      <c r="J132" s="1647"/>
      <c r="K132" s="1648"/>
      <c r="L132" s="1643"/>
      <c r="M132" s="1649"/>
      <c r="N132" s="1649"/>
      <c r="O132" s="1650"/>
    </row>
    <row r="133">
      <c r="A133" s="1651"/>
      <c r="B133" s="1651"/>
      <c r="C133" s="1652"/>
      <c r="D133" s="1654"/>
      <c r="E133" s="1653"/>
      <c r="F133" s="1654"/>
      <c r="G133" s="1654"/>
      <c r="H133" s="1654"/>
      <c r="I133" s="1654"/>
      <c r="J133" s="1654"/>
      <c r="K133" s="1654"/>
      <c r="L133" s="1654"/>
      <c r="M133" s="1655"/>
      <c r="N133" s="1655"/>
      <c r="O133" s="1656"/>
    </row>
    <row r="134">
      <c r="A134" s="1639"/>
      <c r="B134" s="1639"/>
      <c r="C134" s="1640"/>
      <c r="D134" s="1646"/>
      <c r="E134" s="1642"/>
      <c r="F134" s="1643"/>
      <c r="G134" s="1644"/>
      <c r="H134" s="1645"/>
      <c r="I134" s="1646"/>
      <c r="J134" s="1647"/>
      <c r="K134" s="1648"/>
      <c r="L134" s="1643"/>
      <c r="M134" s="1649"/>
      <c r="N134" s="1649"/>
      <c r="O134" s="1650"/>
    </row>
    <row r="135">
      <c r="A135" s="1651"/>
      <c r="B135" s="1651"/>
      <c r="C135" s="1652"/>
      <c r="D135" s="1654"/>
      <c r="E135" s="1653"/>
      <c r="F135" s="1654"/>
      <c r="G135" s="1654"/>
      <c r="H135" s="1654"/>
      <c r="I135" s="1654"/>
      <c r="J135" s="1654"/>
      <c r="K135" s="1654"/>
      <c r="L135" s="1654"/>
      <c r="M135" s="1655"/>
      <c r="N135" s="1655"/>
      <c r="O135" s="1656"/>
    </row>
    <row r="136">
      <c r="A136" s="1639"/>
      <c r="B136" s="1639"/>
      <c r="C136" s="1640"/>
      <c r="D136" s="1646"/>
      <c r="E136" s="1642"/>
      <c r="F136" s="1643"/>
      <c r="G136" s="1644"/>
      <c r="H136" s="1645"/>
      <c r="I136" s="1646"/>
      <c r="J136" s="1647"/>
      <c r="K136" s="1648"/>
      <c r="L136" s="1643"/>
      <c r="M136" s="1649"/>
      <c r="N136" s="1649"/>
      <c r="O136" s="1650"/>
    </row>
    <row r="137">
      <c r="A137" s="1651"/>
      <c r="B137" s="1651"/>
      <c r="C137" s="1652"/>
      <c r="D137" s="1654"/>
      <c r="E137" s="1653"/>
      <c r="F137" s="1654"/>
      <c r="G137" s="1654"/>
      <c r="H137" s="1654"/>
      <c r="I137" s="1654"/>
      <c r="J137" s="1654"/>
      <c r="K137" s="1654"/>
      <c r="L137" s="1654"/>
      <c r="M137" s="1655"/>
      <c r="N137" s="1655"/>
      <c r="O137" s="1656"/>
    </row>
    <row r="138">
      <c r="A138" s="1639"/>
      <c r="B138" s="1639"/>
      <c r="C138" s="1640"/>
      <c r="D138" s="1646"/>
      <c r="E138" s="1642"/>
      <c r="F138" s="1643"/>
      <c r="G138" s="1644"/>
      <c r="H138" s="1645"/>
      <c r="I138" s="1646"/>
      <c r="J138" s="1647"/>
      <c r="K138" s="1648"/>
      <c r="L138" s="1643"/>
      <c r="M138" s="1649"/>
      <c r="N138" s="1649"/>
      <c r="O138" s="1650"/>
    </row>
    <row r="139">
      <c r="A139" s="1651"/>
      <c r="B139" s="1651"/>
      <c r="C139" s="1652"/>
      <c r="D139" s="1654"/>
      <c r="E139" s="1653"/>
      <c r="F139" s="1654"/>
      <c r="G139" s="1654"/>
      <c r="H139" s="1654"/>
      <c r="I139" s="1654"/>
      <c r="J139" s="1654"/>
      <c r="K139" s="1654"/>
      <c r="L139" s="1654"/>
      <c r="M139" s="1655"/>
      <c r="N139" s="1655"/>
      <c r="O139" s="1656"/>
    </row>
    <row r="140">
      <c r="A140" s="1639"/>
      <c r="B140" s="1639"/>
      <c r="C140" s="1640"/>
      <c r="D140" s="1646"/>
      <c r="E140" s="1642"/>
      <c r="F140" s="1643"/>
      <c r="G140" s="1644"/>
      <c r="H140" s="1645"/>
      <c r="I140" s="1646"/>
      <c r="J140" s="1647"/>
      <c r="K140" s="1648"/>
      <c r="L140" s="1643"/>
      <c r="M140" s="1649"/>
      <c r="N140" s="1649"/>
      <c r="O140" s="1650"/>
    </row>
    <row r="141">
      <c r="A141" s="1651"/>
      <c r="B141" s="1651"/>
      <c r="C141" s="1652"/>
      <c r="D141" s="1654"/>
      <c r="E141" s="1653"/>
      <c r="F141" s="1654"/>
      <c r="G141" s="1654"/>
      <c r="H141" s="1654"/>
      <c r="I141" s="1654"/>
      <c r="J141" s="1654"/>
      <c r="K141" s="1654"/>
      <c r="L141" s="1654"/>
      <c r="M141" s="1655"/>
      <c r="N141" s="1655"/>
      <c r="O141" s="1656"/>
    </row>
    <row r="142">
      <c r="A142" s="1639"/>
      <c r="B142" s="1639"/>
      <c r="C142" s="1640"/>
      <c r="D142" s="1646"/>
      <c r="E142" s="1642"/>
      <c r="F142" s="1643"/>
      <c r="G142" s="1644"/>
      <c r="H142" s="1645"/>
      <c r="I142" s="1646"/>
      <c r="J142" s="1647"/>
      <c r="K142" s="1648"/>
      <c r="L142" s="1643"/>
      <c r="M142" s="1649"/>
      <c r="N142" s="1649"/>
      <c r="O142" s="1650"/>
    </row>
    <row r="143">
      <c r="A143" s="1651"/>
      <c r="B143" s="1651"/>
      <c r="C143" s="1652"/>
      <c r="D143" s="1654"/>
      <c r="E143" s="1653"/>
      <c r="F143" s="1654"/>
      <c r="G143" s="1654"/>
      <c r="H143" s="1654"/>
      <c r="I143" s="1654"/>
      <c r="J143" s="1654"/>
      <c r="K143" s="1654"/>
      <c r="L143" s="1654"/>
      <c r="M143" s="1655"/>
      <c r="N143" s="1655"/>
      <c r="O143" s="1656"/>
    </row>
    <row r="144">
      <c r="A144" s="1639"/>
      <c r="B144" s="1639"/>
      <c r="C144" s="1640"/>
      <c r="D144" s="1646"/>
      <c r="E144" s="1642"/>
      <c r="F144" s="1643"/>
      <c r="G144" s="1644"/>
      <c r="H144" s="1645"/>
      <c r="I144" s="1646"/>
      <c r="J144" s="1647"/>
      <c r="K144" s="1648"/>
      <c r="L144" s="1643"/>
      <c r="M144" s="1649"/>
      <c r="N144" s="1649"/>
      <c r="O144" s="1650"/>
    </row>
    <row r="145">
      <c r="A145" s="1651"/>
      <c r="B145" s="1651"/>
      <c r="C145" s="1652"/>
      <c r="D145" s="1654"/>
      <c r="E145" s="1653"/>
      <c r="F145" s="1654"/>
      <c r="G145" s="1654"/>
      <c r="H145" s="1654"/>
      <c r="I145" s="1654"/>
      <c r="J145" s="1654"/>
      <c r="K145" s="1654"/>
      <c r="L145" s="1654"/>
      <c r="M145" s="1655"/>
      <c r="N145" s="1655"/>
      <c r="O145" s="1656"/>
    </row>
    <row r="146">
      <c r="A146" s="1639"/>
      <c r="B146" s="1639"/>
      <c r="C146" s="1640"/>
      <c r="D146" s="1646"/>
      <c r="E146" s="1642"/>
      <c r="F146" s="1643"/>
      <c r="G146" s="1644"/>
      <c r="H146" s="1645"/>
      <c r="I146" s="1646"/>
      <c r="J146" s="1647"/>
      <c r="K146" s="1648"/>
      <c r="L146" s="1643"/>
      <c r="M146" s="1649"/>
      <c r="N146" s="1649"/>
      <c r="O146" s="1650"/>
    </row>
    <row r="147">
      <c r="A147" s="1651"/>
      <c r="B147" s="1651"/>
      <c r="C147" s="1652"/>
      <c r="D147" s="1654"/>
      <c r="E147" s="1653"/>
      <c r="F147" s="1654"/>
      <c r="G147" s="1654"/>
      <c r="H147" s="1654"/>
      <c r="I147" s="1654"/>
      <c r="J147" s="1654"/>
      <c r="K147" s="1654"/>
      <c r="L147" s="1654"/>
      <c r="M147" s="1655"/>
      <c r="N147" s="1655"/>
      <c r="O147" s="1656"/>
    </row>
    <row r="148">
      <c r="A148" s="1639"/>
      <c r="B148" s="1639"/>
      <c r="C148" s="1640"/>
      <c r="D148" s="1646"/>
      <c r="E148" s="1642"/>
      <c r="F148" s="1643"/>
      <c r="G148" s="1644"/>
      <c r="H148" s="1645"/>
      <c r="I148" s="1646"/>
      <c r="J148" s="1647"/>
      <c r="K148" s="1648"/>
      <c r="L148" s="1643"/>
      <c r="M148" s="1649"/>
      <c r="N148" s="1649"/>
      <c r="O148" s="1650"/>
    </row>
    <row r="149">
      <c r="A149" s="1651"/>
      <c r="B149" s="1651"/>
      <c r="C149" s="1652"/>
      <c r="D149" s="1654"/>
      <c r="E149" s="1653"/>
      <c r="F149" s="1654"/>
      <c r="G149" s="1654"/>
      <c r="H149" s="1654"/>
      <c r="I149" s="1654"/>
      <c r="J149" s="1654"/>
      <c r="K149" s="1654"/>
      <c r="L149" s="1654"/>
      <c r="M149" s="1655"/>
      <c r="N149" s="1655"/>
      <c r="O149" s="1656"/>
    </row>
    <row r="150">
      <c r="A150" s="1639"/>
      <c r="B150" s="1639"/>
      <c r="C150" s="1640"/>
      <c r="D150" s="1646"/>
      <c r="E150" s="1642"/>
      <c r="F150" s="1643"/>
      <c r="G150" s="1644"/>
      <c r="H150" s="1645"/>
      <c r="I150" s="1646"/>
      <c r="J150" s="1647"/>
      <c r="K150" s="1648"/>
      <c r="L150" s="1643"/>
      <c r="M150" s="1649"/>
      <c r="N150" s="1649"/>
      <c r="O150" s="1650"/>
    </row>
    <row r="151">
      <c r="A151" s="1651"/>
      <c r="B151" s="1651"/>
      <c r="C151" s="1652"/>
      <c r="D151" s="1654"/>
      <c r="E151" s="1653"/>
      <c r="F151" s="1654"/>
      <c r="G151" s="1654"/>
      <c r="H151" s="1654"/>
      <c r="I151" s="1654"/>
      <c r="J151" s="1654"/>
      <c r="K151" s="1654"/>
      <c r="L151" s="1654"/>
      <c r="M151" s="1655"/>
      <c r="N151" s="1655"/>
      <c r="O151" s="1656"/>
    </row>
    <row r="152">
      <c r="A152" s="1639"/>
      <c r="B152" s="1639"/>
      <c r="C152" s="1640"/>
      <c r="D152" s="1646"/>
      <c r="E152" s="1642"/>
      <c r="F152" s="1643"/>
      <c r="G152" s="1644"/>
      <c r="H152" s="1645"/>
      <c r="I152" s="1646"/>
      <c r="J152" s="1647"/>
      <c r="K152" s="1648"/>
      <c r="L152" s="1643"/>
      <c r="M152" s="1649"/>
      <c r="N152" s="1649"/>
      <c r="O152" s="1650"/>
    </row>
    <row r="153">
      <c r="A153" s="1651"/>
      <c r="B153" s="1651"/>
      <c r="C153" s="1652"/>
      <c r="D153" s="1654"/>
      <c r="E153" s="1653"/>
      <c r="F153" s="1654"/>
      <c r="G153" s="1654"/>
      <c r="H153" s="1654"/>
      <c r="I153" s="1654"/>
      <c r="J153" s="1654"/>
      <c r="K153" s="1654"/>
      <c r="L153" s="1654"/>
      <c r="M153" s="1655"/>
      <c r="N153" s="1655"/>
      <c r="O153" s="1656"/>
    </row>
    <row r="154">
      <c r="A154" s="1639"/>
      <c r="B154" s="1639"/>
      <c r="C154" s="1640"/>
      <c r="D154" s="1646"/>
      <c r="E154" s="1642"/>
      <c r="F154" s="1643"/>
      <c r="G154" s="1644"/>
      <c r="H154" s="1645"/>
      <c r="I154" s="1646"/>
      <c r="J154" s="1647"/>
      <c r="K154" s="1648"/>
      <c r="L154" s="1643"/>
      <c r="M154" s="1649"/>
      <c r="N154" s="1649"/>
      <c r="O154" s="1650"/>
    </row>
    <row r="155">
      <c r="A155" s="1651"/>
      <c r="B155" s="1651"/>
      <c r="C155" s="1652"/>
      <c r="D155" s="1654"/>
      <c r="E155" s="1653"/>
      <c r="F155" s="1654"/>
      <c r="G155" s="1654"/>
      <c r="H155" s="1654"/>
      <c r="I155" s="1654"/>
      <c r="J155" s="1654"/>
      <c r="K155" s="1654"/>
      <c r="L155" s="1654"/>
      <c r="M155" s="1655"/>
      <c r="N155" s="1655"/>
      <c r="O155" s="1656"/>
    </row>
    <row r="156">
      <c r="A156" s="1639"/>
      <c r="B156" s="1639"/>
      <c r="C156" s="1640"/>
      <c r="D156" s="1646"/>
      <c r="E156" s="1642"/>
      <c r="F156" s="1643"/>
      <c r="G156" s="1644"/>
      <c r="H156" s="1645"/>
      <c r="I156" s="1646"/>
      <c r="J156" s="1647"/>
      <c r="K156" s="1648"/>
      <c r="L156" s="1643"/>
      <c r="M156" s="1649"/>
      <c r="N156" s="1649"/>
      <c r="O156" s="1650"/>
    </row>
    <row r="157">
      <c r="A157" s="1651"/>
      <c r="B157" s="1651"/>
      <c r="C157" s="1652"/>
      <c r="D157" s="1654"/>
      <c r="E157" s="1653"/>
      <c r="F157" s="1654"/>
      <c r="G157" s="1654"/>
      <c r="H157" s="1654"/>
      <c r="I157" s="1654"/>
      <c r="J157" s="1654"/>
      <c r="K157" s="1654"/>
      <c r="L157" s="1654"/>
      <c r="M157" s="1655"/>
      <c r="N157" s="1655"/>
      <c r="O157" s="1656"/>
    </row>
    <row r="158">
      <c r="A158" s="1639"/>
      <c r="B158" s="1639"/>
      <c r="C158" s="1640"/>
      <c r="D158" s="1646"/>
      <c r="E158" s="1642"/>
      <c r="F158" s="1643"/>
      <c r="G158" s="1644"/>
      <c r="H158" s="1645"/>
      <c r="I158" s="1646"/>
      <c r="J158" s="1647"/>
      <c r="K158" s="1648"/>
      <c r="L158" s="1643"/>
      <c r="M158" s="1649"/>
      <c r="N158" s="1649"/>
      <c r="O158" s="1650"/>
    </row>
    <row r="159">
      <c r="A159" s="1651"/>
      <c r="B159" s="1651"/>
      <c r="C159" s="1652"/>
      <c r="D159" s="1654"/>
      <c r="E159" s="1653"/>
      <c r="F159" s="1654"/>
      <c r="G159" s="1654"/>
      <c r="H159" s="1654"/>
      <c r="I159" s="1654"/>
      <c r="J159" s="1654"/>
      <c r="K159" s="1654"/>
      <c r="L159" s="1654"/>
      <c r="M159" s="1655"/>
      <c r="N159" s="1655"/>
      <c r="O159" s="1656"/>
    </row>
    <row r="160">
      <c r="A160" s="1639"/>
      <c r="B160" s="1639"/>
      <c r="C160" s="1640"/>
      <c r="D160" s="1646"/>
      <c r="E160" s="1642"/>
      <c r="F160" s="1643"/>
      <c r="G160" s="1644"/>
      <c r="H160" s="1645"/>
      <c r="I160" s="1646"/>
      <c r="J160" s="1647"/>
      <c r="K160" s="1648"/>
      <c r="L160" s="1643"/>
      <c r="M160" s="1649"/>
      <c r="N160" s="1649"/>
      <c r="O160" s="1650"/>
    </row>
    <row r="161">
      <c r="A161" s="1651"/>
      <c r="B161" s="1651"/>
      <c r="C161" s="1652"/>
      <c r="D161" s="1654"/>
      <c r="E161" s="1653"/>
      <c r="F161" s="1654"/>
      <c r="G161" s="1654"/>
      <c r="H161" s="1654"/>
      <c r="I161" s="1654"/>
      <c r="J161" s="1654"/>
      <c r="K161" s="1654"/>
      <c r="L161" s="1654"/>
      <c r="M161" s="1655"/>
      <c r="N161" s="1655"/>
      <c r="O161" s="1656"/>
    </row>
    <row r="162">
      <c r="A162" s="1639"/>
      <c r="B162" s="1639"/>
      <c r="C162" s="1640"/>
      <c r="D162" s="1646"/>
      <c r="E162" s="1642"/>
      <c r="F162" s="1643"/>
      <c r="G162" s="1644"/>
      <c r="H162" s="1645"/>
      <c r="I162" s="1646"/>
      <c r="J162" s="1647"/>
      <c r="K162" s="1648"/>
      <c r="L162" s="1643"/>
      <c r="M162" s="1649"/>
      <c r="N162" s="1649"/>
      <c r="O162" s="1650"/>
    </row>
    <row r="163">
      <c r="A163" s="1651"/>
      <c r="B163" s="1651"/>
      <c r="C163" s="1652"/>
      <c r="D163" s="1654"/>
      <c r="E163" s="1653"/>
      <c r="F163" s="1654"/>
      <c r="G163" s="1654"/>
      <c r="H163" s="1654"/>
      <c r="I163" s="1654"/>
      <c r="J163" s="1654"/>
      <c r="K163" s="1654"/>
      <c r="L163" s="1654"/>
      <c r="M163" s="1655"/>
      <c r="N163" s="1655"/>
      <c r="O163" s="1656"/>
    </row>
    <row r="164">
      <c r="A164" s="1639"/>
      <c r="B164" s="1639"/>
      <c r="C164" s="1640"/>
      <c r="D164" s="1646"/>
      <c r="E164" s="1642"/>
      <c r="F164" s="1643"/>
      <c r="G164" s="1644"/>
      <c r="H164" s="1645"/>
      <c r="I164" s="1646"/>
      <c r="J164" s="1647"/>
      <c r="K164" s="1648"/>
      <c r="L164" s="1643"/>
      <c r="M164" s="1649"/>
      <c r="N164" s="1649"/>
      <c r="O164" s="1650"/>
    </row>
    <row r="165">
      <c r="A165" s="1651"/>
      <c r="B165" s="1651"/>
      <c r="C165" s="1652"/>
      <c r="D165" s="1654"/>
      <c r="E165" s="1653"/>
      <c r="F165" s="1654"/>
      <c r="G165" s="1654"/>
      <c r="H165" s="1654"/>
      <c r="I165" s="1654"/>
      <c r="J165" s="1654"/>
      <c r="K165" s="1654"/>
      <c r="L165" s="1654"/>
      <c r="M165" s="1655"/>
      <c r="N165" s="1655"/>
      <c r="O165" s="1656"/>
    </row>
    <row r="166">
      <c r="A166" s="1639"/>
      <c r="B166" s="1639"/>
      <c r="C166" s="1640"/>
      <c r="D166" s="1646"/>
      <c r="E166" s="1642"/>
      <c r="F166" s="1643"/>
      <c r="G166" s="1644"/>
      <c r="H166" s="1645"/>
      <c r="I166" s="1646"/>
      <c r="J166" s="1647"/>
      <c r="K166" s="1648"/>
      <c r="L166" s="1643"/>
      <c r="M166" s="1649"/>
      <c r="N166" s="1649"/>
      <c r="O166" s="1650"/>
    </row>
    <row r="167">
      <c r="A167" s="1651"/>
      <c r="B167" s="1651"/>
      <c r="C167" s="1652"/>
      <c r="D167" s="1654"/>
      <c r="E167" s="1653"/>
      <c r="F167" s="1654"/>
      <c r="G167" s="1654"/>
      <c r="H167" s="1654"/>
      <c r="I167" s="1654"/>
      <c r="J167" s="1654"/>
      <c r="K167" s="1654"/>
      <c r="L167" s="1654"/>
      <c r="M167" s="1655"/>
      <c r="N167" s="1655"/>
      <c r="O167" s="1656"/>
    </row>
    <row r="168">
      <c r="A168" s="1639"/>
      <c r="B168" s="1639"/>
      <c r="C168" s="1640"/>
      <c r="D168" s="1646"/>
      <c r="E168" s="1642"/>
      <c r="F168" s="1643"/>
      <c r="G168" s="1644"/>
      <c r="H168" s="1645"/>
      <c r="I168" s="1646"/>
      <c r="J168" s="1647"/>
      <c r="K168" s="1648"/>
      <c r="L168" s="1643"/>
      <c r="M168" s="1649"/>
      <c r="N168" s="1649"/>
      <c r="O168" s="1650"/>
    </row>
    <row r="169">
      <c r="A169" s="1651"/>
      <c r="B169" s="1651"/>
      <c r="C169" s="1652"/>
      <c r="D169" s="1654"/>
      <c r="E169" s="1653"/>
      <c r="F169" s="1654"/>
      <c r="G169" s="1654"/>
      <c r="H169" s="1654"/>
      <c r="I169" s="1654"/>
      <c r="J169" s="1654"/>
      <c r="K169" s="1654"/>
      <c r="L169" s="1654"/>
      <c r="M169" s="1655"/>
      <c r="N169" s="1655"/>
      <c r="O169" s="1656"/>
    </row>
    <row r="170">
      <c r="A170" s="1639"/>
      <c r="B170" s="1639"/>
      <c r="C170" s="1640"/>
      <c r="D170" s="1646"/>
      <c r="E170" s="1642"/>
      <c r="F170" s="1643"/>
      <c r="G170" s="1644"/>
      <c r="H170" s="1645"/>
      <c r="I170" s="1646"/>
      <c r="J170" s="1647"/>
      <c r="K170" s="1648"/>
      <c r="L170" s="1643"/>
      <c r="M170" s="1649"/>
      <c r="N170" s="1649"/>
      <c r="O170" s="1650"/>
    </row>
    <row r="171">
      <c r="A171" s="1651"/>
      <c r="B171" s="1651"/>
      <c r="C171" s="1652"/>
      <c r="D171" s="1654"/>
      <c r="E171" s="1653"/>
      <c r="F171" s="1654"/>
      <c r="G171" s="1654"/>
      <c r="H171" s="1654"/>
      <c r="I171" s="1654"/>
      <c r="J171" s="1654"/>
      <c r="K171" s="1654"/>
      <c r="L171" s="1654"/>
      <c r="M171" s="1655"/>
      <c r="N171" s="1655"/>
      <c r="O171" s="1656"/>
    </row>
    <row r="172">
      <c r="A172" s="1639"/>
      <c r="B172" s="1639"/>
      <c r="C172" s="1640"/>
      <c r="D172" s="1646"/>
      <c r="E172" s="1642"/>
      <c r="F172" s="1643"/>
      <c r="G172" s="1644"/>
      <c r="H172" s="1645"/>
      <c r="I172" s="1646"/>
      <c r="J172" s="1647"/>
      <c r="K172" s="1648"/>
      <c r="L172" s="1643"/>
      <c r="M172" s="1649"/>
      <c r="N172" s="1649"/>
      <c r="O172" s="1650"/>
    </row>
    <row r="173">
      <c r="A173" s="1651"/>
      <c r="B173" s="1651"/>
      <c r="C173" s="1652"/>
      <c r="D173" s="1654"/>
      <c r="E173" s="1653"/>
      <c r="F173" s="1654"/>
      <c r="G173" s="1654"/>
      <c r="H173" s="1654"/>
      <c r="I173" s="1654"/>
      <c r="J173" s="1654"/>
      <c r="K173" s="1654"/>
      <c r="L173" s="1654"/>
      <c r="M173" s="1655"/>
      <c r="N173" s="1655"/>
      <c r="O173" s="1656"/>
    </row>
    <row r="174">
      <c r="A174" s="1639"/>
      <c r="B174" s="1639"/>
      <c r="C174" s="1640"/>
      <c r="D174" s="1646"/>
      <c r="E174" s="1642"/>
      <c r="F174" s="1643"/>
      <c r="G174" s="1644"/>
      <c r="H174" s="1645"/>
      <c r="I174" s="1646"/>
      <c r="J174" s="1647"/>
      <c r="K174" s="1648"/>
      <c r="L174" s="1643"/>
      <c r="M174" s="1649"/>
      <c r="N174" s="1649"/>
      <c r="O174" s="1650"/>
    </row>
    <row r="175">
      <c r="A175" s="1651"/>
      <c r="B175" s="1651"/>
      <c r="C175" s="1652"/>
      <c r="D175" s="1654"/>
      <c r="E175" s="1653"/>
      <c r="F175" s="1654"/>
      <c r="G175" s="1654"/>
      <c r="H175" s="1654"/>
      <c r="I175" s="1654"/>
      <c r="J175" s="1654"/>
      <c r="K175" s="1654"/>
      <c r="L175" s="1654"/>
      <c r="M175" s="1655"/>
      <c r="N175" s="1655"/>
      <c r="O175" s="1656"/>
    </row>
    <row r="176">
      <c r="A176" s="1639"/>
      <c r="B176" s="1639"/>
      <c r="C176" s="1640"/>
      <c r="D176" s="1646"/>
      <c r="E176" s="1642"/>
      <c r="F176" s="1643"/>
      <c r="G176" s="1644"/>
      <c r="H176" s="1645"/>
      <c r="I176" s="1646"/>
      <c r="J176" s="1647"/>
      <c r="K176" s="1648"/>
      <c r="L176" s="1643"/>
      <c r="M176" s="1649"/>
      <c r="N176" s="1649"/>
      <c r="O176" s="1650"/>
    </row>
    <row r="177">
      <c r="A177" s="1651"/>
      <c r="B177" s="1651"/>
      <c r="C177" s="1652"/>
      <c r="D177" s="1654"/>
      <c r="E177" s="1653"/>
      <c r="F177" s="1654"/>
      <c r="G177" s="1654"/>
      <c r="H177" s="1654"/>
      <c r="I177" s="1654"/>
      <c r="J177" s="1654"/>
      <c r="K177" s="1654"/>
      <c r="L177" s="1654"/>
      <c r="M177" s="1655"/>
      <c r="N177" s="1655"/>
      <c r="O177" s="1656"/>
    </row>
    <row r="178">
      <c r="A178" s="1639"/>
      <c r="B178" s="1639"/>
      <c r="C178" s="1640"/>
      <c r="D178" s="1646"/>
      <c r="E178" s="1642"/>
      <c r="F178" s="1643"/>
      <c r="G178" s="1644"/>
      <c r="H178" s="1645"/>
      <c r="I178" s="1646"/>
      <c r="J178" s="1647"/>
      <c r="K178" s="1648"/>
      <c r="L178" s="1643"/>
      <c r="M178" s="1649"/>
      <c r="N178" s="1649"/>
      <c r="O178" s="1650"/>
    </row>
    <row r="179">
      <c r="A179" s="1651"/>
      <c r="B179" s="1651"/>
      <c r="C179" s="1652"/>
      <c r="D179" s="1654"/>
      <c r="E179" s="1653"/>
      <c r="F179" s="1654"/>
      <c r="G179" s="1654"/>
      <c r="H179" s="1654"/>
      <c r="I179" s="1654"/>
      <c r="J179" s="1654"/>
      <c r="K179" s="1654"/>
      <c r="L179" s="1654"/>
      <c r="M179" s="1655"/>
      <c r="N179" s="1655"/>
      <c r="O179" s="1656"/>
    </row>
    <row r="180">
      <c r="A180" s="1639"/>
      <c r="B180" s="1639"/>
      <c r="C180" s="1640"/>
      <c r="D180" s="1646"/>
      <c r="E180" s="1642"/>
      <c r="F180" s="1643"/>
      <c r="G180" s="1644"/>
      <c r="H180" s="1645"/>
      <c r="I180" s="1646"/>
      <c r="J180" s="1647"/>
      <c r="K180" s="1648"/>
      <c r="L180" s="1643"/>
      <c r="M180" s="1649"/>
      <c r="N180" s="1649"/>
      <c r="O180" s="1650"/>
    </row>
    <row r="181">
      <c r="A181" s="1651"/>
      <c r="B181" s="1651"/>
      <c r="C181" s="1652"/>
      <c r="D181" s="1654"/>
      <c r="E181" s="1653"/>
      <c r="F181" s="1654"/>
      <c r="G181" s="1654"/>
      <c r="H181" s="1654"/>
      <c r="I181" s="1654"/>
      <c r="J181" s="1654"/>
      <c r="K181" s="1654"/>
      <c r="L181" s="1654"/>
      <c r="M181" s="1655"/>
      <c r="N181" s="1655"/>
      <c r="O181" s="1656"/>
    </row>
    <row r="182">
      <c r="A182" s="1639"/>
      <c r="B182" s="1639"/>
      <c r="C182" s="1640"/>
      <c r="D182" s="1646"/>
      <c r="E182" s="1642"/>
      <c r="F182" s="1643"/>
      <c r="G182" s="1644"/>
      <c r="H182" s="1645"/>
      <c r="I182" s="1646"/>
      <c r="J182" s="1647"/>
      <c r="K182" s="1648"/>
      <c r="L182" s="1643"/>
      <c r="M182" s="1649"/>
      <c r="N182" s="1649"/>
      <c r="O182" s="1650"/>
    </row>
    <row r="183">
      <c r="A183" s="1651"/>
      <c r="B183" s="1651"/>
      <c r="C183" s="1652"/>
      <c r="D183" s="1654"/>
      <c r="E183" s="1653"/>
      <c r="F183" s="1654"/>
      <c r="G183" s="1654"/>
      <c r="H183" s="1654"/>
      <c r="I183" s="1654"/>
      <c r="J183" s="1654"/>
      <c r="K183" s="1654"/>
      <c r="L183" s="1654"/>
      <c r="M183" s="1655"/>
      <c r="N183" s="1655"/>
      <c r="O183" s="1656"/>
    </row>
    <row r="184">
      <c r="A184" s="1639"/>
      <c r="B184" s="1639"/>
      <c r="C184" s="1640"/>
      <c r="D184" s="1646"/>
      <c r="E184" s="1642"/>
      <c r="F184" s="1643"/>
      <c r="G184" s="1644"/>
      <c r="H184" s="1645"/>
      <c r="I184" s="1646"/>
      <c r="J184" s="1647"/>
      <c r="K184" s="1648"/>
      <c r="L184" s="1643"/>
      <c r="M184" s="1649"/>
      <c r="N184" s="1649"/>
      <c r="O184" s="1650"/>
    </row>
    <row r="185">
      <c r="A185" s="1651"/>
      <c r="B185" s="1651"/>
      <c r="C185" s="1652"/>
      <c r="D185" s="1654"/>
      <c r="E185" s="1653"/>
      <c r="F185" s="1654"/>
      <c r="G185" s="1654"/>
      <c r="H185" s="1654"/>
      <c r="I185" s="1654"/>
      <c r="J185" s="1654"/>
      <c r="K185" s="1654"/>
      <c r="L185" s="1654"/>
      <c r="M185" s="1655"/>
      <c r="N185" s="1655"/>
      <c r="O185" s="1656"/>
    </row>
    <row r="186">
      <c r="A186" s="1639"/>
      <c r="B186" s="1639"/>
      <c r="C186" s="1640"/>
      <c r="D186" s="1646"/>
      <c r="E186" s="1642"/>
      <c r="F186" s="1643"/>
      <c r="G186" s="1644"/>
      <c r="H186" s="1645"/>
      <c r="I186" s="1646"/>
      <c r="J186" s="1647"/>
      <c r="K186" s="1648"/>
      <c r="L186" s="1643"/>
      <c r="M186" s="1649"/>
      <c r="N186" s="1649"/>
      <c r="O186" s="1650"/>
    </row>
    <row r="187">
      <c r="A187" s="1651"/>
      <c r="B187" s="1651"/>
      <c r="C187" s="1652"/>
      <c r="D187" s="1654"/>
      <c r="E187" s="1653"/>
      <c r="F187" s="1654"/>
      <c r="G187" s="1654"/>
      <c r="H187" s="1654"/>
      <c r="I187" s="1654"/>
      <c r="J187" s="1654"/>
      <c r="K187" s="1654"/>
      <c r="L187" s="1654"/>
      <c r="M187" s="1655"/>
      <c r="N187" s="1655"/>
      <c r="O187" s="1656"/>
    </row>
    <row r="188">
      <c r="A188" s="1639"/>
      <c r="B188" s="1639"/>
      <c r="C188" s="1640"/>
      <c r="D188" s="1646"/>
      <c r="E188" s="1642"/>
      <c r="F188" s="1643"/>
      <c r="G188" s="1644"/>
      <c r="H188" s="1645"/>
      <c r="I188" s="1646"/>
      <c r="J188" s="1647"/>
      <c r="K188" s="1648"/>
      <c r="L188" s="1643"/>
      <c r="M188" s="1649"/>
      <c r="N188" s="1649"/>
      <c r="O188" s="1650"/>
    </row>
    <row r="189">
      <c r="A189" s="1651"/>
      <c r="B189" s="1651"/>
      <c r="C189" s="1652"/>
      <c r="D189" s="1654"/>
      <c r="E189" s="1653"/>
      <c r="F189" s="1654"/>
      <c r="G189" s="1654"/>
      <c r="H189" s="1654"/>
      <c r="I189" s="1654"/>
      <c r="J189" s="1654"/>
      <c r="K189" s="1654"/>
      <c r="L189" s="1654"/>
      <c r="M189" s="1655"/>
      <c r="N189" s="1655"/>
      <c r="O189" s="1656"/>
    </row>
    <row r="190">
      <c r="A190" s="1639"/>
      <c r="B190" s="1639"/>
      <c r="C190" s="1640"/>
      <c r="D190" s="1646"/>
      <c r="E190" s="1642"/>
      <c r="F190" s="1643"/>
      <c r="G190" s="1644"/>
      <c r="H190" s="1645"/>
      <c r="I190" s="1646"/>
      <c r="J190" s="1647"/>
      <c r="K190" s="1648"/>
      <c r="L190" s="1643"/>
      <c r="M190" s="1649"/>
      <c r="N190" s="1649"/>
      <c r="O190" s="1650"/>
    </row>
    <row r="191">
      <c r="A191" s="1651"/>
      <c r="B191" s="1651"/>
      <c r="C191" s="1652"/>
      <c r="D191" s="1654"/>
      <c r="E191" s="1653"/>
      <c r="F191" s="1654"/>
      <c r="G191" s="1654"/>
      <c r="H191" s="1654"/>
      <c r="I191" s="1654"/>
      <c r="J191" s="1654"/>
      <c r="K191" s="1654"/>
      <c r="L191" s="1654"/>
      <c r="M191" s="1655"/>
      <c r="N191" s="1655"/>
      <c r="O191" s="1656"/>
    </row>
    <row r="192">
      <c r="A192" s="1639"/>
      <c r="B192" s="1639"/>
      <c r="C192" s="1640"/>
      <c r="D192" s="1646"/>
      <c r="E192" s="1642"/>
      <c r="F192" s="1643"/>
      <c r="G192" s="1644"/>
      <c r="H192" s="1645"/>
      <c r="I192" s="1646"/>
      <c r="J192" s="1647"/>
      <c r="K192" s="1648"/>
      <c r="L192" s="1643"/>
      <c r="M192" s="1649"/>
      <c r="N192" s="1649"/>
      <c r="O192" s="1650"/>
    </row>
    <row r="193">
      <c r="A193" s="1651"/>
      <c r="B193" s="1651"/>
      <c r="C193" s="1652"/>
      <c r="D193" s="1654"/>
      <c r="E193" s="1653"/>
      <c r="F193" s="1654"/>
      <c r="G193" s="1654"/>
      <c r="H193" s="1654"/>
      <c r="I193" s="1654"/>
      <c r="J193" s="1654"/>
      <c r="K193" s="1654"/>
      <c r="L193" s="1654"/>
      <c r="M193" s="1655"/>
      <c r="N193" s="1655"/>
      <c r="O193" s="1656"/>
    </row>
    <row r="194">
      <c r="A194" s="1639"/>
      <c r="B194" s="1639"/>
      <c r="C194" s="1640"/>
      <c r="D194" s="1646"/>
      <c r="E194" s="1642"/>
      <c r="F194" s="1643"/>
      <c r="G194" s="1644"/>
      <c r="H194" s="1645"/>
      <c r="I194" s="1646"/>
      <c r="J194" s="1647"/>
      <c r="K194" s="1648"/>
      <c r="L194" s="1643"/>
      <c r="M194" s="1649"/>
      <c r="N194" s="1649"/>
      <c r="O194" s="1650"/>
    </row>
    <row r="195">
      <c r="A195" s="1651"/>
      <c r="B195" s="1651"/>
      <c r="C195" s="1652"/>
      <c r="D195" s="1654"/>
      <c r="E195" s="1653"/>
      <c r="F195" s="1654"/>
      <c r="G195" s="1654"/>
      <c r="H195" s="1654"/>
      <c r="I195" s="1654"/>
      <c r="J195" s="1654"/>
      <c r="K195" s="1654"/>
      <c r="L195" s="1654"/>
      <c r="M195" s="1655"/>
      <c r="N195" s="1655"/>
      <c r="O195" s="1656"/>
    </row>
    <row r="196">
      <c r="A196" s="1639"/>
      <c r="B196" s="1639"/>
      <c r="C196" s="1640"/>
      <c r="D196" s="1646"/>
      <c r="E196" s="1642"/>
      <c r="F196" s="1643"/>
      <c r="G196" s="1644"/>
      <c r="H196" s="1645"/>
      <c r="I196" s="1646"/>
      <c r="J196" s="1647"/>
      <c r="K196" s="1648"/>
      <c r="L196" s="1643"/>
      <c r="M196" s="1649"/>
      <c r="N196" s="1649"/>
      <c r="O196" s="1650"/>
    </row>
    <row r="197">
      <c r="A197" s="1651"/>
      <c r="B197" s="1651"/>
      <c r="C197" s="1652"/>
      <c r="D197" s="1654"/>
      <c r="E197" s="1653"/>
      <c r="F197" s="1654"/>
      <c r="G197" s="1654"/>
      <c r="H197" s="1654"/>
      <c r="I197" s="1654"/>
      <c r="J197" s="1654"/>
      <c r="K197" s="1654"/>
      <c r="L197" s="1654"/>
      <c r="M197" s="1655"/>
      <c r="N197" s="1655"/>
      <c r="O197" s="1656"/>
    </row>
    <row r="198">
      <c r="A198" s="1639"/>
      <c r="B198" s="1639"/>
      <c r="C198" s="1640"/>
      <c r="D198" s="1646"/>
      <c r="E198" s="1642"/>
      <c r="F198" s="1643"/>
      <c r="G198" s="1644"/>
      <c r="H198" s="1645"/>
      <c r="I198" s="1646"/>
      <c r="J198" s="1647"/>
      <c r="K198" s="1648"/>
      <c r="L198" s="1643"/>
      <c r="M198" s="1649"/>
      <c r="N198" s="1649"/>
      <c r="O198" s="1650"/>
    </row>
    <row r="199">
      <c r="A199" s="1651"/>
      <c r="B199" s="1651"/>
      <c r="C199" s="1652"/>
      <c r="D199" s="1654"/>
      <c r="E199" s="1653"/>
      <c r="F199" s="1654"/>
      <c r="G199" s="1654"/>
      <c r="H199" s="1654"/>
      <c r="I199" s="1654"/>
      <c r="J199" s="1654"/>
      <c r="K199" s="1654"/>
      <c r="L199" s="1654"/>
      <c r="M199" s="1655"/>
      <c r="N199" s="1655"/>
      <c r="O199" s="1656"/>
    </row>
    <row r="200">
      <c r="A200" s="1639"/>
      <c r="B200" s="1639"/>
      <c r="C200" s="1640"/>
      <c r="D200" s="1646"/>
      <c r="E200" s="1642"/>
      <c r="F200" s="1643"/>
      <c r="G200" s="1644"/>
      <c r="H200" s="1645"/>
      <c r="I200" s="1646"/>
      <c r="J200" s="1647"/>
      <c r="K200" s="1648"/>
      <c r="L200" s="1643"/>
      <c r="M200" s="1649"/>
      <c r="N200" s="1649"/>
      <c r="O200" s="1650"/>
    </row>
    <row r="201">
      <c r="A201" s="1651"/>
      <c r="B201" s="1651"/>
      <c r="C201" s="1652"/>
      <c r="D201" s="1654"/>
      <c r="E201" s="1653"/>
      <c r="F201" s="1654"/>
      <c r="G201" s="1654"/>
      <c r="H201" s="1654"/>
      <c r="I201" s="1654"/>
      <c r="J201" s="1654"/>
      <c r="K201" s="1654"/>
      <c r="L201" s="1654"/>
      <c r="M201" s="1655"/>
      <c r="N201" s="1655"/>
      <c r="O201" s="1656"/>
    </row>
    <row r="202">
      <c r="A202" s="1639"/>
      <c r="B202" s="1639"/>
      <c r="C202" s="1640"/>
      <c r="D202" s="1646"/>
      <c r="E202" s="1642"/>
      <c r="F202" s="1643"/>
      <c r="G202" s="1644"/>
      <c r="H202" s="1645"/>
      <c r="I202" s="1646"/>
      <c r="J202" s="1647"/>
      <c r="K202" s="1648"/>
      <c r="L202" s="1643"/>
      <c r="M202" s="1649"/>
      <c r="N202" s="1649"/>
      <c r="O202" s="1650"/>
    </row>
    <row r="203">
      <c r="A203" s="1651"/>
      <c r="B203" s="1651"/>
      <c r="C203" s="1652"/>
      <c r="D203" s="1654"/>
      <c r="E203" s="1653"/>
      <c r="F203" s="1654"/>
      <c r="G203" s="1654"/>
      <c r="H203" s="1654"/>
      <c r="I203" s="1654"/>
      <c r="J203" s="1654"/>
      <c r="K203" s="1654"/>
      <c r="L203" s="1654"/>
      <c r="M203" s="1655"/>
      <c r="N203" s="1655"/>
      <c r="O203" s="1656"/>
    </row>
    <row r="204">
      <c r="A204" s="1639"/>
      <c r="B204" s="1639"/>
      <c r="C204" s="1640"/>
      <c r="D204" s="1646"/>
      <c r="E204" s="1642"/>
      <c r="F204" s="1643"/>
      <c r="G204" s="1644"/>
      <c r="H204" s="1645"/>
      <c r="I204" s="1646"/>
      <c r="J204" s="1647"/>
      <c r="K204" s="1648"/>
      <c r="L204" s="1643"/>
      <c r="M204" s="1649"/>
      <c r="N204" s="1649"/>
      <c r="O204" s="1650"/>
    </row>
    <row r="205">
      <c r="A205" s="1651"/>
      <c r="B205" s="1651"/>
      <c r="C205" s="1652"/>
      <c r="D205" s="1654"/>
      <c r="E205" s="1653"/>
      <c r="F205" s="1654"/>
      <c r="G205" s="1654"/>
      <c r="H205" s="1654"/>
      <c r="I205" s="1654"/>
      <c r="J205" s="1654"/>
      <c r="K205" s="1654"/>
      <c r="L205" s="1654"/>
      <c r="M205" s="1655"/>
      <c r="N205" s="1655"/>
      <c r="O205" s="1656"/>
    </row>
    <row r="206">
      <c r="A206" s="1639"/>
      <c r="B206" s="1639"/>
      <c r="C206" s="1640"/>
      <c r="D206" s="1646"/>
      <c r="E206" s="1642"/>
      <c r="F206" s="1643"/>
      <c r="G206" s="1644"/>
      <c r="H206" s="1645"/>
      <c r="I206" s="1646"/>
      <c r="J206" s="1647"/>
      <c r="K206" s="1648"/>
      <c r="L206" s="1643"/>
      <c r="M206" s="1649"/>
      <c r="N206" s="1649"/>
      <c r="O206" s="1650"/>
    </row>
    <row r="207">
      <c r="A207" s="1651"/>
      <c r="B207" s="1651"/>
      <c r="C207" s="1652"/>
      <c r="D207" s="1654"/>
      <c r="E207" s="1653"/>
      <c r="F207" s="1654"/>
      <c r="G207" s="1654"/>
      <c r="H207" s="1654"/>
      <c r="I207" s="1654"/>
      <c r="J207" s="1654"/>
      <c r="K207" s="1654"/>
      <c r="L207" s="1654"/>
      <c r="M207" s="1655"/>
      <c r="N207" s="1655"/>
      <c r="O207" s="1656"/>
    </row>
    <row r="208">
      <c r="A208" s="1639"/>
      <c r="B208" s="1639"/>
      <c r="C208" s="1640"/>
      <c r="D208" s="1646"/>
      <c r="E208" s="1642"/>
      <c r="F208" s="1643"/>
      <c r="G208" s="1644"/>
      <c r="H208" s="1645"/>
      <c r="I208" s="1646"/>
      <c r="J208" s="1647"/>
      <c r="K208" s="1648"/>
      <c r="L208" s="1643"/>
      <c r="M208" s="1649"/>
      <c r="N208" s="1649"/>
      <c r="O208" s="1650"/>
    </row>
    <row r="209">
      <c r="A209" s="1651"/>
      <c r="B209" s="1651"/>
      <c r="C209" s="1652"/>
      <c r="D209" s="1654"/>
      <c r="E209" s="1653"/>
      <c r="F209" s="1654"/>
      <c r="G209" s="1654"/>
      <c r="H209" s="1654"/>
      <c r="I209" s="1654"/>
      <c r="J209" s="1654"/>
      <c r="K209" s="1654"/>
      <c r="L209" s="1654"/>
      <c r="M209" s="1655"/>
      <c r="N209" s="1655"/>
      <c r="O209" s="1656"/>
    </row>
    <row r="210">
      <c r="A210" s="1639"/>
      <c r="B210" s="1639"/>
      <c r="C210" s="1640"/>
      <c r="D210" s="1646"/>
      <c r="E210" s="1642"/>
      <c r="F210" s="1643"/>
      <c r="G210" s="1644"/>
      <c r="H210" s="1645"/>
      <c r="I210" s="1646"/>
      <c r="J210" s="1647"/>
      <c r="K210" s="1648"/>
      <c r="L210" s="1643"/>
      <c r="M210" s="1649"/>
      <c r="N210" s="1649"/>
      <c r="O210" s="1650"/>
    </row>
    <row r="211">
      <c r="A211" s="1651"/>
      <c r="B211" s="1651"/>
      <c r="C211" s="1652"/>
      <c r="D211" s="1654"/>
      <c r="E211" s="1653"/>
      <c r="F211" s="1654"/>
      <c r="G211" s="1654"/>
      <c r="H211" s="1654"/>
      <c r="I211" s="1654"/>
      <c r="J211" s="1654"/>
      <c r="K211" s="1654"/>
      <c r="L211" s="1654"/>
      <c r="M211" s="1655"/>
      <c r="N211" s="1655"/>
      <c r="O211" s="1656"/>
    </row>
    <row r="212">
      <c r="A212" s="1639"/>
      <c r="B212" s="1639"/>
      <c r="C212" s="1640"/>
      <c r="D212" s="1646"/>
      <c r="E212" s="1642"/>
      <c r="F212" s="1643"/>
      <c r="G212" s="1644"/>
      <c r="H212" s="1645"/>
      <c r="I212" s="1646"/>
      <c r="J212" s="1647"/>
      <c r="K212" s="1648"/>
      <c r="L212" s="1643"/>
      <c r="M212" s="1649"/>
      <c r="N212" s="1649"/>
      <c r="O212" s="1650"/>
    </row>
    <row r="213">
      <c r="A213" s="1651"/>
      <c r="B213" s="1651"/>
      <c r="C213" s="1652"/>
      <c r="D213" s="1654"/>
      <c r="E213" s="1653"/>
      <c r="F213" s="1654"/>
      <c r="G213" s="1654"/>
      <c r="H213" s="1654"/>
      <c r="I213" s="1654"/>
      <c r="J213" s="1654"/>
      <c r="K213" s="1654"/>
      <c r="L213" s="1654"/>
      <c r="M213" s="1655"/>
      <c r="N213" s="1655"/>
      <c r="O213" s="1656"/>
    </row>
    <row r="214">
      <c r="A214" s="1639"/>
      <c r="B214" s="1639"/>
      <c r="C214" s="1640"/>
      <c r="D214" s="1646"/>
      <c r="E214" s="1642"/>
      <c r="F214" s="1643"/>
      <c r="G214" s="1644"/>
      <c r="H214" s="1645"/>
      <c r="I214" s="1646"/>
      <c r="J214" s="1647"/>
      <c r="K214" s="1648"/>
      <c r="L214" s="1643"/>
      <c r="M214" s="1649"/>
      <c r="N214" s="1649"/>
      <c r="O214" s="1650"/>
    </row>
    <row r="215">
      <c r="A215" s="1651"/>
      <c r="B215" s="1651"/>
      <c r="C215" s="1652"/>
      <c r="D215" s="1654"/>
      <c r="E215" s="1653"/>
      <c r="F215" s="1654"/>
      <c r="G215" s="1654"/>
      <c r="H215" s="1654"/>
      <c r="I215" s="1654"/>
      <c r="J215" s="1654"/>
      <c r="K215" s="1654"/>
      <c r="L215" s="1654"/>
      <c r="M215" s="1655"/>
      <c r="N215" s="1655"/>
      <c r="O215" s="1656"/>
    </row>
    <row r="216">
      <c r="A216" s="1639"/>
      <c r="B216" s="1639"/>
      <c r="C216" s="1640"/>
      <c r="D216" s="1646"/>
      <c r="E216" s="1642"/>
      <c r="F216" s="1643"/>
      <c r="G216" s="1644"/>
      <c r="H216" s="1645"/>
      <c r="I216" s="1646"/>
      <c r="J216" s="1647"/>
      <c r="K216" s="1648"/>
      <c r="L216" s="1643"/>
      <c r="M216" s="1649"/>
      <c r="N216" s="1649"/>
      <c r="O216" s="1650"/>
    </row>
    <row r="217">
      <c r="A217" s="1651"/>
      <c r="B217" s="1651"/>
      <c r="C217" s="1652"/>
      <c r="D217" s="1654"/>
      <c r="E217" s="1653"/>
      <c r="F217" s="1654"/>
      <c r="G217" s="1654"/>
      <c r="H217" s="1654"/>
      <c r="I217" s="1654"/>
      <c r="J217" s="1654"/>
      <c r="K217" s="1654"/>
      <c r="L217" s="1654"/>
      <c r="M217" s="1655"/>
      <c r="N217" s="1655"/>
      <c r="O217" s="1656"/>
    </row>
    <row r="218">
      <c r="A218" s="1639"/>
      <c r="B218" s="1639"/>
      <c r="C218" s="1640"/>
      <c r="D218" s="1646"/>
      <c r="E218" s="1642"/>
      <c r="F218" s="1643"/>
      <c r="G218" s="1644"/>
      <c r="H218" s="1645"/>
      <c r="I218" s="1646"/>
      <c r="J218" s="1647"/>
      <c r="K218" s="1648"/>
      <c r="L218" s="1643"/>
      <c r="M218" s="1649"/>
      <c r="N218" s="1649"/>
      <c r="O218" s="1650"/>
    </row>
    <row r="219">
      <c r="A219" s="1651"/>
      <c r="B219" s="1651"/>
      <c r="C219" s="1652"/>
      <c r="D219" s="1654"/>
      <c r="E219" s="1653"/>
      <c r="F219" s="1654"/>
      <c r="G219" s="1654"/>
      <c r="H219" s="1654"/>
      <c r="I219" s="1654"/>
      <c r="J219" s="1654"/>
      <c r="K219" s="1654"/>
      <c r="L219" s="1654"/>
      <c r="M219" s="1655"/>
      <c r="N219" s="1655"/>
      <c r="O219" s="1656"/>
    </row>
    <row r="220">
      <c r="A220" s="1639"/>
      <c r="B220" s="1639"/>
      <c r="C220" s="1640"/>
      <c r="D220" s="1646"/>
      <c r="E220" s="1642"/>
      <c r="F220" s="1643"/>
      <c r="G220" s="1644"/>
      <c r="H220" s="1645"/>
      <c r="I220" s="1646"/>
      <c r="J220" s="1647"/>
      <c r="K220" s="1648"/>
      <c r="L220" s="1643"/>
      <c r="M220" s="1649"/>
      <c r="N220" s="1649"/>
      <c r="O220" s="1650"/>
    </row>
    <row r="221">
      <c r="A221" s="1651"/>
      <c r="B221" s="1651"/>
      <c r="C221" s="1652"/>
      <c r="D221" s="1654"/>
      <c r="E221" s="1653"/>
      <c r="F221" s="1654"/>
      <c r="G221" s="1654"/>
      <c r="H221" s="1654"/>
      <c r="I221" s="1654"/>
      <c r="J221" s="1654"/>
      <c r="K221" s="1654"/>
      <c r="L221" s="1654"/>
      <c r="M221" s="1655"/>
      <c r="N221" s="1655"/>
      <c r="O221" s="1656"/>
    </row>
    <row r="222">
      <c r="A222" s="1639"/>
      <c r="B222" s="1639"/>
      <c r="C222" s="1640"/>
      <c r="D222" s="1646"/>
      <c r="E222" s="1642"/>
      <c r="F222" s="1643"/>
      <c r="G222" s="1644"/>
      <c r="H222" s="1645"/>
      <c r="I222" s="1646"/>
      <c r="J222" s="1647"/>
      <c r="K222" s="1648"/>
      <c r="L222" s="1643"/>
      <c r="M222" s="1649"/>
      <c r="N222" s="1649"/>
      <c r="O222" s="1650"/>
    </row>
    <row r="223">
      <c r="A223" s="1651"/>
      <c r="B223" s="1651"/>
      <c r="C223" s="1652"/>
      <c r="D223" s="1654"/>
      <c r="E223" s="1653"/>
      <c r="F223" s="1654"/>
      <c r="G223" s="1654"/>
      <c r="H223" s="1654"/>
      <c r="I223" s="1654"/>
      <c r="J223" s="1654"/>
      <c r="K223" s="1654"/>
      <c r="L223" s="1654"/>
      <c r="M223" s="1655"/>
      <c r="N223" s="1655"/>
      <c r="O223" s="1656"/>
    </row>
    <row r="224">
      <c r="A224" s="1639"/>
      <c r="B224" s="1639"/>
      <c r="C224" s="1640"/>
      <c r="D224" s="1646"/>
      <c r="E224" s="1642"/>
      <c r="F224" s="1643"/>
      <c r="G224" s="1644"/>
      <c r="H224" s="1645"/>
      <c r="I224" s="1646"/>
      <c r="J224" s="1647"/>
      <c r="K224" s="1648"/>
      <c r="L224" s="1643"/>
      <c r="M224" s="1649"/>
      <c r="N224" s="1649"/>
      <c r="O224" s="1650"/>
    </row>
    <row r="225">
      <c r="A225" s="1651"/>
      <c r="B225" s="1651"/>
      <c r="C225" s="1652"/>
      <c r="D225" s="1654"/>
      <c r="E225" s="1653"/>
      <c r="F225" s="1654"/>
      <c r="G225" s="1654"/>
      <c r="H225" s="1654"/>
      <c r="I225" s="1654"/>
      <c r="J225" s="1654"/>
      <c r="K225" s="1654"/>
      <c r="L225" s="1654"/>
      <c r="M225" s="1655"/>
      <c r="N225" s="1655"/>
      <c r="O225" s="1656"/>
    </row>
    <row r="226">
      <c r="A226" s="1639"/>
      <c r="B226" s="1639"/>
      <c r="C226" s="1640"/>
      <c r="D226" s="1646"/>
      <c r="E226" s="1642"/>
      <c r="F226" s="1643"/>
      <c r="G226" s="1644"/>
      <c r="H226" s="1645"/>
      <c r="I226" s="1646"/>
      <c r="J226" s="1647"/>
      <c r="K226" s="1648"/>
      <c r="L226" s="1643"/>
      <c r="M226" s="1649"/>
      <c r="N226" s="1649"/>
      <c r="O226" s="1650"/>
    </row>
    <row r="227">
      <c r="A227" s="1651"/>
      <c r="B227" s="1651"/>
      <c r="C227" s="1652"/>
      <c r="D227" s="1654"/>
      <c r="E227" s="1653"/>
      <c r="F227" s="1654"/>
      <c r="G227" s="1654"/>
      <c r="H227" s="1654"/>
      <c r="I227" s="1654"/>
      <c r="J227" s="1654"/>
      <c r="K227" s="1654"/>
      <c r="L227" s="1654"/>
      <c r="M227" s="1655"/>
      <c r="N227" s="1655"/>
      <c r="O227" s="1656"/>
    </row>
    <row r="228">
      <c r="A228" s="1639"/>
      <c r="B228" s="1639"/>
      <c r="C228" s="1640"/>
      <c r="D228" s="1646"/>
      <c r="E228" s="1642"/>
      <c r="F228" s="1643"/>
      <c r="G228" s="1644"/>
      <c r="H228" s="1645"/>
      <c r="I228" s="1646"/>
      <c r="J228" s="1647"/>
      <c r="K228" s="1648"/>
      <c r="L228" s="1643"/>
      <c r="M228" s="1649"/>
      <c r="N228" s="1649"/>
      <c r="O228" s="1650"/>
    </row>
    <row r="229">
      <c r="A229" s="1651"/>
      <c r="B229" s="1651"/>
      <c r="C229" s="1652"/>
      <c r="D229" s="1654"/>
      <c r="E229" s="1653"/>
      <c r="F229" s="1654"/>
      <c r="G229" s="1654"/>
      <c r="H229" s="1654"/>
      <c r="I229" s="1654"/>
      <c r="J229" s="1654"/>
      <c r="K229" s="1654"/>
      <c r="L229" s="1654"/>
      <c r="M229" s="1655"/>
      <c r="N229" s="1655"/>
      <c r="O229" s="1656"/>
    </row>
    <row r="230">
      <c r="A230" s="1639"/>
      <c r="B230" s="1639"/>
      <c r="C230" s="1640"/>
      <c r="D230" s="1646"/>
      <c r="E230" s="1642"/>
      <c r="F230" s="1643"/>
      <c r="G230" s="1644"/>
      <c r="H230" s="1645"/>
      <c r="I230" s="1646"/>
      <c r="J230" s="1647"/>
      <c r="K230" s="1648"/>
      <c r="L230" s="1643"/>
      <c r="M230" s="1649"/>
      <c r="N230" s="1649"/>
      <c r="O230" s="1650"/>
    </row>
    <row r="231">
      <c r="A231" s="1651"/>
      <c r="B231" s="1651"/>
      <c r="C231" s="1652"/>
      <c r="D231" s="1654"/>
      <c r="E231" s="1653"/>
      <c r="F231" s="1654"/>
      <c r="G231" s="1654"/>
      <c r="H231" s="1654"/>
      <c r="I231" s="1654"/>
      <c r="J231" s="1654"/>
      <c r="K231" s="1654"/>
      <c r="L231" s="1654"/>
      <c r="M231" s="1655"/>
      <c r="N231" s="1655"/>
      <c r="O231" s="1656"/>
    </row>
    <row r="232">
      <c r="A232" s="1639"/>
      <c r="B232" s="1639"/>
      <c r="C232" s="1640"/>
      <c r="D232" s="1646"/>
      <c r="E232" s="1642"/>
      <c r="F232" s="1643"/>
      <c r="G232" s="1644"/>
      <c r="H232" s="1645"/>
      <c r="I232" s="1646"/>
      <c r="J232" s="1647"/>
      <c r="K232" s="1648"/>
      <c r="L232" s="1643"/>
      <c r="M232" s="1649"/>
      <c r="N232" s="1649"/>
      <c r="O232" s="1650"/>
    </row>
    <row r="233">
      <c r="A233" s="1651"/>
      <c r="B233" s="1651"/>
      <c r="C233" s="1652"/>
      <c r="D233" s="1654"/>
      <c r="E233" s="1653"/>
      <c r="F233" s="1654"/>
      <c r="G233" s="1654"/>
      <c r="H233" s="1654"/>
      <c r="I233" s="1654"/>
      <c r="J233" s="1654"/>
      <c r="K233" s="1654"/>
      <c r="L233" s="1654"/>
      <c r="M233" s="1655"/>
      <c r="N233" s="1655"/>
      <c r="O233" s="1656"/>
    </row>
    <row r="234">
      <c r="A234" s="1639"/>
      <c r="B234" s="1639"/>
      <c r="C234" s="1640"/>
      <c r="D234" s="1646"/>
      <c r="E234" s="1642"/>
      <c r="F234" s="1643"/>
      <c r="G234" s="1644"/>
      <c r="H234" s="1645"/>
      <c r="I234" s="1646"/>
      <c r="J234" s="1647"/>
      <c r="K234" s="1648"/>
      <c r="L234" s="1643"/>
      <c r="M234" s="1649"/>
      <c r="N234" s="1649"/>
      <c r="O234" s="1650"/>
    </row>
    <row r="235">
      <c r="A235" s="1651"/>
      <c r="B235" s="1651"/>
      <c r="C235" s="1652"/>
      <c r="D235" s="1654"/>
      <c r="E235" s="1653"/>
      <c r="F235" s="1654"/>
      <c r="G235" s="1654"/>
      <c r="H235" s="1654"/>
      <c r="I235" s="1654"/>
      <c r="J235" s="1654"/>
      <c r="K235" s="1654"/>
      <c r="L235" s="1654"/>
      <c r="M235" s="1655"/>
      <c r="N235" s="1655"/>
      <c r="O235" s="1656"/>
    </row>
    <row r="236">
      <c r="A236" s="1639"/>
      <c r="B236" s="1639"/>
      <c r="C236" s="1640"/>
      <c r="D236" s="1646"/>
      <c r="E236" s="1642"/>
      <c r="F236" s="1643"/>
      <c r="G236" s="1644"/>
      <c r="H236" s="1645"/>
      <c r="I236" s="1646"/>
      <c r="J236" s="1647"/>
      <c r="K236" s="1648"/>
      <c r="L236" s="1643"/>
      <c r="M236" s="1649"/>
      <c r="N236" s="1649"/>
      <c r="O236" s="1650"/>
    </row>
    <row r="237">
      <c r="A237" s="1651"/>
      <c r="B237" s="1651"/>
      <c r="C237" s="1652"/>
      <c r="D237" s="1654"/>
      <c r="E237" s="1653"/>
      <c r="F237" s="1654"/>
      <c r="G237" s="1654"/>
      <c r="H237" s="1654"/>
      <c r="I237" s="1654"/>
      <c r="J237" s="1654"/>
      <c r="K237" s="1654"/>
      <c r="L237" s="1654"/>
      <c r="M237" s="1655"/>
      <c r="N237" s="1655"/>
      <c r="O237" s="1656"/>
    </row>
    <row r="238">
      <c r="A238" s="1639"/>
      <c r="B238" s="1639"/>
      <c r="C238" s="1640"/>
      <c r="D238" s="1646"/>
      <c r="E238" s="1642"/>
      <c r="F238" s="1643"/>
      <c r="G238" s="1644"/>
      <c r="H238" s="1645"/>
      <c r="I238" s="1646"/>
      <c r="J238" s="1647"/>
      <c r="K238" s="1648"/>
      <c r="L238" s="1643"/>
      <c r="M238" s="1649"/>
      <c r="N238" s="1649"/>
      <c r="O238" s="1650"/>
    </row>
    <row r="239">
      <c r="A239" s="1651"/>
      <c r="B239" s="1651"/>
      <c r="C239" s="1652"/>
      <c r="D239" s="1654"/>
      <c r="E239" s="1653"/>
      <c r="F239" s="1654"/>
      <c r="G239" s="1654"/>
      <c r="H239" s="1654"/>
      <c r="I239" s="1654"/>
      <c r="J239" s="1654"/>
      <c r="K239" s="1654"/>
      <c r="L239" s="1654"/>
      <c r="M239" s="1655"/>
      <c r="N239" s="1655"/>
      <c r="O239" s="1656"/>
    </row>
    <row r="240">
      <c r="A240" s="1639"/>
      <c r="B240" s="1639"/>
      <c r="C240" s="1640"/>
      <c r="D240" s="1646"/>
      <c r="E240" s="1642"/>
      <c r="F240" s="1643"/>
      <c r="G240" s="1644"/>
      <c r="H240" s="1645"/>
      <c r="I240" s="1646"/>
      <c r="J240" s="1647"/>
      <c r="K240" s="1648"/>
      <c r="L240" s="1643"/>
      <c r="M240" s="1649"/>
      <c r="N240" s="1649"/>
      <c r="O240" s="1650"/>
    </row>
    <row r="241">
      <c r="A241" s="1651"/>
      <c r="B241" s="1651"/>
      <c r="C241" s="1652"/>
      <c r="D241" s="1654"/>
      <c r="E241" s="1653"/>
      <c r="F241" s="1654"/>
      <c r="G241" s="1654"/>
      <c r="H241" s="1654"/>
      <c r="I241" s="1654"/>
      <c r="J241" s="1654"/>
      <c r="K241" s="1654"/>
      <c r="L241" s="1654"/>
      <c r="M241" s="1655"/>
      <c r="N241" s="1655"/>
      <c r="O241" s="1656"/>
    </row>
    <row r="242">
      <c r="A242" s="1639"/>
      <c r="B242" s="1639"/>
      <c r="C242" s="1640"/>
      <c r="D242" s="1646"/>
      <c r="E242" s="1642"/>
      <c r="F242" s="1643"/>
      <c r="G242" s="1644"/>
      <c r="H242" s="1645"/>
      <c r="I242" s="1646"/>
      <c r="J242" s="1647"/>
      <c r="K242" s="1648"/>
      <c r="L242" s="1643"/>
      <c r="M242" s="1649"/>
      <c r="N242" s="1649"/>
      <c r="O242" s="1650"/>
    </row>
    <row r="243">
      <c r="A243" s="1651"/>
      <c r="B243" s="1651"/>
      <c r="C243" s="1652"/>
      <c r="D243" s="1654"/>
      <c r="E243" s="1653"/>
      <c r="F243" s="1654"/>
      <c r="G243" s="1654"/>
      <c r="H243" s="1654"/>
      <c r="I243" s="1654"/>
      <c r="J243" s="1654"/>
      <c r="K243" s="1654"/>
      <c r="L243" s="1654"/>
      <c r="M243" s="1655"/>
      <c r="N243" s="1655"/>
      <c r="O243" s="1656"/>
    </row>
    <row r="244">
      <c r="A244" s="1639"/>
      <c r="B244" s="1639"/>
      <c r="C244" s="1640"/>
      <c r="D244" s="1646"/>
      <c r="E244" s="1642"/>
      <c r="F244" s="1643"/>
      <c r="G244" s="1644"/>
      <c r="H244" s="1645"/>
      <c r="I244" s="1646"/>
      <c r="J244" s="1647"/>
      <c r="K244" s="1648"/>
      <c r="L244" s="1643"/>
      <c r="M244" s="1649"/>
      <c r="N244" s="1649"/>
      <c r="O244" s="1650"/>
    </row>
    <row r="245">
      <c r="A245" s="1651"/>
      <c r="B245" s="1651"/>
      <c r="C245" s="1652"/>
      <c r="D245" s="1654"/>
      <c r="E245" s="1653"/>
      <c r="F245" s="1654"/>
      <c r="G245" s="1654"/>
      <c r="H245" s="1654"/>
      <c r="I245" s="1654"/>
      <c r="J245" s="1654"/>
      <c r="K245" s="1654"/>
      <c r="L245" s="1654"/>
      <c r="M245" s="1655"/>
      <c r="N245" s="1655"/>
      <c r="O245" s="1656"/>
    </row>
    <row r="246">
      <c r="A246" s="1639"/>
      <c r="B246" s="1639"/>
      <c r="C246" s="1640"/>
      <c r="D246" s="1646"/>
      <c r="E246" s="1642"/>
      <c r="F246" s="1643"/>
      <c r="G246" s="1644"/>
      <c r="H246" s="1645"/>
      <c r="I246" s="1646"/>
      <c r="J246" s="1647"/>
      <c r="K246" s="1648"/>
      <c r="L246" s="1643"/>
      <c r="M246" s="1649"/>
      <c r="N246" s="1649"/>
      <c r="O246" s="1650"/>
    </row>
    <row r="247">
      <c r="A247" s="1651"/>
      <c r="B247" s="1651"/>
      <c r="C247" s="1652"/>
      <c r="D247" s="1654"/>
      <c r="E247" s="1653"/>
      <c r="F247" s="1654"/>
      <c r="G247" s="1654"/>
      <c r="H247" s="1654"/>
      <c r="I247" s="1654"/>
      <c r="J247" s="1654"/>
      <c r="K247" s="1654"/>
      <c r="L247" s="1654"/>
      <c r="M247" s="1655"/>
      <c r="N247" s="1655"/>
      <c r="O247" s="1656"/>
    </row>
    <row r="248">
      <c r="A248" s="1639"/>
      <c r="B248" s="1639"/>
      <c r="C248" s="1640"/>
      <c r="D248" s="1646"/>
      <c r="E248" s="1642"/>
      <c r="F248" s="1643"/>
      <c r="G248" s="1644"/>
      <c r="H248" s="1645"/>
      <c r="I248" s="1646"/>
      <c r="J248" s="1647"/>
      <c r="K248" s="1648"/>
      <c r="L248" s="1643"/>
      <c r="M248" s="1649"/>
      <c r="N248" s="1649"/>
      <c r="O248" s="1650"/>
    </row>
    <row r="249">
      <c r="A249" s="1651"/>
      <c r="B249" s="1651"/>
      <c r="C249" s="1652"/>
      <c r="D249" s="1654"/>
      <c r="E249" s="1653"/>
      <c r="F249" s="1654"/>
      <c r="G249" s="1654"/>
      <c r="H249" s="1654"/>
      <c r="I249" s="1654"/>
      <c r="J249" s="1654"/>
      <c r="K249" s="1654"/>
      <c r="L249" s="1654"/>
      <c r="M249" s="1655"/>
      <c r="N249" s="1655"/>
      <c r="O249" s="1656"/>
    </row>
    <row r="250">
      <c r="A250" s="1639"/>
      <c r="B250" s="1639"/>
      <c r="C250" s="1640"/>
      <c r="D250" s="1646"/>
      <c r="E250" s="1642"/>
      <c r="F250" s="1643"/>
      <c r="G250" s="1644"/>
      <c r="H250" s="1645"/>
      <c r="I250" s="1646"/>
      <c r="J250" s="1647"/>
      <c r="K250" s="1648"/>
      <c r="L250" s="1643"/>
      <c r="M250" s="1649"/>
      <c r="N250" s="1649"/>
      <c r="O250" s="1650"/>
    </row>
    <row r="251">
      <c r="A251" s="1651"/>
      <c r="B251" s="1651"/>
      <c r="C251" s="1652"/>
      <c r="D251" s="1654"/>
      <c r="E251" s="1653"/>
      <c r="F251" s="1654"/>
      <c r="G251" s="1654"/>
      <c r="H251" s="1654"/>
      <c r="I251" s="1654"/>
      <c r="J251" s="1654"/>
      <c r="K251" s="1654"/>
      <c r="L251" s="1654"/>
      <c r="M251" s="1655"/>
      <c r="N251" s="1655"/>
      <c r="O251" s="1656"/>
    </row>
    <row r="252">
      <c r="A252" s="1639"/>
      <c r="B252" s="1639"/>
      <c r="C252" s="1640"/>
      <c r="D252" s="1646"/>
      <c r="E252" s="1642"/>
      <c r="F252" s="1643"/>
      <c r="G252" s="1644"/>
      <c r="H252" s="1645"/>
      <c r="I252" s="1646"/>
      <c r="J252" s="1647"/>
      <c r="K252" s="1648"/>
      <c r="L252" s="1643"/>
      <c r="M252" s="1649"/>
      <c r="N252" s="1649"/>
      <c r="O252" s="1650"/>
    </row>
    <row r="253">
      <c r="A253" s="1651"/>
      <c r="B253" s="1651"/>
      <c r="C253" s="1652"/>
      <c r="D253" s="1654"/>
      <c r="E253" s="1653"/>
      <c r="F253" s="1654"/>
      <c r="G253" s="1654"/>
      <c r="H253" s="1654"/>
      <c r="I253" s="1654"/>
      <c r="J253" s="1654"/>
      <c r="K253" s="1654"/>
      <c r="L253" s="1654"/>
      <c r="M253" s="1655"/>
      <c r="N253" s="1655"/>
      <c r="O253" s="1656"/>
    </row>
    <row r="254">
      <c r="A254" s="1639"/>
      <c r="B254" s="1639"/>
      <c r="C254" s="1640"/>
      <c r="D254" s="1646"/>
      <c r="E254" s="1642"/>
      <c r="F254" s="1643"/>
      <c r="G254" s="1644"/>
      <c r="H254" s="1645"/>
      <c r="I254" s="1646"/>
      <c r="J254" s="1647"/>
      <c r="K254" s="1648"/>
      <c r="L254" s="1643"/>
      <c r="M254" s="1649"/>
      <c r="N254" s="1649"/>
      <c r="O254" s="1650"/>
    </row>
    <row r="255">
      <c r="A255" s="1651"/>
      <c r="B255" s="1651"/>
      <c r="C255" s="1652"/>
      <c r="D255" s="1654"/>
      <c r="E255" s="1653"/>
      <c r="F255" s="1654"/>
      <c r="G255" s="1654"/>
      <c r="H255" s="1654"/>
      <c r="I255" s="1654"/>
      <c r="J255" s="1654"/>
      <c r="K255" s="1654"/>
      <c r="L255" s="1654"/>
      <c r="M255" s="1655"/>
      <c r="N255" s="1655"/>
      <c r="O255" s="1656"/>
    </row>
    <row r="256">
      <c r="A256" s="1639"/>
      <c r="B256" s="1639"/>
      <c r="C256" s="1640"/>
      <c r="D256" s="1646"/>
      <c r="E256" s="1642"/>
      <c r="F256" s="1643"/>
      <c r="G256" s="1644"/>
      <c r="H256" s="1645"/>
      <c r="I256" s="1646"/>
      <c r="J256" s="1647"/>
      <c r="K256" s="1648"/>
      <c r="L256" s="1643"/>
      <c r="M256" s="1649"/>
      <c r="N256" s="1649"/>
      <c r="O256" s="1650"/>
    </row>
    <row r="257">
      <c r="A257" s="1651"/>
      <c r="B257" s="1651"/>
      <c r="C257" s="1652"/>
      <c r="D257" s="1654"/>
      <c r="E257" s="1653"/>
      <c r="F257" s="1654"/>
      <c r="G257" s="1654"/>
      <c r="H257" s="1654"/>
      <c r="I257" s="1654"/>
      <c r="J257" s="1654"/>
      <c r="K257" s="1654"/>
      <c r="L257" s="1654"/>
      <c r="M257" s="1655"/>
      <c r="N257" s="1655"/>
      <c r="O257" s="1656"/>
    </row>
    <row r="258">
      <c r="A258" s="1639"/>
      <c r="B258" s="1639"/>
      <c r="C258" s="1640"/>
      <c r="D258" s="1646"/>
      <c r="E258" s="1642"/>
      <c r="F258" s="1643"/>
      <c r="G258" s="1644"/>
      <c r="H258" s="1645"/>
      <c r="I258" s="1646"/>
      <c r="J258" s="1647"/>
      <c r="K258" s="1648"/>
      <c r="L258" s="1643"/>
      <c r="M258" s="1649"/>
      <c r="N258" s="1649"/>
      <c r="O258" s="1650"/>
    </row>
    <row r="259">
      <c r="A259" s="1651"/>
      <c r="B259" s="1651"/>
      <c r="C259" s="1652"/>
      <c r="D259" s="1654"/>
      <c r="E259" s="1653"/>
      <c r="F259" s="1654"/>
      <c r="G259" s="1654"/>
      <c r="H259" s="1654"/>
      <c r="I259" s="1654"/>
      <c r="J259" s="1654"/>
      <c r="K259" s="1654"/>
      <c r="L259" s="1654"/>
      <c r="M259" s="1655"/>
      <c r="N259" s="1655"/>
      <c r="O259" s="1656"/>
    </row>
    <row r="260">
      <c r="A260" s="1639"/>
      <c r="B260" s="1639"/>
      <c r="C260" s="1640"/>
      <c r="D260" s="1646"/>
      <c r="E260" s="1642"/>
      <c r="F260" s="1643"/>
      <c r="G260" s="1644"/>
      <c r="H260" s="1645"/>
      <c r="I260" s="1646"/>
      <c r="J260" s="1647"/>
      <c r="K260" s="1648"/>
      <c r="L260" s="1643"/>
      <c r="M260" s="1649"/>
      <c r="N260" s="1649"/>
      <c r="O260" s="1650"/>
    </row>
    <row r="261">
      <c r="A261" s="1651"/>
      <c r="B261" s="1651"/>
      <c r="C261" s="1652"/>
      <c r="D261" s="1654"/>
      <c r="E261" s="1653"/>
      <c r="F261" s="1654"/>
      <c r="G261" s="1654"/>
      <c r="H261" s="1654"/>
      <c r="I261" s="1654"/>
      <c r="J261" s="1654"/>
      <c r="K261" s="1654"/>
      <c r="L261" s="1654"/>
      <c r="M261" s="1655"/>
      <c r="N261" s="1655"/>
      <c r="O261" s="1656"/>
    </row>
    <row r="262">
      <c r="A262" s="1639"/>
      <c r="B262" s="1639"/>
      <c r="C262" s="1640"/>
      <c r="D262" s="1646"/>
      <c r="E262" s="1642"/>
      <c r="F262" s="1643"/>
      <c r="G262" s="1644"/>
      <c r="H262" s="1645"/>
      <c r="I262" s="1646"/>
      <c r="J262" s="1647"/>
      <c r="K262" s="1648"/>
      <c r="L262" s="1643"/>
      <c r="M262" s="1649"/>
      <c r="N262" s="1649"/>
      <c r="O262" s="1650"/>
    </row>
    <row r="263">
      <c r="A263" s="1651"/>
      <c r="B263" s="1651"/>
      <c r="C263" s="1652"/>
      <c r="D263" s="1654"/>
      <c r="E263" s="1653"/>
      <c r="F263" s="1654"/>
      <c r="G263" s="1654"/>
      <c r="H263" s="1654"/>
      <c r="I263" s="1654"/>
      <c r="J263" s="1654"/>
      <c r="K263" s="1654"/>
      <c r="L263" s="1654"/>
      <c r="M263" s="1655"/>
      <c r="N263" s="1655"/>
      <c r="O263" s="1656"/>
    </row>
    <row r="264">
      <c r="A264" s="1639"/>
      <c r="B264" s="1639"/>
      <c r="C264" s="1640"/>
      <c r="D264" s="1646"/>
      <c r="E264" s="1642"/>
      <c r="F264" s="1643"/>
      <c r="G264" s="1644"/>
      <c r="H264" s="1645"/>
      <c r="I264" s="1646"/>
      <c r="J264" s="1647"/>
      <c r="K264" s="1648"/>
      <c r="L264" s="1643"/>
      <c r="M264" s="1649"/>
      <c r="N264" s="1649"/>
      <c r="O264" s="1650"/>
    </row>
    <row r="265">
      <c r="A265" s="1651"/>
      <c r="B265" s="1651"/>
      <c r="C265" s="1652"/>
      <c r="D265" s="1654"/>
      <c r="E265" s="1653"/>
      <c r="F265" s="1654"/>
      <c r="G265" s="1654"/>
      <c r="H265" s="1654"/>
      <c r="I265" s="1654"/>
      <c r="J265" s="1654"/>
      <c r="K265" s="1654"/>
      <c r="L265" s="1654"/>
      <c r="M265" s="1655"/>
      <c r="N265" s="1655"/>
      <c r="O265" s="1656"/>
    </row>
    <row r="266">
      <c r="A266" s="1639"/>
      <c r="B266" s="1639"/>
      <c r="C266" s="1640"/>
      <c r="D266" s="1646"/>
      <c r="E266" s="1642"/>
      <c r="F266" s="1643"/>
      <c r="G266" s="1644"/>
      <c r="H266" s="1645"/>
      <c r="I266" s="1646"/>
      <c r="J266" s="1647"/>
      <c r="K266" s="1648"/>
      <c r="L266" s="1643"/>
      <c r="M266" s="1649"/>
      <c r="N266" s="1649"/>
      <c r="O266" s="1650"/>
    </row>
    <row r="267">
      <c r="A267" s="1651"/>
      <c r="B267" s="1651"/>
      <c r="C267" s="1652"/>
      <c r="D267" s="1654"/>
      <c r="E267" s="1653"/>
      <c r="F267" s="1654"/>
      <c r="G267" s="1654"/>
      <c r="H267" s="1654"/>
      <c r="I267" s="1654"/>
      <c r="J267" s="1654"/>
      <c r="K267" s="1654"/>
      <c r="L267" s="1654"/>
      <c r="M267" s="1655"/>
      <c r="N267" s="1655"/>
      <c r="O267" s="1656"/>
    </row>
    <row r="268">
      <c r="A268" s="1639"/>
      <c r="B268" s="1639"/>
      <c r="C268" s="1640"/>
      <c r="D268" s="1646"/>
      <c r="E268" s="1642"/>
      <c r="F268" s="1643"/>
      <c r="G268" s="1644"/>
      <c r="H268" s="1645"/>
      <c r="I268" s="1646"/>
      <c r="J268" s="1647"/>
      <c r="K268" s="1648"/>
      <c r="L268" s="1643"/>
      <c r="M268" s="1649"/>
      <c r="N268" s="1649"/>
      <c r="O268" s="1650"/>
    </row>
    <row r="269">
      <c r="A269" s="1651"/>
      <c r="B269" s="1651"/>
      <c r="C269" s="1652"/>
      <c r="D269" s="1654"/>
      <c r="E269" s="1653"/>
      <c r="F269" s="1654"/>
      <c r="G269" s="1654"/>
      <c r="H269" s="1654"/>
      <c r="I269" s="1654"/>
      <c r="J269" s="1654"/>
      <c r="K269" s="1654"/>
      <c r="L269" s="1654"/>
      <c r="M269" s="1655"/>
      <c r="N269" s="1655"/>
      <c r="O269" s="1656"/>
    </row>
    <row r="270">
      <c r="A270" s="1639"/>
      <c r="B270" s="1639"/>
      <c r="C270" s="1640"/>
      <c r="D270" s="1646"/>
      <c r="E270" s="1642"/>
      <c r="F270" s="1643"/>
      <c r="G270" s="1644"/>
      <c r="H270" s="1645"/>
      <c r="I270" s="1646"/>
      <c r="J270" s="1647"/>
      <c r="K270" s="1648"/>
      <c r="L270" s="1643"/>
      <c r="M270" s="1649"/>
      <c r="N270" s="1649"/>
      <c r="O270" s="1650"/>
    </row>
    <row r="271">
      <c r="A271" s="1651"/>
      <c r="B271" s="1651"/>
      <c r="C271" s="1652"/>
      <c r="D271" s="1654"/>
      <c r="E271" s="1653"/>
      <c r="F271" s="1654"/>
      <c r="G271" s="1654"/>
      <c r="H271" s="1654"/>
      <c r="I271" s="1654"/>
      <c r="J271" s="1654"/>
      <c r="K271" s="1654"/>
      <c r="L271" s="1654"/>
      <c r="M271" s="1655"/>
      <c r="N271" s="1655"/>
      <c r="O271" s="1656"/>
    </row>
    <row r="272">
      <c r="A272" s="1639"/>
      <c r="B272" s="1639"/>
      <c r="C272" s="1640"/>
      <c r="D272" s="1646"/>
      <c r="E272" s="1642"/>
      <c r="F272" s="1643"/>
      <c r="G272" s="1644"/>
      <c r="H272" s="1645"/>
      <c r="I272" s="1646"/>
      <c r="J272" s="1647"/>
      <c r="K272" s="1648"/>
      <c r="L272" s="1643"/>
      <c r="M272" s="1649"/>
      <c r="N272" s="1649"/>
      <c r="O272" s="1650"/>
    </row>
    <row r="273">
      <c r="A273" s="1651"/>
      <c r="B273" s="1651"/>
      <c r="C273" s="1652"/>
      <c r="D273" s="1654"/>
      <c r="E273" s="1653"/>
      <c r="F273" s="1654"/>
      <c r="G273" s="1654"/>
      <c r="H273" s="1654"/>
      <c r="I273" s="1654"/>
      <c r="J273" s="1654"/>
      <c r="K273" s="1654"/>
      <c r="L273" s="1654"/>
      <c r="M273" s="1655"/>
      <c r="N273" s="1655"/>
      <c r="O273" s="1656"/>
    </row>
    <row r="274">
      <c r="A274" s="1639"/>
      <c r="B274" s="1639"/>
      <c r="C274" s="1640"/>
      <c r="D274" s="1646"/>
      <c r="E274" s="1642"/>
      <c r="F274" s="1643"/>
      <c r="G274" s="1644"/>
      <c r="H274" s="1645"/>
      <c r="I274" s="1646"/>
      <c r="J274" s="1647"/>
      <c r="K274" s="1648"/>
      <c r="L274" s="1643"/>
      <c r="M274" s="1649"/>
      <c r="N274" s="1649"/>
      <c r="O274" s="1650"/>
    </row>
    <row r="275">
      <c r="A275" s="1651"/>
      <c r="B275" s="1651"/>
      <c r="C275" s="1652"/>
      <c r="D275" s="1654"/>
      <c r="E275" s="1653"/>
      <c r="F275" s="1654"/>
      <c r="G275" s="1654"/>
      <c r="H275" s="1654"/>
      <c r="I275" s="1654"/>
      <c r="J275" s="1654"/>
      <c r="K275" s="1654"/>
      <c r="L275" s="1654"/>
      <c r="M275" s="1655"/>
      <c r="N275" s="1655"/>
      <c r="O275" s="1656"/>
    </row>
    <row r="276">
      <c r="A276" s="1639"/>
      <c r="B276" s="1639"/>
      <c r="C276" s="1640"/>
      <c r="D276" s="1646"/>
      <c r="E276" s="1642"/>
      <c r="F276" s="1643"/>
      <c r="G276" s="1644"/>
      <c r="H276" s="1645"/>
      <c r="I276" s="1646"/>
      <c r="J276" s="1647"/>
      <c r="K276" s="1648"/>
      <c r="L276" s="1643"/>
      <c r="M276" s="1649"/>
      <c r="N276" s="1649"/>
      <c r="O276" s="1650"/>
    </row>
    <row r="277">
      <c r="A277" s="1651"/>
      <c r="B277" s="1651"/>
      <c r="C277" s="1652"/>
      <c r="D277" s="1654"/>
      <c r="E277" s="1653"/>
      <c r="F277" s="1654"/>
      <c r="G277" s="1654"/>
      <c r="H277" s="1654"/>
      <c r="I277" s="1654"/>
      <c r="J277" s="1654"/>
      <c r="K277" s="1654"/>
      <c r="L277" s="1654"/>
      <c r="M277" s="1655"/>
      <c r="N277" s="1655"/>
      <c r="O277" s="1656"/>
    </row>
    <row r="278">
      <c r="A278" s="1639"/>
      <c r="B278" s="1639"/>
      <c r="C278" s="1640"/>
      <c r="D278" s="1646"/>
      <c r="E278" s="1642"/>
      <c r="F278" s="1643"/>
      <c r="G278" s="1644"/>
      <c r="H278" s="1645"/>
      <c r="I278" s="1646"/>
      <c r="J278" s="1647"/>
      <c r="K278" s="1648"/>
      <c r="L278" s="1643"/>
      <c r="M278" s="1649"/>
      <c r="N278" s="1649"/>
      <c r="O278" s="1650"/>
    </row>
    <row r="279">
      <c r="A279" s="1651"/>
      <c r="B279" s="1651"/>
      <c r="C279" s="1652"/>
      <c r="D279" s="1654"/>
      <c r="E279" s="1653"/>
      <c r="F279" s="1654"/>
      <c r="G279" s="1654"/>
      <c r="H279" s="1654"/>
      <c r="I279" s="1654"/>
      <c r="J279" s="1654"/>
      <c r="K279" s="1654"/>
      <c r="L279" s="1654"/>
      <c r="M279" s="1655"/>
      <c r="N279" s="1655"/>
      <c r="O279" s="1656"/>
    </row>
    <row r="280">
      <c r="A280" s="1639"/>
      <c r="B280" s="1639"/>
      <c r="C280" s="1640"/>
      <c r="D280" s="1646"/>
      <c r="E280" s="1642"/>
      <c r="F280" s="1643"/>
      <c r="G280" s="1644"/>
      <c r="H280" s="1645"/>
      <c r="I280" s="1646"/>
      <c r="J280" s="1647"/>
      <c r="K280" s="1648"/>
      <c r="L280" s="1643"/>
      <c r="M280" s="1649"/>
      <c r="N280" s="1649"/>
      <c r="O280" s="1650"/>
    </row>
    <row r="281">
      <c r="A281" s="1651"/>
      <c r="B281" s="1651"/>
      <c r="C281" s="1652"/>
      <c r="D281" s="1654"/>
      <c r="E281" s="1653"/>
      <c r="F281" s="1654"/>
      <c r="G281" s="1654"/>
      <c r="H281" s="1654"/>
      <c r="I281" s="1654"/>
      <c r="J281" s="1654"/>
      <c r="K281" s="1654"/>
      <c r="L281" s="1654"/>
      <c r="M281" s="1655"/>
      <c r="N281" s="1655"/>
      <c r="O281" s="1656"/>
    </row>
    <row r="282">
      <c r="A282" s="1639"/>
      <c r="B282" s="1639"/>
      <c r="C282" s="1640"/>
      <c r="D282" s="1646"/>
      <c r="E282" s="1642"/>
      <c r="F282" s="1643"/>
      <c r="G282" s="1644"/>
      <c r="H282" s="1645"/>
      <c r="I282" s="1646"/>
      <c r="J282" s="1647"/>
      <c r="K282" s="1648"/>
      <c r="L282" s="1643"/>
      <c r="M282" s="1649"/>
      <c r="N282" s="1649"/>
      <c r="O282" s="1650"/>
    </row>
    <row r="283">
      <c r="A283" s="1651"/>
      <c r="B283" s="1651"/>
      <c r="C283" s="1652"/>
      <c r="D283" s="1654"/>
      <c r="E283" s="1653"/>
      <c r="F283" s="1654"/>
      <c r="G283" s="1654"/>
      <c r="H283" s="1654"/>
      <c r="I283" s="1654"/>
      <c r="J283" s="1654"/>
      <c r="K283" s="1654"/>
      <c r="L283" s="1654"/>
      <c r="M283" s="1655"/>
      <c r="N283" s="1655"/>
      <c r="O283" s="1656"/>
    </row>
    <row r="284">
      <c r="A284" s="1639"/>
      <c r="B284" s="1639"/>
      <c r="C284" s="1640"/>
      <c r="D284" s="1646"/>
      <c r="E284" s="1642"/>
      <c r="F284" s="1643"/>
      <c r="G284" s="1644"/>
      <c r="H284" s="1645"/>
      <c r="I284" s="1646"/>
      <c r="J284" s="1647"/>
      <c r="K284" s="1648"/>
      <c r="L284" s="1643"/>
      <c r="M284" s="1649"/>
      <c r="N284" s="1649"/>
      <c r="O284" s="1650"/>
    </row>
    <row r="285">
      <c r="A285" s="1651"/>
      <c r="B285" s="1651"/>
      <c r="C285" s="1652"/>
      <c r="D285" s="1654"/>
      <c r="E285" s="1653"/>
      <c r="F285" s="1654"/>
      <c r="G285" s="1654"/>
      <c r="H285" s="1654"/>
      <c r="I285" s="1654"/>
      <c r="J285" s="1654"/>
      <c r="K285" s="1654"/>
      <c r="L285" s="1654"/>
      <c r="M285" s="1655"/>
      <c r="N285" s="1655"/>
      <c r="O285" s="1656"/>
    </row>
    <row r="286">
      <c r="A286" s="1639"/>
      <c r="B286" s="1639"/>
      <c r="C286" s="1640"/>
      <c r="D286" s="1646"/>
      <c r="E286" s="1642"/>
      <c r="F286" s="1643"/>
      <c r="G286" s="1644"/>
      <c r="H286" s="1645"/>
      <c r="I286" s="1646"/>
      <c r="J286" s="1647"/>
      <c r="K286" s="1648"/>
      <c r="L286" s="1643"/>
      <c r="M286" s="1649"/>
      <c r="N286" s="1649"/>
      <c r="O286" s="1650"/>
    </row>
    <row r="287">
      <c r="A287" s="1651"/>
      <c r="B287" s="1651"/>
      <c r="C287" s="1652"/>
      <c r="D287" s="1654"/>
      <c r="E287" s="1653"/>
      <c r="F287" s="1654"/>
      <c r="G287" s="1654"/>
      <c r="H287" s="1654"/>
      <c r="I287" s="1654"/>
      <c r="J287" s="1654"/>
      <c r="K287" s="1654"/>
      <c r="L287" s="1654"/>
      <c r="M287" s="1655"/>
      <c r="N287" s="1655"/>
      <c r="O287" s="1656"/>
    </row>
    <row r="288">
      <c r="A288" s="1639"/>
      <c r="B288" s="1639"/>
      <c r="C288" s="1640"/>
      <c r="D288" s="1646"/>
      <c r="E288" s="1642"/>
      <c r="F288" s="1643"/>
      <c r="G288" s="1644"/>
      <c r="H288" s="1645"/>
      <c r="I288" s="1646"/>
      <c r="J288" s="1647"/>
      <c r="K288" s="1648"/>
      <c r="L288" s="1643"/>
      <c r="M288" s="1649"/>
      <c r="N288" s="1649"/>
      <c r="O288" s="1650"/>
    </row>
    <row r="289">
      <c r="A289" s="1651"/>
      <c r="B289" s="1651"/>
      <c r="C289" s="1652"/>
      <c r="D289" s="1654"/>
      <c r="E289" s="1653"/>
      <c r="F289" s="1654"/>
      <c r="G289" s="1654"/>
      <c r="H289" s="1654"/>
      <c r="I289" s="1654"/>
      <c r="J289" s="1654"/>
      <c r="K289" s="1654"/>
      <c r="L289" s="1654"/>
      <c r="M289" s="1655"/>
      <c r="N289" s="1655"/>
      <c r="O289" s="1656"/>
    </row>
    <row r="290">
      <c r="A290" s="1639"/>
      <c r="B290" s="1639"/>
      <c r="C290" s="1640"/>
      <c r="D290" s="1646"/>
      <c r="E290" s="1642"/>
      <c r="F290" s="1643"/>
      <c r="G290" s="1644"/>
      <c r="H290" s="1645"/>
      <c r="I290" s="1646"/>
      <c r="J290" s="1647"/>
      <c r="K290" s="1648"/>
      <c r="L290" s="1643"/>
      <c r="M290" s="1649"/>
      <c r="N290" s="1649"/>
      <c r="O290" s="1650"/>
    </row>
    <row r="291">
      <c r="A291" s="1651"/>
      <c r="B291" s="1651"/>
      <c r="C291" s="1652"/>
      <c r="D291" s="1654"/>
      <c r="E291" s="1653"/>
      <c r="F291" s="1654"/>
      <c r="G291" s="1654"/>
      <c r="H291" s="1654"/>
      <c r="I291" s="1654"/>
      <c r="J291" s="1654"/>
      <c r="K291" s="1654"/>
      <c r="L291" s="1654"/>
      <c r="M291" s="1655"/>
      <c r="N291" s="1655"/>
      <c r="O291" s="1656"/>
    </row>
    <row r="292">
      <c r="A292" s="1639"/>
      <c r="B292" s="1639"/>
      <c r="C292" s="1640"/>
      <c r="D292" s="1646"/>
      <c r="E292" s="1642"/>
      <c r="F292" s="1643"/>
      <c r="G292" s="1644"/>
      <c r="H292" s="1645"/>
      <c r="I292" s="1646"/>
      <c r="J292" s="1647"/>
      <c r="K292" s="1648"/>
      <c r="L292" s="1643"/>
      <c r="M292" s="1649"/>
      <c r="N292" s="1649"/>
      <c r="O292" s="1650"/>
    </row>
    <row r="293">
      <c r="A293" s="1651"/>
      <c r="B293" s="1651"/>
      <c r="C293" s="1652"/>
      <c r="D293" s="1654"/>
      <c r="E293" s="1653"/>
      <c r="F293" s="1654"/>
      <c r="G293" s="1654"/>
      <c r="H293" s="1654"/>
      <c r="I293" s="1654"/>
      <c r="J293" s="1654"/>
      <c r="K293" s="1654"/>
      <c r="L293" s="1654"/>
      <c r="M293" s="1655"/>
      <c r="N293" s="1655"/>
      <c r="O293" s="1656"/>
    </row>
    <row r="294">
      <c r="A294" s="1639"/>
      <c r="B294" s="1639"/>
      <c r="C294" s="1640"/>
      <c r="D294" s="1646"/>
      <c r="E294" s="1642"/>
      <c r="F294" s="1643"/>
      <c r="G294" s="1644"/>
      <c r="H294" s="1645"/>
      <c r="I294" s="1646"/>
      <c r="J294" s="1647"/>
      <c r="K294" s="1648"/>
      <c r="L294" s="1643"/>
      <c r="M294" s="1649"/>
      <c r="N294" s="1649"/>
      <c r="O294" s="1650"/>
    </row>
    <row r="295">
      <c r="A295" s="1651"/>
      <c r="B295" s="1651"/>
      <c r="C295" s="1652"/>
      <c r="D295" s="1654"/>
      <c r="E295" s="1653"/>
      <c r="F295" s="1654"/>
      <c r="G295" s="1654"/>
      <c r="H295" s="1654"/>
      <c r="I295" s="1654"/>
      <c r="J295" s="1654"/>
      <c r="K295" s="1654"/>
      <c r="L295" s="1654"/>
      <c r="M295" s="1655"/>
      <c r="N295" s="1655"/>
      <c r="O295" s="1656"/>
    </row>
    <row r="296">
      <c r="A296" s="1639"/>
      <c r="B296" s="1639"/>
      <c r="C296" s="1640"/>
      <c r="D296" s="1646"/>
      <c r="E296" s="1642"/>
      <c r="F296" s="1643"/>
      <c r="G296" s="1644"/>
      <c r="H296" s="1645"/>
      <c r="I296" s="1646"/>
      <c r="J296" s="1647"/>
      <c r="K296" s="1648"/>
      <c r="L296" s="1643"/>
      <c r="M296" s="1649"/>
      <c r="N296" s="1649"/>
      <c r="O296" s="1650"/>
    </row>
    <row r="297">
      <c r="A297" s="1651"/>
      <c r="B297" s="1651"/>
      <c r="C297" s="1652"/>
      <c r="D297" s="1654"/>
      <c r="E297" s="1653"/>
      <c r="F297" s="1654"/>
      <c r="G297" s="1654"/>
      <c r="H297" s="1654"/>
      <c r="I297" s="1654"/>
      <c r="J297" s="1654"/>
      <c r="K297" s="1654"/>
      <c r="L297" s="1654"/>
      <c r="M297" s="1655"/>
      <c r="N297" s="1655"/>
      <c r="O297" s="1656"/>
    </row>
    <row r="298">
      <c r="A298" s="1639"/>
      <c r="B298" s="1639"/>
      <c r="C298" s="1640"/>
      <c r="D298" s="1646"/>
      <c r="E298" s="1642"/>
      <c r="F298" s="1643"/>
      <c r="G298" s="1644"/>
      <c r="H298" s="1645"/>
      <c r="I298" s="1646"/>
      <c r="J298" s="1647"/>
      <c r="K298" s="1648"/>
      <c r="L298" s="1643"/>
      <c r="M298" s="1649"/>
      <c r="N298" s="1649"/>
      <c r="O298" s="1650"/>
    </row>
    <row r="299">
      <c r="A299" s="1651"/>
      <c r="B299" s="1651"/>
      <c r="C299" s="1652"/>
      <c r="D299" s="1654"/>
      <c r="E299" s="1653"/>
      <c r="F299" s="1654"/>
      <c r="G299" s="1654"/>
      <c r="H299" s="1654"/>
      <c r="I299" s="1654"/>
      <c r="J299" s="1654"/>
      <c r="K299" s="1654"/>
      <c r="L299" s="1654"/>
      <c r="M299" s="1655"/>
      <c r="N299" s="1655"/>
      <c r="O299" s="1656"/>
    </row>
    <row r="300">
      <c r="A300" s="1639"/>
      <c r="B300" s="1639"/>
      <c r="C300" s="1640"/>
      <c r="D300" s="1646"/>
      <c r="E300" s="1642"/>
      <c r="F300" s="1643"/>
      <c r="G300" s="1644"/>
      <c r="H300" s="1645"/>
      <c r="I300" s="1646"/>
      <c r="J300" s="1647"/>
      <c r="K300" s="1648"/>
      <c r="L300" s="1643"/>
      <c r="M300" s="1649"/>
      <c r="N300" s="1649"/>
      <c r="O300" s="1650"/>
    </row>
    <row r="301">
      <c r="A301" s="1651"/>
      <c r="B301" s="1651"/>
      <c r="C301" s="1652"/>
      <c r="D301" s="1654"/>
      <c r="E301" s="1653"/>
      <c r="F301" s="1654"/>
      <c r="G301" s="1654"/>
      <c r="H301" s="1654"/>
      <c r="I301" s="1654"/>
      <c r="J301" s="1654"/>
      <c r="K301" s="1654"/>
      <c r="L301" s="1654"/>
      <c r="M301" s="1655"/>
      <c r="N301" s="1655"/>
      <c r="O301" s="1656"/>
    </row>
    <row r="302">
      <c r="A302" s="1639"/>
      <c r="B302" s="1639"/>
      <c r="C302" s="1640"/>
      <c r="D302" s="1646"/>
      <c r="E302" s="1642"/>
      <c r="F302" s="1643"/>
      <c r="G302" s="1644"/>
      <c r="H302" s="1645"/>
      <c r="I302" s="1646"/>
      <c r="J302" s="1647"/>
      <c r="K302" s="1648"/>
      <c r="L302" s="1643"/>
      <c r="M302" s="1649"/>
      <c r="N302" s="1649"/>
      <c r="O302" s="1650"/>
    </row>
    <row r="303">
      <c r="A303" s="1651"/>
      <c r="B303" s="1651"/>
      <c r="C303" s="1652"/>
      <c r="D303" s="1654"/>
      <c r="E303" s="1653"/>
      <c r="F303" s="1654"/>
      <c r="G303" s="1654"/>
      <c r="H303" s="1654"/>
      <c r="I303" s="1654"/>
      <c r="J303" s="1654"/>
      <c r="K303" s="1654"/>
      <c r="L303" s="1654"/>
      <c r="M303" s="1655"/>
      <c r="N303" s="1655"/>
      <c r="O303" s="1656"/>
    </row>
    <row r="304">
      <c r="A304" s="1639"/>
      <c r="B304" s="1639"/>
      <c r="C304" s="1640"/>
      <c r="D304" s="1646"/>
      <c r="E304" s="1642"/>
      <c r="F304" s="1643"/>
      <c r="G304" s="1644"/>
      <c r="H304" s="1645"/>
      <c r="I304" s="1646"/>
      <c r="J304" s="1647"/>
      <c r="K304" s="1648"/>
      <c r="L304" s="1643"/>
      <c r="M304" s="1649"/>
      <c r="N304" s="1649"/>
      <c r="O304" s="1650"/>
    </row>
    <row r="305">
      <c r="A305" s="1651"/>
      <c r="B305" s="1651"/>
      <c r="C305" s="1652"/>
      <c r="D305" s="1654"/>
      <c r="E305" s="1653"/>
      <c r="F305" s="1654"/>
      <c r="G305" s="1654"/>
      <c r="H305" s="1654"/>
      <c r="I305" s="1654"/>
      <c r="J305" s="1654"/>
      <c r="K305" s="1654"/>
      <c r="L305" s="1654"/>
      <c r="M305" s="1655"/>
      <c r="N305" s="1655"/>
      <c r="O305" s="1656"/>
    </row>
    <row r="306">
      <c r="A306" s="1639"/>
      <c r="B306" s="1639"/>
      <c r="C306" s="1640"/>
      <c r="D306" s="1646"/>
      <c r="E306" s="1642"/>
      <c r="F306" s="1643"/>
      <c r="G306" s="1644"/>
      <c r="H306" s="1645"/>
      <c r="I306" s="1646"/>
      <c r="J306" s="1647"/>
      <c r="K306" s="1648"/>
      <c r="L306" s="1643"/>
      <c r="M306" s="1649"/>
      <c r="N306" s="1649"/>
      <c r="O306" s="1650"/>
    </row>
    <row r="307">
      <c r="A307" s="1651"/>
      <c r="B307" s="1651"/>
      <c r="C307" s="1652"/>
      <c r="D307" s="1654"/>
      <c r="E307" s="1653"/>
      <c r="F307" s="1654"/>
      <c r="G307" s="1654"/>
      <c r="H307" s="1654"/>
      <c r="I307" s="1654"/>
      <c r="J307" s="1654"/>
      <c r="K307" s="1654"/>
      <c r="L307" s="1654"/>
      <c r="M307" s="1655"/>
      <c r="N307" s="1655"/>
      <c r="O307" s="1656"/>
    </row>
    <row r="308">
      <c r="A308" s="1639"/>
      <c r="B308" s="1639"/>
      <c r="C308" s="1640"/>
      <c r="D308" s="1646"/>
      <c r="E308" s="1642"/>
      <c r="F308" s="1643"/>
      <c r="G308" s="1644"/>
      <c r="H308" s="1645"/>
      <c r="I308" s="1646"/>
      <c r="J308" s="1647"/>
      <c r="K308" s="1648"/>
      <c r="L308" s="1643"/>
      <c r="M308" s="1649"/>
      <c r="N308" s="1649"/>
      <c r="O308" s="1650"/>
    </row>
    <row r="309">
      <c r="A309" s="1651"/>
      <c r="B309" s="1651"/>
      <c r="C309" s="1652"/>
      <c r="D309" s="1654"/>
      <c r="E309" s="1653"/>
      <c r="F309" s="1654"/>
      <c r="G309" s="1654"/>
      <c r="H309" s="1654"/>
      <c r="I309" s="1654"/>
      <c r="J309" s="1654"/>
      <c r="K309" s="1654"/>
      <c r="L309" s="1654"/>
      <c r="M309" s="1655"/>
      <c r="N309" s="1655"/>
      <c r="O309" s="1656"/>
    </row>
    <row r="310">
      <c r="A310" s="1639"/>
      <c r="B310" s="1639"/>
      <c r="C310" s="1640"/>
      <c r="D310" s="1646"/>
      <c r="E310" s="1642"/>
      <c r="F310" s="1643"/>
      <c r="G310" s="1644"/>
      <c r="H310" s="1645"/>
      <c r="I310" s="1646"/>
      <c r="J310" s="1647"/>
      <c r="K310" s="1648"/>
      <c r="L310" s="1643"/>
      <c r="M310" s="1649"/>
      <c r="N310" s="1649"/>
      <c r="O310" s="1650"/>
    </row>
    <row r="311">
      <c r="A311" s="1651"/>
      <c r="B311" s="1651"/>
      <c r="C311" s="1652"/>
      <c r="D311" s="1654"/>
      <c r="E311" s="1653"/>
      <c r="F311" s="1654"/>
      <c r="G311" s="1654"/>
      <c r="H311" s="1654"/>
      <c r="I311" s="1654"/>
      <c r="J311" s="1654"/>
      <c r="K311" s="1654"/>
      <c r="L311" s="1654"/>
      <c r="M311" s="1655"/>
      <c r="N311" s="1655"/>
      <c r="O311" s="1656"/>
    </row>
    <row r="312">
      <c r="A312" s="1639"/>
      <c r="B312" s="1639"/>
      <c r="C312" s="1640"/>
      <c r="D312" s="1646"/>
      <c r="E312" s="1642"/>
      <c r="F312" s="1643"/>
      <c r="G312" s="1644"/>
      <c r="H312" s="1645"/>
      <c r="I312" s="1646"/>
      <c r="J312" s="1647"/>
      <c r="K312" s="1648"/>
      <c r="L312" s="1643"/>
      <c r="M312" s="1649"/>
      <c r="N312" s="1649"/>
      <c r="O312" s="1650"/>
    </row>
    <row r="313">
      <c r="A313" s="1651"/>
      <c r="B313" s="1651"/>
      <c r="C313" s="1652"/>
      <c r="D313" s="1654"/>
      <c r="E313" s="1653"/>
      <c r="F313" s="1654"/>
      <c r="G313" s="1654"/>
      <c r="H313" s="1654"/>
      <c r="I313" s="1654"/>
      <c r="J313" s="1654"/>
      <c r="K313" s="1654"/>
      <c r="L313" s="1654"/>
      <c r="M313" s="1655"/>
      <c r="N313" s="1655"/>
      <c r="O313" s="1656"/>
    </row>
    <row r="314">
      <c r="A314" s="1639"/>
      <c r="B314" s="1639"/>
      <c r="C314" s="1640"/>
      <c r="D314" s="1646"/>
      <c r="E314" s="1642"/>
      <c r="F314" s="1643"/>
      <c r="G314" s="1644"/>
      <c r="H314" s="1645"/>
      <c r="I314" s="1646"/>
      <c r="J314" s="1647"/>
      <c r="K314" s="1648"/>
      <c r="L314" s="1643"/>
      <c r="M314" s="1649"/>
      <c r="N314" s="1649"/>
      <c r="O314" s="1650"/>
    </row>
    <row r="315">
      <c r="A315" s="1651"/>
      <c r="B315" s="1651"/>
      <c r="C315" s="1652"/>
      <c r="D315" s="1654"/>
      <c r="E315" s="1653"/>
      <c r="F315" s="1654"/>
      <c r="G315" s="1654"/>
      <c r="H315" s="1654"/>
      <c r="I315" s="1654"/>
      <c r="J315" s="1654"/>
      <c r="K315" s="1654"/>
      <c r="L315" s="1654"/>
      <c r="M315" s="1655"/>
      <c r="N315" s="1655"/>
      <c r="O315" s="1656"/>
    </row>
    <row r="316">
      <c r="A316" s="1639"/>
      <c r="B316" s="1639"/>
      <c r="C316" s="1640"/>
      <c r="D316" s="1646"/>
      <c r="E316" s="1642"/>
      <c r="F316" s="1643"/>
      <c r="G316" s="1644"/>
      <c r="H316" s="1645"/>
      <c r="I316" s="1646"/>
      <c r="J316" s="1647"/>
      <c r="K316" s="1648"/>
      <c r="L316" s="1643"/>
      <c r="M316" s="1649"/>
      <c r="N316" s="1649"/>
      <c r="O316" s="1650"/>
    </row>
    <row r="317">
      <c r="A317" s="1651"/>
      <c r="B317" s="1651"/>
      <c r="C317" s="1652"/>
      <c r="D317" s="1654"/>
      <c r="E317" s="1653"/>
      <c r="F317" s="1654"/>
      <c r="G317" s="1654"/>
      <c r="H317" s="1654"/>
      <c r="I317" s="1654"/>
      <c r="J317" s="1654"/>
      <c r="K317" s="1654"/>
      <c r="L317" s="1654"/>
      <c r="M317" s="1655"/>
      <c r="N317" s="1655"/>
      <c r="O317" s="1656"/>
    </row>
    <row r="318">
      <c r="A318" s="1639"/>
      <c r="B318" s="1639"/>
      <c r="C318" s="1640"/>
      <c r="D318" s="1646"/>
      <c r="E318" s="1642"/>
      <c r="F318" s="1643"/>
      <c r="G318" s="1644"/>
      <c r="H318" s="1645"/>
      <c r="I318" s="1646"/>
      <c r="J318" s="1647"/>
      <c r="K318" s="1648"/>
      <c r="L318" s="1643"/>
      <c r="M318" s="1649"/>
      <c r="N318" s="1649"/>
      <c r="O318" s="1650"/>
    </row>
    <row r="319">
      <c r="A319" s="1651"/>
      <c r="B319" s="1651"/>
      <c r="C319" s="1652"/>
      <c r="D319" s="1654"/>
      <c r="E319" s="1653"/>
      <c r="F319" s="1654"/>
      <c r="G319" s="1654"/>
      <c r="H319" s="1654"/>
      <c r="I319" s="1654"/>
      <c r="J319" s="1654"/>
      <c r="K319" s="1654"/>
      <c r="L319" s="1654"/>
      <c r="M319" s="1655"/>
      <c r="N319" s="1655"/>
      <c r="O319" s="1656"/>
    </row>
    <row r="320">
      <c r="A320" s="1639"/>
      <c r="B320" s="1639"/>
      <c r="C320" s="1640"/>
      <c r="D320" s="1646"/>
      <c r="E320" s="1642"/>
      <c r="F320" s="1643"/>
      <c r="G320" s="1644"/>
      <c r="H320" s="1645"/>
      <c r="I320" s="1646"/>
      <c r="J320" s="1647"/>
      <c r="K320" s="1648"/>
      <c r="L320" s="1643"/>
      <c r="M320" s="1649"/>
      <c r="N320" s="1649"/>
      <c r="O320" s="1650"/>
    </row>
    <row r="321">
      <c r="A321" s="1651"/>
      <c r="B321" s="1651"/>
      <c r="C321" s="1652"/>
      <c r="D321" s="1654"/>
      <c r="E321" s="1653"/>
      <c r="F321" s="1654"/>
      <c r="G321" s="1654"/>
      <c r="H321" s="1654"/>
      <c r="I321" s="1654"/>
      <c r="J321" s="1654"/>
      <c r="K321" s="1654"/>
      <c r="L321" s="1654"/>
      <c r="M321" s="1655"/>
      <c r="N321" s="1655"/>
      <c r="O321" s="1656"/>
    </row>
    <row r="322">
      <c r="A322" s="1639"/>
      <c r="B322" s="1639"/>
      <c r="C322" s="1640"/>
      <c r="D322" s="1646"/>
      <c r="E322" s="1642"/>
      <c r="F322" s="1643"/>
      <c r="G322" s="1644"/>
      <c r="H322" s="1645"/>
      <c r="I322" s="1646"/>
      <c r="J322" s="1647"/>
      <c r="K322" s="1648"/>
      <c r="L322" s="1643"/>
      <c r="M322" s="1649"/>
      <c r="N322" s="1649"/>
      <c r="O322" s="1650"/>
    </row>
    <row r="323">
      <c r="A323" s="1651"/>
      <c r="B323" s="1651"/>
      <c r="C323" s="1652"/>
      <c r="D323" s="1654"/>
      <c r="E323" s="1653"/>
      <c r="F323" s="1654"/>
      <c r="G323" s="1654"/>
      <c r="H323" s="1654"/>
      <c r="I323" s="1654"/>
      <c r="J323" s="1654"/>
      <c r="K323" s="1654"/>
      <c r="L323" s="1654"/>
      <c r="M323" s="1655"/>
      <c r="N323" s="1655"/>
      <c r="O323" s="1656"/>
    </row>
    <row r="324">
      <c r="A324" s="1639"/>
      <c r="B324" s="1639"/>
      <c r="C324" s="1640"/>
      <c r="D324" s="1646"/>
      <c r="E324" s="1642"/>
      <c r="F324" s="1643"/>
      <c r="G324" s="1644"/>
      <c r="H324" s="1645"/>
      <c r="I324" s="1646"/>
      <c r="J324" s="1647"/>
      <c r="K324" s="1648"/>
      <c r="L324" s="1643"/>
      <c r="M324" s="1649"/>
      <c r="N324" s="1649"/>
      <c r="O324" s="1650"/>
    </row>
    <row r="325">
      <c r="A325" s="1651"/>
      <c r="B325" s="1651"/>
      <c r="C325" s="1652"/>
      <c r="D325" s="1654"/>
      <c r="E325" s="1653"/>
      <c r="F325" s="1654"/>
      <c r="G325" s="1654"/>
      <c r="H325" s="1654"/>
      <c r="I325" s="1654"/>
      <c r="J325" s="1654"/>
      <c r="K325" s="1654"/>
      <c r="L325" s="1654"/>
      <c r="M325" s="1655"/>
      <c r="N325" s="1655"/>
      <c r="O325" s="1656"/>
    </row>
    <row r="326">
      <c r="A326" s="1639"/>
      <c r="B326" s="1639"/>
      <c r="C326" s="1640"/>
      <c r="D326" s="1646"/>
      <c r="E326" s="1642"/>
      <c r="F326" s="1643"/>
      <c r="G326" s="1644"/>
      <c r="H326" s="1645"/>
      <c r="I326" s="1646"/>
      <c r="J326" s="1647"/>
      <c r="K326" s="1648"/>
      <c r="L326" s="1643"/>
      <c r="M326" s="1649"/>
      <c r="N326" s="1649"/>
      <c r="O326" s="1650"/>
    </row>
    <row r="327">
      <c r="A327" s="1651"/>
      <c r="B327" s="1651"/>
      <c r="C327" s="1652"/>
      <c r="D327" s="1654"/>
      <c r="E327" s="1653"/>
      <c r="F327" s="1654"/>
      <c r="G327" s="1654"/>
      <c r="H327" s="1654"/>
      <c r="I327" s="1654"/>
      <c r="J327" s="1654"/>
      <c r="K327" s="1654"/>
      <c r="L327" s="1654"/>
      <c r="M327" s="1655"/>
      <c r="N327" s="1655"/>
      <c r="O327" s="1656"/>
    </row>
    <row r="328">
      <c r="A328" s="1639"/>
      <c r="B328" s="1639"/>
      <c r="C328" s="1640"/>
      <c r="D328" s="1646"/>
      <c r="E328" s="1642"/>
      <c r="F328" s="1643"/>
      <c r="G328" s="1644"/>
      <c r="H328" s="1645"/>
      <c r="I328" s="1646"/>
      <c r="J328" s="1647"/>
      <c r="K328" s="1648"/>
      <c r="L328" s="1643"/>
      <c r="M328" s="1649"/>
      <c r="N328" s="1649"/>
      <c r="O328" s="1650"/>
    </row>
    <row r="329">
      <c r="A329" s="1651"/>
      <c r="B329" s="1651"/>
      <c r="C329" s="1652"/>
      <c r="D329" s="1654"/>
      <c r="E329" s="1653"/>
      <c r="F329" s="1654"/>
      <c r="G329" s="1654"/>
      <c r="H329" s="1654"/>
      <c r="I329" s="1654"/>
      <c r="J329" s="1654"/>
      <c r="K329" s="1654"/>
      <c r="L329" s="1654"/>
      <c r="M329" s="1655"/>
      <c r="N329" s="1655"/>
      <c r="O329" s="1656"/>
    </row>
    <row r="330">
      <c r="A330" s="1639"/>
      <c r="B330" s="1639"/>
      <c r="C330" s="1640"/>
      <c r="D330" s="1646"/>
      <c r="E330" s="1642"/>
      <c r="F330" s="1643"/>
      <c r="G330" s="1644"/>
      <c r="H330" s="1645"/>
      <c r="I330" s="1646"/>
      <c r="J330" s="1647"/>
      <c r="K330" s="1648"/>
      <c r="L330" s="1643"/>
      <c r="M330" s="1649"/>
      <c r="N330" s="1649"/>
      <c r="O330" s="1650"/>
    </row>
    <row r="331">
      <c r="A331" s="1651"/>
      <c r="B331" s="1651"/>
      <c r="C331" s="1652"/>
      <c r="D331" s="1654"/>
      <c r="E331" s="1653"/>
      <c r="F331" s="1654"/>
      <c r="G331" s="1654"/>
      <c r="H331" s="1654"/>
      <c r="I331" s="1654"/>
      <c r="J331" s="1654"/>
      <c r="K331" s="1654"/>
      <c r="L331" s="1654"/>
      <c r="M331" s="1655"/>
      <c r="N331" s="1655"/>
      <c r="O331" s="1656"/>
    </row>
    <row r="332">
      <c r="A332" s="1639"/>
      <c r="B332" s="1639"/>
      <c r="C332" s="1640"/>
      <c r="D332" s="1646"/>
      <c r="E332" s="1642"/>
      <c r="F332" s="1643"/>
      <c r="G332" s="1644"/>
      <c r="H332" s="1645"/>
      <c r="I332" s="1646"/>
      <c r="J332" s="1647"/>
      <c r="K332" s="1648"/>
      <c r="L332" s="1643"/>
      <c r="M332" s="1649"/>
      <c r="N332" s="1649"/>
      <c r="O332" s="1650"/>
    </row>
    <row r="333">
      <c r="A333" s="1651"/>
      <c r="B333" s="1651"/>
      <c r="C333" s="1652"/>
      <c r="D333" s="1654"/>
      <c r="E333" s="1653"/>
      <c r="F333" s="1654"/>
      <c r="G333" s="1654"/>
      <c r="H333" s="1654"/>
      <c r="I333" s="1654"/>
      <c r="J333" s="1654"/>
      <c r="K333" s="1654"/>
      <c r="L333" s="1654"/>
      <c r="M333" s="1655"/>
      <c r="N333" s="1655"/>
      <c r="O333" s="1656"/>
    </row>
    <row r="334">
      <c r="A334" s="1639"/>
      <c r="B334" s="1639"/>
      <c r="C334" s="1640"/>
      <c r="D334" s="1646"/>
      <c r="E334" s="1642"/>
      <c r="F334" s="1643"/>
      <c r="G334" s="1644"/>
      <c r="H334" s="1645"/>
      <c r="I334" s="1646"/>
      <c r="J334" s="1647"/>
      <c r="K334" s="1648"/>
      <c r="L334" s="1643"/>
      <c r="M334" s="1649"/>
      <c r="N334" s="1649"/>
      <c r="O334" s="1650"/>
    </row>
    <row r="335">
      <c r="A335" s="1651"/>
      <c r="B335" s="1651"/>
      <c r="C335" s="1652"/>
      <c r="D335" s="1654"/>
      <c r="E335" s="1653"/>
      <c r="F335" s="1654"/>
      <c r="G335" s="1654"/>
      <c r="H335" s="1654"/>
      <c r="I335" s="1654"/>
      <c r="J335" s="1654"/>
      <c r="K335" s="1654"/>
      <c r="L335" s="1654"/>
      <c r="M335" s="1655"/>
      <c r="N335" s="1655"/>
      <c r="O335" s="1656"/>
    </row>
    <row r="336">
      <c r="A336" s="1639"/>
      <c r="B336" s="1639"/>
      <c r="C336" s="1640"/>
      <c r="D336" s="1646"/>
      <c r="E336" s="1642"/>
      <c r="F336" s="1643"/>
      <c r="G336" s="1644"/>
      <c r="H336" s="1645"/>
      <c r="I336" s="1646"/>
      <c r="J336" s="1647"/>
      <c r="K336" s="1648"/>
      <c r="L336" s="1643"/>
      <c r="M336" s="1649"/>
      <c r="N336" s="1649"/>
      <c r="O336" s="1650"/>
    </row>
    <row r="337">
      <c r="A337" s="1651"/>
      <c r="B337" s="1651"/>
      <c r="C337" s="1652"/>
      <c r="D337" s="1654"/>
      <c r="E337" s="1653"/>
      <c r="F337" s="1654"/>
      <c r="G337" s="1654"/>
      <c r="H337" s="1654"/>
      <c r="I337" s="1654"/>
      <c r="J337" s="1654"/>
      <c r="K337" s="1654"/>
      <c r="L337" s="1654"/>
      <c r="M337" s="1655"/>
      <c r="N337" s="1655"/>
      <c r="O337" s="1656"/>
    </row>
    <row r="338">
      <c r="A338" s="1639"/>
      <c r="B338" s="1639"/>
      <c r="C338" s="1640"/>
      <c r="D338" s="1646"/>
      <c r="E338" s="1642"/>
      <c r="F338" s="1643"/>
      <c r="G338" s="1644"/>
      <c r="H338" s="1645"/>
      <c r="I338" s="1646"/>
      <c r="J338" s="1647"/>
      <c r="K338" s="1648"/>
      <c r="L338" s="1643"/>
      <c r="M338" s="1649"/>
      <c r="N338" s="1649"/>
      <c r="O338" s="1650"/>
    </row>
    <row r="339">
      <c r="A339" s="1651"/>
      <c r="B339" s="1651"/>
      <c r="C339" s="1652"/>
      <c r="D339" s="1654"/>
      <c r="E339" s="1653"/>
      <c r="F339" s="1654"/>
      <c r="G339" s="1654"/>
      <c r="H339" s="1654"/>
      <c r="I339" s="1654"/>
      <c r="J339" s="1654"/>
      <c r="K339" s="1654"/>
      <c r="L339" s="1654"/>
      <c r="M339" s="1655"/>
      <c r="N339" s="1655"/>
      <c r="O339" s="1656"/>
    </row>
    <row r="340">
      <c r="A340" s="1639"/>
      <c r="B340" s="1639"/>
      <c r="C340" s="1640"/>
      <c r="D340" s="1646"/>
      <c r="E340" s="1642"/>
      <c r="F340" s="1643"/>
      <c r="G340" s="1644"/>
      <c r="H340" s="1645"/>
      <c r="I340" s="1646"/>
      <c r="J340" s="1647"/>
      <c r="K340" s="1648"/>
      <c r="L340" s="1643"/>
      <c r="M340" s="1649"/>
      <c r="N340" s="1649"/>
      <c r="O340" s="1650"/>
    </row>
    <row r="341">
      <c r="A341" s="1651"/>
      <c r="B341" s="1651"/>
      <c r="C341" s="1652"/>
      <c r="D341" s="1654"/>
      <c r="E341" s="1653"/>
      <c r="F341" s="1654"/>
      <c r="G341" s="1654"/>
      <c r="H341" s="1654"/>
      <c r="I341" s="1654"/>
      <c r="J341" s="1654"/>
      <c r="K341" s="1654"/>
      <c r="L341" s="1654"/>
      <c r="M341" s="1655"/>
      <c r="N341" s="1655"/>
      <c r="O341" s="1656"/>
    </row>
    <row r="342">
      <c r="A342" s="1639"/>
      <c r="B342" s="1639"/>
      <c r="C342" s="1640"/>
      <c r="D342" s="1646"/>
      <c r="E342" s="1642"/>
      <c r="F342" s="1643"/>
      <c r="G342" s="1644"/>
      <c r="H342" s="1645"/>
      <c r="I342" s="1646"/>
      <c r="J342" s="1647"/>
      <c r="K342" s="1648"/>
      <c r="L342" s="1643"/>
      <c r="M342" s="1649"/>
      <c r="N342" s="1649"/>
      <c r="O342" s="1650"/>
    </row>
    <row r="343">
      <c r="A343" s="1651"/>
      <c r="B343" s="1651"/>
      <c r="C343" s="1652"/>
      <c r="D343" s="1654"/>
      <c r="E343" s="1653"/>
      <c r="F343" s="1654"/>
      <c r="G343" s="1654"/>
      <c r="H343" s="1654"/>
      <c r="I343" s="1654"/>
      <c r="J343" s="1654"/>
      <c r="K343" s="1654"/>
      <c r="L343" s="1654"/>
      <c r="M343" s="1655"/>
      <c r="N343" s="1655"/>
      <c r="O343" s="1656"/>
    </row>
    <row r="344">
      <c r="A344" s="1639"/>
      <c r="B344" s="1639"/>
      <c r="C344" s="1640"/>
      <c r="D344" s="1646"/>
      <c r="E344" s="1642"/>
      <c r="F344" s="1643"/>
      <c r="G344" s="1644"/>
      <c r="H344" s="1645"/>
      <c r="I344" s="1646"/>
      <c r="J344" s="1647"/>
      <c r="K344" s="1648"/>
      <c r="L344" s="1643"/>
      <c r="M344" s="1649"/>
      <c r="N344" s="1649"/>
      <c r="O344" s="1650"/>
    </row>
    <row r="345">
      <c r="A345" s="1651"/>
      <c r="B345" s="1651"/>
      <c r="C345" s="1652"/>
      <c r="D345" s="1654"/>
      <c r="E345" s="1653"/>
      <c r="F345" s="1654"/>
      <c r="G345" s="1654"/>
      <c r="H345" s="1654"/>
      <c r="I345" s="1654"/>
      <c r="J345" s="1654"/>
      <c r="K345" s="1654"/>
      <c r="L345" s="1654"/>
      <c r="M345" s="1655"/>
      <c r="N345" s="1655"/>
      <c r="O345" s="1656"/>
    </row>
    <row r="346">
      <c r="A346" s="1639"/>
      <c r="B346" s="1639"/>
      <c r="C346" s="1640"/>
      <c r="D346" s="1646"/>
      <c r="E346" s="1642"/>
      <c r="F346" s="1643"/>
      <c r="G346" s="1644"/>
      <c r="H346" s="1645"/>
      <c r="I346" s="1646"/>
      <c r="J346" s="1647"/>
      <c r="K346" s="1648"/>
      <c r="L346" s="1643"/>
      <c r="M346" s="1649"/>
      <c r="N346" s="1649"/>
      <c r="O346" s="1650"/>
    </row>
    <row r="347">
      <c r="A347" s="1651"/>
      <c r="B347" s="1651"/>
      <c r="C347" s="1652"/>
      <c r="D347" s="1654"/>
      <c r="E347" s="1653"/>
      <c r="F347" s="1654"/>
      <c r="G347" s="1654"/>
      <c r="H347" s="1654"/>
      <c r="I347" s="1654"/>
      <c r="J347" s="1654"/>
      <c r="K347" s="1654"/>
      <c r="L347" s="1654"/>
      <c r="M347" s="1655"/>
      <c r="N347" s="1655"/>
      <c r="O347" s="1656"/>
    </row>
    <row r="348">
      <c r="A348" s="1639"/>
      <c r="B348" s="1639"/>
      <c r="C348" s="1640"/>
      <c r="D348" s="1646"/>
      <c r="E348" s="1642"/>
      <c r="F348" s="1643"/>
      <c r="G348" s="1644"/>
      <c r="H348" s="1645"/>
      <c r="I348" s="1646"/>
      <c r="J348" s="1647"/>
      <c r="K348" s="1648"/>
      <c r="L348" s="1643"/>
      <c r="M348" s="1649"/>
      <c r="N348" s="1649"/>
      <c r="O348" s="1650"/>
    </row>
    <row r="349">
      <c r="A349" s="1651"/>
      <c r="B349" s="1651"/>
      <c r="C349" s="1652"/>
      <c r="D349" s="1654"/>
      <c r="E349" s="1653"/>
      <c r="F349" s="1654"/>
      <c r="G349" s="1654"/>
      <c r="H349" s="1654"/>
      <c r="I349" s="1654"/>
      <c r="J349" s="1654"/>
      <c r="K349" s="1654"/>
      <c r="L349" s="1654"/>
      <c r="M349" s="1655"/>
      <c r="N349" s="1655"/>
      <c r="O349" s="1656"/>
    </row>
    <row r="350">
      <c r="A350" s="1639"/>
      <c r="B350" s="1639"/>
      <c r="C350" s="1640"/>
      <c r="D350" s="1646"/>
      <c r="E350" s="1642"/>
      <c r="F350" s="1643"/>
      <c r="G350" s="1644"/>
      <c r="H350" s="1645"/>
      <c r="I350" s="1646"/>
      <c r="J350" s="1647"/>
      <c r="K350" s="1648"/>
      <c r="L350" s="1643"/>
      <c r="M350" s="1649"/>
      <c r="N350" s="1649"/>
      <c r="O350" s="1650"/>
    </row>
    <row r="351">
      <c r="A351" s="1651"/>
      <c r="B351" s="1651"/>
      <c r="C351" s="1652"/>
      <c r="D351" s="1654"/>
      <c r="E351" s="1653"/>
      <c r="F351" s="1654"/>
      <c r="G351" s="1654"/>
      <c r="H351" s="1654"/>
      <c r="I351" s="1654"/>
      <c r="J351" s="1654"/>
      <c r="K351" s="1654"/>
      <c r="L351" s="1654"/>
      <c r="M351" s="1655"/>
      <c r="N351" s="1655"/>
      <c r="O351" s="1656"/>
    </row>
    <row r="352">
      <c r="A352" s="1639"/>
      <c r="B352" s="1639"/>
      <c r="C352" s="1640"/>
      <c r="D352" s="1646"/>
      <c r="E352" s="1642"/>
      <c r="F352" s="1643"/>
      <c r="G352" s="1644"/>
      <c r="H352" s="1645"/>
      <c r="I352" s="1646"/>
      <c r="J352" s="1647"/>
      <c r="K352" s="1648"/>
      <c r="L352" s="1643"/>
      <c r="M352" s="1649"/>
      <c r="N352" s="1649"/>
      <c r="O352" s="1650"/>
    </row>
    <row r="353">
      <c r="A353" s="1651"/>
      <c r="B353" s="1651"/>
      <c r="C353" s="1652"/>
      <c r="D353" s="1654"/>
      <c r="E353" s="1653"/>
      <c r="F353" s="1654"/>
      <c r="G353" s="1654"/>
      <c r="H353" s="1654"/>
      <c r="I353" s="1654"/>
      <c r="J353" s="1654"/>
      <c r="K353" s="1654"/>
      <c r="L353" s="1654"/>
      <c r="M353" s="1655"/>
      <c r="N353" s="1655"/>
      <c r="O353" s="1656"/>
    </row>
    <row r="354">
      <c r="A354" s="1639"/>
      <c r="B354" s="1639"/>
      <c r="C354" s="1640"/>
      <c r="D354" s="1646"/>
      <c r="E354" s="1642"/>
      <c r="F354" s="1643"/>
      <c r="G354" s="1644"/>
      <c r="H354" s="1645"/>
      <c r="I354" s="1646"/>
      <c r="J354" s="1647"/>
      <c r="K354" s="1648"/>
      <c r="L354" s="1643"/>
      <c r="M354" s="1649"/>
      <c r="N354" s="1649"/>
      <c r="O354" s="1650"/>
    </row>
    <row r="355">
      <c r="A355" s="1651"/>
      <c r="B355" s="1651"/>
      <c r="C355" s="1652"/>
      <c r="D355" s="1654"/>
      <c r="E355" s="1653"/>
      <c r="F355" s="1654"/>
      <c r="G355" s="1654"/>
      <c r="H355" s="1654"/>
      <c r="I355" s="1654"/>
      <c r="J355" s="1654"/>
      <c r="K355" s="1654"/>
      <c r="L355" s="1654"/>
      <c r="M355" s="1655"/>
      <c r="N355" s="1655"/>
      <c r="O355" s="1656"/>
    </row>
    <row r="356">
      <c r="A356" s="1639"/>
      <c r="B356" s="1639"/>
      <c r="C356" s="1640"/>
      <c r="D356" s="1646"/>
      <c r="E356" s="1642"/>
      <c r="F356" s="1643"/>
      <c r="G356" s="1644"/>
      <c r="H356" s="1645"/>
      <c r="I356" s="1646"/>
      <c r="J356" s="1647"/>
      <c r="K356" s="1648"/>
      <c r="L356" s="1643"/>
      <c r="M356" s="1649"/>
      <c r="N356" s="1649"/>
      <c r="O356" s="1650"/>
    </row>
    <row r="357">
      <c r="A357" s="1651"/>
      <c r="B357" s="1651"/>
      <c r="C357" s="1652"/>
      <c r="D357" s="1654"/>
      <c r="E357" s="1653"/>
      <c r="F357" s="1654"/>
      <c r="G357" s="1654"/>
      <c r="H357" s="1654"/>
      <c r="I357" s="1654"/>
      <c r="J357" s="1654"/>
      <c r="K357" s="1654"/>
      <c r="L357" s="1654"/>
      <c r="M357" s="1655"/>
      <c r="N357" s="1655"/>
      <c r="O357" s="1656"/>
    </row>
    <row r="358">
      <c r="A358" s="1639"/>
      <c r="B358" s="1639"/>
      <c r="C358" s="1640"/>
      <c r="D358" s="1646"/>
      <c r="E358" s="1642"/>
      <c r="F358" s="1643"/>
      <c r="G358" s="1644"/>
      <c r="H358" s="1645"/>
      <c r="I358" s="1646"/>
      <c r="J358" s="1647"/>
      <c r="K358" s="1648"/>
      <c r="L358" s="1643"/>
      <c r="M358" s="1649"/>
      <c r="N358" s="1649"/>
      <c r="O358" s="1650"/>
    </row>
    <row r="359">
      <c r="A359" s="1651"/>
      <c r="B359" s="1651"/>
      <c r="C359" s="1652"/>
      <c r="D359" s="1654"/>
      <c r="E359" s="1653"/>
      <c r="F359" s="1654"/>
      <c r="G359" s="1654"/>
      <c r="H359" s="1654"/>
      <c r="I359" s="1654"/>
      <c r="J359" s="1654"/>
      <c r="K359" s="1654"/>
      <c r="L359" s="1654"/>
      <c r="M359" s="1655"/>
      <c r="N359" s="1655"/>
      <c r="O359" s="1656"/>
    </row>
    <row r="360">
      <c r="A360" s="1639"/>
      <c r="B360" s="1639"/>
      <c r="C360" s="1640"/>
      <c r="D360" s="1646"/>
      <c r="E360" s="1642"/>
      <c r="F360" s="1643"/>
      <c r="G360" s="1644"/>
      <c r="H360" s="1645"/>
      <c r="I360" s="1646"/>
      <c r="J360" s="1647"/>
      <c r="K360" s="1648"/>
      <c r="L360" s="1643"/>
      <c r="M360" s="1649"/>
      <c r="N360" s="1649"/>
      <c r="O360" s="1650"/>
    </row>
    <row r="361">
      <c r="A361" s="1651"/>
      <c r="B361" s="1651"/>
      <c r="C361" s="1652"/>
      <c r="D361" s="1654"/>
      <c r="E361" s="1653"/>
      <c r="F361" s="1654"/>
      <c r="G361" s="1654"/>
      <c r="H361" s="1654"/>
      <c r="I361" s="1654"/>
      <c r="J361" s="1654"/>
      <c r="K361" s="1654"/>
      <c r="L361" s="1654"/>
      <c r="M361" s="1655"/>
      <c r="N361" s="1655"/>
      <c r="O361" s="1656"/>
    </row>
    <row r="362">
      <c r="A362" s="1639"/>
      <c r="B362" s="1639"/>
      <c r="C362" s="1640"/>
      <c r="D362" s="1646"/>
      <c r="E362" s="1642"/>
      <c r="F362" s="1643"/>
      <c r="G362" s="1644"/>
      <c r="H362" s="1645"/>
      <c r="I362" s="1646"/>
      <c r="J362" s="1647"/>
      <c r="K362" s="1648"/>
      <c r="L362" s="1643"/>
      <c r="M362" s="1649"/>
      <c r="N362" s="1649"/>
      <c r="O362" s="1650"/>
    </row>
    <row r="363">
      <c r="A363" s="1651"/>
      <c r="B363" s="1651"/>
      <c r="C363" s="1652"/>
      <c r="D363" s="1654"/>
      <c r="E363" s="1653"/>
      <c r="F363" s="1654"/>
      <c r="G363" s="1654"/>
      <c r="H363" s="1654"/>
      <c r="I363" s="1654"/>
      <c r="J363" s="1654"/>
      <c r="K363" s="1654"/>
      <c r="L363" s="1654"/>
      <c r="M363" s="1655"/>
      <c r="N363" s="1655"/>
      <c r="O363" s="1656"/>
    </row>
    <row r="364">
      <c r="A364" s="1639"/>
      <c r="B364" s="1639"/>
      <c r="C364" s="1640"/>
      <c r="D364" s="1646"/>
      <c r="E364" s="1642"/>
      <c r="F364" s="1643"/>
      <c r="G364" s="1644"/>
      <c r="H364" s="1645"/>
      <c r="I364" s="1646"/>
      <c r="J364" s="1647"/>
      <c r="K364" s="1648"/>
      <c r="L364" s="1643"/>
      <c r="M364" s="1649"/>
      <c r="N364" s="1649"/>
      <c r="O364" s="1650"/>
    </row>
    <row r="365">
      <c r="A365" s="1651"/>
      <c r="B365" s="1651"/>
      <c r="C365" s="1652"/>
      <c r="D365" s="1654"/>
      <c r="E365" s="1653"/>
      <c r="F365" s="1654"/>
      <c r="G365" s="1654"/>
      <c r="H365" s="1654"/>
      <c r="I365" s="1654"/>
      <c r="J365" s="1654"/>
      <c r="K365" s="1654"/>
      <c r="L365" s="1654"/>
      <c r="M365" s="1655"/>
      <c r="N365" s="1655"/>
      <c r="O365" s="1656"/>
    </row>
    <row r="366">
      <c r="A366" s="1639"/>
      <c r="B366" s="1639"/>
      <c r="C366" s="1640"/>
      <c r="D366" s="1646"/>
      <c r="E366" s="1642"/>
      <c r="F366" s="1643"/>
      <c r="G366" s="1644"/>
      <c r="H366" s="1645"/>
      <c r="I366" s="1646"/>
      <c r="J366" s="1647"/>
      <c r="K366" s="1648"/>
      <c r="L366" s="1643"/>
      <c r="M366" s="1649"/>
      <c r="N366" s="1649"/>
      <c r="O366" s="1650"/>
    </row>
    <row r="367">
      <c r="A367" s="1651"/>
      <c r="B367" s="1651"/>
      <c r="C367" s="1652"/>
      <c r="D367" s="1654"/>
      <c r="E367" s="1653"/>
      <c r="F367" s="1654"/>
      <c r="G367" s="1654"/>
      <c r="H367" s="1654"/>
      <c r="I367" s="1654"/>
      <c r="J367" s="1654"/>
      <c r="K367" s="1654"/>
      <c r="L367" s="1654"/>
      <c r="M367" s="1655"/>
      <c r="N367" s="1655"/>
      <c r="O367" s="1656"/>
    </row>
    <row r="368">
      <c r="A368" s="1639"/>
      <c r="B368" s="1639"/>
      <c r="C368" s="1640"/>
      <c r="D368" s="1646"/>
      <c r="E368" s="1642"/>
      <c r="F368" s="1643"/>
      <c r="G368" s="1644"/>
      <c r="H368" s="1645"/>
      <c r="I368" s="1646"/>
      <c r="J368" s="1647"/>
      <c r="K368" s="1648"/>
      <c r="L368" s="1643"/>
      <c r="M368" s="1649"/>
      <c r="N368" s="1649"/>
      <c r="O368" s="1650"/>
    </row>
    <row r="369">
      <c r="A369" s="1651"/>
      <c r="B369" s="1651"/>
      <c r="C369" s="1652"/>
      <c r="D369" s="1654"/>
      <c r="E369" s="1653"/>
      <c r="F369" s="1654"/>
      <c r="G369" s="1654"/>
      <c r="H369" s="1654"/>
      <c r="I369" s="1654"/>
      <c r="J369" s="1654"/>
      <c r="K369" s="1654"/>
      <c r="L369" s="1654"/>
      <c r="M369" s="1655"/>
      <c r="N369" s="1655"/>
      <c r="O369" s="1656"/>
    </row>
    <row r="370">
      <c r="A370" s="1639"/>
      <c r="B370" s="1639"/>
      <c r="C370" s="1640"/>
      <c r="D370" s="1646"/>
      <c r="E370" s="1642"/>
      <c r="F370" s="1643"/>
      <c r="G370" s="1644"/>
      <c r="H370" s="1645"/>
      <c r="I370" s="1646"/>
      <c r="J370" s="1647"/>
      <c r="K370" s="1648"/>
      <c r="L370" s="1643"/>
      <c r="M370" s="1649"/>
      <c r="N370" s="1649"/>
      <c r="O370" s="1650"/>
    </row>
    <row r="371">
      <c r="A371" s="1651"/>
      <c r="B371" s="1651"/>
      <c r="C371" s="1652"/>
      <c r="D371" s="1654"/>
      <c r="E371" s="1653"/>
      <c r="F371" s="1654"/>
      <c r="G371" s="1654"/>
      <c r="H371" s="1654"/>
      <c r="I371" s="1654"/>
      <c r="J371" s="1654"/>
      <c r="K371" s="1654"/>
      <c r="L371" s="1654"/>
      <c r="M371" s="1655"/>
      <c r="N371" s="1655"/>
      <c r="O371" s="1656"/>
    </row>
    <row r="372">
      <c r="A372" s="1639"/>
      <c r="B372" s="1639"/>
      <c r="C372" s="1640"/>
      <c r="D372" s="1646"/>
      <c r="E372" s="1642"/>
      <c r="F372" s="1643"/>
      <c r="G372" s="1644"/>
      <c r="H372" s="1645"/>
      <c r="I372" s="1646"/>
      <c r="J372" s="1647"/>
      <c r="K372" s="1648"/>
      <c r="L372" s="1643"/>
      <c r="M372" s="1649"/>
      <c r="N372" s="1649"/>
      <c r="O372" s="1650"/>
    </row>
    <row r="373">
      <c r="A373" s="1651"/>
      <c r="B373" s="1651"/>
      <c r="C373" s="1652"/>
      <c r="D373" s="1654"/>
      <c r="E373" s="1653"/>
      <c r="F373" s="1654"/>
      <c r="G373" s="1654"/>
      <c r="H373" s="1654"/>
      <c r="I373" s="1654"/>
      <c r="J373" s="1654"/>
      <c r="K373" s="1654"/>
      <c r="L373" s="1654"/>
      <c r="M373" s="1655"/>
      <c r="N373" s="1655"/>
      <c r="O373" s="1656"/>
    </row>
    <row r="374">
      <c r="A374" s="1639"/>
      <c r="B374" s="1639"/>
      <c r="C374" s="1640"/>
      <c r="D374" s="1646"/>
      <c r="E374" s="1642"/>
      <c r="F374" s="1643"/>
      <c r="G374" s="1644"/>
      <c r="H374" s="1645"/>
      <c r="I374" s="1646"/>
      <c r="J374" s="1647"/>
      <c r="K374" s="1648"/>
      <c r="L374" s="1643"/>
      <c r="M374" s="1649"/>
      <c r="N374" s="1649"/>
      <c r="O374" s="1650"/>
    </row>
    <row r="375">
      <c r="A375" s="1651"/>
      <c r="B375" s="1651"/>
      <c r="C375" s="1652"/>
      <c r="D375" s="1654"/>
      <c r="E375" s="1653"/>
      <c r="F375" s="1654"/>
      <c r="G375" s="1654"/>
      <c r="H375" s="1654"/>
      <c r="I375" s="1654"/>
      <c r="J375" s="1654"/>
      <c r="K375" s="1654"/>
      <c r="L375" s="1654"/>
      <c r="M375" s="1655"/>
      <c r="N375" s="1655"/>
      <c r="O375" s="1656"/>
    </row>
    <row r="376">
      <c r="A376" s="1639"/>
      <c r="B376" s="1639"/>
      <c r="C376" s="1640"/>
      <c r="D376" s="1646"/>
      <c r="E376" s="1642"/>
      <c r="F376" s="1643"/>
      <c r="G376" s="1644"/>
      <c r="H376" s="1645"/>
      <c r="I376" s="1646"/>
      <c r="J376" s="1647"/>
      <c r="K376" s="1648"/>
      <c r="L376" s="1643"/>
      <c r="M376" s="1649"/>
      <c r="N376" s="1649"/>
      <c r="O376" s="1650"/>
    </row>
    <row r="377">
      <c r="A377" s="1651"/>
      <c r="B377" s="1651"/>
      <c r="C377" s="1652"/>
      <c r="D377" s="1654"/>
      <c r="E377" s="1653"/>
      <c r="F377" s="1654"/>
      <c r="G377" s="1654"/>
      <c r="H377" s="1654"/>
      <c r="I377" s="1654"/>
      <c r="J377" s="1654"/>
      <c r="K377" s="1654"/>
      <c r="L377" s="1654"/>
      <c r="M377" s="1655"/>
      <c r="N377" s="1655"/>
      <c r="O377" s="1656"/>
    </row>
    <row r="378">
      <c r="A378" s="1639"/>
      <c r="B378" s="1639"/>
      <c r="C378" s="1640"/>
      <c r="D378" s="1646"/>
      <c r="E378" s="1642"/>
      <c r="F378" s="1643"/>
      <c r="G378" s="1644"/>
      <c r="H378" s="1645"/>
      <c r="I378" s="1646"/>
      <c r="J378" s="1647"/>
      <c r="K378" s="1648"/>
      <c r="L378" s="1643"/>
      <c r="M378" s="1649"/>
      <c r="N378" s="1649"/>
      <c r="O378" s="1650"/>
    </row>
    <row r="379">
      <c r="A379" s="1651"/>
      <c r="B379" s="1651"/>
      <c r="C379" s="1652"/>
      <c r="D379" s="1654"/>
      <c r="E379" s="1653"/>
      <c r="F379" s="1654"/>
      <c r="G379" s="1654"/>
      <c r="H379" s="1654"/>
      <c r="I379" s="1654"/>
      <c r="J379" s="1654"/>
      <c r="K379" s="1654"/>
      <c r="L379" s="1654"/>
      <c r="M379" s="1655"/>
      <c r="N379" s="1655"/>
      <c r="O379" s="1656"/>
    </row>
    <row r="380">
      <c r="A380" s="1639"/>
      <c r="B380" s="1639"/>
      <c r="C380" s="1640"/>
      <c r="D380" s="1646"/>
      <c r="E380" s="1642"/>
      <c r="F380" s="1643"/>
      <c r="G380" s="1644"/>
      <c r="H380" s="1645"/>
      <c r="I380" s="1646"/>
      <c r="J380" s="1647"/>
      <c r="K380" s="1648"/>
      <c r="L380" s="1643"/>
      <c r="M380" s="1649"/>
      <c r="N380" s="1649"/>
      <c r="O380" s="1650"/>
    </row>
    <row r="381">
      <c r="A381" s="1651"/>
      <c r="B381" s="1651"/>
      <c r="C381" s="1652"/>
      <c r="D381" s="1654"/>
      <c r="E381" s="1653"/>
      <c r="F381" s="1654"/>
      <c r="G381" s="1654"/>
      <c r="H381" s="1654"/>
      <c r="I381" s="1654"/>
      <c r="J381" s="1654"/>
      <c r="K381" s="1654"/>
      <c r="L381" s="1654"/>
      <c r="M381" s="1655"/>
      <c r="N381" s="1655"/>
      <c r="O381" s="1656"/>
    </row>
    <row r="382">
      <c r="A382" s="1639"/>
      <c r="B382" s="1639"/>
      <c r="C382" s="1640"/>
      <c r="D382" s="1646"/>
      <c r="E382" s="1642"/>
      <c r="F382" s="1643"/>
      <c r="G382" s="1644"/>
      <c r="H382" s="1645"/>
      <c r="I382" s="1646"/>
      <c r="J382" s="1647"/>
      <c r="K382" s="1648"/>
      <c r="L382" s="1643"/>
      <c r="M382" s="1649"/>
      <c r="N382" s="1649"/>
      <c r="O382" s="1650"/>
    </row>
    <row r="383">
      <c r="A383" s="1651"/>
      <c r="B383" s="1651"/>
      <c r="C383" s="1652"/>
      <c r="D383" s="1654"/>
      <c r="E383" s="1653"/>
      <c r="F383" s="1654"/>
      <c r="G383" s="1654"/>
      <c r="H383" s="1654"/>
      <c r="I383" s="1654"/>
      <c r="J383" s="1654"/>
      <c r="K383" s="1654"/>
      <c r="L383" s="1654"/>
      <c r="M383" s="1655"/>
      <c r="N383" s="1655"/>
      <c r="O383" s="1656"/>
    </row>
    <row r="384">
      <c r="A384" s="1639"/>
      <c r="B384" s="1639"/>
      <c r="C384" s="1640"/>
      <c r="D384" s="1646"/>
      <c r="E384" s="1642"/>
      <c r="F384" s="1643"/>
      <c r="G384" s="1644"/>
      <c r="H384" s="1645"/>
      <c r="I384" s="1646"/>
      <c r="J384" s="1647"/>
      <c r="K384" s="1648"/>
      <c r="L384" s="1643"/>
      <c r="M384" s="1649"/>
      <c r="N384" s="1649"/>
      <c r="O384" s="1650"/>
    </row>
    <row r="385">
      <c r="A385" s="1651"/>
      <c r="B385" s="1651"/>
      <c r="C385" s="1652"/>
      <c r="D385" s="1654"/>
      <c r="E385" s="1653"/>
      <c r="F385" s="1654"/>
      <c r="G385" s="1654"/>
      <c r="H385" s="1654"/>
      <c r="I385" s="1654"/>
      <c r="J385" s="1654"/>
      <c r="K385" s="1654"/>
      <c r="L385" s="1654"/>
      <c r="M385" s="1655"/>
      <c r="N385" s="1655"/>
      <c r="O385" s="1656"/>
    </row>
    <row r="386">
      <c r="A386" s="1639"/>
      <c r="B386" s="1639"/>
      <c r="C386" s="1640"/>
      <c r="D386" s="1646"/>
      <c r="E386" s="1642"/>
      <c r="F386" s="1643"/>
      <c r="G386" s="1644"/>
      <c r="H386" s="1645"/>
      <c r="I386" s="1646"/>
      <c r="J386" s="1647"/>
      <c r="K386" s="1648"/>
      <c r="L386" s="1643"/>
      <c r="M386" s="1649"/>
      <c r="N386" s="1649"/>
      <c r="O386" s="1650"/>
    </row>
    <row r="387">
      <c r="A387" s="1651"/>
      <c r="B387" s="1651"/>
      <c r="C387" s="1652"/>
      <c r="D387" s="1654"/>
      <c r="E387" s="1653"/>
      <c r="F387" s="1654"/>
      <c r="G387" s="1654"/>
      <c r="H387" s="1654"/>
      <c r="I387" s="1654"/>
      <c r="J387" s="1654"/>
      <c r="K387" s="1654"/>
      <c r="L387" s="1654"/>
      <c r="M387" s="1655"/>
      <c r="N387" s="1655"/>
      <c r="O387" s="1656"/>
    </row>
    <row r="388">
      <c r="A388" s="1639"/>
      <c r="B388" s="1639"/>
      <c r="C388" s="1640"/>
      <c r="D388" s="1646"/>
      <c r="E388" s="1642"/>
      <c r="F388" s="1643"/>
      <c r="G388" s="1644"/>
      <c r="H388" s="1645"/>
      <c r="I388" s="1646"/>
      <c r="J388" s="1647"/>
      <c r="K388" s="1648"/>
      <c r="L388" s="1643"/>
      <c r="M388" s="1649"/>
      <c r="N388" s="1649"/>
      <c r="O388" s="1650"/>
    </row>
    <row r="389">
      <c r="A389" s="1651"/>
      <c r="B389" s="1651"/>
      <c r="C389" s="1652"/>
      <c r="D389" s="1654"/>
      <c r="E389" s="1653"/>
      <c r="F389" s="1654"/>
      <c r="G389" s="1654"/>
      <c r="H389" s="1654"/>
      <c r="I389" s="1654"/>
      <c r="J389" s="1654"/>
      <c r="K389" s="1654"/>
      <c r="L389" s="1654"/>
      <c r="M389" s="1655"/>
      <c r="N389" s="1655"/>
      <c r="O389" s="1656"/>
    </row>
    <row r="390">
      <c r="A390" s="1639"/>
      <c r="B390" s="1639"/>
      <c r="C390" s="1640"/>
      <c r="D390" s="1646"/>
      <c r="E390" s="1642"/>
      <c r="F390" s="1643"/>
      <c r="G390" s="1644"/>
      <c r="H390" s="1645"/>
      <c r="I390" s="1646"/>
      <c r="J390" s="1647"/>
      <c r="K390" s="1648"/>
      <c r="L390" s="1643"/>
      <c r="M390" s="1649"/>
      <c r="N390" s="1649"/>
      <c r="O390" s="1650"/>
    </row>
    <row r="391">
      <c r="A391" s="1651"/>
      <c r="B391" s="1651"/>
      <c r="C391" s="1652"/>
      <c r="D391" s="1654"/>
      <c r="E391" s="1653"/>
      <c r="F391" s="1654"/>
      <c r="G391" s="1654"/>
      <c r="H391" s="1654"/>
      <c r="I391" s="1654"/>
      <c r="J391" s="1654"/>
      <c r="K391" s="1654"/>
      <c r="L391" s="1654"/>
      <c r="M391" s="1655"/>
      <c r="N391" s="1655"/>
      <c r="O391" s="1656"/>
    </row>
    <row r="392">
      <c r="A392" s="1639"/>
      <c r="B392" s="1639"/>
      <c r="C392" s="1640"/>
      <c r="D392" s="1646"/>
      <c r="E392" s="1642"/>
      <c r="F392" s="1643"/>
      <c r="G392" s="1644"/>
      <c r="H392" s="1645"/>
      <c r="I392" s="1646"/>
      <c r="J392" s="1647"/>
      <c r="K392" s="1648"/>
      <c r="L392" s="1643"/>
      <c r="M392" s="1649"/>
      <c r="N392" s="1649"/>
      <c r="O392" s="1650"/>
    </row>
    <row r="393">
      <c r="A393" s="1651"/>
      <c r="B393" s="1651"/>
      <c r="C393" s="1652"/>
      <c r="D393" s="1654"/>
      <c r="E393" s="1653"/>
      <c r="F393" s="1654"/>
      <c r="G393" s="1654"/>
      <c r="H393" s="1654"/>
      <c r="I393" s="1654"/>
      <c r="J393" s="1654"/>
      <c r="K393" s="1654"/>
      <c r="L393" s="1654"/>
      <c r="M393" s="1655"/>
      <c r="N393" s="1655"/>
      <c r="O393" s="1656"/>
    </row>
    <row r="394">
      <c r="A394" s="1639"/>
      <c r="B394" s="1639"/>
      <c r="C394" s="1640"/>
      <c r="D394" s="1646"/>
      <c r="E394" s="1642"/>
      <c r="F394" s="1643"/>
      <c r="G394" s="1644"/>
      <c r="H394" s="1645"/>
      <c r="I394" s="1646"/>
      <c r="J394" s="1647"/>
      <c r="K394" s="1648"/>
      <c r="L394" s="1643"/>
      <c r="M394" s="1649"/>
      <c r="N394" s="1649"/>
      <c r="O394" s="1650"/>
    </row>
    <row r="395">
      <c r="A395" s="1651"/>
      <c r="B395" s="1651"/>
      <c r="C395" s="1652"/>
      <c r="D395" s="1654"/>
      <c r="E395" s="1653"/>
      <c r="F395" s="1654"/>
      <c r="G395" s="1654"/>
      <c r="H395" s="1654"/>
      <c r="I395" s="1654"/>
      <c r="J395" s="1654"/>
      <c r="K395" s="1654"/>
      <c r="L395" s="1654"/>
      <c r="M395" s="1655"/>
      <c r="N395" s="1655"/>
      <c r="O395" s="1656"/>
    </row>
    <row r="396">
      <c r="A396" s="1639"/>
      <c r="B396" s="1639"/>
      <c r="C396" s="1640"/>
      <c r="D396" s="1646"/>
      <c r="E396" s="1642"/>
      <c r="F396" s="1643"/>
      <c r="G396" s="1644"/>
      <c r="H396" s="1645"/>
      <c r="I396" s="1646"/>
      <c r="J396" s="1647"/>
      <c r="K396" s="1648"/>
      <c r="L396" s="1643"/>
      <c r="M396" s="1649"/>
      <c r="N396" s="1649"/>
      <c r="O396" s="1650"/>
    </row>
    <row r="397">
      <c r="A397" s="1651"/>
      <c r="B397" s="1651"/>
      <c r="C397" s="1652"/>
      <c r="D397" s="1654"/>
      <c r="E397" s="1653"/>
      <c r="F397" s="1654"/>
      <c r="G397" s="1654"/>
      <c r="H397" s="1654"/>
      <c r="I397" s="1654"/>
      <c r="J397" s="1654"/>
      <c r="K397" s="1654"/>
      <c r="L397" s="1654"/>
      <c r="M397" s="1655"/>
      <c r="N397" s="1655"/>
      <c r="O397" s="1656"/>
    </row>
    <row r="398">
      <c r="A398" s="1639"/>
      <c r="B398" s="1639"/>
      <c r="C398" s="1640"/>
      <c r="D398" s="1646"/>
      <c r="E398" s="1642"/>
      <c r="F398" s="1643"/>
      <c r="G398" s="1644"/>
      <c r="H398" s="1645"/>
      <c r="I398" s="1646"/>
      <c r="J398" s="1647"/>
      <c r="K398" s="1648"/>
      <c r="L398" s="1643"/>
      <c r="M398" s="1649"/>
      <c r="N398" s="1649"/>
      <c r="O398" s="1650"/>
    </row>
    <row r="399">
      <c r="A399" s="1651"/>
      <c r="B399" s="1651"/>
      <c r="C399" s="1652"/>
      <c r="D399" s="1654"/>
      <c r="E399" s="1653"/>
      <c r="F399" s="1654"/>
      <c r="G399" s="1654"/>
      <c r="H399" s="1654"/>
      <c r="I399" s="1654"/>
      <c r="J399" s="1654"/>
      <c r="K399" s="1654"/>
      <c r="L399" s="1654"/>
      <c r="M399" s="1655"/>
      <c r="N399" s="1655"/>
      <c r="O399" s="1656"/>
    </row>
    <row r="400">
      <c r="A400" s="1639"/>
      <c r="B400" s="1639"/>
      <c r="C400" s="1640"/>
      <c r="D400" s="1646"/>
      <c r="E400" s="1642"/>
      <c r="F400" s="1643"/>
      <c r="G400" s="1644"/>
      <c r="H400" s="1645"/>
      <c r="I400" s="1646"/>
      <c r="J400" s="1647"/>
      <c r="K400" s="1648"/>
      <c r="L400" s="1643"/>
      <c r="M400" s="1649"/>
      <c r="N400" s="1649"/>
      <c r="O400" s="1650"/>
    </row>
    <row r="401">
      <c r="A401" s="1651"/>
      <c r="B401" s="1651"/>
      <c r="C401" s="1652"/>
      <c r="D401" s="1654"/>
      <c r="E401" s="1653"/>
      <c r="F401" s="1654"/>
      <c r="G401" s="1654"/>
      <c r="H401" s="1654"/>
      <c r="I401" s="1654"/>
      <c r="J401" s="1654"/>
      <c r="K401" s="1654"/>
      <c r="L401" s="1654"/>
      <c r="M401" s="1655"/>
      <c r="N401" s="1655"/>
      <c r="O401" s="1656"/>
    </row>
    <row r="402">
      <c r="A402" s="1639"/>
      <c r="B402" s="1639"/>
      <c r="C402" s="1640"/>
      <c r="D402" s="1646"/>
      <c r="E402" s="1642"/>
      <c r="F402" s="1643"/>
      <c r="G402" s="1644"/>
      <c r="H402" s="1645"/>
      <c r="I402" s="1646"/>
      <c r="J402" s="1647"/>
      <c r="K402" s="1648"/>
      <c r="L402" s="1643"/>
      <c r="M402" s="1649"/>
      <c r="N402" s="1649"/>
      <c r="O402" s="1650"/>
    </row>
    <row r="403">
      <c r="A403" s="1651"/>
      <c r="B403" s="1651"/>
      <c r="C403" s="1652"/>
      <c r="D403" s="1654"/>
      <c r="E403" s="1653"/>
      <c r="F403" s="1654"/>
      <c r="G403" s="1654"/>
      <c r="H403" s="1654"/>
      <c r="I403" s="1654"/>
      <c r="J403" s="1654"/>
      <c r="K403" s="1654"/>
      <c r="L403" s="1654"/>
      <c r="M403" s="1655"/>
      <c r="N403" s="1655"/>
      <c r="O403" s="1656"/>
    </row>
    <row r="404">
      <c r="A404" s="1639"/>
      <c r="B404" s="1639"/>
      <c r="C404" s="1640"/>
      <c r="D404" s="1646"/>
      <c r="E404" s="1642"/>
      <c r="F404" s="1643"/>
      <c r="G404" s="1644"/>
      <c r="H404" s="1645"/>
      <c r="I404" s="1646"/>
      <c r="J404" s="1647"/>
      <c r="K404" s="1648"/>
      <c r="L404" s="1643"/>
      <c r="M404" s="1649"/>
      <c r="N404" s="1649"/>
      <c r="O404" s="1650"/>
    </row>
    <row r="405">
      <c r="A405" s="1651"/>
      <c r="B405" s="1651"/>
      <c r="C405" s="1652"/>
      <c r="D405" s="1654"/>
      <c r="E405" s="1653"/>
      <c r="F405" s="1654"/>
      <c r="G405" s="1654"/>
      <c r="H405" s="1654"/>
      <c r="I405" s="1654"/>
      <c r="J405" s="1654"/>
      <c r="K405" s="1654"/>
      <c r="L405" s="1654"/>
      <c r="M405" s="1655"/>
      <c r="N405" s="1655"/>
      <c r="O405" s="1656"/>
    </row>
    <row r="406">
      <c r="A406" s="1639"/>
      <c r="B406" s="1639"/>
      <c r="C406" s="1640"/>
      <c r="D406" s="1646"/>
      <c r="E406" s="1642"/>
      <c r="F406" s="1643"/>
      <c r="G406" s="1644"/>
      <c r="H406" s="1645"/>
      <c r="I406" s="1646"/>
      <c r="J406" s="1647"/>
      <c r="K406" s="1648"/>
      <c r="L406" s="1643"/>
      <c r="M406" s="1649"/>
      <c r="N406" s="1649"/>
      <c r="O406" s="1650"/>
    </row>
    <row r="407">
      <c r="A407" s="1651"/>
      <c r="B407" s="1651"/>
      <c r="C407" s="1652"/>
      <c r="D407" s="1654"/>
      <c r="E407" s="1653"/>
      <c r="F407" s="1654"/>
      <c r="G407" s="1654"/>
      <c r="H407" s="1654"/>
      <c r="I407" s="1654"/>
      <c r="J407" s="1654"/>
      <c r="K407" s="1654"/>
      <c r="L407" s="1654"/>
      <c r="M407" s="1655"/>
      <c r="N407" s="1655"/>
      <c r="O407" s="1656"/>
    </row>
    <row r="408">
      <c r="A408" s="1639"/>
      <c r="B408" s="1639"/>
      <c r="C408" s="1640"/>
      <c r="D408" s="1646"/>
      <c r="E408" s="1642"/>
      <c r="F408" s="1643"/>
      <c r="G408" s="1644"/>
      <c r="H408" s="1645"/>
      <c r="I408" s="1646"/>
      <c r="J408" s="1647"/>
      <c r="K408" s="1648"/>
      <c r="L408" s="1643"/>
      <c r="M408" s="1649"/>
      <c r="N408" s="1649"/>
      <c r="O408" s="1650"/>
    </row>
    <row r="409">
      <c r="A409" s="1651"/>
      <c r="B409" s="1651"/>
      <c r="C409" s="1652"/>
      <c r="D409" s="1654"/>
      <c r="E409" s="1653"/>
      <c r="F409" s="1654"/>
      <c r="G409" s="1654"/>
      <c r="H409" s="1654"/>
      <c r="I409" s="1654"/>
      <c r="J409" s="1654"/>
      <c r="K409" s="1654"/>
      <c r="L409" s="1654"/>
      <c r="M409" s="1655"/>
      <c r="N409" s="1655"/>
      <c r="O409" s="1656"/>
    </row>
    <row r="410">
      <c r="A410" s="1639"/>
      <c r="B410" s="1639"/>
      <c r="C410" s="1640"/>
      <c r="D410" s="1646"/>
      <c r="E410" s="1642"/>
      <c r="F410" s="1643"/>
      <c r="G410" s="1644"/>
      <c r="H410" s="1645"/>
      <c r="I410" s="1646"/>
      <c r="J410" s="1647"/>
      <c r="K410" s="1648"/>
      <c r="L410" s="1643"/>
      <c r="M410" s="1649"/>
      <c r="N410" s="1649"/>
      <c r="O410" s="1650"/>
    </row>
    <row r="411">
      <c r="A411" s="1651"/>
      <c r="B411" s="1651"/>
      <c r="C411" s="1652"/>
      <c r="D411" s="1654"/>
      <c r="E411" s="1653"/>
      <c r="F411" s="1654"/>
      <c r="G411" s="1654"/>
      <c r="H411" s="1654"/>
      <c r="I411" s="1654"/>
      <c r="J411" s="1654"/>
      <c r="K411" s="1654"/>
      <c r="L411" s="1654"/>
      <c r="M411" s="1655"/>
      <c r="N411" s="1655"/>
      <c r="O411" s="1656"/>
    </row>
    <row r="412">
      <c r="A412" s="1639"/>
      <c r="B412" s="1639"/>
      <c r="C412" s="1640"/>
      <c r="D412" s="1646"/>
      <c r="E412" s="1642"/>
      <c r="F412" s="1643"/>
      <c r="G412" s="1644"/>
      <c r="H412" s="1645"/>
      <c r="I412" s="1646"/>
      <c r="J412" s="1647"/>
      <c r="K412" s="1648"/>
      <c r="L412" s="1643"/>
      <c r="M412" s="1649"/>
      <c r="N412" s="1649"/>
      <c r="O412" s="1650"/>
    </row>
    <row r="413">
      <c r="A413" s="1651"/>
      <c r="B413" s="1651"/>
      <c r="C413" s="1652"/>
      <c r="D413" s="1654"/>
      <c r="E413" s="1653"/>
      <c r="F413" s="1654"/>
      <c r="G413" s="1654"/>
      <c r="H413" s="1654"/>
      <c r="I413" s="1654"/>
      <c r="J413" s="1654"/>
      <c r="K413" s="1654"/>
      <c r="L413" s="1654"/>
      <c r="M413" s="1655"/>
      <c r="N413" s="1655"/>
      <c r="O413" s="1656"/>
    </row>
    <row r="414">
      <c r="A414" s="1639"/>
      <c r="B414" s="1639"/>
      <c r="C414" s="1640"/>
      <c r="D414" s="1646"/>
      <c r="E414" s="1642"/>
      <c r="F414" s="1643"/>
      <c r="G414" s="1644"/>
      <c r="H414" s="1645"/>
      <c r="I414" s="1646"/>
      <c r="J414" s="1647"/>
      <c r="K414" s="1648"/>
      <c r="L414" s="1643"/>
      <c r="M414" s="1649"/>
      <c r="N414" s="1649"/>
      <c r="O414" s="1650"/>
    </row>
    <row r="415">
      <c r="A415" s="1651"/>
      <c r="B415" s="1651"/>
      <c r="C415" s="1652"/>
      <c r="D415" s="1654"/>
      <c r="E415" s="1653"/>
      <c r="F415" s="1654"/>
      <c r="G415" s="1654"/>
      <c r="H415" s="1654"/>
      <c r="I415" s="1654"/>
      <c r="J415" s="1654"/>
      <c r="K415" s="1654"/>
      <c r="L415" s="1654"/>
      <c r="M415" s="1655"/>
      <c r="N415" s="1655"/>
      <c r="O415" s="1656"/>
    </row>
    <row r="416">
      <c r="A416" s="1639"/>
      <c r="B416" s="1639"/>
      <c r="C416" s="1640"/>
      <c r="D416" s="1646"/>
      <c r="E416" s="1642"/>
      <c r="F416" s="1643"/>
      <c r="G416" s="1644"/>
      <c r="H416" s="1645"/>
      <c r="I416" s="1646"/>
      <c r="J416" s="1647"/>
      <c r="K416" s="1648"/>
      <c r="L416" s="1643"/>
      <c r="M416" s="1649"/>
      <c r="N416" s="1649"/>
      <c r="O416" s="1650"/>
    </row>
    <row r="417">
      <c r="A417" s="1651"/>
      <c r="B417" s="1651"/>
      <c r="C417" s="1652"/>
      <c r="D417" s="1654"/>
      <c r="E417" s="1653"/>
      <c r="F417" s="1654"/>
      <c r="G417" s="1654"/>
      <c r="H417" s="1654"/>
      <c r="I417" s="1654"/>
      <c r="J417" s="1654"/>
      <c r="K417" s="1654"/>
      <c r="L417" s="1654"/>
      <c r="M417" s="1655"/>
      <c r="N417" s="1655"/>
      <c r="O417" s="1656"/>
    </row>
    <row r="418">
      <c r="A418" s="1639"/>
      <c r="B418" s="1639"/>
      <c r="C418" s="1640"/>
      <c r="D418" s="1646"/>
      <c r="E418" s="1642"/>
      <c r="F418" s="1643"/>
      <c r="G418" s="1644"/>
      <c r="H418" s="1645"/>
      <c r="I418" s="1646"/>
      <c r="J418" s="1647"/>
      <c r="K418" s="1648"/>
      <c r="L418" s="1643"/>
      <c r="M418" s="1649"/>
      <c r="N418" s="1649"/>
      <c r="O418" s="1650"/>
    </row>
    <row r="419">
      <c r="A419" s="1651"/>
      <c r="B419" s="1651"/>
      <c r="C419" s="1652"/>
      <c r="D419" s="1654"/>
      <c r="E419" s="1653"/>
      <c r="F419" s="1654"/>
      <c r="G419" s="1654"/>
      <c r="H419" s="1654"/>
      <c r="I419" s="1654"/>
      <c r="J419" s="1654"/>
      <c r="K419" s="1654"/>
      <c r="L419" s="1654"/>
      <c r="M419" s="1655"/>
      <c r="N419" s="1655"/>
      <c r="O419" s="1656"/>
    </row>
    <row r="420">
      <c r="A420" s="1639"/>
      <c r="B420" s="1639"/>
      <c r="C420" s="1640"/>
      <c r="D420" s="1646"/>
      <c r="E420" s="1642"/>
      <c r="F420" s="1643"/>
      <c r="G420" s="1644"/>
      <c r="H420" s="1645"/>
      <c r="I420" s="1646"/>
      <c r="J420" s="1647"/>
      <c r="K420" s="1648"/>
      <c r="L420" s="1643"/>
      <c r="M420" s="1649"/>
      <c r="N420" s="1649"/>
      <c r="O420" s="1650"/>
    </row>
    <row r="421">
      <c r="A421" s="1651"/>
      <c r="B421" s="1651"/>
      <c r="C421" s="1652"/>
      <c r="D421" s="1654"/>
      <c r="E421" s="1653"/>
      <c r="F421" s="1654"/>
      <c r="G421" s="1654"/>
      <c r="H421" s="1654"/>
      <c r="I421" s="1654"/>
      <c r="J421" s="1654"/>
      <c r="K421" s="1654"/>
      <c r="L421" s="1654"/>
      <c r="M421" s="1655"/>
      <c r="N421" s="1655"/>
      <c r="O421" s="1656"/>
    </row>
    <row r="422">
      <c r="A422" s="1639"/>
      <c r="B422" s="1639"/>
      <c r="C422" s="1640"/>
      <c r="D422" s="1646"/>
      <c r="E422" s="1642"/>
      <c r="F422" s="1643"/>
      <c r="G422" s="1644"/>
      <c r="H422" s="1645"/>
      <c r="I422" s="1646"/>
      <c r="J422" s="1647"/>
      <c r="K422" s="1648"/>
      <c r="L422" s="1643"/>
      <c r="M422" s="1649"/>
      <c r="N422" s="1649"/>
      <c r="O422" s="1650"/>
    </row>
    <row r="423">
      <c r="A423" s="1651"/>
      <c r="B423" s="1651"/>
      <c r="C423" s="1652"/>
      <c r="D423" s="1654"/>
      <c r="E423" s="1653"/>
      <c r="F423" s="1654"/>
      <c r="G423" s="1654"/>
      <c r="H423" s="1654"/>
      <c r="I423" s="1654"/>
      <c r="J423" s="1654"/>
      <c r="K423" s="1654"/>
      <c r="L423" s="1654"/>
      <c r="M423" s="1655"/>
      <c r="N423" s="1655"/>
      <c r="O423" s="1656"/>
    </row>
    <row r="424">
      <c r="A424" s="1639"/>
      <c r="B424" s="1639"/>
      <c r="C424" s="1640"/>
      <c r="D424" s="1646"/>
      <c r="E424" s="1642"/>
      <c r="F424" s="1643"/>
      <c r="G424" s="1644"/>
      <c r="H424" s="1645"/>
      <c r="I424" s="1646"/>
      <c r="J424" s="1647"/>
      <c r="K424" s="1648"/>
      <c r="L424" s="1643"/>
      <c r="M424" s="1649"/>
      <c r="N424" s="1649"/>
      <c r="O424" s="1650"/>
    </row>
    <row r="425">
      <c r="A425" s="1651"/>
      <c r="B425" s="1651"/>
      <c r="C425" s="1652"/>
      <c r="D425" s="1654"/>
      <c r="E425" s="1653"/>
      <c r="F425" s="1654"/>
      <c r="G425" s="1654"/>
      <c r="H425" s="1654"/>
      <c r="I425" s="1654"/>
      <c r="J425" s="1654"/>
      <c r="K425" s="1654"/>
      <c r="L425" s="1654"/>
      <c r="M425" s="1655"/>
      <c r="N425" s="1655"/>
      <c r="O425" s="1656"/>
    </row>
    <row r="426">
      <c r="A426" s="1639"/>
      <c r="B426" s="1639"/>
      <c r="C426" s="1640"/>
      <c r="D426" s="1646"/>
      <c r="E426" s="1642"/>
      <c r="F426" s="1643"/>
      <c r="G426" s="1644"/>
      <c r="H426" s="1645"/>
      <c r="I426" s="1646"/>
      <c r="J426" s="1647"/>
      <c r="K426" s="1648"/>
      <c r="L426" s="1643"/>
      <c r="M426" s="1649"/>
      <c r="N426" s="1649"/>
      <c r="O426" s="1650"/>
    </row>
    <row r="427">
      <c r="A427" s="1651"/>
      <c r="B427" s="1651"/>
      <c r="C427" s="1652"/>
      <c r="D427" s="1654"/>
      <c r="E427" s="1653"/>
      <c r="F427" s="1654"/>
      <c r="G427" s="1654"/>
      <c r="H427" s="1654"/>
      <c r="I427" s="1654"/>
      <c r="J427" s="1654"/>
      <c r="K427" s="1654"/>
      <c r="L427" s="1654"/>
      <c r="M427" s="1655"/>
      <c r="N427" s="1655"/>
      <c r="O427" s="1656"/>
    </row>
    <row r="428">
      <c r="A428" s="1639"/>
      <c r="B428" s="1639"/>
      <c r="C428" s="1640"/>
      <c r="D428" s="1646"/>
      <c r="E428" s="1642"/>
      <c r="F428" s="1643"/>
      <c r="G428" s="1644"/>
      <c r="H428" s="1645"/>
      <c r="I428" s="1646"/>
      <c r="J428" s="1647"/>
      <c r="K428" s="1648"/>
      <c r="L428" s="1643"/>
      <c r="M428" s="1649"/>
      <c r="N428" s="1649"/>
      <c r="O428" s="1650"/>
    </row>
    <row r="429">
      <c r="A429" s="1651"/>
      <c r="B429" s="1651"/>
      <c r="C429" s="1652"/>
      <c r="D429" s="1654"/>
      <c r="E429" s="1653"/>
      <c r="F429" s="1654"/>
      <c r="G429" s="1654"/>
      <c r="H429" s="1654"/>
      <c r="I429" s="1654"/>
      <c r="J429" s="1654"/>
      <c r="K429" s="1654"/>
      <c r="L429" s="1654"/>
      <c r="M429" s="1655"/>
      <c r="N429" s="1655"/>
      <c r="O429" s="1656"/>
    </row>
    <row r="430">
      <c r="A430" s="1639"/>
      <c r="B430" s="1639"/>
      <c r="C430" s="1640"/>
      <c r="D430" s="1646"/>
      <c r="E430" s="1642"/>
      <c r="F430" s="1643"/>
      <c r="G430" s="1644"/>
      <c r="H430" s="1645"/>
      <c r="I430" s="1646"/>
      <c r="J430" s="1647"/>
      <c r="K430" s="1648"/>
      <c r="L430" s="1643"/>
      <c r="M430" s="1649"/>
      <c r="N430" s="1649"/>
      <c r="O430" s="1650"/>
    </row>
    <row r="431">
      <c r="A431" s="1651"/>
      <c r="B431" s="1651"/>
      <c r="C431" s="1652"/>
      <c r="D431" s="1654"/>
      <c r="E431" s="1653"/>
      <c r="F431" s="1654"/>
      <c r="G431" s="1654"/>
      <c r="H431" s="1654"/>
      <c r="I431" s="1654"/>
      <c r="J431" s="1654"/>
      <c r="K431" s="1654"/>
      <c r="L431" s="1654"/>
      <c r="M431" s="1655"/>
      <c r="N431" s="1655"/>
      <c r="O431" s="1656"/>
    </row>
    <row r="432">
      <c r="A432" s="1639"/>
      <c r="B432" s="1639"/>
      <c r="C432" s="1640"/>
      <c r="D432" s="1646"/>
      <c r="E432" s="1642"/>
      <c r="F432" s="1643"/>
      <c r="G432" s="1644"/>
      <c r="H432" s="1645"/>
      <c r="I432" s="1646"/>
      <c r="J432" s="1647"/>
      <c r="K432" s="1648"/>
      <c r="L432" s="1643"/>
      <c r="M432" s="1649"/>
      <c r="N432" s="1649"/>
      <c r="O432" s="1650"/>
    </row>
    <row r="433">
      <c r="A433" s="1651"/>
      <c r="B433" s="1651"/>
      <c r="C433" s="1652"/>
      <c r="D433" s="1654"/>
      <c r="E433" s="1653"/>
      <c r="F433" s="1654"/>
      <c r="G433" s="1654"/>
      <c r="H433" s="1654"/>
      <c r="I433" s="1654"/>
      <c r="J433" s="1654"/>
      <c r="K433" s="1654"/>
      <c r="L433" s="1654"/>
      <c r="M433" s="1655"/>
      <c r="N433" s="1655"/>
      <c r="O433" s="1656"/>
    </row>
    <row r="434">
      <c r="A434" s="1639"/>
      <c r="B434" s="1639"/>
      <c r="C434" s="1640"/>
      <c r="D434" s="1646"/>
      <c r="E434" s="1642"/>
      <c r="F434" s="1643"/>
      <c r="G434" s="1644"/>
      <c r="H434" s="1645"/>
      <c r="I434" s="1646"/>
      <c r="J434" s="1647"/>
      <c r="K434" s="1648"/>
      <c r="L434" s="1643"/>
      <c r="M434" s="1649"/>
      <c r="N434" s="1649"/>
      <c r="O434" s="1650"/>
    </row>
    <row r="435">
      <c r="A435" s="1651"/>
      <c r="B435" s="1651"/>
      <c r="C435" s="1652"/>
      <c r="D435" s="1654"/>
      <c r="E435" s="1653"/>
      <c r="F435" s="1654"/>
      <c r="G435" s="1654"/>
      <c r="H435" s="1654"/>
      <c r="I435" s="1654"/>
      <c r="J435" s="1654"/>
      <c r="K435" s="1654"/>
      <c r="L435" s="1654"/>
      <c r="M435" s="1655"/>
      <c r="N435" s="1655"/>
      <c r="O435" s="1656"/>
    </row>
    <row r="436">
      <c r="A436" s="1639"/>
      <c r="B436" s="1639"/>
      <c r="C436" s="1640"/>
      <c r="D436" s="1646"/>
      <c r="E436" s="1642"/>
      <c r="F436" s="1643"/>
      <c r="G436" s="1644"/>
      <c r="H436" s="1645"/>
      <c r="I436" s="1646"/>
      <c r="J436" s="1647"/>
      <c r="K436" s="1648"/>
      <c r="L436" s="1643"/>
      <c r="M436" s="1649"/>
      <c r="N436" s="1649"/>
      <c r="O436" s="1650"/>
    </row>
    <row r="437">
      <c r="A437" s="1651"/>
      <c r="B437" s="1651"/>
      <c r="C437" s="1652"/>
      <c r="D437" s="1654"/>
      <c r="E437" s="1653"/>
      <c r="F437" s="1654"/>
      <c r="G437" s="1654"/>
      <c r="H437" s="1654"/>
      <c r="I437" s="1654"/>
      <c r="J437" s="1654"/>
      <c r="K437" s="1654"/>
      <c r="L437" s="1654"/>
      <c r="M437" s="1655"/>
      <c r="N437" s="1655"/>
      <c r="O437" s="1656"/>
    </row>
    <row r="438">
      <c r="A438" s="1639"/>
      <c r="B438" s="1639"/>
      <c r="C438" s="1640"/>
      <c r="D438" s="1646"/>
      <c r="E438" s="1642"/>
      <c r="F438" s="1643"/>
      <c r="G438" s="1644"/>
      <c r="H438" s="1645"/>
      <c r="I438" s="1646"/>
      <c r="J438" s="1647"/>
      <c r="K438" s="1648"/>
      <c r="L438" s="1643"/>
      <c r="M438" s="1649"/>
      <c r="N438" s="1649"/>
      <c r="O438" s="1650"/>
    </row>
    <row r="439">
      <c r="A439" s="1651"/>
      <c r="B439" s="1651"/>
      <c r="C439" s="1652"/>
      <c r="D439" s="1654"/>
      <c r="E439" s="1653"/>
      <c r="F439" s="1654"/>
      <c r="G439" s="1654"/>
      <c r="H439" s="1654"/>
      <c r="I439" s="1654"/>
      <c r="J439" s="1654"/>
      <c r="K439" s="1654"/>
      <c r="L439" s="1654"/>
      <c r="M439" s="1655"/>
      <c r="N439" s="1655"/>
      <c r="O439" s="1656"/>
    </row>
    <row r="440">
      <c r="A440" s="1639"/>
      <c r="B440" s="1639"/>
      <c r="C440" s="1640"/>
      <c r="D440" s="1646"/>
      <c r="E440" s="1642"/>
      <c r="F440" s="1643"/>
      <c r="G440" s="1644"/>
      <c r="H440" s="1645"/>
      <c r="I440" s="1646"/>
      <c r="J440" s="1647"/>
      <c r="K440" s="1648"/>
      <c r="L440" s="1643"/>
      <c r="M440" s="1649"/>
      <c r="N440" s="1649"/>
      <c r="O440" s="1650"/>
    </row>
    <row r="441">
      <c r="A441" s="1651"/>
      <c r="B441" s="1651"/>
      <c r="C441" s="1652"/>
      <c r="D441" s="1654"/>
      <c r="E441" s="1653"/>
      <c r="F441" s="1654"/>
      <c r="G441" s="1654"/>
      <c r="H441" s="1654"/>
      <c r="I441" s="1654"/>
      <c r="J441" s="1654"/>
      <c r="K441" s="1654"/>
      <c r="L441" s="1654"/>
      <c r="M441" s="1655"/>
      <c r="N441" s="1655"/>
      <c r="O441" s="1656"/>
    </row>
    <row r="442">
      <c r="A442" s="1639"/>
      <c r="B442" s="1639"/>
      <c r="C442" s="1640"/>
      <c r="D442" s="1646"/>
      <c r="E442" s="1642"/>
      <c r="F442" s="1643"/>
      <c r="G442" s="1644"/>
      <c r="H442" s="1645"/>
      <c r="I442" s="1646"/>
      <c r="J442" s="1647"/>
      <c r="K442" s="1648"/>
      <c r="L442" s="1643"/>
      <c r="M442" s="1649"/>
      <c r="N442" s="1649"/>
      <c r="O442" s="1650"/>
    </row>
    <row r="443">
      <c r="A443" s="1651"/>
      <c r="B443" s="1651"/>
      <c r="C443" s="1652"/>
      <c r="D443" s="1654"/>
      <c r="E443" s="1653"/>
      <c r="F443" s="1654"/>
      <c r="G443" s="1654"/>
      <c r="H443" s="1654"/>
      <c r="I443" s="1654"/>
      <c r="J443" s="1654"/>
      <c r="K443" s="1654"/>
      <c r="L443" s="1654"/>
      <c r="M443" s="1655"/>
      <c r="N443" s="1655"/>
      <c r="O443" s="1656"/>
    </row>
    <row r="444">
      <c r="A444" s="1639"/>
      <c r="B444" s="1639"/>
      <c r="C444" s="1640"/>
      <c r="D444" s="1646"/>
      <c r="E444" s="1642"/>
      <c r="F444" s="1643"/>
      <c r="G444" s="1644"/>
      <c r="H444" s="1645"/>
      <c r="I444" s="1646"/>
      <c r="J444" s="1647"/>
      <c r="K444" s="1648"/>
      <c r="L444" s="1643"/>
      <c r="M444" s="1649"/>
      <c r="N444" s="1649"/>
      <c r="O444" s="1650"/>
    </row>
    <row r="445">
      <c r="A445" s="1651"/>
      <c r="B445" s="1651"/>
      <c r="C445" s="1652"/>
      <c r="D445" s="1654"/>
      <c r="E445" s="1653"/>
      <c r="F445" s="1654"/>
      <c r="G445" s="1654"/>
      <c r="H445" s="1654"/>
      <c r="I445" s="1654"/>
      <c r="J445" s="1654"/>
      <c r="K445" s="1654"/>
      <c r="L445" s="1654"/>
      <c r="M445" s="1655"/>
      <c r="N445" s="1655"/>
      <c r="O445" s="1656"/>
    </row>
    <row r="446">
      <c r="A446" s="1639"/>
      <c r="B446" s="1639"/>
      <c r="C446" s="1640"/>
      <c r="D446" s="1646"/>
      <c r="E446" s="1642"/>
      <c r="F446" s="1643"/>
      <c r="G446" s="1644"/>
      <c r="H446" s="1645"/>
      <c r="I446" s="1646"/>
      <c r="J446" s="1647"/>
      <c r="K446" s="1648"/>
      <c r="L446" s="1643"/>
      <c r="M446" s="1649"/>
      <c r="N446" s="1649"/>
      <c r="O446" s="1650"/>
    </row>
    <row r="447">
      <c r="A447" s="1651"/>
      <c r="B447" s="1651"/>
      <c r="C447" s="1652"/>
      <c r="D447" s="1654"/>
      <c r="E447" s="1653"/>
      <c r="F447" s="1654"/>
      <c r="G447" s="1654"/>
      <c r="H447" s="1654"/>
      <c r="I447" s="1654"/>
      <c r="J447" s="1654"/>
      <c r="K447" s="1654"/>
      <c r="L447" s="1654"/>
      <c r="M447" s="1655"/>
      <c r="N447" s="1655"/>
      <c r="O447" s="1656"/>
    </row>
    <row r="448">
      <c r="A448" s="1639"/>
      <c r="B448" s="1639"/>
      <c r="C448" s="1640"/>
      <c r="D448" s="1646"/>
      <c r="E448" s="1642"/>
      <c r="F448" s="1643"/>
      <c r="G448" s="1644"/>
      <c r="H448" s="1645"/>
      <c r="I448" s="1646"/>
      <c r="J448" s="1647"/>
      <c r="K448" s="1648"/>
      <c r="L448" s="1643"/>
      <c r="M448" s="1649"/>
      <c r="N448" s="1649"/>
      <c r="O448" s="1650"/>
    </row>
    <row r="449">
      <c r="A449" s="1651"/>
      <c r="B449" s="1651"/>
      <c r="C449" s="1652"/>
      <c r="D449" s="1654"/>
      <c r="E449" s="1653"/>
      <c r="F449" s="1654"/>
      <c r="G449" s="1654"/>
      <c r="H449" s="1654"/>
      <c r="I449" s="1654"/>
      <c r="J449" s="1654"/>
      <c r="K449" s="1654"/>
      <c r="L449" s="1654"/>
      <c r="M449" s="1655"/>
      <c r="N449" s="1655"/>
      <c r="O449" s="1656"/>
    </row>
    <row r="450">
      <c r="A450" s="1639"/>
      <c r="B450" s="1639"/>
      <c r="C450" s="1640"/>
      <c r="D450" s="1646"/>
      <c r="E450" s="1642"/>
      <c r="F450" s="1643"/>
      <c r="G450" s="1644"/>
      <c r="H450" s="1645"/>
      <c r="I450" s="1646"/>
      <c r="J450" s="1647"/>
      <c r="K450" s="1648"/>
      <c r="L450" s="1643"/>
      <c r="M450" s="1649"/>
      <c r="N450" s="1649"/>
      <c r="O450" s="1650"/>
    </row>
    <row r="451">
      <c r="A451" s="1651"/>
      <c r="B451" s="1651"/>
      <c r="C451" s="1652"/>
      <c r="D451" s="1654"/>
      <c r="E451" s="1653"/>
      <c r="F451" s="1654"/>
      <c r="G451" s="1654"/>
      <c r="H451" s="1654"/>
      <c r="I451" s="1654"/>
      <c r="J451" s="1654"/>
      <c r="K451" s="1654"/>
      <c r="L451" s="1654"/>
      <c r="M451" s="1655"/>
      <c r="N451" s="1655"/>
      <c r="O451" s="1656"/>
    </row>
    <row r="452">
      <c r="A452" s="1639"/>
      <c r="B452" s="1639"/>
      <c r="C452" s="1640"/>
      <c r="D452" s="1646"/>
      <c r="E452" s="1642"/>
      <c r="F452" s="1643"/>
      <c r="G452" s="1644"/>
      <c r="H452" s="1645"/>
      <c r="I452" s="1646"/>
      <c r="J452" s="1647"/>
      <c r="K452" s="1648"/>
      <c r="L452" s="1643"/>
      <c r="M452" s="1649"/>
      <c r="N452" s="1649"/>
      <c r="O452" s="1650"/>
    </row>
    <row r="453">
      <c r="A453" s="1651"/>
      <c r="B453" s="1651"/>
      <c r="C453" s="1652"/>
      <c r="D453" s="1654"/>
      <c r="E453" s="1653"/>
      <c r="F453" s="1654"/>
      <c r="G453" s="1654"/>
      <c r="H453" s="1654"/>
      <c r="I453" s="1654"/>
      <c r="J453" s="1654"/>
      <c r="K453" s="1654"/>
      <c r="L453" s="1654"/>
      <c r="M453" s="1655"/>
      <c r="N453" s="1655"/>
      <c r="O453" s="1656"/>
    </row>
    <row r="454">
      <c r="A454" s="1639"/>
      <c r="B454" s="1639"/>
      <c r="C454" s="1640"/>
      <c r="D454" s="1646"/>
      <c r="E454" s="1642"/>
      <c r="F454" s="1643"/>
      <c r="G454" s="1644"/>
      <c r="H454" s="1645"/>
      <c r="I454" s="1646"/>
      <c r="J454" s="1647"/>
      <c r="K454" s="1648"/>
      <c r="L454" s="1643"/>
      <c r="M454" s="1649"/>
      <c r="N454" s="1649"/>
      <c r="O454" s="1650"/>
    </row>
    <row r="455">
      <c r="A455" s="1651"/>
      <c r="B455" s="1651"/>
      <c r="C455" s="1652"/>
      <c r="D455" s="1654"/>
      <c r="E455" s="1653"/>
      <c r="F455" s="1654"/>
      <c r="G455" s="1654"/>
      <c r="H455" s="1654"/>
      <c r="I455" s="1654"/>
      <c r="J455" s="1654"/>
      <c r="K455" s="1654"/>
      <c r="L455" s="1654"/>
      <c r="M455" s="1655"/>
      <c r="N455" s="1655"/>
      <c r="O455" s="1656"/>
    </row>
    <row r="456">
      <c r="A456" s="1639"/>
      <c r="B456" s="1639"/>
      <c r="C456" s="1640"/>
      <c r="D456" s="1646"/>
      <c r="E456" s="1642"/>
      <c r="F456" s="1643"/>
      <c r="G456" s="1644"/>
      <c r="H456" s="1645"/>
      <c r="I456" s="1646"/>
      <c r="J456" s="1647"/>
      <c r="K456" s="1648"/>
      <c r="L456" s="1643"/>
      <c r="M456" s="1649"/>
      <c r="N456" s="1649"/>
      <c r="O456" s="1650"/>
    </row>
    <row r="457">
      <c r="A457" s="1651"/>
      <c r="B457" s="1651"/>
      <c r="C457" s="1652"/>
      <c r="D457" s="1654"/>
      <c r="E457" s="1653"/>
      <c r="F457" s="1654"/>
      <c r="G457" s="1654"/>
      <c r="H457" s="1654"/>
      <c r="I457" s="1654"/>
      <c r="J457" s="1654"/>
      <c r="K457" s="1654"/>
      <c r="L457" s="1654"/>
      <c r="M457" s="1655"/>
      <c r="N457" s="1655"/>
      <c r="O457" s="1656"/>
    </row>
    <row r="458">
      <c r="A458" s="1639"/>
      <c r="B458" s="1639"/>
      <c r="C458" s="1640"/>
      <c r="D458" s="1646"/>
      <c r="E458" s="1642"/>
      <c r="F458" s="1643"/>
      <c r="G458" s="1644"/>
      <c r="H458" s="1645"/>
      <c r="I458" s="1646"/>
      <c r="J458" s="1647"/>
      <c r="K458" s="1648"/>
      <c r="L458" s="1643"/>
      <c r="M458" s="1649"/>
      <c r="N458" s="1649"/>
      <c r="O458" s="1650"/>
    </row>
    <row r="459">
      <c r="A459" s="1651"/>
      <c r="B459" s="1651"/>
      <c r="C459" s="1652"/>
      <c r="D459" s="1654"/>
      <c r="E459" s="1653"/>
      <c r="F459" s="1654"/>
      <c r="G459" s="1654"/>
      <c r="H459" s="1654"/>
      <c r="I459" s="1654"/>
      <c r="J459" s="1654"/>
      <c r="K459" s="1654"/>
      <c r="L459" s="1654"/>
      <c r="M459" s="1655"/>
      <c r="N459" s="1655"/>
      <c r="O459" s="1656"/>
    </row>
    <row r="460">
      <c r="A460" s="1639"/>
      <c r="B460" s="1639"/>
      <c r="C460" s="1640"/>
      <c r="D460" s="1646"/>
      <c r="E460" s="1642"/>
      <c r="F460" s="1643"/>
      <c r="G460" s="1644"/>
      <c r="H460" s="1645"/>
      <c r="I460" s="1646"/>
      <c r="J460" s="1647"/>
      <c r="K460" s="1648"/>
      <c r="L460" s="1643"/>
      <c r="M460" s="1649"/>
      <c r="N460" s="1649"/>
      <c r="O460" s="1650"/>
    </row>
    <row r="461">
      <c r="A461" s="1651"/>
      <c r="B461" s="1651"/>
      <c r="C461" s="1652"/>
      <c r="D461" s="1654"/>
      <c r="E461" s="1653"/>
      <c r="F461" s="1654"/>
      <c r="G461" s="1654"/>
      <c r="H461" s="1654"/>
      <c r="I461" s="1654"/>
      <c r="J461" s="1654"/>
      <c r="K461" s="1654"/>
      <c r="L461" s="1654"/>
      <c r="M461" s="1655"/>
      <c r="N461" s="1655"/>
      <c r="O461" s="1656"/>
    </row>
    <row r="462">
      <c r="A462" s="1639"/>
      <c r="B462" s="1639"/>
      <c r="C462" s="1640"/>
      <c r="D462" s="1646"/>
      <c r="E462" s="1642"/>
      <c r="F462" s="1643"/>
      <c r="G462" s="1644"/>
      <c r="H462" s="1645"/>
      <c r="I462" s="1646"/>
      <c r="J462" s="1647"/>
      <c r="K462" s="1648"/>
      <c r="L462" s="1643"/>
      <c r="M462" s="1649"/>
      <c r="N462" s="1649"/>
      <c r="O462" s="1650"/>
    </row>
    <row r="463">
      <c r="A463" s="1651"/>
      <c r="B463" s="1651"/>
      <c r="C463" s="1652"/>
      <c r="D463" s="1654"/>
      <c r="E463" s="1653"/>
      <c r="F463" s="1654"/>
      <c r="G463" s="1654"/>
      <c r="H463" s="1654"/>
      <c r="I463" s="1654"/>
      <c r="J463" s="1654"/>
      <c r="K463" s="1654"/>
      <c r="L463" s="1654"/>
      <c r="M463" s="1655"/>
      <c r="N463" s="1655"/>
      <c r="O463" s="1656"/>
    </row>
    <row r="464">
      <c r="A464" s="1639"/>
      <c r="B464" s="1639"/>
      <c r="C464" s="1640"/>
      <c r="D464" s="1646"/>
      <c r="E464" s="1642"/>
      <c r="F464" s="1643"/>
      <c r="G464" s="1644"/>
      <c r="H464" s="1645"/>
      <c r="I464" s="1646"/>
      <c r="J464" s="1647"/>
      <c r="K464" s="1648"/>
      <c r="L464" s="1643"/>
      <c r="M464" s="1649"/>
      <c r="N464" s="1649"/>
      <c r="O464" s="1650"/>
    </row>
    <row r="465">
      <c r="A465" s="1651"/>
      <c r="B465" s="1651"/>
      <c r="C465" s="1652"/>
      <c r="D465" s="1654"/>
      <c r="E465" s="1653"/>
      <c r="F465" s="1654"/>
      <c r="G465" s="1654"/>
      <c r="H465" s="1654"/>
      <c r="I465" s="1654"/>
      <c r="J465" s="1654"/>
      <c r="K465" s="1654"/>
      <c r="L465" s="1654"/>
      <c r="M465" s="1655"/>
      <c r="N465" s="1655"/>
      <c r="O465" s="1656"/>
    </row>
    <row r="466">
      <c r="A466" s="1639"/>
      <c r="B466" s="1639"/>
      <c r="C466" s="1640"/>
      <c r="D466" s="1646"/>
      <c r="E466" s="1642"/>
      <c r="F466" s="1643"/>
      <c r="G466" s="1644"/>
      <c r="H466" s="1645"/>
      <c r="I466" s="1646"/>
      <c r="J466" s="1647"/>
      <c r="K466" s="1648"/>
      <c r="L466" s="1643"/>
      <c r="M466" s="1649"/>
      <c r="N466" s="1649"/>
      <c r="O466" s="1650"/>
    </row>
    <row r="467">
      <c r="A467" s="1651"/>
      <c r="B467" s="1651"/>
      <c r="C467" s="1652"/>
      <c r="D467" s="1654"/>
      <c r="E467" s="1653"/>
      <c r="F467" s="1654"/>
      <c r="G467" s="1654"/>
      <c r="H467" s="1654"/>
      <c r="I467" s="1654"/>
      <c r="J467" s="1654"/>
      <c r="K467" s="1654"/>
      <c r="L467" s="1654"/>
      <c r="M467" s="1655"/>
      <c r="N467" s="1655"/>
      <c r="O467" s="1656"/>
    </row>
    <row r="468">
      <c r="A468" s="1639"/>
      <c r="B468" s="1639"/>
      <c r="C468" s="1640"/>
      <c r="D468" s="1646"/>
      <c r="E468" s="1642"/>
      <c r="F468" s="1643"/>
      <c r="G468" s="1644"/>
      <c r="H468" s="1645"/>
      <c r="I468" s="1646"/>
      <c r="J468" s="1647"/>
      <c r="K468" s="1648"/>
      <c r="L468" s="1643"/>
      <c r="M468" s="1649"/>
      <c r="N468" s="1649"/>
      <c r="O468" s="1650"/>
    </row>
    <row r="469">
      <c r="A469" s="1651"/>
      <c r="B469" s="1651"/>
      <c r="C469" s="1652"/>
      <c r="D469" s="1654"/>
      <c r="E469" s="1653"/>
      <c r="F469" s="1654"/>
      <c r="G469" s="1654"/>
      <c r="H469" s="1654"/>
      <c r="I469" s="1654"/>
      <c r="J469" s="1654"/>
      <c r="K469" s="1654"/>
      <c r="L469" s="1654"/>
      <c r="M469" s="1655"/>
      <c r="N469" s="1655"/>
      <c r="O469" s="1656"/>
    </row>
    <row r="470">
      <c r="A470" s="1639"/>
      <c r="B470" s="1639"/>
      <c r="C470" s="1640"/>
      <c r="D470" s="1646"/>
      <c r="E470" s="1642"/>
      <c r="F470" s="1643"/>
      <c r="G470" s="1644"/>
      <c r="H470" s="1645"/>
      <c r="I470" s="1646"/>
      <c r="J470" s="1647"/>
      <c r="K470" s="1648"/>
      <c r="L470" s="1643"/>
      <c r="M470" s="1649"/>
      <c r="N470" s="1649"/>
      <c r="O470" s="1650"/>
    </row>
    <row r="471">
      <c r="A471" s="1651"/>
      <c r="B471" s="1651"/>
      <c r="C471" s="1652"/>
      <c r="D471" s="1654"/>
      <c r="E471" s="1653"/>
      <c r="F471" s="1654"/>
      <c r="G471" s="1654"/>
      <c r="H471" s="1654"/>
      <c r="I471" s="1654"/>
      <c r="J471" s="1654"/>
      <c r="K471" s="1654"/>
      <c r="L471" s="1654"/>
      <c r="M471" s="1655"/>
      <c r="N471" s="1655"/>
      <c r="O471" s="1656"/>
    </row>
    <row r="472">
      <c r="A472" s="1639"/>
      <c r="B472" s="1639"/>
      <c r="C472" s="1640"/>
      <c r="D472" s="1646"/>
      <c r="E472" s="1642"/>
      <c r="F472" s="1643"/>
      <c r="G472" s="1644"/>
      <c r="H472" s="1645"/>
      <c r="I472" s="1646"/>
      <c r="J472" s="1647"/>
      <c r="K472" s="1648"/>
      <c r="L472" s="1643"/>
      <c r="M472" s="1649"/>
      <c r="N472" s="1649"/>
      <c r="O472" s="1650"/>
    </row>
    <row r="473">
      <c r="A473" s="1651"/>
      <c r="B473" s="1651"/>
      <c r="C473" s="1652"/>
      <c r="D473" s="1654"/>
      <c r="E473" s="1653"/>
      <c r="F473" s="1654"/>
      <c r="G473" s="1654"/>
      <c r="H473" s="1654"/>
      <c r="I473" s="1654"/>
      <c r="J473" s="1654"/>
      <c r="K473" s="1654"/>
      <c r="L473" s="1654"/>
      <c r="M473" s="1655"/>
      <c r="N473" s="1655"/>
      <c r="O473" s="1656"/>
    </row>
    <row r="474">
      <c r="A474" s="1639"/>
      <c r="B474" s="1639"/>
      <c r="C474" s="1640"/>
      <c r="D474" s="1646"/>
      <c r="E474" s="1642"/>
      <c r="F474" s="1643"/>
      <c r="G474" s="1644"/>
      <c r="H474" s="1645"/>
      <c r="I474" s="1646"/>
      <c r="J474" s="1647"/>
      <c r="K474" s="1648"/>
      <c r="L474" s="1643"/>
      <c r="M474" s="1649"/>
      <c r="N474" s="1649"/>
      <c r="O474" s="1650"/>
    </row>
    <row r="475">
      <c r="A475" s="1651"/>
      <c r="B475" s="1651"/>
      <c r="C475" s="1652"/>
      <c r="D475" s="1654"/>
      <c r="E475" s="1653"/>
      <c r="F475" s="1654"/>
      <c r="G475" s="1654"/>
      <c r="H475" s="1654"/>
      <c r="I475" s="1654"/>
      <c r="J475" s="1654"/>
      <c r="K475" s="1654"/>
      <c r="L475" s="1654"/>
      <c r="M475" s="1655"/>
      <c r="N475" s="1655"/>
      <c r="O475" s="1656"/>
    </row>
    <row r="476">
      <c r="A476" s="1639"/>
      <c r="B476" s="1639"/>
      <c r="C476" s="1640"/>
      <c r="D476" s="1646"/>
      <c r="E476" s="1642"/>
      <c r="F476" s="1643"/>
      <c r="G476" s="1644"/>
      <c r="H476" s="1645"/>
      <c r="I476" s="1646"/>
      <c r="J476" s="1647"/>
      <c r="K476" s="1648"/>
      <c r="L476" s="1643"/>
      <c r="M476" s="1649"/>
      <c r="N476" s="1649"/>
      <c r="O476" s="1650"/>
    </row>
    <row r="477">
      <c r="A477" s="1651"/>
      <c r="B477" s="1651"/>
      <c r="C477" s="1652"/>
      <c r="D477" s="1654"/>
      <c r="E477" s="1653"/>
      <c r="F477" s="1654"/>
      <c r="G477" s="1654"/>
      <c r="H477" s="1654"/>
      <c r="I477" s="1654"/>
      <c r="J477" s="1654"/>
      <c r="K477" s="1654"/>
      <c r="L477" s="1654"/>
      <c r="M477" s="1655"/>
      <c r="N477" s="1655"/>
      <c r="O477" s="1656"/>
    </row>
    <row r="478">
      <c r="A478" s="1639"/>
      <c r="B478" s="1639"/>
      <c r="C478" s="1640"/>
      <c r="D478" s="1646"/>
      <c r="E478" s="1642"/>
      <c r="F478" s="1643"/>
      <c r="G478" s="1644"/>
      <c r="H478" s="1645"/>
      <c r="I478" s="1646"/>
      <c r="J478" s="1647"/>
      <c r="K478" s="1648"/>
      <c r="L478" s="1643"/>
      <c r="M478" s="1649"/>
      <c r="N478" s="1649"/>
      <c r="O478" s="1650"/>
    </row>
    <row r="479">
      <c r="A479" s="1651"/>
      <c r="B479" s="1651"/>
      <c r="C479" s="1652"/>
      <c r="D479" s="1654"/>
      <c r="E479" s="1653"/>
      <c r="F479" s="1654"/>
      <c r="G479" s="1654"/>
      <c r="H479" s="1654"/>
      <c r="I479" s="1654"/>
      <c r="J479" s="1654"/>
      <c r="K479" s="1654"/>
      <c r="L479" s="1654"/>
      <c r="M479" s="1655"/>
      <c r="N479" s="1655"/>
      <c r="O479" s="1656"/>
    </row>
    <row r="480">
      <c r="A480" s="1639"/>
      <c r="B480" s="1639"/>
      <c r="C480" s="1640"/>
      <c r="D480" s="1646"/>
      <c r="E480" s="1642"/>
      <c r="F480" s="1643"/>
      <c r="G480" s="1644"/>
      <c r="H480" s="1645"/>
      <c r="I480" s="1646"/>
      <c r="J480" s="1647"/>
      <c r="K480" s="1648"/>
      <c r="L480" s="1643"/>
      <c r="M480" s="1649"/>
      <c r="N480" s="1649"/>
      <c r="O480" s="1650"/>
    </row>
    <row r="481">
      <c r="A481" s="1651"/>
      <c r="B481" s="1651"/>
      <c r="C481" s="1652"/>
      <c r="D481" s="1654"/>
      <c r="E481" s="1653"/>
      <c r="F481" s="1654"/>
      <c r="G481" s="1654"/>
      <c r="H481" s="1654"/>
      <c r="I481" s="1654"/>
      <c r="J481" s="1654"/>
      <c r="K481" s="1654"/>
      <c r="L481" s="1654"/>
      <c r="M481" s="1655"/>
      <c r="N481" s="1655"/>
      <c r="O481" s="1656"/>
    </row>
    <row r="482">
      <c r="A482" s="1639"/>
      <c r="B482" s="1639"/>
      <c r="C482" s="1640"/>
      <c r="D482" s="1646"/>
      <c r="E482" s="1642"/>
      <c r="F482" s="1643"/>
      <c r="G482" s="1644"/>
      <c r="H482" s="1645"/>
      <c r="I482" s="1646"/>
      <c r="J482" s="1647"/>
      <c r="K482" s="1648"/>
      <c r="L482" s="1643"/>
      <c r="M482" s="1649"/>
      <c r="N482" s="1649"/>
      <c r="O482" s="1650"/>
    </row>
    <row r="483">
      <c r="A483" s="1651"/>
      <c r="B483" s="1651"/>
      <c r="C483" s="1652"/>
      <c r="D483" s="1654"/>
      <c r="E483" s="1653"/>
      <c r="F483" s="1654"/>
      <c r="G483" s="1654"/>
      <c r="H483" s="1654"/>
      <c r="I483" s="1654"/>
      <c r="J483" s="1654"/>
      <c r="K483" s="1654"/>
      <c r="L483" s="1654"/>
      <c r="M483" s="1655"/>
      <c r="N483" s="1655"/>
      <c r="O483" s="1656"/>
    </row>
    <row r="484">
      <c r="A484" s="1639"/>
      <c r="B484" s="1639"/>
      <c r="C484" s="1640"/>
      <c r="D484" s="1646"/>
      <c r="E484" s="1642"/>
      <c r="F484" s="1643"/>
      <c r="G484" s="1644"/>
      <c r="H484" s="1645"/>
      <c r="I484" s="1646"/>
      <c r="J484" s="1647"/>
      <c r="K484" s="1648"/>
      <c r="L484" s="1643"/>
      <c r="M484" s="1649"/>
      <c r="N484" s="1649"/>
      <c r="O484" s="1650"/>
    </row>
    <row r="485">
      <c r="A485" s="1651"/>
      <c r="B485" s="1651"/>
      <c r="C485" s="1652"/>
      <c r="D485" s="1654"/>
      <c r="E485" s="1653"/>
      <c r="F485" s="1654"/>
      <c r="G485" s="1654"/>
      <c r="H485" s="1654"/>
      <c r="I485" s="1654"/>
      <c r="J485" s="1654"/>
      <c r="K485" s="1654"/>
      <c r="L485" s="1654"/>
      <c r="M485" s="1655"/>
      <c r="N485" s="1655"/>
      <c r="O485" s="1656"/>
    </row>
    <row r="486">
      <c r="A486" s="1639"/>
      <c r="B486" s="1639"/>
      <c r="C486" s="1640"/>
      <c r="D486" s="1646"/>
      <c r="E486" s="1642"/>
      <c r="F486" s="1643"/>
      <c r="G486" s="1644"/>
      <c r="H486" s="1645"/>
      <c r="I486" s="1646"/>
      <c r="J486" s="1647"/>
      <c r="K486" s="1648"/>
      <c r="L486" s="1643"/>
      <c r="M486" s="1649"/>
      <c r="N486" s="1649"/>
      <c r="O486" s="1650"/>
    </row>
    <row r="487">
      <c r="A487" s="1651"/>
      <c r="B487" s="1651"/>
      <c r="C487" s="1652"/>
      <c r="D487" s="1654"/>
      <c r="E487" s="1653"/>
      <c r="F487" s="1654"/>
      <c r="G487" s="1654"/>
      <c r="H487" s="1654"/>
      <c r="I487" s="1654"/>
      <c r="J487" s="1654"/>
      <c r="K487" s="1654"/>
      <c r="L487" s="1654"/>
      <c r="M487" s="1655"/>
      <c r="N487" s="1655"/>
      <c r="O487" s="1656"/>
    </row>
    <row r="488">
      <c r="A488" s="1639"/>
      <c r="B488" s="1639"/>
      <c r="C488" s="1640"/>
      <c r="D488" s="1646"/>
      <c r="E488" s="1642"/>
      <c r="F488" s="1643"/>
      <c r="G488" s="1644"/>
      <c r="H488" s="1645"/>
      <c r="I488" s="1646"/>
      <c r="J488" s="1647"/>
      <c r="K488" s="1648"/>
      <c r="L488" s="1643"/>
      <c r="M488" s="1649"/>
      <c r="N488" s="1649"/>
      <c r="O488" s="1650"/>
    </row>
    <row r="489">
      <c r="A489" s="1651"/>
      <c r="B489" s="1651"/>
      <c r="C489" s="1652"/>
      <c r="D489" s="1654"/>
      <c r="E489" s="1653"/>
      <c r="F489" s="1654"/>
      <c r="G489" s="1654"/>
      <c r="H489" s="1654"/>
      <c r="I489" s="1654"/>
      <c r="J489" s="1654"/>
      <c r="K489" s="1654"/>
      <c r="L489" s="1654"/>
      <c r="M489" s="1655"/>
      <c r="N489" s="1655"/>
      <c r="O489" s="1656"/>
    </row>
    <row r="490">
      <c r="A490" s="1639"/>
      <c r="B490" s="1639"/>
      <c r="C490" s="1640"/>
      <c r="D490" s="1646"/>
      <c r="E490" s="1642"/>
      <c r="F490" s="1643"/>
      <c r="G490" s="1644"/>
      <c r="H490" s="1645"/>
      <c r="I490" s="1646"/>
      <c r="J490" s="1647"/>
      <c r="K490" s="1648"/>
      <c r="L490" s="1643"/>
      <c r="M490" s="1649"/>
      <c r="N490" s="1649"/>
      <c r="O490" s="1650"/>
    </row>
    <row r="491">
      <c r="A491" s="1651"/>
      <c r="B491" s="1651"/>
      <c r="C491" s="1652"/>
      <c r="D491" s="1654"/>
      <c r="E491" s="1653"/>
      <c r="F491" s="1654"/>
      <c r="G491" s="1654"/>
      <c r="H491" s="1654"/>
      <c r="I491" s="1654"/>
      <c r="J491" s="1654"/>
      <c r="K491" s="1654"/>
      <c r="L491" s="1654"/>
      <c r="M491" s="1655"/>
      <c r="N491" s="1655"/>
      <c r="O491" s="1656"/>
    </row>
    <row r="492">
      <c r="A492" s="1639"/>
      <c r="B492" s="1639"/>
      <c r="C492" s="1640"/>
      <c r="D492" s="1646"/>
      <c r="E492" s="1642"/>
      <c r="F492" s="1643"/>
      <c r="G492" s="1644"/>
      <c r="H492" s="1645"/>
      <c r="I492" s="1646"/>
      <c r="J492" s="1647"/>
      <c r="K492" s="1648"/>
      <c r="L492" s="1643"/>
      <c r="M492" s="1649"/>
      <c r="N492" s="1649"/>
      <c r="O492" s="1650"/>
    </row>
    <row r="493">
      <c r="A493" s="1651"/>
      <c r="B493" s="1651"/>
      <c r="C493" s="1652"/>
      <c r="D493" s="1654"/>
      <c r="E493" s="1653"/>
      <c r="F493" s="1654"/>
      <c r="G493" s="1654"/>
      <c r="H493" s="1654"/>
      <c r="I493" s="1654"/>
      <c r="J493" s="1654"/>
      <c r="K493" s="1654"/>
      <c r="L493" s="1654"/>
      <c r="M493" s="1655"/>
      <c r="N493" s="1655"/>
      <c r="O493" s="1656"/>
    </row>
    <row r="494">
      <c r="A494" s="1639"/>
      <c r="B494" s="1639"/>
      <c r="C494" s="1640"/>
      <c r="D494" s="1646"/>
      <c r="E494" s="1642"/>
      <c r="F494" s="1643"/>
      <c r="G494" s="1644"/>
      <c r="H494" s="1645"/>
      <c r="I494" s="1646"/>
      <c r="J494" s="1647"/>
      <c r="K494" s="1648"/>
      <c r="L494" s="1643"/>
      <c r="M494" s="1649"/>
      <c r="N494" s="1649"/>
      <c r="O494" s="1650"/>
    </row>
    <row r="495">
      <c r="A495" s="1651"/>
      <c r="B495" s="1651"/>
      <c r="C495" s="1652"/>
      <c r="D495" s="1654"/>
      <c r="E495" s="1653"/>
      <c r="F495" s="1654"/>
      <c r="G495" s="1654"/>
      <c r="H495" s="1654"/>
      <c r="I495" s="1654"/>
      <c r="J495" s="1654"/>
      <c r="K495" s="1654"/>
      <c r="L495" s="1654"/>
      <c r="M495" s="1655"/>
      <c r="N495" s="1655"/>
      <c r="O495" s="1656"/>
    </row>
    <row r="496">
      <c r="A496" s="1639"/>
      <c r="B496" s="1639"/>
      <c r="C496" s="1640"/>
      <c r="D496" s="1646"/>
      <c r="E496" s="1642"/>
      <c r="F496" s="1643"/>
      <c r="G496" s="1644"/>
      <c r="H496" s="1645"/>
      <c r="I496" s="1646"/>
      <c r="J496" s="1647"/>
      <c r="K496" s="1648"/>
      <c r="L496" s="1643"/>
      <c r="M496" s="1649"/>
      <c r="N496" s="1649"/>
      <c r="O496" s="1650"/>
    </row>
    <row r="497">
      <c r="A497" s="1651"/>
      <c r="B497" s="1651"/>
      <c r="C497" s="1652"/>
      <c r="D497" s="1654"/>
      <c r="E497" s="1653"/>
      <c r="F497" s="1654"/>
      <c r="G497" s="1654"/>
      <c r="H497" s="1654"/>
      <c r="I497" s="1654"/>
      <c r="J497" s="1654"/>
      <c r="K497" s="1654"/>
      <c r="L497" s="1654"/>
      <c r="M497" s="1655"/>
      <c r="N497" s="1655"/>
      <c r="O497" s="1656"/>
    </row>
    <row r="498">
      <c r="A498" s="1639"/>
      <c r="B498" s="1639"/>
      <c r="C498" s="1640"/>
      <c r="D498" s="1646"/>
      <c r="E498" s="1642"/>
      <c r="F498" s="1643"/>
      <c r="G498" s="1644"/>
      <c r="H498" s="1645"/>
      <c r="I498" s="1646"/>
      <c r="J498" s="1647"/>
      <c r="K498" s="1648"/>
      <c r="L498" s="1643"/>
      <c r="M498" s="1649"/>
      <c r="N498" s="1649"/>
      <c r="O498" s="1650"/>
    </row>
    <row r="499">
      <c r="A499" s="1651"/>
      <c r="B499" s="1651"/>
      <c r="C499" s="1652"/>
      <c r="D499" s="1654"/>
      <c r="E499" s="1653"/>
      <c r="F499" s="1654"/>
      <c r="G499" s="1654"/>
      <c r="H499" s="1654"/>
      <c r="I499" s="1654"/>
      <c r="J499" s="1654"/>
      <c r="K499" s="1654"/>
      <c r="L499" s="1654"/>
      <c r="M499" s="1655"/>
      <c r="N499" s="1655"/>
      <c r="O499" s="1656"/>
    </row>
    <row r="500">
      <c r="A500" s="1639"/>
      <c r="B500" s="1639"/>
      <c r="C500" s="1640"/>
      <c r="D500" s="1646"/>
      <c r="E500" s="1642"/>
      <c r="F500" s="1643"/>
      <c r="G500" s="1644"/>
      <c r="H500" s="1645"/>
      <c r="I500" s="1646"/>
      <c r="J500" s="1647"/>
      <c r="K500" s="1648"/>
      <c r="L500" s="1643"/>
      <c r="M500" s="1649"/>
      <c r="N500" s="1649"/>
      <c r="O500" s="1650"/>
    </row>
    <row r="501">
      <c r="A501" s="1651"/>
      <c r="B501" s="1651"/>
      <c r="C501" s="1652"/>
      <c r="D501" s="1654"/>
      <c r="E501" s="1653"/>
      <c r="F501" s="1654"/>
      <c r="G501" s="1654"/>
      <c r="H501" s="1654"/>
      <c r="I501" s="1654"/>
      <c r="J501" s="1654"/>
      <c r="K501" s="1654"/>
      <c r="L501" s="1654"/>
      <c r="M501" s="1655"/>
      <c r="N501" s="1655"/>
      <c r="O501" s="1656"/>
    </row>
    <row r="502">
      <c r="A502" s="1639"/>
      <c r="B502" s="1639"/>
      <c r="C502" s="1640"/>
      <c r="D502" s="1646"/>
      <c r="E502" s="1642"/>
      <c r="F502" s="1643"/>
      <c r="G502" s="1644"/>
      <c r="H502" s="1645"/>
      <c r="I502" s="1646"/>
      <c r="J502" s="1647"/>
      <c r="K502" s="1648"/>
      <c r="L502" s="1643"/>
      <c r="M502" s="1649"/>
      <c r="N502" s="1649"/>
      <c r="O502" s="1650"/>
    </row>
    <row r="503">
      <c r="A503" s="1651"/>
      <c r="B503" s="1651"/>
      <c r="C503" s="1652"/>
      <c r="D503" s="1654"/>
      <c r="E503" s="1653"/>
      <c r="F503" s="1654"/>
      <c r="G503" s="1654"/>
      <c r="H503" s="1654"/>
      <c r="I503" s="1654"/>
      <c r="J503" s="1654"/>
      <c r="K503" s="1654"/>
      <c r="L503" s="1654"/>
      <c r="M503" s="1655"/>
      <c r="N503" s="1655"/>
      <c r="O503" s="1656"/>
    </row>
    <row r="504">
      <c r="A504" s="1639"/>
      <c r="B504" s="1639"/>
      <c r="C504" s="1640"/>
      <c r="D504" s="1646"/>
      <c r="E504" s="1642"/>
      <c r="F504" s="1643"/>
      <c r="G504" s="1644"/>
      <c r="H504" s="1645"/>
      <c r="I504" s="1646"/>
      <c r="J504" s="1647"/>
      <c r="K504" s="1648"/>
      <c r="L504" s="1643"/>
      <c r="M504" s="1649"/>
      <c r="N504" s="1649"/>
      <c r="O504" s="1650"/>
    </row>
    <row r="505">
      <c r="A505" s="1651"/>
      <c r="B505" s="1651"/>
      <c r="C505" s="1652"/>
      <c r="D505" s="1654"/>
      <c r="E505" s="1653"/>
      <c r="F505" s="1654"/>
      <c r="G505" s="1654"/>
      <c r="H505" s="1654"/>
      <c r="I505" s="1654"/>
      <c r="J505" s="1654"/>
      <c r="K505" s="1654"/>
      <c r="L505" s="1654"/>
      <c r="M505" s="1655"/>
      <c r="N505" s="1655"/>
      <c r="O505" s="1656"/>
    </row>
    <row r="506">
      <c r="A506" s="1639"/>
      <c r="B506" s="1639"/>
      <c r="C506" s="1640"/>
      <c r="D506" s="1646"/>
      <c r="E506" s="1642"/>
      <c r="F506" s="1643"/>
      <c r="G506" s="1644"/>
      <c r="H506" s="1645"/>
      <c r="I506" s="1646"/>
      <c r="J506" s="1647"/>
      <c r="K506" s="1648"/>
      <c r="L506" s="1643"/>
      <c r="M506" s="1649"/>
      <c r="N506" s="1649"/>
      <c r="O506" s="1650"/>
    </row>
    <row r="507">
      <c r="A507" s="1651"/>
      <c r="B507" s="1651"/>
      <c r="C507" s="1652"/>
      <c r="D507" s="1654"/>
      <c r="E507" s="1653"/>
      <c r="F507" s="1654"/>
      <c r="G507" s="1654"/>
      <c r="H507" s="1654"/>
      <c r="I507" s="1654"/>
      <c r="J507" s="1654"/>
      <c r="K507" s="1654"/>
      <c r="L507" s="1654"/>
      <c r="M507" s="1655"/>
      <c r="N507" s="1655"/>
      <c r="O507" s="1656"/>
    </row>
    <row r="508">
      <c r="A508" s="1639"/>
      <c r="B508" s="1639"/>
      <c r="C508" s="1640"/>
      <c r="D508" s="1646"/>
      <c r="E508" s="1642"/>
      <c r="F508" s="1643"/>
      <c r="G508" s="1644"/>
      <c r="H508" s="1645"/>
      <c r="I508" s="1646"/>
      <c r="J508" s="1647"/>
      <c r="K508" s="1648"/>
      <c r="L508" s="1643"/>
      <c r="M508" s="1649"/>
      <c r="N508" s="1649"/>
      <c r="O508" s="1650"/>
    </row>
    <row r="509">
      <c r="A509" s="1651"/>
      <c r="B509" s="1651"/>
      <c r="C509" s="1652"/>
      <c r="D509" s="1654"/>
      <c r="E509" s="1653"/>
      <c r="F509" s="1654"/>
      <c r="G509" s="1654"/>
      <c r="H509" s="1654"/>
      <c r="I509" s="1654"/>
      <c r="J509" s="1654"/>
      <c r="K509" s="1654"/>
      <c r="L509" s="1654"/>
      <c r="M509" s="1655"/>
      <c r="N509" s="1655"/>
      <c r="O509" s="1656"/>
    </row>
    <row r="510">
      <c r="A510" s="1639"/>
      <c r="B510" s="1639"/>
      <c r="C510" s="1640"/>
      <c r="D510" s="1646"/>
      <c r="E510" s="1642"/>
      <c r="F510" s="1643"/>
      <c r="G510" s="1644"/>
      <c r="H510" s="1645"/>
      <c r="I510" s="1646"/>
      <c r="J510" s="1647"/>
      <c r="K510" s="1648"/>
      <c r="L510" s="1643"/>
      <c r="M510" s="1649"/>
      <c r="N510" s="1649"/>
      <c r="O510" s="1650"/>
    </row>
    <row r="511">
      <c r="A511" s="1651"/>
      <c r="B511" s="1651"/>
      <c r="C511" s="1652"/>
      <c r="D511" s="1654"/>
      <c r="E511" s="1653"/>
      <c r="F511" s="1654"/>
      <c r="G511" s="1654"/>
      <c r="H511" s="1654"/>
      <c r="I511" s="1654"/>
      <c r="J511" s="1654"/>
      <c r="K511" s="1654"/>
      <c r="L511" s="1654"/>
      <c r="M511" s="1655"/>
      <c r="N511" s="1655"/>
      <c r="O511" s="1656"/>
    </row>
    <row r="512">
      <c r="A512" s="1639"/>
      <c r="B512" s="1639"/>
      <c r="C512" s="1640"/>
      <c r="D512" s="1646"/>
      <c r="E512" s="1642"/>
      <c r="F512" s="1643"/>
      <c r="G512" s="1644"/>
      <c r="H512" s="1645"/>
      <c r="I512" s="1646"/>
      <c r="J512" s="1647"/>
      <c r="K512" s="1648"/>
      <c r="L512" s="1643"/>
      <c r="M512" s="1649"/>
      <c r="N512" s="1649"/>
      <c r="O512" s="1650"/>
    </row>
    <row r="513">
      <c r="A513" s="1651"/>
      <c r="B513" s="1651"/>
      <c r="C513" s="1652"/>
      <c r="D513" s="1654"/>
      <c r="E513" s="1653"/>
      <c r="F513" s="1654"/>
      <c r="G513" s="1654"/>
      <c r="H513" s="1654"/>
      <c r="I513" s="1654"/>
      <c r="J513" s="1654"/>
      <c r="K513" s="1654"/>
      <c r="L513" s="1654"/>
      <c r="M513" s="1655"/>
      <c r="N513" s="1655"/>
      <c r="O513" s="1656"/>
    </row>
    <row r="514">
      <c r="A514" s="1639"/>
      <c r="B514" s="1639"/>
      <c r="C514" s="1640"/>
      <c r="D514" s="1646"/>
      <c r="E514" s="1642"/>
      <c r="F514" s="1643"/>
      <c r="G514" s="1644"/>
      <c r="H514" s="1645"/>
      <c r="I514" s="1646"/>
      <c r="J514" s="1647"/>
      <c r="K514" s="1648"/>
      <c r="L514" s="1643"/>
      <c r="M514" s="1649"/>
      <c r="N514" s="1649"/>
      <c r="O514" s="1650"/>
    </row>
    <row r="515">
      <c r="A515" s="1651"/>
      <c r="B515" s="1651"/>
      <c r="C515" s="1652"/>
      <c r="D515" s="1654"/>
      <c r="E515" s="1653"/>
      <c r="F515" s="1654"/>
      <c r="G515" s="1654"/>
      <c r="H515" s="1654"/>
      <c r="I515" s="1654"/>
      <c r="J515" s="1654"/>
      <c r="K515" s="1654"/>
      <c r="L515" s="1654"/>
      <c r="M515" s="1655"/>
      <c r="N515" s="1655"/>
      <c r="O515" s="1656"/>
    </row>
    <row r="516">
      <c r="A516" s="1639"/>
      <c r="B516" s="1639"/>
      <c r="C516" s="1640"/>
      <c r="D516" s="1646"/>
      <c r="E516" s="1642"/>
      <c r="F516" s="1643"/>
      <c r="G516" s="1644"/>
      <c r="H516" s="1645"/>
      <c r="I516" s="1646"/>
      <c r="J516" s="1647"/>
      <c r="K516" s="1648"/>
      <c r="L516" s="1643"/>
      <c r="M516" s="1649"/>
      <c r="N516" s="1649"/>
      <c r="O516" s="1650"/>
    </row>
    <row r="517">
      <c r="A517" s="1651"/>
      <c r="B517" s="1651"/>
      <c r="C517" s="1652"/>
      <c r="D517" s="1654"/>
      <c r="E517" s="1653"/>
      <c r="F517" s="1654"/>
      <c r="G517" s="1654"/>
      <c r="H517" s="1654"/>
      <c r="I517" s="1654"/>
      <c r="J517" s="1654"/>
      <c r="K517" s="1654"/>
      <c r="L517" s="1654"/>
      <c r="M517" s="1655"/>
      <c r="N517" s="1655"/>
      <c r="O517" s="1656"/>
    </row>
    <row r="518">
      <c r="A518" s="1639"/>
      <c r="B518" s="1639"/>
      <c r="C518" s="1640"/>
      <c r="D518" s="1646"/>
      <c r="E518" s="1642"/>
      <c r="F518" s="1643"/>
      <c r="G518" s="1644"/>
      <c r="H518" s="1645"/>
      <c r="I518" s="1646"/>
      <c r="J518" s="1647"/>
      <c r="K518" s="1648"/>
      <c r="L518" s="1643"/>
      <c r="M518" s="1649"/>
      <c r="N518" s="1649"/>
      <c r="O518" s="1650"/>
    </row>
    <row r="519">
      <c r="A519" s="1651"/>
      <c r="B519" s="1651"/>
      <c r="C519" s="1652"/>
      <c r="D519" s="1654"/>
      <c r="E519" s="1653"/>
      <c r="F519" s="1654"/>
      <c r="G519" s="1654"/>
      <c r="H519" s="1654"/>
      <c r="I519" s="1654"/>
      <c r="J519" s="1654"/>
      <c r="K519" s="1654"/>
      <c r="L519" s="1654"/>
      <c r="M519" s="1655"/>
      <c r="N519" s="1655"/>
      <c r="O519" s="1656"/>
    </row>
    <row r="520">
      <c r="A520" s="1639"/>
      <c r="B520" s="1639"/>
      <c r="C520" s="1640"/>
      <c r="D520" s="1646"/>
      <c r="E520" s="1642"/>
      <c r="F520" s="1643"/>
      <c r="G520" s="1644"/>
      <c r="H520" s="1645"/>
      <c r="I520" s="1646"/>
      <c r="J520" s="1647"/>
      <c r="K520" s="1648"/>
      <c r="L520" s="1643"/>
      <c r="M520" s="1649"/>
      <c r="N520" s="1649"/>
      <c r="O520" s="1650"/>
    </row>
    <row r="521">
      <c r="A521" s="1651"/>
      <c r="B521" s="1651"/>
      <c r="C521" s="1652"/>
      <c r="D521" s="1654"/>
      <c r="E521" s="1653"/>
      <c r="F521" s="1654"/>
      <c r="G521" s="1654"/>
      <c r="H521" s="1654"/>
      <c r="I521" s="1654"/>
      <c r="J521" s="1654"/>
      <c r="K521" s="1654"/>
      <c r="L521" s="1654"/>
      <c r="M521" s="1655"/>
      <c r="N521" s="1655"/>
      <c r="O521" s="1656"/>
    </row>
    <row r="522">
      <c r="A522" s="1639"/>
      <c r="B522" s="1639"/>
      <c r="C522" s="1640"/>
      <c r="D522" s="1646"/>
      <c r="E522" s="1642"/>
      <c r="F522" s="1643"/>
      <c r="G522" s="1644"/>
      <c r="H522" s="1645"/>
      <c r="I522" s="1646"/>
      <c r="J522" s="1647"/>
      <c r="K522" s="1648"/>
      <c r="L522" s="1643"/>
      <c r="M522" s="1649"/>
      <c r="N522" s="1649"/>
      <c r="O522" s="1650"/>
    </row>
    <row r="523">
      <c r="A523" s="1651"/>
      <c r="B523" s="1651"/>
      <c r="C523" s="1652"/>
      <c r="D523" s="1654"/>
      <c r="E523" s="1653"/>
      <c r="F523" s="1654"/>
      <c r="G523" s="1654"/>
      <c r="H523" s="1654"/>
      <c r="I523" s="1654"/>
      <c r="J523" s="1654"/>
      <c r="K523" s="1654"/>
      <c r="L523" s="1654"/>
      <c r="M523" s="1655"/>
      <c r="N523" s="1655"/>
      <c r="O523" s="1656"/>
    </row>
    <row r="524">
      <c r="A524" s="1639"/>
      <c r="B524" s="1639"/>
      <c r="C524" s="1640"/>
      <c r="D524" s="1646"/>
      <c r="E524" s="1642"/>
      <c r="F524" s="1643"/>
      <c r="G524" s="1644"/>
      <c r="H524" s="1645"/>
      <c r="I524" s="1646"/>
      <c r="J524" s="1647"/>
      <c r="K524" s="1648"/>
      <c r="L524" s="1643"/>
      <c r="M524" s="1649"/>
      <c r="N524" s="1649"/>
      <c r="O524" s="1650"/>
    </row>
    <row r="525">
      <c r="A525" s="1651"/>
      <c r="B525" s="1651"/>
      <c r="C525" s="1652"/>
      <c r="D525" s="1654"/>
      <c r="E525" s="1653"/>
      <c r="F525" s="1654"/>
      <c r="G525" s="1654"/>
      <c r="H525" s="1654"/>
      <c r="I525" s="1654"/>
      <c r="J525" s="1654"/>
      <c r="K525" s="1654"/>
      <c r="L525" s="1654"/>
      <c r="M525" s="1655"/>
      <c r="N525" s="1655"/>
      <c r="O525" s="1656"/>
    </row>
    <row r="526">
      <c r="A526" s="1639"/>
      <c r="B526" s="1639"/>
      <c r="C526" s="1640"/>
      <c r="D526" s="1646"/>
      <c r="E526" s="1642"/>
      <c r="F526" s="1643"/>
      <c r="G526" s="1644"/>
      <c r="H526" s="1645"/>
      <c r="I526" s="1646"/>
      <c r="J526" s="1647"/>
      <c r="K526" s="1648"/>
      <c r="L526" s="1643"/>
      <c r="M526" s="1649"/>
      <c r="N526" s="1649"/>
      <c r="O526" s="1650"/>
    </row>
    <row r="527">
      <c r="A527" s="1651"/>
      <c r="B527" s="1651"/>
      <c r="C527" s="1652"/>
      <c r="D527" s="1654"/>
      <c r="E527" s="1653"/>
      <c r="F527" s="1654"/>
      <c r="G527" s="1654"/>
      <c r="H527" s="1654"/>
      <c r="I527" s="1654"/>
      <c r="J527" s="1654"/>
      <c r="K527" s="1654"/>
      <c r="L527" s="1654"/>
      <c r="M527" s="1655"/>
      <c r="N527" s="1655"/>
      <c r="O527" s="1656"/>
    </row>
    <row r="528">
      <c r="A528" s="1639"/>
      <c r="B528" s="1639"/>
      <c r="C528" s="1640"/>
      <c r="D528" s="1646"/>
      <c r="E528" s="1642"/>
      <c r="F528" s="1643"/>
      <c r="G528" s="1644"/>
      <c r="H528" s="1645"/>
      <c r="I528" s="1646"/>
      <c r="J528" s="1647"/>
      <c r="K528" s="1648"/>
      <c r="L528" s="1643"/>
      <c r="M528" s="1649"/>
      <c r="N528" s="1649"/>
      <c r="O528" s="1650"/>
    </row>
    <row r="529">
      <c r="A529" s="1651"/>
      <c r="B529" s="1651"/>
      <c r="C529" s="1652"/>
      <c r="D529" s="1654"/>
      <c r="E529" s="1653"/>
      <c r="F529" s="1654"/>
      <c r="G529" s="1654"/>
      <c r="H529" s="1654"/>
      <c r="I529" s="1654"/>
      <c r="J529" s="1654"/>
      <c r="K529" s="1654"/>
      <c r="L529" s="1654"/>
      <c r="M529" s="1655"/>
      <c r="N529" s="1655"/>
      <c r="O529" s="1656"/>
    </row>
    <row r="530">
      <c r="A530" s="1639"/>
      <c r="B530" s="1639"/>
      <c r="C530" s="1640"/>
      <c r="D530" s="1646"/>
      <c r="E530" s="1642"/>
      <c r="F530" s="1643"/>
      <c r="G530" s="1644"/>
      <c r="H530" s="1645"/>
      <c r="I530" s="1646"/>
      <c r="J530" s="1647"/>
      <c r="K530" s="1648"/>
      <c r="L530" s="1643"/>
      <c r="M530" s="1649"/>
      <c r="N530" s="1649"/>
      <c r="O530" s="1650"/>
    </row>
    <row r="531">
      <c r="A531" s="1651"/>
      <c r="B531" s="1651"/>
      <c r="C531" s="1652"/>
      <c r="D531" s="1654"/>
      <c r="E531" s="1653"/>
      <c r="F531" s="1654"/>
      <c r="G531" s="1654"/>
      <c r="H531" s="1654"/>
      <c r="I531" s="1654"/>
      <c r="J531" s="1654"/>
      <c r="K531" s="1654"/>
      <c r="L531" s="1654"/>
      <c r="M531" s="1655"/>
      <c r="N531" s="1655"/>
      <c r="O531" s="1656"/>
    </row>
    <row r="532">
      <c r="A532" s="1639"/>
      <c r="B532" s="1639"/>
      <c r="C532" s="1640"/>
      <c r="D532" s="1646"/>
      <c r="E532" s="1642"/>
      <c r="F532" s="1643"/>
      <c r="G532" s="1644"/>
      <c r="H532" s="1645"/>
      <c r="I532" s="1646"/>
      <c r="J532" s="1647"/>
      <c r="K532" s="1648"/>
      <c r="L532" s="1643"/>
      <c r="M532" s="1649"/>
      <c r="N532" s="1649"/>
      <c r="O532" s="1650"/>
    </row>
    <row r="533">
      <c r="A533" s="1651"/>
      <c r="B533" s="1651"/>
      <c r="C533" s="1652"/>
      <c r="D533" s="1654"/>
      <c r="E533" s="1653"/>
      <c r="F533" s="1654"/>
      <c r="G533" s="1654"/>
      <c r="H533" s="1654"/>
      <c r="I533" s="1654"/>
      <c r="J533" s="1654"/>
      <c r="K533" s="1654"/>
      <c r="L533" s="1654"/>
      <c r="M533" s="1655"/>
      <c r="N533" s="1655"/>
      <c r="O533" s="1656"/>
    </row>
    <row r="534">
      <c r="A534" s="1639"/>
      <c r="B534" s="1639"/>
      <c r="C534" s="1640"/>
      <c r="D534" s="1646"/>
      <c r="E534" s="1642"/>
      <c r="F534" s="1643"/>
      <c r="G534" s="1644"/>
      <c r="H534" s="1645"/>
      <c r="I534" s="1646"/>
      <c r="J534" s="1647"/>
      <c r="K534" s="1648"/>
      <c r="L534" s="1643"/>
      <c r="M534" s="1649"/>
      <c r="N534" s="1649"/>
      <c r="O534" s="1650"/>
    </row>
    <row r="535">
      <c r="A535" s="1651"/>
      <c r="B535" s="1651"/>
      <c r="C535" s="1652"/>
      <c r="D535" s="1654"/>
      <c r="E535" s="1653"/>
      <c r="F535" s="1654"/>
      <c r="G535" s="1654"/>
      <c r="H535" s="1654"/>
      <c r="I535" s="1654"/>
      <c r="J535" s="1654"/>
      <c r="K535" s="1654"/>
      <c r="L535" s="1654"/>
      <c r="M535" s="1655"/>
      <c r="N535" s="1655"/>
      <c r="O535" s="1656"/>
    </row>
    <row r="536">
      <c r="A536" s="1639"/>
      <c r="B536" s="1639"/>
      <c r="C536" s="1640"/>
      <c r="D536" s="1646"/>
      <c r="E536" s="1642"/>
      <c r="F536" s="1643"/>
      <c r="G536" s="1644"/>
      <c r="H536" s="1645"/>
      <c r="I536" s="1646"/>
      <c r="J536" s="1647"/>
      <c r="K536" s="1648"/>
      <c r="L536" s="1643"/>
      <c r="M536" s="1649"/>
      <c r="N536" s="1649"/>
      <c r="O536" s="1650"/>
    </row>
    <row r="537">
      <c r="A537" s="1651"/>
      <c r="B537" s="1651"/>
      <c r="C537" s="1652"/>
      <c r="D537" s="1654"/>
      <c r="E537" s="1653"/>
      <c r="F537" s="1654"/>
      <c r="G537" s="1654"/>
      <c r="H537" s="1654"/>
      <c r="I537" s="1654"/>
      <c r="J537" s="1654"/>
      <c r="K537" s="1654"/>
      <c r="L537" s="1654"/>
      <c r="M537" s="1655"/>
      <c r="N537" s="1655"/>
      <c r="O537" s="1656"/>
    </row>
    <row r="538">
      <c r="A538" s="1639"/>
      <c r="B538" s="1639"/>
      <c r="C538" s="1640"/>
      <c r="D538" s="1646"/>
      <c r="E538" s="1642"/>
      <c r="F538" s="1643"/>
      <c r="G538" s="1644"/>
      <c r="H538" s="1645"/>
      <c r="I538" s="1646"/>
      <c r="J538" s="1647"/>
      <c r="K538" s="1648"/>
      <c r="L538" s="1643"/>
      <c r="M538" s="1649"/>
      <c r="N538" s="1649"/>
      <c r="O538" s="1650"/>
    </row>
    <row r="539">
      <c r="A539" s="1651"/>
      <c r="B539" s="1651"/>
      <c r="C539" s="1652"/>
      <c r="D539" s="1654"/>
      <c r="E539" s="1653"/>
      <c r="F539" s="1654"/>
      <c r="G539" s="1654"/>
      <c r="H539" s="1654"/>
      <c r="I539" s="1654"/>
      <c r="J539" s="1654"/>
      <c r="K539" s="1654"/>
      <c r="L539" s="1654"/>
      <c r="M539" s="1655"/>
      <c r="N539" s="1655"/>
      <c r="O539" s="1656"/>
    </row>
    <row r="540">
      <c r="A540" s="1639"/>
      <c r="B540" s="1639"/>
      <c r="C540" s="1640"/>
      <c r="D540" s="1646"/>
      <c r="E540" s="1642"/>
      <c r="F540" s="1643"/>
      <c r="G540" s="1644"/>
      <c r="H540" s="1645"/>
      <c r="I540" s="1646"/>
      <c r="J540" s="1647"/>
      <c r="K540" s="1648"/>
      <c r="L540" s="1643"/>
      <c r="M540" s="1649"/>
      <c r="N540" s="1649"/>
      <c r="O540" s="1650"/>
    </row>
    <row r="541">
      <c r="A541" s="1651"/>
      <c r="B541" s="1651"/>
      <c r="C541" s="1652"/>
      <c r="D541" s="1654"/>
      <c r="E541" s="1653"/>
      <c r="F541" s="1654"/>
      <c r="G541" s="1654"/>
      <c r="H541" s="1654"/>
      <c r="I541" s="1654"/>
      <c r="J541" s="1654"/>
      <c r="K541" s="1654"/>
      <c r="L541" s="1654"/>
      <c r="M541" s="1655"/>
      <c r="N541" s="1655"/>
      <c r="O541" s="1656"/>
    </row>
    <row r="542">
      <c r="A542" s="1639"/>
      <c r="B542" s="1639"/>
      <c r="C542" s="1640"/>
      <c r="D542" s="1646"/>
      <c r="E542" s="1642"/>
      <c r="F542" s="1643"/>
      <c r="G542" s="1644"/>
      <c r="H542" s="1645"/>
      <c r="I542" s="1646"/>
      <c r="J542" s="1647"/>
      <c r="K542" s="1648"/>
      <c r="L542" s="1643"/>
      <c r="M542" s="1649"/>
      <c r="N542" s="1649"/>
      <c r="O542" s="1650"/>
    </row>
    <row r="543">
      <c r="A543" s="1651"/>
      <c r="B543" s="1651"/>
      <c r="C543" s="1652"/>
      <c r="D543" s="1654"/>
      <c r="E543" s="1653"/>
      <c r="F543" s="1654"/>
      <c r="G543" s="1654"/>
      <c r="H543" s="1654"/>
      <c r="I543" s="1654"/>
      <c r="J543" s="1654"/>
      <c r="K543" s="1654"/>
      <c r="L543" s="1654"/>
      <c r="M543" s="1655"/>
      <c r="N543" s="1655"/>
      <c r="O543" s="1656"/>
    </row>
    <row r="544">
      <c r="A544" s="1639"/>
      <c r="B544" s="1639"/>
      <c r="C544" s="1640"/>
      <c r="D544" s="1646"/>
      <c r="E544" s="1642"/>
      <c r="F544" s="1643"/>
      <c r="G544" s="1644"/>
      <c r="H544" s="1645"/>
      <c r="I544" s="1646"/>
      <c r="J544" s="1647"/>
      <c r="K544" s="1648"/>
      <c r="L544" s="1643"/>
      <c r="M544" s="1649"/>
      <c r="N544" s="1649"/>
      <c r="O544" s="1650"/>
    </row>
    <row r="545">
      <c r="A545" s="1651"/>
      <c r="B545" s="1651"/>
      <c r="C545" s="1652"/>
      <c r="D545" s="1654"/>
      <c r="E545" s="1653"/>
      <c r="F545" s="1654"/>
      <c r="G545" s="1654"/>
      <c r="H545" s="1654"/>
      <c r="I545" s="1654"/>
      <c r="J545" s="1654"/>
      <c r="K545" s="1654"/>
      <c r="L545" s="1654"/>
      <c r="M545" s="1655"/>
      <c r="N545" s="1655"/>
      <c r="O545" s="1656"/>
    </row>
    <row r="546">
      <c r="A546" s="1639"/>
      <c r="B546" s="1639"/>
      <c r="C546" s="1640"/>
      <c r="D546" s="1646"/>
      <c r="E546" s="1642"/>
      <c r="F546" s="1643"/>
      <c r="G546" s="1644"/>
      <c r="H546" s="1645"/>
      <c r="I546" s="1646"/>
      <c r="J546" s="1647"/>
      <c r="K546" s="1648"/>
      <c r="L546" s="1643"/>
      <c r="M546" s="1649"/>
      <c r="N546" s="1649"/>
      <c r="O546" s="1650"/>
    </row>
    <row r="547">
      <c r="A547" s="1651"/>
      <c r="B547" s="1651"/>
      <c r="C547" s="1652"/>
      <c r="D547" s="1654"/>
      <c r="E547" s="1653"/>
      <c r="F547" s="1654"/>
      <c r="G547" s="1654"/>
      <c r="H547" s="1654"/>
      <c r="I547" s="1654"/>
      <c r="J547" s="1654"/>
      <c r="K547" s="1654"/>
      <c r="L547" s="1654"/>
      <c r="M547" s="1655"/>
      <c r="N547" s="1655"/>
      <c r="O547" s="1656"/>
    </row>
    <row r="548">
      <c r="A548" s="1639"/>
      <c r="B548" s="1639"/>
      <c r="C548" s="1640"/>
      <c r="D548" s="1646"/>
      <c r="E548" s="1642"/>
      <c r="F548" s="1643"/>
      <c r="G548" s="1644"/>
      <c r="H548" s="1645"/>
      <c r="I548" s="1646"/>
      <c r="J548" s="1647"/>
      <c r="K548" s="1648"/>
      <c r="L548" s="1643"/>
      <c r="M548" s="1649"/>
      <c r="N548" s="1649"/>
      <c r="O548" s="1650"/>
    </row>
    <row r="549">
      <c r="A549" s="1651"/>
      <c r="B549" s="1651"/>
      <c r="C549" s="1652"/>
      <c r="D549" s="1654"/>
      <c r="E549" s="1653"/>
      <c r="F549" s="1654"/>
      <c r="G549" s="1654"/>
      <c r="H549" s="1654"/>
      <c r="I549" s="1654"/>
      <c r="J549" s="1654"/>
      <c r="K549" s="1654"/>
      <c r="L549" s="1654"/>
      <c r="M549" s="1655"/>
      <c r="N549" s="1655"/>
      <c r="O549" s="1656"/>
    </row>
    <row r="550">
      <c r="A550" s="1639"/>
      <c r="B550" s="1639"/>
      <c r="C550" s="1640"/>
      <c r="D550" s="1646"/>
      <c r="E550" s="1642"/>
      <c r="F550" s="1643"/>
      <c r="G550" s="1644"/>
      <c r="H550" s="1645"/>
      <c r="I550" s="1646"/>
      <c r="J550" s="1647"/>
      <c r="K550" s="1648"/>
      <c r="L550" s="1643"/>
      <c r="M550" s="1649"/>
      <c r="N550" s="1649"/>
      <c r="O550" s="1650"/>
    </row>
    <row r="551">
      <c r="A551" s="1651"/>
      <c r="B551" s="1651"/>
      <c r="C551" s="1652"/>
      <c r="D551" s="1654"/>
      <c r="E551" s="1653"/>
      <c r="F551" s="1654"/>
      <c r="G551" s="1654"/>
      <c r="H551" s="1654"/>
      <c r="I551" s="1654"/>
      <c r="J551" s="1654"/>
      <c r="K551" s="1654"/>
      <c r="L551" s="1654"/>
      <c r="M551" s="1655"/>
      <c r="N551" s="1655"/>
      <c r="O551" s="1656"/>
    </row>
    <row r="552">
      <c r="A552" s="1639"/>
      <c r="B552" s="1639"/>
      <c r="C552" s="1640"/>
      <c r="D552" s="1646"/>
      <c r="E552" s="1642"/>
      <c r="F552" s="1643"/>
      <c r="G552" s="1644"/>
      <c r="H552" s="1645"/>
      <c r="I552" s="1646"/>
      <c r="J552" s="1647"/>
      <c r="K552" s="1648"/>
      <c r="L552" s="1643"/>
      <c r="M552" s="1649"/>
      <c r="N552" s="1649"/>
      <c r="O552" s="1650"/>
    </row>
    <row r="553">
      <c r="A553" s="1651"/>
      <c r="B553" s="1651"/>
      <c r="C553" s="1652"/>
      <c r="D553" s="1654"/>
      <c r="E553" s="1653"/>
      <c r="F553" s="1654"/>
      <c r="G553" s="1654"/>
      <c r="H553" s="1654"/>
      <c r="I553" s="1654"/>
      <c r="J553" s="1654"/>
      <c r="K553" s="1654"/>
      <c r="L553" s="1654"/>
      <c r="M553" s="1655"/>
      <c r="N553" s="1655"/>
      <c r="O553" s="1656"/>
    </row>
    <row r="554">
      <c r="A554" s="1639"/>
      <c r="B554" s="1639"/>
      <c r="C554" s="1640"/>
      <c r="D554" s="1646"/>
      <c r="E554" s="1642"/>
      <c r="F554" s="1643"/>
      <c r="G554" s="1644"/>
      <c r="H554" s="1645"/>
      <c r="I554" s="1646"/>
      <c r="J554" s="1647"/>
      <c r="K554" s="1648"/>
      <c r="L554" s="1643"/>
      <c r="M554" s="1649"/>
      <c r="N554" s="1649"/>
      <c r="O554" s="1650"/>
    </row>
    <row r="555">
      <c r="A555" s="1651"/>
      <c r="B555" s="1651"/>
      <c r="C555" s="1652"/>
      <c r="D555" s="1654"/>
      <c r="E555" s="1653"/>
      <c r="F555" s="1654"/>
      <c r="G555" s="1654"/>
      <c r="H555" s="1654"/>
      <c r="I555" s="1654"/>
      <c r="J555" s="1654"/>
      <c r="K555" s="1654"/>
      <c r="L555" s="1654"/>
      <c r="M555" s="1655"/>
      <c r="N555" s="1655"/>
      <c r="O555" s="1656"/>
    </row>
    <row r="556">
      <c r="A556" s="1639"/>
      <c r="B556" s="1639"/>
      <c r="C556" s="1640"/>
      <c r="D556" s="1646"/>
      <c r="E556" s="1642"/>
      <c r="F556" s="1643"/>
      <c r="G556" s="1644"/>
      <c r="H556" s="1645"/>
      <c r="I556" s="1646"/>
      <c r="J556" s="1647"/>
      <c r="K556" s="1648"/>
      <c r="L556" s="1643"/>
      <c r="M556" s="1649"/>
      <c r="N556" s="1649"/>
      <c r="O556" s="1650"/>
    </row>
    <row r="557">
      <c r="A557" s="1651"/>
      <c r="B557" s="1651"/>
      <c r="C557" s="1652"/>
      <c r="D557" s="1654"/>
      <c r="E557" s="1653"/>
      <c r="F557" s="1654"/>
      <c r="G557" s="1654"/>
      <c r="H557" s="1654"/>
      <c r="I557" s="1654"/>
      <c r="J557" s="1654"/>
      <c r="K557" s="1654"/>
      <c r="L557" s="1654"/>
      <c r="M557" s="1655"/>
      <c r="N557" s="1655"/>
      <c r="O557" s="1656"/>
    </row>
    <row r="558">
      <c r="A558" s="1639"/>
      <c r="B558" s="1639"/>
      <c r="C558" s="1640"/>
      <c r="D558" s="1646"/>
      <c r="E558" s="1642"/>
      <c r="F558" s="1643"/>
      <c r="G558" s="1644"/>
      <c r="H558" s="1645"/>
      <c r="I558" s="1646"/>
      <c r="J558" s="1647"/>
      <c r="K558" s="1648"/>
      <c r="L558" s="1643"/>
      <c r="M558" s="1649"/>
      <c r="N558" s="1649"/>
      <c r="O558" s="1650"/>
    </row>
    <row r="559">
      <c r="A559" s="1651"/>
      <c r="B559" s="1651"/>
      <c r="C559" s="1652"/>
      <c r="D559" s="1654"/>
      <c r="E559" s="1653"/>
      <c r="F559" s="1654"/>
      <c r="G559" s="1654"/>
      <c r="H559" s="1654"/>
      <c r="I559" s="1654"/>
      <c r="J559" s="1654"/>
      <c r="K559" s="1654"/>
      <c r="L559" s="1654"/>
      <c r="M559" s="1655"/>
      <c r="N559" s="1655"/>
      <c r="O559" s="1656"/>
    </row>
    <row r="560">
      <c r="A560" s="1639"/>
      <c r="B560" s="1639"/>
      <c r="C560" s="1640"/>
      <c r="D560" s="1646"/>
      <c r="E560" s="1642"/>
      <c r="F560" s="1643"/>
      <c r="G560" s="1644"/>
      <c r="H560" s="1645"/>
      <c r="I560" s="1646"/>
      <c r="J560" s="1647"/>
      <c r="K560" s="1648"/>
      <c r="L560" s="1643"/>
      <c r="M560" s="1649"/>
      <c r="N560" s="1649"/>
      <c r="O560" s="1650"/>
    </row>
    <row r="561">
      <c r="A561" s="1651"/>
      <c r="B561" s="1651"/>
      <c r="C561" s="1652"/>
      <c r="D561" s="1654"/>
      <c r="E561" s="1653"/>
      <c r="F561" s="1654"/>
      <c r="G561" s="1654"/>
      <c r="H561" s="1654"/>
      <c r="I561" s="1654"/>
      <c r="J561" s="1654"/>
      <c r="K561" s="1654"/>
      <c r="L561" s="1654"/>
      <c r="M561" s="1655"/>
      <c r="N561" s="1655"/>
      <c r="O561" s="1656"/>
    </row>
    <row r="562">
      <c r="A562" s="1639"/>
      <c r="B562" s="1639"/>
      <c r="C562" s="1640"/>
      <c r="D562" s="1646"/>
      <c r="E562" s="1642"/>
      <c r="F562" s="1643"/>
      <c r="G562" s="1644"/>
      <c r="H562" s="1645"/>
      <c r="I562" s="1646"/>
      <c r="J562" s="1647"/>
      <c r="K562" s="1648"/>
      <c r="L562" s="1643"/>
      <c r="M562" s="1649"/>
      <c r="N562" s="1649"/>
      <c r="O562" s="1650"/>
    </row>
    <row r="563">
      <c r="A563" s="1651"/>
      <c r="B563" s="1651"/>
      <c r="C563" s="1652"/>
      <c r="D563" s="1654"/>
      <c r="E563" s="1653"/>
      <c r="F563" s="1654"/>
      <c r="G563" s="1654"/>
      <c r="H563" s="1654"/>
      <c r="I563" s="1654"/>
      <c r="J563" s="1654"/>
      <c r="K563" s="1654"/>
      <c r="L563" s="1654"/>
      <c r="M563" s="1655"/>
      <c r="N563" s="1655"/>
      <c r="O563" s="1656"/>
    </row>
    <row r="564">
      <c r="A564" s="1639"/>
      <c r="B564" s="1639"/>
      <c r="C564" s="1640"/>
      <c r="D564" s="1646"/>
      <c r="E564" s="1642"/>
      <c r="F564" s="1643"/>
      <c r="G564" s="1644"/>
      <c r="H564" s="1645"/>
      <c r="I564" s="1646"/>
      <c r="J564" s="1647"/>
      <c r="K564" s="1648"/>
      <c r="L564" s="1643"/>
      <c r="M564" s="1649"/>
      <c r="N564" s="1649"/>
      <c r="O564" s="1650"/>
    </row>
    <row r="565">
      <c r="A565" s="1651"/>
      <c r="B565" s="1651"/>
      <c r="C565" s="1652"/>
      <c r="D565" s="1654"/>
      <c r="E565" s="1653"/>
      <c r="F565" s="1654"/>
      <c r="G565" s="1654"/>
      <c r="H565" s="1654"/>
      <c r="I565" s="1654"/>
      <c r="J565" s="1654"/>
      <c r="K565" s="1654"/>
      <c r="L565" s="1654"/>
      <c r="M565" s="1655"/>
      <c r="N565" s="1655"/>
      <c r="O565" s="1656"/>
    </row>
    <row r="566">
      <c r="A566" s="1639"/>
      <c r="B566" s="1639"/>
      <c r="C566" s="1640"/>
      <c r="D566" s="1646"/>
      <c r="E566" s="1642"/>
      <c r="F566" s="1643"/>
      <c r="G566" s="1644"/>
      <c r="H566" s="1645"/>
      <c r="I566" s="1646"/>
      <c r="J566" s="1647"/>
      <c r="K566" s="1648"/>
      <c r="L566" s="1643"/>
      <c r="M566" s="1649"/>
      <c r="N566" s="1649"/>
      <c r="O566" s="1650"/>
    </row>
    <row r="567">
      <c r="A567" s="1651"/>
      <c r="B567" s="1651"/>
      <c r="C567" s="1652"/>
      <c r="D567" s="1654"/>
      <c r="E567" s="1653"/>
      <c r="F567" s="1654"/>
      <c r="G567" s="1654"/>
      <c r="H567" s="1654"/>
      <c r="I567" s="1654"/>
      <c r="J567" s="1654"/>
      <c r="K567" s="1654"/>
      <c r="L567" s="1654"/>
      <c r="M567" s="1655"/>
      <c r="N567" s="1655"/>
      <c r="O567" s="1656"/>
    </row>
    <row r="568">
      <c r="A568" s="1639"/>
      <c r="B568" s="1639"/>
      <c r="C568" s="1640"/>
      <c r="D568" s="1646"/>
      <c r="E568" s="1642"/>
      <c r="F568" s="1643"/>
      <c r="G568" s="1644"/>
      <c r="H568" s="1645"/>
      <c r="I568" s="1646"/>
      <c r="J568" s="1647"/>
      <c r="K568" s="1648"/>
      <c r="L568" s="1643"/>
      <c r="M568" s="1649"/>
      <c r="N568" s="1649"/>
      <c r="O568" s="1650"/>
    </row>
    <row r="569">
      <c r="A569" s="1651"/>
      <c r="B569" s="1651"/>
      <c r="C569" s="1652"/>
      <c r="D569" s="1654"/>
      <c r="E569" s="1653"/>
      <c r="F569" s="1654"/>
      <c r="G569" s="1654"/>
      <c r="H569" s="1654"/>
      <c r="I569" s="1654"/>
      <c r="J569" s="1654"/>
      <c r="K569" s="1654"/>
      <c r="L569" s="1654"/>
      <c r="M569" s="1655"/>
      <c r="N569" s="1655"/>
      <c r="O569" s="1656"/>
    </row>
    <row r="570">
      <c r="A570" s="1639"/>
      <c r="B570" s="1639"/>
      <c r="C570" s="1640"/>
      <c r="D570" s="1646"/>
      <c r="E570" s="1642"/>
      <c r="F570" s="1643"/>
      <c r="G570" s="1644"/>
      <c r="H570" s="1645"/>
      <c r="I570" s="1646"/>
      <c r="J570" s="1647"/>
      <c r="K570" s="1648"/>
      <c r="L570" s="1643"/>
      <c r="M570" s="1649"/>
      <c r="N570" s="1649"/>
      <c r="O570" s="1650"/>
    </row>
    <row r="571">
      <c r="A571" s="1651"/>
      <c r="B571" s="1651"/>
      <c r="C571" s="1652"/>
      <c r="D571" s="1654"/>
      <c r="E571" s="1653"/>
      <c r="F571" s="1654"/>
      <c r="G571" s="1654"/>
      <c r="H571" s="1654"/>
      <c r="I571" s="1654"/>
      <c r="J571" s="1654"/>
      <c r="K571" s="1654"/>
      <c r="L571" s="1654"/>
      <c r="M571" s="1655"/>
      <c r="N571" s="1655"/>
      <c r="O571" s="1656"/>
    </row>
    <row r="572">
      <c r="A572" s="1639"/>
      <c r="B572" s="1639"/>
      <c r="C572" s="1640"/>
      <c r="D572" s="1646"/>
      <c r="E572" s="1642"/>
      <c r="F572" s="1643"/>
      <c r="G572" s="1644"/>
      <c r="H572" s="1645"/>
      <c r="I572" s="1646"/>
      <c r="J572" s="1647"/>
      <c r="K572" s="1648"/>
      <c r="L572" s="1643"/>
      <c r="M572" s="1649"/>
      <c r="N572" s="1649"/>
      <c r="O572" s="1650"/>
    </row>
    <row r="573">
      <c r="A573" s="1651"/>
      <c r="B573" s="1651"/>
      <c r="C573" s="1652"/>
      <c r="D573" s="1654"/>
      <c r="E573" s="1653"/>
      <c r="F573" s="1654"/>
      <c r="G573" s="1654"/>
      <c r="H573" s="1654"/>
      <c r="I573" s="1654"/>
      <c r="J573" s="1654"/>
      <c r="K573" s="1654"/>
      <c r="L573" s="1654"/>
      <c r="M573" s="1655"/>
      <c r="N573" s="1655"/>
      <c r="O573" s="1656"/>
    </row>
    <row r="574">
      <c r="A574" s="1639"/>
      <c r="B574" s="1639"/>
      <c r="C574" s="1640"/>
      <c r="D574" s="1646"/>
      <c r="E574" s="1642"/>
      <c r="F574" s="1643"/>
      <c r="G574" s="1644"/>
      <c r="H574" s="1645"/>
      <c r="I574" s="1646"/>
      <c r="J574" s="1647"/>
      <c r="K574" s="1648"/>
      <c r="L574" s="1643"/>
      <c r="M574" s="1649"/>
      <c r="N574" s="1649"/>
      <c r="O574" s="1650"/>
    </row>
    <row r="575">
      <c r="A575" s="1651"/>
      <c r="B575" s="1651"/>
      <c r="C575" s="1652"/>
      <c r="D575" s="1654"/>
      <c r="E575" s="1653"/>
      <c r="F575" s="1654"/>
      <c r="G575" s="1654"/>
      <c r="H575" s="1654"/>
      <c r="I575" s="1654"/>
      <c r="J575" s="1654"/>
      <c r="K575" s="1654"/>
      <c r="L575" s="1654"/>
      <c r="M575" s="1655"/>
      <c r="N575" s="1655"/>
      <c r="O575" s="1656"/>
    </row>
    <row r="576">
      <c r="A576" s="1639"/>
      <c r="B576" s="1639"/>
      <c r="C576" s="1640"/>
      <c r="D576" s="1646"/>
      <c r="E576" s="1642"/>
      <c r="F576" s="1643"/>
      <c r="G576" s="1644"/>
      <c r="H576" s="1645"/>
      <c r="I576" s="1646"/>
      <c r="J576" s="1647"/>
      <c r="K576" s="1648"/>
      <c r="L576" s="1643"/>
      <c r="M576" s="1649"/>
      <c r="N576" s="1649"/>
      <c r="O576" s="1650"/>
    </row>
    <row r="577">
      <c r="A577" s="1651"/>
      <c r="B577" s="1651"/>
      <c r="C577" s="1652"/>
      <c r="D577" s="1654"/>
      <c r="E577" s="1653"/>
      <c r="F577" s="1654"/>
      <c r="G577" s="1654"/>
      <c r="H577" s="1654"/>
      <c r="I577" s="1654"/>
      <c r="J577" s="1654"/>
      <c r="K577" s="1654"/>
      <c r="L577" s="1654"/>
      <c r="M577" s="1655"/>
      <c r="N577" s="1655"/>
      <c r="O577" s="1656"/>
    </row>
    <row r="578">
      <c r="A578" s="1639"/>
      <c r="B578" s="1639"/>
      <c r="C578" s="1640"/>
      <c r="D578" s="1646"/>
      <c r="E578" s="1642"/>
      <c r="F578" s="1643"/>
      <c r="G578" s="1644"/>
      <c r="H578" s="1645"/>
      <c r="I578" s="1646"/>
      <c r="J578" s="1647"/>
      <c r="K578" s="1648"/>
      <c r="L578" s="1643"/>
      <c r="M578" s="1649"/>
      <c r="N578" s="1649"/>
      <c r="O578" s="1650"/>
    </row>
    <row r="579">
      <c r="A579" s="1651"/>
      <c r="B579" s="1651"/>
      <c r="C579" s="1652"/>
      <c r="D579" s="1654"/>
      <c r="E579" s="1653"/>
      <c r="F579" s="1654"/>
      <c r="G579" s="1654"/>
      <c r="H579" s="1654"/>
      <c r="I579" s="1654"/>
      <c r="J579" s="1654"/>
      <c r="K579" s="1654"/>
      <c r="L579" s="1654"/>
      <c r="M579" s="1655"/>
      <c r="N579" s="1655"/>
      <c r="O579" s="1656"/>
    </row>
    <row r="580">
      <c r="A580" s="1639"/>
      <c r="B580" s="1639"/>
      <c r="C580" s="1640"/>
      <c r="D580" s="1646"/>
      <c r="E580" s="1642"/>
      <c r="F580" s="1643"/>
      <c r="G580" s="1644"/>
      <c r="H580" s="1645"/>
      <c r="I580" s="1646"/>
      <c r="J580" s="1647"/>
      <c r="K580" s="1648"/>
      <c r="L580" s="1643"/>
      <c r="M580" s="1649"/>
      <c r="N580" s="1649"/>
      <c r="O580" s="1650"/>
    </row>
    <row r="581">
      <c r="A581" s="1651"/>
      <c r="B581" s="1651"/>
      <c r="C581" s="1652"/>
      <c r="D581" s="1654"/>
      <c r="E581" s="1653"/>
      <c r="F581" s="1654"/>
      <c r="G581" s="1654"/>
      <c r="H581" s="1654"/>
      <c r="I581" s="1654"/>
      <c r="J581" s="1654"/>
      <c r="K581" s="1654"/>
      <c r="L581" s="1654"/>
      <c r="M581" s="1655"/>
      <c r="N581" s="1655"/>
      <c r="O581" s="1656"/>
    </row>
    <row r="582">
      <c r="A582" s="1639"/>
      <c r="B582" s="1639"/>
      <c r="C582" s="1640"/>
      <c r="D582" s="1646"/>
      <c r="E582" s="1642"/>
      <c r="F582" s="1643"/>
      <c r="G582" s="1644"/>
      <c r="H582" s="1645"/>
      <c r="I582" s="1646"/>
      <c r="J582" s="1647"/>
      <c r="K582" s="1648"/>
      <c r="L582" s="1643"/>
      <c r="M582" s="1649"/>
      <c r="N582" s="1649"/>
      <c r="O582" s="1650"/>
    </row>
    <row r="583">
      <c r="A583" s="1651"/>
      <c r="B583" s="1651"/>
      <c r="C583" s="1652"/>
      <c r="D583" s="1654"/>
      <c r="E583" s="1653"/>
      <c r="F583" s="1654"/>
      <c r="G583" s="1654"/>
      <c r="H583" s="1654"/>
      <c r="I583" s="1654"/>
      <c r="J583" s="1654"/>
      <c r="K583" s="1654"/>
      <c r="L583" s="1654"/>
      <c r="M583" s="1655"/>
      <c r="N583" s="1655"/>
      <c r="O583" s="1656"/>
    </row>
    <row r="584">
      <c r="A584" s="1639"/>
      <c r="B584" s="1639"/>
      <c r="C584" s="1640"/>
      <c r="D584" s="1646"/>
      <c r="E584" s="1642"/>
      <c r="F584" s="1643"/>
      <c r="G584" s="1644"/>
      <c r="H584" s="1645"/>
      <c r="I584" s="1646"/>
      <c r="J584" s="1647"/>
      <c r="K584" s="1648"/>
      <c r="L584" s="1643"/>
      <c r="M584" s="1649"/>
      <c r="N584" s="1649"/>
      <c r="O584" s="1650"/>
    </row>
    <row r="585">
      <c r="A585" s="1651"/>
      <c r="B585" s="1651"/>
      <c r="C585" s="1652"/>
      <c r="D585" s="1654"/>
      <c r="E585" s="1653"/>
      <c r="F585" s="1654"/>
      <c r="G585" s="1654"/>
      <c r="H585" s="1654"/>
      <c r="I585" s="1654"/>
      <c r="J585" s="1654"/>
      <c r="K585" s="1654"/>
      <c r="L585" s="1654"/>
      <c r="M585" s="1655"/>
      <c r="N585" s="1655"/>
      <c r="O585" s="1656"/>
    </row>
    <row r="586">
      <c r="A586" s="1639"/>
      <c r="B586" s="1639"/>
      <c r="C586" s="1640"/>
      <c r="D586" s="1646"/>
      <c r="E586" s="1642"/>
      <c r="F586" s="1643"/>
      <c r="G586" s="1644"/>
      <c r="H586" s="1645"/>
      <c r="I586" s="1646"/>
      <c r="J586" s="1647"/>
      <c r="K586" s="1648"/>
      <c r="L586" s="1643"/>
      <c r="M586" s="1649"/>
      <c r="N586" s="1649"/>
      <c r="O586" s="1650"/>
    </row>
    <row r="587">
      <c r="A587" s="1651"/>
      <c r="B587" s="1651"/>
      <c r="C587" s="1652"/>
      <c r="D587" s="1654"/>
      <c r="E587" s="1653"/>
      <c r="F587" s="1654"/>
      <c r="G587" s="1654"/>
      <c r="H587" s="1654"/>
      <c r="I587" s="1654"/>
      <c r="J587" s="1654"/>
      <c r="K587" s="1654"/>
      <c r="L587" s="1654"/>
      <c r="M587" s="1655"/>
      <c r="N587" s="1655"/>
      <c r="O587" s="1656"/>
    </row>
    <row r="588">
      <c r="A588" s="1639"/>
      <c r="B588" s="1639"/>
      <c r="C588" s="1640"/>
      <c r="D588" s="1646"/>
      <c r="E588" s="1642"/>
      <c r="F588" s="1643"/>
      <c r="G588" s="1644"/>
      <c r="H588" s="1645"/>
      <c r="I588" s="1646"/>
      <c r="J588" s="1647"/>
      <c r="K588" s="1648"/>
      <c r="L588" s="1643"/>
      <c r="M588" s="1649"/>
      <c r="N588" s="1649"/>
      <c r="O588" s="1650"/>
    </row>
    <row r="589">
      <c r="A589" s="1651"/>
      <c r="B589" s="1651"/>
      <c r="C589" s="1652"/>
      <c r="D589" s="1654"/>
      <c r="E589" s="1653"/>
      <c r="F589" s="1654"/>
      <c r="G589" s="1654"/>
      <c r="H589" s="1654"/>
      <c r="I589" s="1654"/>
      <c r="J589" s="1654"/>
      <c r="K589" s="1654"/>
      <c r="L589" s="1654"/>
      <c r="M589" s="1655"/>
      <c r="N589" s="1655"/>
      <c r="O589" s="1656"/>
    </row>
    <row r="590">
      <c r="A590" s="1639"/>
      <c r="B590" s="1639"/>
      <c r="C590" s="1640"/>
      <c r="D590" s="1646"/>
      <c r="E590" s="1642"/>
      <c r="F590" s="1643"/>
      <c r="G590" s="1644"/>
      <c r="H590" s="1645"/>
      <c r="I590" s="1646"/>
      <c r="J590" s="1647"/>
      <c r="K590" s="1648"/>
      <c r="L590" s="1643"/>
      <c r="M590" s="1649"/>
      <c r="N590" s="1649"/>
      <c r="O590" s="1650"/>
    </row>
    <row r="591">
      <c r="A591" s="1651"/>
      <c r="B591" s="1651"/>
      <c r="C591" s="1652"/>
      <c r="D591" s="1654"/>
      <c r="E591" s="1653"/>
      <c r="F591" s="1654"/>
      <c r="G591" s="1654"/>
      <c r="H591" s="1654"/>
      <c r="I591" s="1654"/>
      <c r="J591" s="1654"/>
      <c r="K591" s="1654"/>
      <c r="L591" s="1654"/>
      <c r="M591" s="1655"/>
      <c r="N591" s="1655"/>
      <c r="O591" s="1656"/>
    </row>
    <row r="592">
      <c r="A592" s="1639"/>
      <c r="B592" s="1639"/>
      <c r="C592" s="1640"/>
      <c r="D592" s="1646"/>
      <c r="E592" s="1642"/>
      <c r="F592" s="1643"/>
      <c r="G592" s="1644"/>
      <c r="H592" s="1645"/>
      <c r="I592" s="1646"/>
      <c r="J592" s="1647"/>
      <c r="K592" s="1648"/>
      <c r="L592" s="1643"/>
      <c r="M592" s="1649"/>
      <c r="N592" s="1649"/>
      <c r="O592" s="1650"/>
    </row>
    <row r="593">
      <c r="A593" s="1651"/>
      <c r="B593" s="1651"/>
      <c r="C593" s="1652"/>
      <c r="D593" s="1654"/>
      <c r="E593" s="1653"/>
      <c r="F593" s="1654"/>
      <c r="G593" s="1654"/>
      <c r="H593" s="1654"/>
      <c r="I593" s="1654"/>
      <c r="J593" s="1654"/>
      <c r="K593" s="1654"/>
      <c r="L593" s="1654"/>
      <c r="M593" s="1655"/>
      <c r="N593" s="1655"/>
      <c r="O593" s="1656"/>
    </row>
    <row r="594">
      <c r="A594" s="1639"/>
      <c r="B594" s="1639"/>
      <c r="C594" s="1640"/>
      <c r="D594" s="1646"/>
      <c r="E594" s="1642"/>
      <c r="F594" s="1643"/>
      <c r="G594" s="1644"/>
      <c r="H594" s="1645"/>
      <c r="I594" s="1646"/>
      <c r="J594" s="1647"/>
      <c r="K594" s="1648"/>
      <c r="L594" s="1643"/>
      <c r="M594" s="1649"/>
      <c r="N594" s="1649"/>
      <c r="O594" s="1650"/>
    </row>
    <row r="595">
      <c r="A595" s="1651"/>
      <c r="B595" s="1651"/>
      <c r="C595" s="1652"/>
      <c r="D595" s="1654"/>
      <c r="E595" s="1653"/>
      <c r="F595" s="1654"/>
      <c r="G595" s="1654"/>
      <c r="H595" s="1654"/>
      <c r="I595" s="1654"/>
      <c r="J595" s="1654"/>
      <c r="K595" s="1654"/>
      <c r="L595" s="1654"/>
      <c r="M595" s="1655"/>
      <c r="N595" s="1655"/>
      <c r="O595" s="1656"/>
    </row>
    <row r="596">
      <c r="A596" s="1639"/>
      <c r="B596" s="1639"/>
      <c r="C596" s="1640"/>
      <c r="D596" s="1646"/>
      <c r="E596" s="1642"/>
      <c r="F596" s="1643"/>
      <c r="G596" s="1644"/>
      <c r="H596" s="1645"/>
      <c r="I596" s="1646"/>
      <c r="J596" s="1647"/>
      <c r="K596" s="1648"/>
      <c r="L596" s="1643"/>
      <c r="M596" s="1649"/>
      <c r="N596" s="1649"/>
      <c r="O596" s="1650"/>
    </row>
    <row r="597">
      <c r="A597" s="1651"/>
      <c r="B597" s="1651"/>
      <c r="C597" s="1652"/>
      <c r="D597" s="1654"/>
      <c r="E597" s="1653"/>
      <c r="F597" s="1654"/>
      <c r="G597" s="1654"/>
      <c r="H597" s="1654"/>
      <c r="I597" s="1654"/>
      <c r="J597" s="1654"/>
      <c r="K597" s="1654"/>
      <c r="L597" s="1654"/>
      <c r="M597" s="1655"/>
      <c r="N597" s="1655"/>
      <c r="O597" s="1656"/>
    </row>
    <row r="598">
      <c r="A598" s="1639"/>
      <c r="B598" s="1639"/>
      <c r="C598" s="1640"/>
      <c r="D598" s="1646"/>
      <c r="E598" s="1642"/>
      <c r="F598" s="1643"/>
      <c r="G598" s="1644"/>
      <c r="H598" s="1645"/>
      <c r="I598" s="1646"/>
      <c r="J598" s="1647"/>
      <c r="K598" s="1648"/>
      <c r="L598" s="1643"/>
      <c r="M598" s="1649"/>
      <c r="N598" s="1649"/>
      <c r="O598" s="1650"/>
    </row>
    <row r="599">
      <c r="A599" s="1651"/>
      <c r="B599" s="1651"/>
      <c r="C599" s="1652"/>
      <c r="D599" s="1654"/>
      <c r="E599" s="1653"/>
      <c r="F599" s="1654"/>
      <c r="G599" s="1654"/>
      <c r="H599" s="1654"/>
      <c r="I599" s="1654"/>
      <c r="J599" s="1654"/>
      <c r="K599" s="1654"/>
      <c r="L599" s="1654"/>
      <c r="M599" s="1655"/>
      <c r="N599" s="1655"/>
      <c r="O599" s="1656"/>
    </row>
    <row r="600">
      <c r="A600" s="1639"/>
      <c r="B600" s="1639"/>
      <c r="C600" s="1640"/>
      <c r="D600" s="1646"/>
      <c r="E600" s="1642"/>
      <c r="F600" s="1643"/>
      <c r="G600" s="1644"/>
      <c r="H600" s="1645"/>
      <c r="I600" s="1646"/>
      <c r="J600" s="1647"/>
      <c r="K600" s="1648"/>
      <c r="L600" s="1643"/>
      <c r="M600" s="1649"/>
      <c r="N600" s="1649"/>
      <c r="O600" s="1650"/>
    </row>
    <row r="601">
      <c r="A601" s="1651"/>
      <c r="B601" s="1651"/>
      <c r="C601" s="1652"/>
      <c r="D601" s="1654"/>
      <c r="E601" s="1653"/>
      <c r="F601" s="1654"/>
      <c r="G601" s="1654"/>
      <c r="H601" s="1654"/>
      <c r="I601" s="1654"/>
      <c r="J601" s="1654"/>
      <c r="K601" s="1654"/>
      <c r="L601" s="1654"/>
      <c r="M601" s="1655"/>
      <c r="N601" s="1655"/>
      <c r="O601" s="1656"/>
    </row>
    <row r="602">
      <c r="A602" s="1639"/>
      <c r="B602" s="1639"/>
      <c r="C602" s="1640"/>
      <c r="D602" s="1646"/>
      <c r="E602" s="1642"/>
      <c r="F602" s="1643"/>
      <c r="G602" s="1644"/>
      <c r="H602" s="1645"/>
      <c r="I602" s="1646"/>
      <c r="J602" s="1647"/>
      <c r="K602" s="1648"/>
      <c r="L602" s="1643"/>
      <c r="M602" s="1649"/>
      <c r="N602" s="1649"/>
      <c r="O602" s="1650"/>
    </row>
    <row r="603">
      <c r="A603" s="1651"/>
      <c r="B603" s="1651"/>
      <c r="C603" s="1652"/>
      <c r="D603" s="1654"/>
      <c r="E603" s="1653"/>
      <c r="F603" s="1654"/>
      <c r="G603" s="1654"/>
      <c r="H603" s="1654"/>
      <c r="I603" s="1654"/>
      <c r="J603" s="1654"/>
      <c r="K603" s="1654"/>
      <c r="L603" s="1654"/>
      <c r="M603" s="1655"/>
      <c r="N603" s="1655"/>
      <c r="O603" s="1656"/>
    </row>
    <row r="604">
      <c r="A604" s="1639"/>
      <c r="B604" s="1639"/>
      <c r="C604" s="1640"/>
      <c r="D604" s="1646"/>
      <c r="E604" s="1642"/>
      <c r="F604" s="1643"/>
      <c r="G604" s="1644"/>
      <c r="H604" s="1645"/>
      <c r="I604" s="1646"/>
      <c r="J604" s="1647"/>
      <c r="K604" s="1648"/>
      <c r="L604" s="1643"/>
      <c r="M604" s="1649"/>
      <c r="N604" s="1649"/>
      <c r="O604" s="1650"/>
    </row>
    <row r="605">
      <c r="A605" s="1651"/>
      <c r="B605" s="1651"/>
      <c r="C605" s="1652"/>
      <c r="D605" s="1654"/>
      <c r="E605" s="1653"/>
      <c r="F605" s="1654"/>
      <c r="G605" s="1654"/>
      <c r="H605" s="1654"/>
      <c r="I605" s="1654"/>
      <c r="J605" s="1654"/>
      <c r="K605" s="1654"/>
      <c r="L605" s="1654"/>
      <c r="M605" s="1655"/>
      <c r="N605" s="1655"/>
      <c r="O605" s="1656"/>
    </row>
    <row r="606">
      <c r="A606" s="1639"/>
      <c r="B606" s="1639"/>
      <c r="C606" s="1640"/>
      <c r="D606" s="1646"/>
      <c r="E606" s="1642"/>
      <c r="F606" s="1643"/>
      <c r="G606" s="1644"/>
      <c r="H606" s="1645"/>
      <c r="I606" s="1646"/>
      <c r="J606" s="1647"/>
      <c r="K606" s="1648"/>
      <c r="L606" s="1643"/>
      <c r="M606" s="1649"/>
      <c r="N606" s="1649"/>
      <c r="O606" s="1650"/>
    </row>
    <row r="607">
      <c r="A607" s="1651"/>
      <c r="B607" s="1651"/>
      <c r="C607" s="1652"/>
      <c r="D607" s="1654"/>
      <c r="E607" s="1653"/>
      <c r="F607" s="1654"/>
      <c r="G607" s="1654"/>
      <c r="H607" s="1654"/>
      <c r="I607" s="1654"/>
      <c r="J607" s="1654"/>
      <c r="K607" s="1654"/>
      <c r="L607" s="1654"/>
      <c r="M607" s="1655"/>
      <c r="N607" s="1655"/>
      <c r="O607" s="1656"/>
    </row>
    <row r="608">
      <c r="A608" s="1639"/>
      <c r="B608" s="1639"/>
      <c r="C608" s="1640"/>
      <c r="D608" s="1646"/>
      <c r="E608" s="1642"/>
      <c r="F608" s="1643"/>
      <c r="G608" s="1644"/>
      <c r="H608" s="1645"/>
      <c r="I608" s="1646"/>
      <c r="J608" s="1647"/>
      <c r="K608" s="1648"/>
      <c r="L608" s="1643"/>
      <c r="M608" s="1649"/>
      <c r="N608" s="1649"/>
      <c r="O608" s="1650"/>
    </row>
    <row r="609">
      <c r="A609" s="1651"/>
      <c r="B609" s="1651"/>
      <c r="C609" s="1652"/>
      <c r="D609" s="1654"/>
      <c r="E609" s="1653"/>
      <c r="F609" s="1654"/>
      <c r="G609" s="1654"/>
      <c r="H609" s="1654"/>
      <c r="I609" s="1654"/>
      <c r="J609" s="1654"/>
      <c r="K609" s="1654"/>
      <c r="L609" s="1654"/>
      <c r="M609" s="1655"/>
      <c r="N609" s="1655"/>
      <c r="O609" s="1656"/>
    </row>
    <row r="610">
      <c r="A610" s="1639"/>
      <c r="B610" s="1639"/>
      <c r="C610" s="1640"/>
      <c r="D610" s="1646"/>
      <c r="E610" s="1642"/>
      <c r="F610" s="1643"/>
      <c r="G610" s="1644"/>
      <c r="H610" s="1645"/>
      <c r="I610" s="1646"/>
      <c r="J610" s="1647"/>
      <c r="K610" s="1648"/>
      <c r="L610" s="1643"/>
      <c r="M610" s="1649"/>
      <c r="N610" s="1649"/>
      <c r="O610" s="1650"/>
    </row>
    <row r="611">
      <c r="A611" s="1651"/>
      <c r="B611" s="1651"/>
      <c r="C611" s="1652"/>
      <c r="D611" s="1654"/>
      <c r="E611" s="1653"/>
      <c r="F611" s="1654"/>
      <c r="G611" s="1654"/>
      <c r="H611" s="1654"/>
      <c r="I611" s="1654"/>
      <c r="J611" s="1654"/>
      <c r="K611" s="1654"/>
      <c r="L611" s="1654"/>
      <c r="M611" s="1655"/>
      <c r="N611" s="1655"/>
      <c r="O611" s="1656"/>
    </row>
    <row r="612">
      <c r="A612" s="1639"/>
      <c r="B612" s="1639"/>
      <c r="C612" s="1640"/>
      <c r="D612" s="1646"/>
      <c r="E612" s="1642"/>
      <c r="F612" s="1643"/>
      <c r="G612" s="1644"/>
      <c r="H612" s="1645"/>
      <c r="I612" s="1646"/>
      <c r="J612" s="1647"/>
      <c r="K612" s="1648"/>
      <c r="L612" s="1643"/>
      <c r="M612" s="1649"/>
      <c r="N612" s="1649"/>
      <c r="O612" s="1650"/>
    </row>
    <row r="613">
      <c r="A613" s="1651"/>
      <c r="B613" s="1651"/>
      <c r="C613" s="1652"/>
      <c r="D613" s="1654"/>
      <c r="E613" s="1653"/>
      <c r="F613" s="1654"/>
      <c r="G613" s="1654"/>
      <c r="H613" s="1654"/>
      <c r="I613" s="1654"/>
      <c r="J613" s="1654"/>
      <c r="K613" s="1654"/>
      <c r="L613" s="1654"/>
      <c r="M613" s="1655"/>
      <c r="N613" s="1655"/>
      <c r="O613" s="1656"/>
    </row>
    <row r="614">
      <c r="A614" s="1639"/>
      <c r="B614" s="1639"/>
      <c r="C614" s="1640"/>
      <c r="D614" s="1646"/>
      <c r="E614" s="1642"/>
      <c r="F614" s="1643"/>
      <c r="G614" s="1644"/>
      <c r="H614" s="1645"/>
      <c r="I614" s="1646"/>
      <c r="J614" s="1647"/>
      <c r="K614" s="1648"/>
      <c r="L614" s="1643"/>
      <c r="M614" s="1649"/>
      <c r="N614" s="1649"/>
      <c r="O614" s="1650"/>
    </row>
    <row r="615">
      <c r="A615" s="1651"/>
      <c r="B615" s="1651"/>
      <c r="C615" s="1652"/>
      <c r="D615" s="1654"/>
      <c r="E615" s="1653"/>
      <c r="F615" s="1654"/>
      <c r="G615" s="1654"/>
      <c r="H615" s="1654"/>
      <c r="I615" s="1654"/>
      <c r="J615" s="1654"/>
      <c r="K615" s="1654"/>
      <c r="L615" s="1654"/>
      <c r="M615" s="1655"/>
      <c r="N615" s="1655"/>
      <c r="O615" s="1656"/>
    </row>
    <row r="616">
      <c r="A616" s="1639"/>
      <c r="B616" s="1639"/>
      <c r="C616" s="1640"/>
      <c r="D616" s="1646"/>
      <c r="E616" s="1642"/>
      <c r="F616" s="1643"/>
      <c r="G616" s="1644"/>
      <c r="H616" s="1645"/>
      <c r="I616" s="1646"/>
      <c r="J616" s="1647"/>
      <c r="K616" s="1648"/>
      <c r="L616" s="1643"/>
      <c r="M616" s="1649"/>
      <c r="N616" s="1649"/>
      <c r="O616" s="1650"/>
    </row>
    <row r="617">
      <c r="A617" s="1651"/>
      <c r="B617" s="1651"/>
      <c r="C617" s="1652"/>
      <c r="D617" s="1654"/>
      <c r="E617" s="1653"/>
      <c r="F617" s="1654"/>
      <c r="G617" s="1654"/>
      <c r="H617" s="1654"/>
      <c r="I617" s="1654"/>
      <c r="J617" s="1654"/>
      <c r="K617" s="1654"/>
      <c r="L617" s="1654"/>
      <c r="M617" s="1655"/>
      <c r="N617" s="1655"/>
      <c r="O617" s="1656"/>
    </row>
    <row r="618">
      <c r="A618" s="1639"/>
      <c r="B618" s="1639"/>
      <c r="C618" s="1640"/>
      <c r="D618" s="1646"/>
      <c r="E618" s="1642"/>
      <c r="F618" s="1643"/>
      <c r="G618" s="1644"/>
      <c r="H618" s="1645"/>
      <c r="I618" s="1646"/>
      <c r="J618" s="1647"/>
      <c r="K618" s="1648"/>
      <c r="L618" s="1643"/>
      <c r="M618" s="1649"/>
      <c r="N618" s="1649"/>
      <c r="O618" s="1650"/>
    </row>
    <row r="619">
      <c r="A619" s="1651"/>
      <c r="B619" s="1651"/>
      <c r="C619" s="1652"/>
      <c r="D619" s="1654"/>
      <c r="E619" s="1653"/>
      <c r="F619" s="1654"/>
      <c r="G619" s="1654"/>
      <c r="H619" s="1654"/>
      <c r="I619" s="1654"/>
      <c r="J619" s="1654"/>
      <c r="K619" s="1654"/>
      <c r="L619" s="1654"/>
      <c r="M619" s="1655"/>
      <c r="N619" s="1655"/>
      <c r="O619" s="1656"/>
    </row>
    <row r="620">
      <c r="A620" s="1639"/>
      <c r="B620" s="1639"/>
      <c r="C620" s="1640"/>
      <c r="D620" s="1646"/>
      <c r="E620" s="1642"/>
      <c r="F620" s="1643"/>
      <c r="G620" s="1644"/>
      <c r="H620" s="1645"/>
      <c r="I620" s="1646"/>
      <c r="J620" s="1647"/>
      <c r="K620" s="1648"/>
      <c r="L620" s="1643"/>
      <c r="M620" s="1649"/>
      <c r="N620" s="1649"/>
      <c r="O620" s="1650"/>
    </row>
    <row r="621">
      <c r="A621" s="1651"/>
      <c r="B621" s="1651"/>
      <c r="C621" s="1652"/>
      <c r="D621" s="1654"/>
      <c r="E621" s="1653"/>
      <c r="F621" s="1654"/>
      <c r="G621" s="1654"/>
      <c r="H621" s="1654"/>
      <c r="I621" s="1654"/>
      <c r="J621" s="1654"/>
      <c r="K621" s="1654"/>
      <c r="L621" s="1654"/>
      <c r="M621" s="1655"/>
      <c r="N621" s="1655"/>
      <c r="O621" s="1656"/>
    </row>
    <row r="622">
      <c r="A622" s="1639"/>
      <c r="B622" s="1639"/>
      <c r="C622" s="1640"/>
      <c r="D622" s="1646"/>
      <c r="E622" s="1642"/>
      <c r="F622" s="1643"/>
      <c r="G622" s="1644"/>
      <c r="H622" s="1645"/>
      <c r="I622" s="1646"/>
      <c r="J622" s="1647"/>
      <c r="K622" s="1648"/>
      <c r="L622" s="1643"/>
      <c r="M622" s="1649"/>
      <c r="N622" s="1649"/>
      <c r="O622" s="1650"/>
    </row>
    <row r="623">
      <c r="A623" s="1651"/>
      <c r="B623" s="1651"/>
      <c r="C623" s="1652"/>
      <c r="D623" s="1654"/>
      <c r="E623" s="1653"/>
      <c r="F623" s="1654"/>
      <c r="G623" s="1654"/>
      <c r="H623" s="1654"/>
      <c r="I623" s="1654"/>
      <c r="J623" s="1654"/>
      <c r="K623" s="1654"/>
      <c r="L623" s="1654"/>
      <c r="M623" s="1655"/>
      <c r="N623" s="1655"/>
      <c r="O623" s="1656"/>
    </row>
    <row r="624">
      <c r="A624" s="1639"/>
      <c r="B624" s="1639"/>
      <c r="C624" s="1640"/>
      <c r="D624" s="1646"/>
      <c r="E624" s="1642"/>
      <c r="F624" s="1643"/>
      <c r="G624" s="1644"/>
      <c r="H624" s="1645"/>
      <c r="I624" s="1646"/>
      <c r="J624" s="1647"/>
      <c r="K624" s="1648"/>
      <c r="L624" s="1643"/>
      <c r="M624" s="1649"/>
      <c r="N624" s="1649"/>
      <c r="O624" s="1650"/>
    </row>
    <row r="625">
      <c r="A625" s="1651"/>
      <c r="B625" s="1651"/>
      <c r="C625" s="1652"/>
      <c r="D625" s="1654"/>
      <c r="E625" s="1653"/>
      <c r="F625" s="1654"/>
      <c r="G625" s="1654"/>
      <c r="H625" s="1654"/>
      <c r="I625" s="1654"/>
      <c r="J625" s="1654"/>
      <c r="K625" s="1654"/>
      <c r="L625" s="1654"/>
      <c r="M625" s="1655"/>
      <c r="N625" s="1655"/>
      <c r="O625" s="1656"/>
    </row>
    <row r="626">
      <c r="A626" s="1639"/>
      <c r="B626" s="1639"/>
      <c r="C626" s="1640"/>
      <c r="D626" s="1646"/>
      <c r="E626" s="1642"/>
      <c r="F626" s="1643"/>
      <c r="G626" s="1644"/>
      <c r="H626" s="1645"/>
      <c r="I626" s="1646"/>
      <c r="J626" s="1647"/>
      <c r="K626" s="1648"/>
      <c r="L626" s="1643"/>
      <c r="M626" s="1649"/>
      <c r="N626" s="1649"/>
      <c r="O626" s="1650"/>
    </row>
    <row r="627">
      <c r="A627" s="1651"/>
      <c r="B627" s="1651"/>
      <c r="C627" s="1652"/>
      <c r="D627" s="1654"/>
      <c r="E627" s="1653"/>
      <c r="F627" s="1654"/>
      <c r="G627" s="1654"/>
      <c r="H627" s="1654"/>
      <c r="I627" s="1654"/>
      <c r="J627" s="1654"/>
      <c r="K627" s="1654"/>
      <c r="L627" s="1654"/>
      <c r="M627" s="1655"/>
      <c r="N627" s="1655"/>
      <c r="O627" s="1656"/>
    </row>
    <row r="628">
      <c r="A628" s="1639"/>
      <c r="B628" s="1639"/>
      <c r="C628" s="1640"/>
      <c r="D628" s="1646"/>
      <c r="E628" s="1642"/>
      <c r="F628" s="1643"/>
      <c r="G628" s="1644"/>
      <c r="H628" s="1645"/>
      <c r="I628" s="1646"/>
      <c r="J628" s="1647"/>
      <c r="K628" s="1648"/>
      <c r="L628" s="1643"/>
      <c r="M628" s="1649"/>
      <c r="N628" s="1649"/>
      <c r="O628" s="1650"/>
    </row>
    <row r="629">
      <c r="A629" s="1651"/>
      <c r="B629" s="1651"/>
      <c r="C629" s="1652"/>
      <c r="D629" s="1654"/>
      <c r="E629" s="1653"/>
      <c r="F629" s="1654"/>
      <c r="G629" s="1654"/>
      <c r="H629" s="1654"/>
      <c r="I629" s="1654"/>
      <c r="J629" s="1654"/>
      <c r="K629" s="1654"/>
      <c r="L629" s="1654"/>
      <c r="M629" s="1655"/>
      <c r="N629" s="1655"/>
      <c r="O629" s="1656"/>
    </row>
    <row r="630">
      <c r="A630" s="1639"/>
      <c r="B630" s="1639"/>
      <c r="C630" s="1640"/>
      <c r="D630" s="1646"/>
      <c r="E630" s="1642"/>
      <c r="F630" s="1643"/>
      <c r="G630" s="1644"/>
      <c r="H630" s="1645"/>
      <c r="I630" s="1646"/>
      <c r="J630" s="1647"/>
      <c r="K630" s="1648"/>
      <c r="L630" s="1643"/>
      <c r="M630" s="1649"/>
      <c r="N630" s="1649"/>
      <c r="O630" s="1650"/>
    </row>
    <row r="631">
      <c r="A631" s="1651"/>
      <c r="B631" s="1651"/>
      <c r="C631" s="1652"/>
      <c r="D631" s="1654"/>
      <c r="E631" s="1653"/>
      <c r="F631" s="1654"/>
      <c r="G631" s="1654"/>
      <c r="H631" s="1654"/>
      <c r="I631" s="1654"/>
      <c r="J631" s="1654"/>
      <c r="K631" s="1654"/>
      <c r="L631" s="1654"/>
      <c r="M631" s="1655"/>
      <c r="N631" s="1655"/>
      <c r="O631" s="1656"/>
    </row>
    <row r="632">
      <c r="A632" s="1639"/>
      <c r="B632" s="1639"/>
      <c r="C632" s="1640"/>
      <c r="D632" s="1646"/>
      <c r="E632" s="1642"/>
      <c r="F632" s="1643"/>
      <c r="G632" s="1644"/>
      <c r="H632" s="1645"/>
      <c r="I632" s="1646"/>
      <c r="J632" s="1647"/>
      <c r="K632" s="1648"/>
      <c r="L632" s="1643"/>
      <c r="M632" s="1649"/>
      <c r="N632" s="1649"/>
      <c r="O632" s="1650"/>
    </row>
    <row r="633">
      <c r="A633" s="1651"/>
      <c r="B633" s="1651"/>
      <c r="C633" s="1652"/>
      <c r="D633" s="1654"/>
      <c r="E633" s="1653"/>
      <c r="F633" s="1654"/>
      <c r="G633" s="1654"/>
      <c r="H633" s="1654"/>
      <c r="I633" s="1654"/>
      <c r="J633" s="1654"/>
      <c r="K633" s="1654"/>
      <c r="L633" s="1654"/>
      <c r="M633" s="1655"/>
      <c r="N633" s="1655"/>
      <c r="O633" s="1656"/>
    </row>
    <row r="634">
      <c r="A634" s="1639"/>
      <c r="B634" s="1639"/>
      <c r="C634" s="1640"/>
      <c r="D634" s="1646"/>
      <c r="E634" s="1642"/>
      <c r="F634" s="1643"/>
      <c r="G634" s="1644"/>
      <c r="H634" s="1645"/>
      <c r="I634" s="1646"/>
      <c r="J634" s="1647"/>
      <c r="K634" s="1648"/>
      <c r="L634" s="1643"/>
      <c r="M634" s="1649"/>
      <c r="N634" s="1649"/>
      <c r="O634" s="1650"/>
    </row>
    <row r="635">
      <c r="A635" s="1651"/>
      <c r="B635" s="1651"/>
      <c r="C635" s="1652"/>
      <c r="D635" s="1654"/>
      <c r="E635" s="1653"/>
      <c r="F635" s="1654"/>
      <c r="G635" s="1654"/>
      <c r="H635" s="1654"/>
      <c r="I635" s="1654"/>
      <c r="J635" s="1654"/>
      <c r="K635" s="1654"/>
      <c r="L635" s="1654"/>
      <c r="M635" s="1655"/>
      <c r="N635" s="1655"/>
      <c r="O635" s="1656"/>
    </row>
    <row r="636">
      <c r="A636" s="1639"/>
      <c r="B636" s="1639"/>
      <c r="C636" s="1640"/>
      <c r="D636" s="1646"/>
      <c r="E636" s="1642"/>
      <c r="F636" s="1643"/>
      <c r="G636" s="1644"/>
      <c r="H636" s="1645"/>
      <c r="I636" s="1646"/>
      <c r="J636" s="1647"/>
      <c r="K636" s="1648"/>
      <c r="L636" s="1643"/>
      <c r="M636" s="1649"/>
      <c r="N636" s="1649"/>
      <c r="O636" s="1650"/>
    </row>
    <row r="637">
      <c r="A637" s="1651"/>
      <c r="B637" s="1651"/>
      <c r="C637" s="1652"/>
      <c r="D637" s="1654"/>
      <c r="E637" s="1653"/>
      <c r="F637" s="1654"/>
      <c r="G637" s="1654"/>
      <c r="H637" s="1654"/>
      <c r="I637" s="1654"/>
      <c r="J637" s="1654"/>
      <c r="K637" s="1654"/>
      <c r="L637" s="1654"/>
      <c r="M637" s="1655"/>
      <c r="N637" s="1655"/>
      <c r="O637" s="1656"/>
    </row>
    <row r="638">
      <c r="A638" s="1639"/>
      <c r="B638" s="1639"/>
      <c r="C638" s="1640"/>
      <c r="D638" s="1646"/>
      <c r="E638" s="1642"/>
      <c r="F638" s="1643"/>
      <c r="G638" s="1644"/>
      <c r="H638" s="1645"/>
      <c r="I638" s="1646"/>
      <c r="J638" s="1647"/>
      <c r="K638" s="1648"/>
      <c r="L638" s="1643"/>
      <c r="M638" s="1649"/>
      <c r="N638" s="1649"/>
      <c r="O638" s="1650"/>
    </row>
    <row r="639">
      <c r="A639" s="1651"/>
      <c r="B639" s="1651"/>
      <c r="C639" s="1652"/>
      <c r="D639" s="1654"/>
      <c r="E639" s="1653"/>
      <c r="F639" s="1654"/>
      <c r="G639" s="1654"/>
      <c r="H639" s="1654"/>
      <c r="I639" s="1654"/>
      <c r="J639" s="1654"/>
      <c r="K639" s="1654"/>
      <c r="L639" s="1654"/>
      <c r="M639" s="1655"/>
      <c r="N639" s="1655"/>
      <c r="O639" s="1656"/>
    </row>
    <row r="640">
      <c r="A640" s="1639"/>
      <c r="B640" s="1639"/>
      <c r="C640" s="1640"/>
      <c r="D640" s="1646"/>
      <c r="E640" s="1642"/>
      <c r="F640" s="1643"/>
      <c r="G640" s="1644"/>
      <c r="H640" s="1645"/>
      <c r="I640" s="1646"/>
      <c r="J640" s="1647"/>
      <c r="K640" s="1648"/>
      <c r="L640" s="1643"/>
      <c r="M640" s="1649"/>
      <c r="N640" s="1649"/>
      <c r="O640" s="1650"/>
    </row>
    <row r="641">
      <c r="A641" s="1651"/>
      <c r="B641" s="1651"/>
      <c r="C641" s="1652"/>
      <c r="D641" s="1654"/>
      <c r="E641" s="1653"/>
      <c r="F641" s="1654"/>
      <c r="G641" s="1654"/>
      <c r="H641" s="1654"/>
      <c r="I641" s="1654"/>
      <c r="J641" s="1654"/>
      <c r="K641" s="1654"/>
      <c r="L641" s="1654"/>
      <c r="M641" s="1655"/>
      <c r="N641" s="1655"/>
      <c r="O641" s="1656"/>
    </row>
    <row r="642">
      <c r="A642" s="1639"/>
      <c r="B642" s="1639"/>
      <c r="C642" s="1640"/>
      <c r="D642" s="1646"/>
      <c r="E642" s="1642"/>
      <c r="F642" s="1643"/>
      <c r="G642" s="1644"/>
      <c r="H642" s="1645"/>
      <c r="I642" s="1646"/>
      <c r="J642" s="1647"/>
      <c r="K642" s="1648"/>
      <c r="L642" s="1643"/>
      <c r="M642" s="1649"/>
      <c r="N642" s="1649"/>
      <c r="O642" s="1650"/>
    </row>
    <row r="643">
      <c r="A643" s="1651"/>
      <c r="B643" s="1651"/>
      <c r="C643" s="1652"/>
      <c r="D643" s="1654"/>
      <c r="E643" s="1653"/>
      <c r="F643" s="1654"/>
      <c r="G643" s="1654"/>
      <c r="H643" s="1654"/>
      <c r="I643" s="1654"/>
      <c r="J643" s="1654"/>
      <c r="K643" s="1654"/>
      <c r="L643" s="1654"/>
      <c r="M643" s="1655"/>
      <c r="N643" s="1655"/>
      <c r="O643" s="1656"/>
    </row>
    <row r="644">
      <c r="A644" s="1639"/>
      <c r="B644" s="1639"/>
      <c r="C644" s="1640"/>
      <c r="D644" s="1646"/>
      <c r="E644" s="1642"/>
      <c r="F644" s="1643"/>
      <c r="G644" s="1644"/>
      <c r="H644" s="1645"/>
      <c r="I644" s="1646"/>
      <c r="J644" s="1647"/>
      <c r="K644" s="1648"/>
      <c r="L644" s="1643"/>
      <c r="M644" s="1649"/>
      <c r="N644" s="1649"/>
      <c r="O644" s="1650"/>
    </row>
    <row r="645">
      <c r="A645" s="1651"/>
      <c r="B645" s="1651"/>
      <c r="C645" s="1652"/>
      <c r="D645" s="1654"/>
      <c r="E645" s="1653"/>
      <c r="F645" s="1654"/>
      <c r="G645" s="1654"/>
      <c r="H645" s="1654"/>
      <c r="I645" s="1654"/>
      <c r="J645" s="1654"/>
      <c r="K645" s="1654"/>
      <c r="L645" s="1654"/>
      <c r="M645" s="1655"/>
      <c r="N645" s="1655"/>
      <c r="O645" s="1656"/>
    </row>
    <row r="646">
      <c r="A646" s="1639"/>
      <c r="B646" s="1639"/>
      <c r="C646" s="1640"/>
      <c r="D646" s="1646"/>
      <c r="E646" s="1642"/>
      <c r="F646" s="1643"/>
      <c r="G646" s="1644"/>
      <c r="H646" s="1645"/>
      <c r="I646" s="1646"/>
      <c r="J646" s="1647"/>
      <c r="K646" s="1648"/>
      <c r="L646" s="1643"/>
      <c r="M646" s="1649"/>
      <c r="N646" s="1649"/>
      <c r="O646" s="1650"/>
    </row>
    <row r="647">
      <c r="A647" s="1651"/>
      <c r="B647" s="1651"/>
      <c r="C647" s="1652"/>
      <c r="D647" s="1654"/>
      <c r="E647" s="1653"/>
      <c r="F647" s="1654"/>
      <c r="G647" s="1654"/>
      <c r="H647" s="1654"/>
      <c r="I647" s="1654"/>
      <c r="J647" s="1654"/>
      <c r="K647" s="1654"/>
      <c r="L647" s="1654"/>
      <c r="M647" s="1655"/>
      <c r="N647" s="1655"/>
      <c r="O647" s="1656"/>
    </row>
    <row r="648">
      <c r="A648" s="1639"/>
      <c r="B648" s="1639"/>
      <c r="C648" s="1640"/>
      <c r="D648" s="1646"/>
      <c r="E648" s="1642"/>
      <c r="F648" s="1643"/>
      <c r="G648" s="1644"/>
      <c r="H648" s="1645"/>
      <c r="I648" s="1646"/>
      <c r="J648" s="1647"/>
      <c r="K648" s="1648"/>
      <c r="L648" s="1643"/>
      <c r="M648" s="1649"/>
      <c r="N648" s="1649"/>
      <c r="O648" s="1650"/>
    </row>
    <row r="649">
      <c r="A649" s="1651"/>
      <c r="B649" s="1651"/>
      <c r="C649" s="1652"/>
      <c r="D649" s="1654"/>
      <c r="E649" s="1653"/>
      <c r="F649" s="1654"/>
      <c r="G649" s="1654"/>
      <c r="H649" s="1654"/>
      <c r="I649" s="1654"/>
      <c r="J649" s="1654"/>
      <c r="K649" s="1654"/>
      <c r="L649" s="1654"/>
      <c r="M649" s="1655"/>
      <c r="N649" s="1655"/>
      <c r="O649" s="1656"/>
    </row>
    <row r="650">
      <c r="A650" s="1639"/>
      <c r="B650" s="1639"/>
      <c r="C650" s="1640"/>
      <c r="D650" s="1646"/>
      <c r="E650" s="1642"/>
      <c r="F650" s="1643"/>
      <c r="G650" s="1644"/>
      <c r="H650" s="1645"/>
      <c r="I650" s="1646"/>
      <c r="J650" s="1647"/>
      <c r="K650" s="1648"/>
      <c r="L650" s="1643"/>
      <c r="M650" s="1649"/>
      <c r="N650" s="1649"/>
      <c r="O650" s="1650"/>
    </row>
    <row r="651">
      <c r="A651" s="1651"/>
      <c r="B651" s="1651"/>
      <c r="C651" s="1652"/>
      <c r="D651" s="1654"/>
      <c r="E651" s="1653"/>
      <c r="F651" s="1654"/>
      <c r="G651" s="1654"/>
      <c r="H651" s="1654"/>
      <c r="I651" s="1654"/>
      <c r="J651" s="1654"/>
      <c r="K651" s="1654"/>
      <c r="L651" s="1654"/>
      <c r="M651" s="1655"/>
      <c r="N651" s="1655"/>
      <c r="O651" s="1656"/>
    </row>
    <row r="652">
      <c r="A652" s="1639"/>
      <c r="B652" s="1639"/>
      <c r="C652" s="1640"/>
      <c r="D652" s="1646"/>
      <c r="E652" s="1642"/>
      <c r="F652" s="1643"/>
      <c r="G652" s="1644"/>
      <c r="H652" s="1645"/>
      <c r="I652" s="1646"/>
      <c r="J652" s="1647"/>
      <c r="K652" s="1648"/>
      <c r="L652" s="1643"/>
      <c r="M652" s="1649"/>
      <c r="N652" s="1649"/>
      <c r="O652" s="1650"/>
    </row>
    <row r="653">
      <c r="A653" s="1651"/>
      <c r="B653" s="1651"/>
      <c r="C653" s="1652"/>
      <c r="D653" s="1654"/>
      <c r="E653" s="1653"/>
      <c r="F653" s="1654"/>
      <c r="G653" s="1654"/>
      <c r="H653" s="1654"/>
      <c r="I653" s="1654"/>
      <c r="J653" s="1654"/>
      <c r="K653" s="1654"/>
      <c r="L653" s="1654"/>
      <c r="M653" s="1655"/>
      <c r="N653" s="1655"/>
      <c r="O653" s="1656"/>
    </row>
    <row r="654">
      <c r="A654" s="1639"/>
      <c r="B654" s="1639"/>
      <c r="C654" s="1640"/>
      <c r="D654" s="1646"/>
      <c r="E654" s="1642"/>
      <c r="F654" s="1643"/>
      <c r="G654" s="1644"/>
      <c r="H654" s="1645"/>
      <c r="I654" s="1646"/>
      <c r="J654" s="1647"/>
      <c r="K654" s="1648"/>
      <c r="L654" s="1643"/>
      <c r="M654" s="1649"/>
      <c r="N654" s="1649"/>
      <c r="O654" s="1650"/>
    </row>
    <row r="655">
      <c r="A655" s="1651"/>
      <c r="B655" s="1651"/>
      <c r="C655" s="1652"/>
      <c r="D655" s="1654"/>
      <c r="E655" s="1653"/>
      <c r="F655" s="1654"/>
      <c r="G655" s="1654"/>
      <c r="H655" s="1654"/>
      <c r="I655" s="1654"/>
      <c r="J655" s="1654"/>
      <c r="K655" s="1654"/>
      <c r="L655" s="1654"/>
      <c r="M655" s="1655"/>
      <c r="N655" s="1655"/>
      <c r="O655" s="1656"/>
    </row>
    <row r="656">
      <c r="A656" s="1639"/>
      <c r="B656" s="1639"/>
      <c r="C656" s="1640"/>
      <c r="D656" s="1646"/>
      <c r="E656" s="1642"/>
      <c r="F656" s="1643"/>
      <c r="G656" s="1644"/>
      <c r="H656" s="1645"/>
      <c r="I656" s="1646"/>
      <c r="J656" s="1647"/>
      <c r="K656" s="1648"/>
      <c r="L656" s="1643"/>
      <c r="M656" s="1649"/>
      <c r="N656" s="1649"/>
      <c r="O656" s="1650"/>
    </row>
    <row r="657">
      <c r="A657" s="1651"/>
      <c r="B657" s="1651"/>
      <c r="C657" s="1652"/>
      <c r="D657" s="1654"/>
      <c r="E657" s="1653"/>
      <c r="F657" s="1654"/>
      <c r="G657" s="1654"/>
      <c r="H657" s="1654"/>
      <c r="I657" s="1654"/>
      <c r="J657" s="1654"/>
      <c r="K657" s="1654"/>
      <c r="L657" s="1654"/>
      <c r="M657" s="1655"/>
      <c r="N657" s="1655"/>
      <c r="O657" s="1656"/>
    </row>
    <row r="658">
      <c r="A658" s="1639"/>
      <c r="B658" s="1639"/>
      <c r="C658" s="1640"/>
      <c r="D658" s="1646"/>
      <c r="E658" s="1642"/>
      <c r="F658" s="1643"/>
      <c r="G658" s="1644"/>
      <c r="H658" s="1645"/>
      <c r="I658" s="1646"/>
      <c r="J658" s="1647"/>
      <c r="K658" s="1648"/>
      <c r="L658" s="1643"/>
      <c r="M658" s="1649"/>
      <c r="N658" s="1649"/>
      <c r="O658" s="1650"/>
    </row>
    <row r="659">
      <c r="A659" s="1651"/>
      <c r="B659" s="1651"/>
      <c r="C659" s="1652"/>
      <c r="D659" s="1654"/>
      <c r="E659" s="1653"/>
      <c r="F659" s="1654"/>
      <c r="G659" s="1654"/>
      <c r="H659" s="1654"/>
      <c r="I659" s="1654"/>
      <c r="J659" s="1654"/>
      <c r="K659" s="1654"/>
      <c r="L659" s="1654"/>
      <c r="M659" s="1655"/>
      <c r="N659" s="1655"/>
      <c r="O659" s="1656"/>
    </row>
    <row r="660">
      <c r="A660" s="1639"/>
      <c r="B660" s="1639"/>
      <c r="C660" s="1640"/>
      <c r="D660" s="1646"/>
      <c r="E660" s="1642"/>
      <c r="F660" s="1643"/>
      <c r="G660" s="1644"/>
      <c r="H660" s="1645"/>
      <c r="I660" s="1646"/>
      <c r="J660" s="1647"/>
      <c r="K660" s="1648"/>
      <c r="L660" s="1643"/>
      <c r="M660" s="1649"/>
      <c r="N660" s="1649"/>
      <c r="O660" s="1650"/>
    </row>
    <row r="661">
      <c r="A661" s="1651"/>
      <c r="B661" s="1651"/>
      <c r="C661" s="1652"/>
      <c r="D661" s="1654"/>
      <c r="E661" s="1653"/>
      <c r="F661" s="1654"/>
      <c r="G661" s="1654"/>
      <c r="H661" s="1654"/>
      <c r="I661" s="1654"/>
      <c r="J661" s="1654"/>
      <c r="K661" s="1654"/>
      <c r="L661" s="1654"/>
      <c r="M661" s="1655"/>
      <c r="N661" s="1655"/>
      <c r="O661" s="1656"/>
    </row>
    <row r="662">
      <c r="A662" s="1639"/>
      <c r="B662" s="1639"/>
      <c r="C662" s="1640"/>
      <c r="D662" s="1646"/>
      <c r="E662" s="1642"/>
      <c r="F662" s="1643"/>
      <c r="G662" s="1644"/>
      <c r="H662" s="1645"/>
      <c r="I662" s="1646"/>
      <c r="J662" s="1647"/>
      <c r="K662" s="1648"/>
      <c r="L662" s="1643"/>
      <c r="M662" s="1649"/>
      <c r="N662" s="1649"/>
      <c r="O662" s="1650"/>
    </row>
    <row r="663">
      <c r="A663" s="1651"/>
      <c r="B663" s="1651"/>
      <c r="C663" s="1652"/>
      <c r="D663" s="1654"/>
      <c r="E663" s="1653"/>
      <c r="F663" s="1654"/>
      <c r="G663" s="1654"/>
      <c r="H663" s="1654"/>
      <c r="I663" s="1654"/>
      <c r="J663" s="1654"/>
      <c r="K663" s="1654"/>
      <c r="L663" s="1654"/>
      <c r="M663" s="1655"/>
      <c r="N663" s="1655"/>
      <c r="O663" s="1656"/>
    </row>
    <row r="664">
      <c r="A664" s="1639"/>
      <c r="B664" s="1639"/>
      <c r="C664" s="1640"/>
      <c r="D664" s="1646"/>
      <c r="E664" s="1642"/>
      <c r="F664" s="1643"/>
      <c r="G664" s="1644"/>
      <c r="H664" s="1645"/>
      <c r="I664" s="1646"/>
      <c r="J664" s="1647"/>
      <c r="K664" s="1648"/>
      <c r="L664" s="1643"/>
      <c r="M664" s="1649"/>
      <c r="N664" s="1649"/>
      <c r="O664" s="1650"/>
    </row>
    <row r="665">
      <c r="A665" s="1651"/>
      <c r="B665" s="1651"/>
      <c r="C665" s="1652"/>
      <c r="D665" s="1654"/>
      <c r="E665" s="1653"/>
      <c r="F665" s="1654"/>
      <c r="G665" s="1654"/>
      <c r="H665" s="1654"/>
      <c r="I665" s="1654"/>
      <c r="J665" s="1654"/>
      <c r="K665" s="1654"/>
      <c r="L665" s="1654"/>
      <c r="M665" s="1655"/>
      <c r="N665" s="1655"/>
      <c r="O665" s="1656"/>
    </row>
    <row r="666">
      <c r="A666" s="1639"/>
      <c r="B666" s="1639"/>
      <c r="C666" s="1640"/>
      <c r="D666" s="1646"/>
      <c r="E666" s="1642"/>
      <c r="F666" s="1643"/>
      <c r="G666" s="1644"/>
      <c r="H666" s="1645"/>
      <c r="I666" s="1646"/>
      <c r="J666" s="1647"/>
      <c r="K666" s="1648"/>
      <c r="L666" s="1643"/>
      <c r="M666" s="1649"/>
      <c r="N666" s="1649"/>
      <c r="O666" s="1650"/>
    </row>
    <row r="667">
      <c r="A667" s="1651"/>
      <c r="B667" s="1651"/>
      <c r="C667" s="1652"/>
      <c r="D667" s="1654"/>
      <c r="E667" s="1653"/>
      <c r="F667" s="1654"/>
      <c r="G667" s="1654"/>
      <c r="H667" s="1654"/>
      <c r="I667" s="1654"/>
      <c r="J667" s="1654"/>
      <c r="K667" s="1654"/>
      <c r="L667" s="1654"/>
      <c r="M667" s="1655"/>
      <c r="N667" s="1655"/>
      <c r="O667" s="1656"/>
    </row>
    <row r="668">
      <c r="A668" s="1639"/>
      <c r="B668" s="1639"/>
      <c r="C668" s="1640"/>
      <c r="D668" s="1646"/>
      <c r="E668" s="1642"/>
      <c r="F668" s="1643"/>
      <c r="G668" s="1644"/>
      <c r="H668" s="1645"/>
      <c r="I668" s="1646"/>
      <c r="J668" s="1647"/>
      <c r="K668" s="1648"/>
      <c r="L668" s="1643"/>
      <c r="M668" s="1649"/>
      <c r="N668" s="1649"/>
      <c r="O668" s="1650"/>
    </row>
    <row r="669">
      <c r="A669" s="1651"/>
      <c r="B669" s="1651"/>
      <c r="C669" s="1652"/>
      <c r="D669" s="1654"/>
      <c r="E669" s="1653"/>
      <c r="F669" s="1654"/>
      <c r="G669" s="1654"/>
      <c r="H669" s="1654"/>
      <c r="I669" s="1654"/>
      <c r="J669" s="1654"/>
      <c r="K669" s="1654"/>
      <c r="L669" s="1654"/>
      <c r="M669" s="1655"/>
      <c r="N669" s="1655"/>
      <c r="O669" s="1656"/>
    </row>
    <row r="670">
      <c r="A670" s="1639"/>
      <c r="B670" s="1639"/>
      <c r="C670" s="1640"/>
      <c r="D670" s="1646"/>
      <c r="E670" s="1642"/>
      <c r="F670" s="1643"/>
      <c r="G670" s="1644"/>
      <c r="H670" s="1645"/>
      <c r="I670" s="1646"/>
      <c r="J670" s="1647"/>
      <c r="K670" s="1648"/>
      <c r="L670" s="1643"/>
      <c r="M670" s="1649"/>
      <c r="N670" s="1649"/>
      <c r="O670" s="1650"/>
    </row>
    <row r="671">
      <c r="A671" s="1651"/>
      <c r="B671" s="1651"/>
      <c r="C671" s="1652"/>
      <c r="D671" s="1654"/>
      <c r="E671" s="1653"/>
      <c r="F671" s="1654"/>
      <c r="G671" s="1654"/>
      <c r="H671" s="1654"/>
      <c r="I671" s="1654"/>
      <c r="J671" s="1654"/>
      <c r="K671" s="1654"/>
      <c r="L671" s="1654"/>
      <c r="M671" s="1655"/>
      <c r="N671" s="1655"/>
      <c r="O671" s="1656"/>
    </row>
    <row r="672">
      <c r="A672" s="1639"/>
      <c r="B672" s="1639"/>
      <c r="C672" s="1640"/>
      <c r="D672" s="1646"/>
      <c r="E672" s="1642"/>
      <c r="F672" s="1643"/>
      <c r="G672" s="1644"/>
      <c r="H672" s="1645"/>
      <c r="I672" s="1646"/>
      <c r="J672" s="1647"/>
      <c r="K672" s="1648"/>
      <c r="L672" s="1643"/>
      <c r="M672" s="1649"/>
      <c r="N672" s="1649"/>
      <c r="O672" s="1650"/>
    </row>
    <row r="673">
      <c r="A673" s="1651"/>
      <c r="B673" s="1651"/>
      <c r="C673" s="1652"/>
      <c r="D673" s="1654"/>
      <c r="E673" s="1653"/>
      <c r="F673" s="1654"/>
      <c r="G673" s="1654"/>
      <c r="H673" s="1654"/>
      <c r="I673" s="1654"/>
      <c r="J673" s="1654"/>
      <c r="K673" s="1654"/>
      <c r="L673" s="1654"/>
      <c r="M673" s="1655"/>
      <c r="N673" s="1655"/>
      <c r="O673" s="1656"/>
    </row>
    <row r="674">
      <c r="A674" s="1639"/>
      <c r="B674" s="1639"/>
      <c r="C674" s="1640"/>
      <c r="D674" s="1646"/>
      <c r="E674" s="1642"/>
      <c r="F674" s="1643"/>
      <c r="G674" s="1644"/>
      <c r="H674" s="1645"/>
      <c r="I674" s="1646"/>
      <c r="J674" s="1647"/>
      <c r="K674" s="1648"/>
      <c r="L674" s="1643"/>
      <c r="M674" s="1649"/>
      <c r="N674" s="1649"/>
      <c r="O674" s="1650"/>
    </row>
    <row r="675">
      <c r="A675" s="1651"/>
      <c r="B675" s="1651"/>
      <c r="C675" s="1652"/>
      <c r="D675" s="1654"/>
      <c r="E675" s="1653"/>
      <c r="F675" s="1654"/>
      <c r="G675" s="1654"/>
      <c r="H675" s="1654"/>
      <c r="I675" s="1654"/>
      <c r="J675" s="1654"/>
      <c r="K675" s="1654"/>
      <c r="L675" s="1654"/>
      <c r="M675" s="1655"/>
      <c r="N675" s="1655"/>
      <c r="O675" s="1656"/>
    </row>
    <row r="676">
      <c r="A676" s="1639"/>
      <c r="B676" s="1639"/>
      <c r="C676" s="1640"/>
      <c r="D676" s="1646"/>
      <c r="E676" s="1642"/>
      <c r="F676" s="1643"/>
      <c r="G676" s="1644"/>
      <c r="H676" s="1645"/>
      <c r="I676" s="1646"/>
      <c r="J676" s="1647"/>
      <c r="K676" s="1648"/>
      <c r="L676" s="1643"/>
      <c r="M676" s="1649"/>
      <c r="N676" s="1649"/>
      <c r="O676" s="1650"/>
    </row>
    <row r="677">
      <c r="A677" s="1651"/>
      <c r="B677" s="1651"/>
      <c r="C677" s="1652"/>
      <c r="D677" s="1654"/>
      <c r="E677" s="1653"/>
      <c r="F677" s="1654"/>
      <c r="G677" s="1654"/>
      <c r="H677" s="1654"/>
      <c r="I677" s="1654"/>
      <c r="J677" s="1654"/>
      <c r="K677" s="1654"/>
      <c r="L677" s="1654"/>
      <c r="M677" s="1655"/>
      <c r="N677" s="1655"/>
      <c r="O677" s="1656"/>
    </row>
    <row r="678">
      <c r="A678" s="1639"/>
      <c r="B678" s="1639"/>
      <c r="C678" s="1640"/>
      <c r="D678" s="1646"/>
      <c r="E678" s="1642"/>
      <c r="F678" s="1643"/>
      <c r="G678" s="1644"/>
      <c r="H678" s="1645"/>
      <c r="I678" s="1646"/>
      <c r="J678" s="1647"/>
      <c r="K678" s="1648"/>
      <c r="L678" s="1643"/>
      <c r="M678" s="1649"/>
      <c r="N678" s="1649"/>
      <c r="O678" s="1650"/>
    </row>
    <row r="679">
      <c r="A679" s="1651"/>
      <c r="B679" s="1651"/>
      <c r="C679" s="1652"/>
      <c r="D679" s="1654"/>
      <c r="E679" s="1653"/>
      <c r="F679" s="1654"/>
      <c r="G679" s="1654"/>
      <c r="H679" s="1654"/>
      <c r="I679" s="1654"/>
      <c r="J679" s="1654"/>
      <c r="K679" s="1654"/>
      <c r="L679" s="1654"/>
      <c r="M679" s="1655"/>
      <c r="N679" s="1655"/>
      <c r="O679" s="1656"/>
    </row>
    <row r="680">
      <c r="A680" s="1639"/>
      <c r="B680" s="1639"/>
      <c r="C680" s="1640"/>
      <c r="D680" s="1646"/>
      <c r="E680" s="1642"/>
      <c r="F680" s="1643"/>
      <c r="G680" s="1644"/>
      <c r="H680" s="1645"/>
      <c r="I680" s="1646"/>
      <c r="J680" s="1647"/>
      <c r="K680" s="1648"/>
      <c r="L680" s="1643"/>
      <c r="M680" s="1649"/>
      <c r="N680" s="1649"/>
      <c r="O680" s="1650"/>
    </row>
    <row r="681">
      <c r="A681" s="1651"/>
      <c r="B681" s="1651"/>
      <c r="C681" s="1652"/>
      <c r="D681" s="1654"/>
      <c r="E681" s="1653"/>
      <c r="F681" s="1654"/>
      <c r="G681" s="1654"/>
      <c r="H681" s="1654"/>
      <c r="I681" s="1654"/>
      <c r="J681" s="1654"/>
      <c r="K681" s="1654"/>
      <c r="L681" s="1654"/>
      <c r="M681" s="1655"/>
      <c r="N681" s="1655"/>
      <c r="O681" s="1656"/>
    </row>
    <row r="682">
      <c r="A682" s="1639"/>
      <c r="B682" s="1639"/>
      <c r="C682" s="1640"/>
      <c r="D682" s="1646"/>
      <c r="E682" s="1642"/>
      <c r="F682" s="1643"/>
      <c r="G682" s="1644"/>
      <c r="H682" s="1645"/>
      <c r="I682" s="1646"/>
      <c r="J682" s="1647"/>
      <c r="K682" s="1648"/>
      <c r="L682" s="1643"/>
      <c r="M682" s="1649"/>
      <c r="N682" s="1649"/>
      <c r="O682" s="1650"/>
    </row>
    <row r="683">
      <c r="A683" s="1651"/>
      <c r="B683" s="1651"/>
      <c r="C683" s="1652"/>
      <c r="D683" s="1654"/>
      <c r="E683" s="1653"/>
      <c r="F683" s="1654"/>
      <c r="G683" s="1654"/>
      <c r="H683" s="1654"/>
      <c r="I683" s="1654"/>
      <c r="J683" s="1654"/>
      <c r="K683" s="1654"/>
      <c r="L683" s="1654"/>
      <c r="M683" s="1655"/>
      <c r="N683" s="1655"/>
      <c r="O683" s="1656"/>
    </row>
    <row r="684">
      <c r="A684" s="1639"/>
      <c r="B684" s="1639"/>
      <c r="C684" s="1640"/>
      <c r="D684" s="1646"/>
      <c r="E684" s="1642"/>
      <c r="F684" s="1643"/>
      <c r="G684" s="1644"/>
      <c r="H684" s="1645"/>
      <c r="I684" s="1646"/>
      <c r="J684" s="1647"/>
      <c r="K684" s="1648"/>
      <c r="L684" s="1643"/>
      <c r="M684" s="1649"/>
      <c r="N684" s="1649"/>
      <c r="O684" s="1650"/>
    </row>
    <row r="685">
      <c r="A685" s="1651"/>
      <c r="B685" s="1651"/>
      <c r="C685" s="1652"/>
      <c r="D685" s="1654"/>
      <c r="E685" s="1653"/>
      <c r="F685" s="1654"/>
      <c r="G685" s="1654"/>
      <c r="H685" s="1654"/>
      <c r="I685" s="1654"/>
      <c r="J685" s="1654"/>
      <c r="K685" s="1654"/>
      <c r="L685" s="1654"/>
      <c r="M685" s="1655"/>
      <c r="N685" s="1655"/>
      <c r="O685" s="1656"/>
    </row>
    <row r="686">
      <c r="A686" s="1639"/>
      <c r="B686" s="1639"/>
      <c r="C686" s="1640"/>
      <c r="D686" s="1646"/>
      <c r="E686" s="1642"/>
      <c r="F686" s="1643"/>
      <c r="G686" s="1644"/>
      <c r="H686" s="1645"/>
      <c r="I686" s="1646"/>
      <c r="J686" s="1647"/>
      <c r="K686" s="1648"/>
      <c r="L686" s="1643"/>
      <c r="M686" s="1649"/>
      <c r="N686" s="1649"/>
      <c r="O686" s="1650"/>
    </row>
    <row r="687">
      <c r="A687" s="1651"/>
      <c r="B687" s="1651"/>
      <c r="C687" s="1652"/>
      <c r="D687" s="1654"/>
      <c r="E687" s="1653"/>
      <c r="F687" s="1654"/>
      <c r="G687" s="1654"/>
      <c r="H687" s="1654"/>
      <c r="I687" s="1654"/>
      <c r="J687" s="1654"/>
      <c r="K687" s="1654"/>
      <c r="L687" s="1654"/>
      <c r="M687" s="1655"/>
      <c r="N687" s="1655"/>
      <c r="O687" s="1656"/>
    </row>
    <row r="688">
      <c r="A688" s="1639"/>
      <c r="B688" s="1639"/>
      <c r="C688" s="1640"/>
      <c r="D688" s="1646"/>
      <c r="E688" s="1642"/>
      <c r="F688" s="1643"/>
      <c r="G688" s="1644"/>
      <c r="H688" s="1645"/>
      <c r="I688" s="1646"/>
      <c r="J688" s="1647"/>
      <c r="K688" s="1648"/>
      <c r="L688" s="1643"/>
      <c r="M688" s="1649"/>
      <c r="N688" s="1649"/>
      <c r="O688" s="1650"/>
    </row>
    <row r="689">
      <c r="A689" s="1651"/>
      <c r="B689" s="1651"/>
      <c r="C689" s="1652"/>
      <c r="D689" s="1654"/>
      <c r="E689" s="1653"/>
      <c r="F689" s="1654"/>
      <c r="G689" s="1654"/>
      <c r="H689" s="1654"/>
      <c r="I689" s="1654"/>
      <c r="J689" s="1654"/>
      <c r="K689" s="1654"/>
      <c r="L689" s="1654"/>
      <c r="M689" s="1655"/>
      <c r="N689" s="1655"/>
      <c r="O689" s="1656"/>
    </row>
    <row r="690">
      <c r="A690" s="1639"/>
      <c r="B690" s="1639"/>
      <c r="C690" s="1640"/>
      <c r="D690" s="1646"/>
      <c r="E690" s="1642"/>
      <c r="F690" s="1643"/>
      <c r="G690" s="1644"/>
      <c r="H690" s="1645"/>
      <c r="I690" s="1646"/>
      <c r="J690" s="1647"/>
      <c r="K690" s="1648"/>
      <c r="L690" s="1643"/>
      <c r="M690" s="1649"/>
      <c r="N690" s="1649"/>
      <c r="O690" s="1650"/>
    </row>
    <row r="691">
      <c r="A691" s="1651"/>
      <c r="B691" s="1651"/>
      <c r="C691" s="1652"/>
      <c r="D691" s="1654"/>
      <c r="E691" s="1653"/>
      <c r="F691" s="1654"/>
      <c r="G691" s="1654"/>
      <c r="H691" s="1654"/>
      <c r="I691" s="1654"/>
      <c r="J691" s="1654"/>
      <c r="K691" s="1654"/>
      <c r="L691" s="1654"/>
      <c r="M691" s="1655"/>
      <c r="N691" s="1655"/>
      <c r="O691" s="1656"/>
    </row>
    <row r="692">
      <c r="A692" s="1639"/>
      <c r="B692" s="1639"/>
      <c r="C692" s="1640"/>
      <c r="D692" s="1646"/>
      <c r="E692" s="1642"/>
      <c r="F692" s="1643"/>
      <c r="G692" s="1644"/>
      <c r="H692" s="1645"/>
      <c r="I692" s="1646"/>
      <c r="J692" s="1647"/>
      <c r="K692" s="1648"/>
      <c r="L692" s="1643"/>
      <c r="M692" s="1649"/>
      <c r="N692" s="1649"/>
      <c r="O692" s="1650"/>
    </row>
    <row r="693">
      <c r="A693" s="1651"/>
      <c r="B693" s="1651"/>
      <c r="C693" s="1652"/>
      <c r="D693" s="1654"/>
      <c r="E693" s="1653"/>
      <c r="F693" s="1654"/>
      <c r="G693" s="1654"/>
      <c r="H693" s="1654"/>
      <c r="I693" s="1654"/>
      <c r="J693" s="1654"/>
      <c r="K693" s="1654"/>
      <c r="L693" s="1654"/>
      <c r="M693" s="1655"/>
      <c r="N693" s="1655"/>
      <c r="O693" s="1656"/>
    </row>
    <row r="694">
      <c r="A694" s="1639"/>
      <c r="B694" s="1639"/>
      <c r="C694" s="1640"/>
      <c r="D694" s="1646"/>
      <c r="E694" s="1642"/>
      <c r="F694" s="1643"/>
      <c r="G694" s="1644"/>
      <c r="H694" s="1645"/>
      <c r="I694" s="1646"/>
      <c r="J694" s="1647"/>
      <c r="K694" s="1648"/>
      <c r="L694" s="1643"/>
      <c r="M694" s="1649"/>
      <c r="N694" s="1649"/>
      <c r="O694" s="1650"/>
    </row>
    <row r="695">
      <c r="A695" s="1651"/>
      <c r="B695" s="1651"/>
      <c r="C695" s="1652"/>
      <c r="D695" s="1654"/>
      <c r="E695" s="1653"/>
      <c r="F695" s="1654"/>
      <c r="G695" s="1654"/>
      <c r="H695" s="1654"/>
      <c r="I695" s="1654"/>
      <c r="J695" s="1654"/>
      <c r="K695" s="1654"/>
      <c r="L695" s="1654"/>
      <c r="M695" s="1655"/>
      <c r="N695" s="1655"/>
      <c r="O695" s="1656"/>
    </row>
    <row r="696">
      <c r="A696" s="1639"/>
      <c r="B696" s="1639"/>
      <c r="C696" s="1640"/>
      <c r="D696" s="1646"/>
      <c r="E696" s="1642"/>
      <c r="F696" s="1643"/>
      <c r="G696" s="1644"/>
      <c r="H696" s="1645"/>
      <c r="I696" s="1646"/>
      <c r="J696" s="1647"/>
      <c r="K696" s="1648"/>
      <c r="L696" s="1643"/>
      <c r="M696" s="1649"/>
      <c r="N696" s="1649"/>
      <c r="O696" s="1650"/>
    </row>
    <row r="697">
      <c r="A697" s="1651"/>
      <c r="B697" s="1651"/>
      <c r="C697" s="1652"/>
      <c r="D697" s="1654"/>
      <c r="E697" s="1653"/>
      <c r="F697" s="1654"/>
      <c r="G697" s="1654"/>
      <c r="H697" s="1654"/>
      <c r="I697" s="1654"/>
      <c r="J697" s="1654"/>
      <c r="K697" s="1654"/>
      <c r="L697" s="1654"/>
      <c r="M697" s="1655"/>
      <c r="N697" s="1655"/>
      <c r="O697" s="1656"/>
    </row>
    <row r="698">
      <c r="A698" s="1639"/>
      <c r="B698" s="1639"/>
      <c r="C698" s="1640"/>
      <c r="D698" s="1646"/>
      <c r="E698" s="1642"/>
      <c r="F698" s="1643"/>
      <c r="G698" s="1644"/>
      <c r="H698" s="1645"/>
      <c r="I698" s="1646"/>
      <c r="J698" s="1647"/>
      <c r="K698" s="1648"/>
      <c r="L698" s="1643"/>
      <c r="M698" s="1649"/>
      <c r="N698" s="1649"/>
      <c r="O698" s="1650"/>
    </row>
    <row r="699">
      <c r="A699" s="1651"/>
      <c r="B699" s="1651"/>
      <c r="C699" s="1652"/>
      <c r="D699" s="1654"/>
      <c r="E699" s="1653"/>
      <c r="F699" s="1654"/>
      <c r="G699" s="1654"/>
      <c r="H699" s="1654"/>
      <c r="I699" s="1654"/>
      <c r="J699" s="1654"/>
      <c r="K699" s="1654"/>
      <c r="L699" s="1654"/>
      <c r="M699" s="1655"/>
      <c r="N699" s="1655"/>
      <c r="O699" s="1656"/>
    </row>
    <row r="700">
      <c r="A700" s="1639"/>
      <c r="B700" s="1639"/>
      <c r="C700" s="1640"/>
      <c r="D700" s="1646"/>
      <c r="E700" s="1642"/>
      <c r="F700" s="1643"/>
      <c r="G700" s="1644"/>
      <c r="H700" s="1645"/>
      <c r="I700" s="1646"/>
      <c r="J700" s="1647"/>
      <c r="K700" s="1648"/>
      <c r="L700" s="1643"/>
      <c r="M700" s="1649"/>
      <c r="N700" s="1649"/>
      <c r="O700" s="1650"/>
    </row>
    <row r="701">
      <c r="A701" s="1651"/>
      <c r="B701" s="1651"/>
      <c r="C701" s="1652"/>
      <c r="D701" s="1654"/>
      <c r="E701" s="1653"/>
      <c r="F701" s="1654"/>
      <c r="G701" s="1654"/>
      <c r="H701" s="1654"/>
      <c r="I701" s="1654"/>
      <c r="J701" s="1654"/>
      <c r="K701" s="1654"/>
      <c r="L701" s="1654"/>
      <c r="M701" s="1655"/>
      <c r="N701" s="1655"/>
      <c r="O701" s="1656"/>
    </row>
    <row r="702">
      <c r="A702" s="1639"/>
      <c r="B702" s="1639"/>
      <c r="C702" s="1640"/>
      <c r="D702" s="1646"/>
      <c r="E702" s="1642"/>
      <c r="F702" s="1643"/>
      <c r="G702" s="1644"/>
      <c r="H702" s="1645"/>
      <c r="I702" s="1646"/>
      <c r="J702" s="1647"/>
      <c r="K702" s="1648"/>
      <c r="L702" s="1643"/>
      <c r="M702" s="1649"/>
      <c r="N702" s="1649"/>
      <c r="O702" s="1650"/>
    </row>
    <row r="703">
      <c r="A703" s="1651"/>
      <c r="B703" s="1651"/>
      <c r="C703" s="1652"/>
      <c r="D703" s="1654"/>
      <c r="E703" s="1653"/>
      <c r="F703" s="1654"/>
      <c r="G703" s="1654"/>
      <c r="H703" s="1654"/>
      <c r="I703" s="1654"/>
      <c r="J703" s="1654"/>
      <c r="K703" s="1654"/>
      <c r="L703" s="1654"/>
      <c r="M703" s="1655"/>
      <c r="N703" s="1655"/>
      <c r="O703" s="1656"/>
    </row>
    <row r="704">
      <c r="A704" s="1639"/>
      <c r="B704" s="1639"/>
      <c r="C704" s="1640"/>
      <c r="D704" s="1646"/>
      <c r="E704" s="1642"/>
      <c r="F704" s="1643"/>
      <c r="G704" s="1644"/>
      <c r="H704" s="1645"/>
      <c r="I704" s="1646"/>
      <c r="J704" s="1647"/>
      <c r="K704" s="1648"/>
      <c r="L704" s="1643"/>
      <c r="M704" s="1649"/>
      <c r="N704" s="1649"/>
      <c r="O704" s="1650"/>
    </row>
    <row r="705">
      <c r="A705" s="1651"/>
      <c r="B705" s="1651"/>
      <c r="C705" s="1652"/>
      <c r="D705" s="1654"/>
      <c r="E705" s="1653"/>
      <c r="F705" s="1654"/>
      <c r="G705" s="1654"/>
      <c r="H705" s="1654"/>
      <c r="I705" s="1654"/>
      <c r="J705" s="1654"/>
      <c r="K705" s="1654"/>
      <c r="L705" s="1654"/>
      <c r="M705" s="1655"/>
      <c r="N705" s="1655"/>
      <c r="O705" s="1656"/>
    </row>
    <row r="706">
      <c r="A706" s="1639"/>
      <c r="B706" s="1639"/>
      <c r="C706" s="1640"/>
      <c r="D706" s="1646"/>
      <c r="E706" s="1642"/>
      <c r="F706" s="1643"/>
      <c r="G706" s="1644"/>
      <c r="H706" s="1645"/>
      <c r="I706" s="1646"/>
      <c r="J706" s="1647"/>
      <c r="K706" s="1648"/>
      <c r="L706" s="1643"/>
      <c r="M706" s="1649"/>
      <c r="N706" s="1649"/>
      <c r="O706" s="1650"/>
    </row>
    <row r="707">
      <c r="A707" s="1651"/>
      <c r="B707" s="1651"/>
      <c r="C707" s="1652"/>
      <c r="D707" s="1654"/>
      <c r="E707" s="1653"/>
      <c r="F707" s="1654"/>
      <c r="G707" s="1654"/>
      <c r="H707" s="1654"/>
      <c r="I707" s="1654"/>
      <c r="J707" s="1654"/>
      <c r="K707" s="1654"/>
      <c r="L707" s="1654"/>
      <c r="M707" s="1655"/>
      <c r="N707" s="1655"/>
      <c r="O707" s="1656"/>
    </row>
    <row r="708">
      <c r="A708" s="1639"/>
      <c r="B708" s="1639"/>
      <c r="C708" s="1640"/>
      <c r="D708" s="1646"/>
      <c r="E708" s="1642"/>
      <c r="F708" s="1643"/>
      <c r="G708" s="1644"/>
      <c r="H708" s="1645"/>
      <c r="I708" s="1646"/>
      <c r="J708" s="1647"/>
      <c r="K708" s="1648"/>
      <c r="L708" s="1643"/>
      <c r="M708" s="1649"/>
      <c r="N708" s="1649"/>
      <c r="O708" s="1650"/>
    </row>
    <row r="709">
      <c r="A709" s="1651"/>
      <c r="B709" s="1651"/>
      <c r="C709" s="1652"/>
      <c r="D709" s="1654"/>
      <c r="E709" s="1653"/>
      <c r="F709" s="1654"/>
      <c r="G709" s="1654"/>
      <c r="H709" s="1654"/>
      <c r="I709" s="1654"/>
      <c r="J709" s="1654"/>
      <c r="K709" s="1654"/>
      <c r="L709" s="1654"/>
      <c r="M709" s="1655"/>
      <c r="N709" s="1655"/>
      <c r="O709" s="1656"/>
    </row>
    <row r="710">
      <c r="A710" s="1639"/>
      <c r="B710" s="1639"/>
      <c r="C710" s="1640"/>
      <c r="D710" s="1646"/>
      <c r="E710" s="1642"/>
      <c r="F710" s="1643"/>
      <c r="G710" s="1644"/>
      <c r="H710" s="1645"/>
      <c r="I710" s="1646"/>
      <c r="J710" s="1647"/>
      <c r="K710" s="1648"/>
      <c r="L710" s="1643"/>
      <c r="M710" s="1649"/>
      <c r="N710" s="1649"/>
      <c r="O710" s="1650"/>
    </row>
    <row r="711">
      <c r="A711" s="1651"/>
      <c r="B711" s="1651"/>
      <c r="C711" s="1652"/>
      <c r="D711" s="1654"/>
      <c r="E711" s="1653"/>
      <c r="F711" s="1654"/>
      <c r="G711" s="1654"/>
      <c r="H711" s="1654"/>
      <c r="I711" s="1654"/>
      <c r="J711" s="1654"/>
      <c r="K711" s="1654"/>
      <c r="L711" s="1654"/>
      <c r="M711" s="1655"/>
      <c r="N711" s="1655"/>
      <c r="O711" s="1656"/>
    </row>
    <row r="712">
      <c r="A712" s="1639"/>
      <c r="B712" s="1639"/>
      <c r="C712" s="1640"/>
      <c r="D712" s="1646"/>
      <c r="E712" s="1642"/>
      <c r="F712" s="1643"/>
      <c r="G712" s="1644"/>
      <c r="H712" s="1645"/>
      <c r="I712" s="1646"/>
      <c r="J712" s="1647"/>
      <c r="K712" s="1648"/>
      <c r="L712" s="1643"/>
      <c r="M712" s="1649"/>
      <c r="N712" s="1649"/>
      <c r="O712" s="1650"/>
    </row>
    <row r="713">
      <c r="A713" s="1651"/>
      <c r="B713" s="1651"/>
      <c r="C713" s="1652"/>
      <c r="D713" s="1654"/>
      <c r="E713" s="1653"/>
      <c r="F713" s="1654"/>
      <c r="G713" s="1654"/>
      <c r="H713" s="1654"/>
      <c r="I713" s="1654"/>
      <c r="J713" s="1654"/>
      <c r="K713" s="1654"/>
      <c r="L713" s="1654"/>
      <c r="M713" s="1655"/>
      <c r="N713" s="1655"/>
      <c r="O713" s="1656"/>
    </row>
    <row r="714">
      <c r="A714" s="1639"/>
      <c r="B714" s="1639"/>
      <c r="C714" s="1640"/>
      <c r="D714" s="1646"/>
      <c r="E714" s="1642"/>
      <c r="F714" s="1643"/>
      <c r="G714" s="1644"/>
      <c r="H714" s="1645"/>
      <c r="I714" s="1646"/>
      <c r="J714" s="1647"/>
      <c r="K714" s="1648"/>
      <c r="L714" s="1643"/>
      <c r="M714" s="1649"/>
      <c r="N714" s="1649"/>
      <c r="O714" s="1650"/>
    </row>
    <row r="715">
      <c r="A715" s="1651"/>
      <c r="B715" s="1651"/>
      <c r="C715" s="1652"/>
      <c r="D715" s="1654"/>
      <c r="E715" s="1653"/>
      <c r="F715" s="1654"/>
      <c r="G715" s="1654"/>
      <c r="H715" s="1654"/>
      <c r="I715" s="1654"/>
      <c r="J715" s="1654"/>
      <c r="K715" s="1654"/>
      <c r="L715" s="1654"/>
      <c r="M715" s="1655"/>
      <c r="N715" s="1655"/>
      <c r="O715" s="1656"/>
    </row>
    <row r="716">
      <c r="A716" s="1639"/>
      <c r="B716" s="1639"/>
      <c r="C716" s="1640"/>
      <c r="D716" s="1646"/>
      <c r="E716" s="1642"/>
      <c r="F716" s="1643"/>
      <c r="G716" s="1644"/>
      <c r="H716" s="1645"/>
      <c r="I716" s="1646"/>
      <c r="J716" s="1647"/>
      <c r="K716" s="1648"/>
      <c r="L716" s="1643"/>
      <c r="M716" s="1649"/>
      <c r="N716" s="1649"/>
      <c r="O716" s="1650"/>
    </row>
    <row r="717">
      <c r="A717" s="1651"/>
      <c r="B717" s="1651"/>
      <c r="C717" s="1652"/>
      <c r="D717" s="1654"/>
      <c r="E717" s="1653"/>
      <c r="F717" s="1654"/>
      <c r="G717" s="1654"/>
      <c r="H717" s="1654"/>
      <c r="I717" s="1654"/>
      <c r="J717" s="1654"/>
      <c r="K717" s="1654"/>
      <c r="L717" s="1654"/>
      <c r="M717" s="1655"/>
      <c r="N717" s="1655"/>
      <c r="O717" s="1656"/>
    </row>
    <row r="718">
      <c r="A718" s="1639"/>
      <c r="B718" s="1639"/>
      <c r="C718" s="1640"/>
      <c r="D718" s="1646"/>
      <c r="E718" s="1642"/>
      <c r="F718" s="1643"/>
      <c r="G718" s="1644"/>
      <c r="H718" s="1645"/>
      <c r="I718" s="1646"/>
      <c r="J718" s="1647"/>
      <c r="K718" s="1648"/>
      <c r="L718" s="1643"/>
      <c r="M718" s="1649"/>
      <c r="N718" s="1649"/>
      <c r="O718" s="1650"/>
    </row>
    <row r="719">
      <c r="A719" s="1651"/>
      <c r="B719" s="1651"/>
      <c r="C719" s="1652"/>
      <c r="D719" s="1654"/>
      <c r="E719" s="1653"/>
      <c r="F719" s="1654"/>
      <c r="G719" s="1654"/>
      <c r="H719" s="1654"/>
      <c r="I719" s="1654"/>
      <c r="J719" s="1654"/>
      <c r="K719" s="1654"/>
      <c r="L719" s="1654"/>
      <c r="M719" s="1655"/>
      <c r="N719" s="1655"/>
      <c r="O719" s="1656"/>
    </row>
    <row r="720">
      <c r="A720" s="1639"/>
      <c r="B720" s="1639"/>
      <c r="C720" s="1640"/>
      <c r="D720" s="1646"/>
      <c r="E720" s="1642"/>
      <c r="F720" s="1643"/>
      <c r="G720" s="1644"/>
      <c r="H720" s="1645"/>
      <c r="I720" s="1646"/>
      <c r="J720" s="1647"/>
      <c r="K720" s="1648"/>
      <c r="L720" s="1643"/>
      <c r="M720" s="1649"/>
      <c r="N720" s="1649"/>
      <c r="O720" s="1650"/>
    </row>
    <row r="721">
      <c r="A721" s="1651"/>
      <c r="B721" s="1651"/>
      <c r="C721" s="1652"/>
      <c r="D721" s="1654"/>
      <c r="E721" s="1653"/>
      <c r="F721" s="1654"/>
      <c r="G721" s="1654"/>
      <c r="H721" s="1654"/>
      <c r="I721" s="1654"/>
      <c r="J721" s="1654"/>
      <c r="K721" s="1654"/>
      <c r="L721" s="1654"/>
      <c r="M721" s="1655"/>
      <c r="N721" s="1655"/>
      <c r="O721" s="1656"/>
    </row>
    <row r="722">
      <c r="A722" s="1639"/>
      <c r="B722" s="1639"/>
      <c r="C722" s="1640"/>
      <c r="D722" s="1646"/>
      <c r="E722" s="1642"/>
      <c r="F722" s="1643"/>
      <c r="G722" s="1644"/>
      <c r="H722" s="1645"/>
      <c r="I722" s="1646"/>
      <c r="J722" s="1647"/>
      <c r="K722" s="1648"/>
      <c r="L722" s="1643"/>
      <c r="M722" s="1649"/>
      <c r="N722" s="1649"/>
      <c r="O722" s="1650"/>
    </row>
    <row r="723">
      <c r="A723" s="1651"/>
      <c r="B723" s="1651"/>
      <c r="C723" s="1652"/>
      <c r="D723" s="1654"/>
      <c r="E723" s="1653"/>
      <c r="F723" s="1654"/>
      <c r="G723" s="1654"/>
      <c r="H723" s="1654"/>
      <c r="I723" s="1654"/>
      <c r="J723" s="1654"/>
      <c r="K723" s="1654"/>
      <c r="L723" s="1654"/>
      <c r="M723" s="1655"/>
      <c r="N723" s="1655"/>
      <c r="O723" s="1656"/>
    </row>
    <row r="724">
      <c r="A724" s="1639"/>
      <c r="B724" s="1639"/>
      <c r="C724" s="1640"/>
      <c r="D724" s="1646"/>
      <c r="E724" s="1642"/>
      <c r="F724" s="1643"/>
      <c r="G724" s="1644"/>
      <c r="H724" s="1645"/>
      <c r="I724" s="1646"/>
      <c r="J724" s="1647"/>
      <c r="K724" s="1648"/>
      <c r="L724" s="1643"/>
      <c r="M724" s="1649"/>
      <c r="N724" s="1649"/>
      <c r="O724" s="1650"/>
    </row>
    <row r="725">
      <c r="A725" s="1651"/>
      <c r="B725" s="1651"/>
      <c r="C725" s="1652"/>
      <c r="D725" s="1654"/>
      <c r="E725" s="1653"/>
      <c r="F725" s="1654"/>
      <c r="G725" s="1654"/>
      <c r="H725" s="1654"/>
      <c r="I725" s="1654"/>
      <c r="J725" s="1654"/>
      <c r="K725" s="1654"/>
      <c r="L725" s="1654"/>
      <c r="M725" s="1655"/>
      <c r="N725" s="1655"/>
      <c r="O725" s="1656"/>
    </row>
    <row r="726">
      <c r="A726" s="1639"/>
      <c r="B726" s="1639"/>
      <c r="C726" s="1640"/>
      <c r="D726" s="1646"/>
      <c r="E726" s="1642"/>
      <c r="F726" s="1643"/>
      <c r="G726" s="1644"/>
      <c r="H726" s="1645"/>
      <c r="I726" s="1646"/>
      <c r="J726" s="1647"/>
      <c r="K726" s="1648"/>
      <c r="L726" s="1643"/>
      <c r="M726" s="1649"/>
      <c r="N726" s="1649"/>
      <c r="O726" s="1650"/>
    </row>
    <row r="727">
      <c r="A727" s="1651"/>
      <c r="B727" s="1651"/>
      <c r="C727" s="1652"/>
      <c r="D727" s="1654"/>
      <c r="E727" s="1653"/>
      <c r="F727" s="1654"/>
      <c r="G727" s="1654"/>
      <c r="H727" s="1654"/>
      <c r="I727" s="1654"/>
      <c r="J727" s="1654"/>
      <c r="K727" s="1654"/>
      <c r="L727" s="1654"/>
      <c r="M727" s="1655"/>
      <c r="N727" s="1655"/>
      <c r="O727" s="1656"/>
    </row>
    <row r="728">
      <c r="A728" s="1639"/>
      <c r="B728" s="1639"/>
      <c r="C728" s="1640"/>
      <c r="D728" s="1646"/>
      <c r="E728" s="1642"/>
      <c r="F728" s="1643"/>
      <c r="G728" s="1644"/>
      <c r="H728" s="1645"/>
      <c r="I728" s="1646"/>
      <c r="J728" s="1647"/>
      <c r="K728" s="1648"/>
      <c r="L728" s="1643"/>
      <c r="M728" s="1649"/>
      <c r="N728" s="1649"/>
      <c r="O728" s="1650"/>
    </row>
    <row r="729">
      <c r="A729" s="1651"/>
      <c r="B729" s="1651"/>
      <c r="C729" s="1652"/>
      <c r="D729" s="1654"/>
      <c r="E729" s="1653"/>
      <c r="F729" s="1654"/>
      <c r="G729" s="1654"/>
      <c r="H729" s="1654"/>
      <c r="I729" s="1654"/>
      <c r="J729" s="1654"/>
      <c r="K729" s="1654"/>
      <c r="L729" s="1654"/>
      <c r="M729" s="1655"/>
      <c r="N729" s="1655"/>
      <c r="O729" s="1656"/>
    </row>
    <row r="730">
      <c r="A730" s="1639"/>
      <c r="B730" s="1639"/>
      <c r="C730" s="1640"/>
      <c r="D730" s="1646"/>
      <c r="E730" s="1642"/>
      <c r="F730" s="1643"/>
      <c r="G730" s="1644"/>
      <c r="H730" s="1645"/>
      <c r="I730" s="1646"/>
      <c r="J730" s="1647"/>
      <c r="K730" s="1648"/>
      <c r="L730" s="1643"/>
      <c r="M730" s="1649"/>
      <c r="N730" s="1649"/>
      <c r="O730" s="1650"/>
    </row>
    <row r="731">
      <c r="A731" s="1651"/>
      <c r="B731" s="1651"/>
      <c r="C731" s="1652"/>
      <c r="D731" s="1654"/>
      <c r="E731" s="1653"/>
      <c r="F731" s="1654"/>
      <c r="G731" s="1654"/>
      <c r="H731" s="1654"/>
      <c r="I731" s="1654"/>
      <c r="J731" s="1654"/>
      <c r="K731" s="1654"/>
      <c r="L731" s="1654"/>
      <c r="M731" s="1655"/>
      <c r="N731" s="1655"/>
      <c r="O731" s="1656"/>
    </row>
    <row r="732">
      <c r="A732" s="1639"/>
      <c r="B732" s="1639"/>
      <c r="C732" s="1640"/>
      <c r="D732" s="1646"/>
      <c r="E732" s="1642"/>
      <c r="F732" s="1643"/>
      <c r="G732" s="1644"/>
      <c r="H732" s="1645"/>
      <c r="I732" s="1646"/>
      <c r="J732" s="1647"/>
      <c r="K732" s="1648"/>
      <c r="L732" s="1643"/>
      <c r="M732" s="1649"/>
      <c r="N732" s="1649"/>
      <c r="O732" s="1650"/>
    </row>
    <row r="733">
      <c r="A733" s="1651"/>
      <c r="B733" s="1651"/>
      <c r="C733" s="1652"/>
      <c r="D733" s="1654"/>
      <c r="E733" s="1653"/>
      <c r="F733" s="1654"/>
      <c r="G733" s="1654"/>
      <c r="H733" s="1654"/>
      <c r="I733" s="1654"/>
      <c r="J733" s="1654"/>
      <c r="K733" s="1654"/>
      <c r="L733" s="1654"/>
      <c r="M733" s="1655"/>
      <c r="N733" s="1655"/>
      <c r="O733" s="1656"/>
    </row>
    <row r="734">
      <c r="A734" s="1639"/>
      <c r="B734" s="1639"/>
      <c r="C734" s="1640"/>
      <c r="D734" s="1646"/>
      <c r="E734" s="1642"/>
      <c r="F734" s="1643"/>
      <c r="G734" s="1644"/>
      <c r="H734" s="1645"/>
      <c r="I734" s="1646"/>
      <c r="J734" s="1647"/>
      <c r="K734" s="1648"/>
      <c r="L734" s="1643"/>
      <c r="M734" s="1649"/>
      <c r="N734" s="1649"/>
      <c r="O734" s="1650"/>
    </row>
    <row r="735">
      <c r="A735" s="1651"/>
      <c r="B735" s="1651"/>
      <c r="C735" s="1652"/>
      <c r="D735" s="1654"/>
      <c r="E735" s="1653"/>
      <c r="F735" s="1654"/>
      <c r="G735" s="1654"/>
      <c r="H735" s="1654"/>
      <c r="I735" s="1654"/>
      <c r="J735" s="1654"/>
      <c r="K735" s="1654"/>
      <c r="L735" s="1654"/>
      <c r="M735" s="1655"/>
      <c r="N735" s="1655"/>
      <c r="O735" s="1656"/>
    </row>
    <row r="736">
      <c r="A736" s="1639"/>
      <c r="B736" s="1639"/>
      <c r="C736" s="1640"/>
      <c r="D736" s="1646"/>
      <c r="E736" s="1642"/>
      <c r="F736" s="1643"/>
      <c r="G736" s="1644"/>
      <c r="H736" s="1645"/>
      <c r="I736" s="1646"/>
      <c r="J736" s="1647"/>
      <c r="K736" s="1648"/>
      <c r="L736" s="1643"/>
      <c r="M736" s="1649"/>
      <c r="N736" s="1649"/>
      <c r="O736" s="1650"/>
    </row>
    <row r="737">
      <c r="A737" s="1651"/>
      <c r="B737" s="1651"/>
      <c r="C737" s="1652"/>
      <c r="D737" s="1654"/>
      <c r="E737" s="1653"/>
      <c r="F737" s="1654"/>
      <c r="G737" s="1654"/>
      <c r="H737" s="1654"/>
      <c r="I737" s="1654"/>
      <c r="J737" s="1654"/>
      <c r="K737" s="1654"/>
      <c r="L737" s="1654"/>
      <c r="M737" s="1655"/>
      <c r="N737" s="1655"/>
      <c r="O737" s="1656"/>
    </row>
    <row r="738">
      <c r="A738" s="1639"/>
      <c r="B738" s="1639"/>
      <c r="C738" s="1640"/>
      <c r="D738" s="1646"/>
      <c r="E738" s="1642"/>
      <c r="F738" s="1643"/>
      <c r="G738" s="1644"/>
      <c r="H738" s="1645"/>
      <c r="I738" s="1646"/>
      <c r="J738" s="1647"/>
      <c r="K738" s="1648"/>
      <c r="L738" s="1643"/>
      <c r="M738" s="1649"/>
      <c r="N738" s="1649"/>
      <c r="O738" s="1650"/>
    </row>
    <row r="739">
      <c r="A739" s="1651"/>
      <c r="B739" s="1651"/>
      <c r="C739" s="1652"/>
      <c r="D739" s="1654"/>
      <c r="E739" s="1653"/>
      <c r="F739" s="1654"/>
      <c r="G739" s="1654"/>
      <c r="H739" s="1654"/>
      <c r="I739" s="1654"/>
      <c r="J739" s="1654"/>
      <c r="K739" s="1654"/>
      <c r="L739" s="1654"/>
      <c r="M739" s="1655"/>
      <c r="N739" s="1655"/>
      <c r="O739" s="1656"/>
    </row>
    <row r="740">
      <c r="A740" s="1639"/>
      <c r="B740" s="1639"/>
      <c r="C740" s="1640"/>
      <c r="D740" s="1646"/>
      <c r="E740" s="1642"/>
      <c r="F740" s="1643"/>
      <c r="G740" s="1644"/>
      <c r="H740" s="1645"/>
      <c r="I740" s="1646"/>
      <c r="J740" s="1647"/>
      <c r="K740" s="1648"/>
      <c r="L740" s="1643"/>
      <c r="M740" s="1649"/>
      <c r="N740" s="1649"/>
      <c r="O740" s="1650"/>
    </row>
    <row r="741">
      <c r="A741" s="1651"/>
      <c r="B741" s="1651"/>
      <c r="C741" s="1652"/>
      <c r="D741" s="1654"/>
      <c r="E741" s="1653"/>
      <c r="F741" s="1654"/>
      <c r="G741" s="1654"/>
      <c r="H741" s="1654"/>
      <c r="I741" s="1654"/>
      <c r="J741" s="1654"/>
      <c r="K741" s="1654"/>
      <c r="L741" s="1654"/>
      <c r="M741" s="1655"/>
      <c r="N741" s="1655"/>
      <c r="O741" s="1656"/>
    </row>
    <row r="742">
      <c r="A742" s="1639"/>
      <c r="B742" s="1639"/>
      <c r="C742" s="1640"/>
      <c r="D742" s="1646"/>
      <c r="E742" s="1642"/>
      <c r="F742" s="1643"/>
      <c r="G742" s="1644"/>
      <c r="H742" s="1645"/>
      <c r="I742" s="1646"/>
      <c r="J742" s="1647"/>
      <c r="K742" s="1648"/>
      <c r="L742" s="1643"/>
      <c r="M742" s="1649"/>
      <c r="N742" s="1649"/>
      <c r="O742" s="1650"/>
    </row>
    <row r="743">
      <c r="A743" s="1651"/>
      <c r="B743" s="1651"/>
      <c r="C743" s="1652"/>
      <c r="D743" s="1654"/>
      <c r="E743" s="1653"/>
      <c r="F743" s="1654"/>
      <c r="G743" s="1654"/>
      <c r="H743" s="1654"/>
      <c r="I743" s="1654"/>
      <c r="J743" s="1654"/>
      <c r="K743" s="1654"/>
      <c r="L743" s="1654"/>
      <c r="M743" s="1655"/>
      <c r="N743" s="1655"/>
      <c r="O743" s="1656"/>
    </row>
    <row r="744">
      <c r="A744" s="1639"/>
      <c r="B744" s="1639"/>
      <c r="C744" s="1640"/>
      <c r="D744" s="1646"/>
      <c r="E744" s="1642"/>
      <c r="F744" s="1643"/>
      <c r="G744" s="1644"/>
      <c r="H744" s="1645"/>
      <c r="I744" s="1646"/>
      <c r="J744" s="1647"/>
      <c r="K744" s="1648"/>
      <c r="L744" s="1643"/>
      <c r="M744" s="1649"/>
      <c r="N744" s="1649"/>
      <c r="O744" s="1650"/>
    </row>
    <row r="745">
      <c r="A745" s="1651"/>
      <c r="B745" s="1651"/>
      <c r="C745" s="1652"/>
      <c r="D745" s="1654"/>
      <c r="E745" s="1653"/>
      <c r="F745" s="1654"/>
      <c r="G745" s="1654"/>
      <c r="H745" s="1654"/>
      <c r="I745" s="1654"/>
      <c r="J745" s="1654"/>
      <c r="K745" s="1654"/>
      <c r="L745" s="1654"/>
      <c r="M745" s="1655"/>
      <c r="N745" s="1655"/>
      <c r="O745" s="1656"/>
    </row>
    <row r="746">
      <c r="A746" s="1639"/>
      <c r="B746" s="1639"/>
      <c r="C746" s="1640"/>
      <c r="D746" s="1646"/>
      <c r="E746" s="1642"/>
      <c r="F746" s="1643"/>
      <c r="G746" s="1644"/>
      <c r="H746" s="1645"/>
      <c r="I746" s="1646"/>
      <c r="J746" s="1647"/>
      <c r="K746" s="1648"/>
      <c r="L746" s="1643"/>
      <c r="M746" s="1649"/>
      <c r="N746" s="1649"/>
      <c r="O746" s="1650"/>
    </row>
    <row r="747">
      <c r="A747" s="1651"/>
      <c r="B747" s="1651"/>
      <c r="C747" s="1652"/>
      <c r="D747" s="1654"/>
      <c r="E747" s="1653"/>
      <c r="F747" s="1654"/>
      <c r="G747" s="1654"/>
      <c r="H747" s="1654"/>
      <c r="I747" s="1654"/>
      <c r="J747" s="1654"/>
      <c r="K747" s="1654"/>
      <c r="L747" s="1654"/>
      <c r="M747" s="1655"/>
      <c r="N747" s="1655"/>
      <c r="O747" s="1656"/>
    </row>
    <row r="748">
      <c r="A748" s="1639"/>
      <c r="B748" s="1639"/>
      <c r="C748" s="1640"/>
      <c r="D748" s="1646"/>
      <c r="E748" s="1642"/>
      <c r="F748" s="1643"/>
      <c r="G748" s="1644"/>
      <c r="H748" s="1645"/>
      <c r="I748" s="1646"/>
      <c r="J748" s="1647"/>
      <c r="K748" s="1648"/>
      <c r="L748" s="1643"/>
      <c r="M748" s="1649"/>
      <c r="N748" s="1649"/>
      <c r="O748" s="1650"/>
    </row>
    <row r="749">
      <c r="A749" s="1651"/>
      <c r="B749" s="1651"/>
      <c r="C749" s="1652"/>
      <c r="D749" s="1654"/>
      <c r="E749" s="1653"/>
      <c r="F749" s="1654"/>
      <c r="G749" s="1654"/>
      <c r="H749" s="1654"/>
      <c r="I749" s="1654"/>
      <c r="J749" s="1654"/>
      <c r="K749" s="1654"/>
      <c r="L749" s="1654"/>
      <c r="M749" s="1655"/>
      <c r="N749" s="1655"/>
      <c r="O749" s="1656"/>
    </row>
    <row r="750">
      <c r="A750" s="1639"/>
      <c r="B750" s="1639"/>
      <c r="C750" s="1640"/>
      <c r="D750" s="1646"/>
      <c r="E750" s="1642"/>
      <c r="F750" s="1643"/>
      <c r="G750" s="1644"/>
      <c r="H750" s="1645"/>
      <c r="I750" s="1646"/>
      <c r="J750" s="1647"/>
      <c r="K750" s="1648"/>
      <c r="L750" s="1643"/>
      <c r="M750" s="1649"/>
      <c r="N750" s="1649"/>
      <c r="O750" s="1650"/>
    </row>
    <row r="751">
      <c r="A751" s="1651"/>
      <c r="B751" s="1651"/>
      <c r="C751" s="1652"/>
      <c r="D751" s="1654"/>
      <c r="E751" s="1653"/>
      <c r="F751" s="1654"/>
      <c r="G751" s="1654"/>
      <c r="H751" s="1654"/>
      <c r="I751" s="1654"/>
      <c r="J751" s="1654"/>
      <c r="K751" s="1654"/>
      <c r="L751" s="1654"/>
      <c r="M751" s="1655"/>
      <c r="N751" s="1655"/>
      <c r="O751" s="1656"/>
    </row>
    <row r="752">
      <c r="A752" s="1639"/>
      <c r="B752" s="1639"/>
      <c r="C752" s="1640"/>
      <c r="D752" s="1646"/>
      <c r="E752" s="1642"/>
      <c r="F752" s="1643"/>
      <c r="G752" s="1644"/>
      <c r="H752" s="1645"/>
      <c r="I752" s="1646"/>
      <c r="J752" s="1647"/>
      <c r="K752" s="1648"/>
      <c r="L752" s="1643"/>
      <c r="M752" s="1649"/>
      <c r="N752" s="1649"/>
      <c r="O752" s="1650"/>
    </row>
    <row r="753">
      <c r="A753" s="1651"/>
      <c r="B753" s="1651"/>
      <c r="C753" s="1652"/>
      <c r="D753" s="1654"/>
      <c r="E753" s="1653"/>
      <c r="F753" s="1654"/>
      <c r="G753" s="1654"/>
      <c r="H753" s="1654"/>
      <c r="I753" s="1654"/>
      <c r="J753" s="1654"/>
      <c r="K753" s="1654"/>
      <c r="L753" s="1654"/>
      <c r="M753" s="1655"/>
      <c r="N753" s="1655"/>
      <c r="O753" s="1656"/>
    </row>
    <row r="754">
      <c r="A754" s="1639"/>
      <c r="B754" s="1639"/>
      <c r="C754" s="1640"/>
      <c r="D754" s="1646"/>
      <c r="E754" s="1642"/>
      <c r="F754" s="1643"/>
      <c r="G754" s="1644"/>
      <c r="H754" s="1645"/>
      <c r="I754" s="1646"/>
      <c r="J754" s="1647"/>
      <c r="K754" s="1648"/>
      <c r="L754" s="1643"/>
      <c r="M754" s="1649"/>
      <c r="N754" s="1649"/>
      <c r="O754" s="1650"/>
    </row>
    <row r="755">
      <c r="A755" s="1651"/>
      <c r="B755" s="1651"/>
      <c r="C755" s="1652"/>
      <c r="D755" s="1654"/>
      <c r="E755" s="1653"/>
      <c r="F755" s="1654"/>
      <c r="G755" s="1654"/>
      <c r="H755" s="1654"/>
      <c r="I755" s="1654"/>
      <c r="J755" s="1654"/>
      <c r="K755" s="1654"/>
      <c r="L755" s="1654"/>
      <c r="M755" s="1655"/>
      <c r="N755" s="1655"/>
      <c r="O755" s="1656"/>
    </row>
    <row r="756">
      <c r="A756" s="1639"/>
      <c r="B756" s="1639"/>
      <c r="C756" s="1640"/>
      <c r="D756" s="1646"/>
      <c r="E756" s="1642"/>
      <c r="F756" s="1643"/>
      <c r="G756" s="1644"/>
      <c r="H756" s="1645"/>
      <c r="I756" s="1646"/>
      <c r="J756" s="1647"/>
      <c r="K756" s="1648"/>
      <c r="L756" s="1643"/>
      <c r="M756" s="1649"/>
      <c r="N756" s="1649"/>
      <c r="O756" s="1650"/>
    </row>
    <row r="757">
      <c r="A757" s="1651"/>
      <c r="B757" s="1651"/>
      <c r="C757" s="1652"/>
      <c r="D757" s="1654"/>
      <c r="E757" s="1653"/>
      <c r="F757" s="1654"/>
      <c r="G757" s="1654"/>
      <c r="H757" s="1654"/>
      <c r="I757" s="1654"/>
      <c r="J757" s="1654"/>
      <c r="K757" s="1654"/>
      <c r="L757" s="1654"/>
      <c r="M757" s="1655"/>
      <c r="N757" s="1655"/>
      <c r="O757" s="1656"/>
    </row>
    <row r="758">
      <c r="A758" s="1639"/>
      <c r="B758" s="1639"/>
      <c r="C758" s="1640"/>
      <c r="D758" s="1646"/>
      <c r="E758" s="1642"/>
      <c r="F758" s="1643"/>
      <c r="G758" s="1644"/>
      <c r="H758" s="1645"/>
      <c r="I758" s="1646"/>
      <c r="J758" s="1647"/>
      <c r="K758" s="1648"/>
      <c r="L758" s="1643"/>
      <c r="M758" s="1649"/>
      <c r="N758" s="1649"/>
      <c r="O758" s="1650"/>
    </row>
    <row r="759">
      <c r="A759" s="1651"/>
      <c r="B759" s="1651"/>
      <c r="C759" s="1652"/>
      <c r="D759" s="1654"/>
      <c r="E759" s="1653"/>
      <c r="F759" s="1654"/>
      <c r="G759" s="1654"/>
      <c r="H759" s="1654"/>
      <c r="I759" s="1654"/>
      <c r="J759" s="1654"/>
      <c r="K759" s="1654"/>
      <c r="L759" s="1654"/>
      <c r="M759" s="1655"/>
      <c r="N759" s="1655"/>
      <c r="O759" s="1656"/>
    </row>
    <row r="760">
      <c r="A760" s="1639"/>
      <c r="B760" s="1639"/>
      <c r="C760" s="1640"/>
      <c r="D760" s="1646"/>
      <c r="E760" s="1642"/>
      <c r="F760" s="1643"/>
      <c r="G760" s="1644"/>
      <c r="H760" s="1645"/>
      <c r="I760" s="1646"/>
      <c r="J760" s="1647"/>
      <c r="K760" s="1648"/>
      <c r="L760" s="1643"/>
      <c r="M760" s="1649"/>
      <c r="N760" s="1649"/>
      <c r="O760" s="1650"/>
    </row>
    <row r="761">
      <c r="A761" s="1651"/>
      <c r="B761" s="1651"/>
      <c r="C761" s="1652"/>
      <c r="D761" s="1654"/>
      <c r="E761" s="1653"/>
      <c r="F761" s="1654"/>
      <c r="G761" s="1654"/>
      <c r="H761" s="1654"/>
      <c r="I761" s="1654"/>
      <c r="J761" s="1654"/>
      <c r="K761" s="1654"/>
      <c r="L761" s="1654"/>
      <c r="M761" s="1655"/>
      <c r="N761" s="1655"/>
      <c r="O761" s="1656"/>
    </row>
    <row r="762">
      <c r="A762" s="1639"/>
      <c r="B762" s="1639"/>
      <c r="C762" s="1640"/>
      <c r="D762" s="1646"/>
      <c r="E762" s="1642"/>
      <c r="F762" s="1643"/>
      <c r="G762" s="1644"/>
      <c r="H762" s="1645"/>
      <c r="I762" s="1646"/>
      <c r="J762" s="1647"/>
      <c r="K762" s="1648"/>
      <c r="L762" s="1643"/>
      <c r="M762" s="1649"/>
      <c r="N762" s="1649"/>
      <c r="O762" s="1650"/>
    </row>
    <row r="763">
      <c r="A763" s="1651"/>
      <c r="B763" s="1651"/>
      <c r="C763" s="1652"/>
      <c r="D763" s="1654"/>
      <c r="E763" s="1653"/>
      <c r="F763" s="1654"/>
      <c r="G763" s="1654"/>
      <c r="H763" s="1654"/>
      <c r="I763" s="1654"/>
      <c r="J763" s="1654"/>
      <c r="K763" s="1654"/>
      <c r="L763" s="1654"/>
      <c r="M763" s="1655"/>
      <c r="N763" s="1655"/>
      <c r="O763" s="1656"/>
    </row>
    <row r="764">
      <c r="A764" s="1639"/>
      <c r="B764" s="1639"/>
      <c r="C764" s="1640"/>
      <c r="D764" s="1646"/>
      <c r="E764" s="1642"/>
      <c r="F764" s="1643"/>
      <c r="G764" s="1644"/>
      <c r="H764" s="1645"/>
      <c r="I764" s="1646"/>
      <c r="J764" s="1647"/>
      <c r="K764" s="1648"/>
      <c r="L764" s="1643"/>
      <c r="M764" s="1649"/>
      <c r="N764" s="1649"/>
      <c r="O764" s="1650"/>
    </row>
    <row r="765">
      <c r="A765" s="1651"/>
      <c r="B765" s="1651"/>
      <c r="C765" s="1652"/>
      <c r="D765" s="1654"/>
      <c r="E765" s="1653"/>
      <c r="F765" s="1654"/>
      <c r="G765" s="1654"/>
      <c r="H765" s="1654"/>
      <c r="I765" s="1654"/>
      <c r="J765" s="1654"/>
      <c r="K765" s="1654"/>
      <c r="L765" s="1654"/>
      <c r="M765" s="1655"/>
      <c r="N765" s="1655"/>
      <c r="O765" s="1656"/>
    </row>
    <row r="766">
      <c r="A766" s="1639"/>
      <c r="B766" s="1639"/>
      <c r="C766" s="1640"/>
      <c r="D766" s="1646"/>
      <c r="E766" s="1642"/>
      <c r="F766" s="1643"/>
      <c r="G766" s="1644"/>
      <c r="H766" s="1645"/>
      <c r="I766" s="1646"/>
      <c r="J766" s="1647"/>
      <c r="K766" s="1648"/>
      <c r="L766" s="1643"/>
      <c r="M766" s="1649"/>
      <c r="N766" s="1649"/>
      <c r="O766" s="1650"/>
    </row>
    <row r="767">
      <c r="A767" s="1651"/>
      <c r="B767" s="1651"/>
      <c r="C767" s="1652"/>
      <c r="D767" s="1654"/>
      <c r="E767" s="1653"/>
      <c r="F767" s="1654"/>
      <c r="G767" s="1654"/>
      <c r="H767" s="1654"/>
      <c r="I767" s="1654"/>
      <c r="J767" s="1654"/>
      <c r="K767" s="1654"/>
      <c r="L767" s="1654"/>
      <c r="M767" s="1655"/>
      <c r="N767" s="1655"/>
      <c r="O767" s="1656"/>
    </row>
    <row r="768">
      <c r="A768" s="1639"/>
      <c r="B768" s="1639"/>
      <c r="C768" s="1640"/>
      <c r="D768" s="1646"/>
      <c r="E768" s="1642"/>
      <c r="F768" s="1643"/>
      <c r="G768" s="1644"/>
      <c r="H768" s="1645"/>
      <c r="I768" s="1646"/>
      <c r="J768" s="1647"/>
      <c r="K768" s="1648"/>
      <c r="L768" s="1643"/>
      <c r="M768" s="1649"/>
      <c r="N768" s="1649"/>
      <c r="O768" s="1650"/>
    </row>
    <row r="769">
      <c r="A769" s="1651"/>
      <c r="B769" s="1651"/>
      <c r="C769" s="1652"/>
      <c r="D769" s="1654"/>
      <c r="E769" s="1653"/>
      <c r="F769" s="1654"/>
      <c r="G769" s="1654"/>
      <c r="H769" s="1654"/>
      <c r="I769" s="1654"/>
      <c r="J769" s="1654"/>
      <c r="K769" s="1654"/>
      <c r="L769" s="1654"/>
      <c r="M769" s="1655"/>
      <c r="N769" s="1655"/>
      <c r="O769" s="1656"/>
    </row>
    <row r="770">
      <c r="A770" s="1639"/>
      <c r="B770" s="1639"/>
      <c r="C770" s="1640"/>
      <c r="D770" s="1646"/>
      <c r="E770" s="1642"/>
      <c r="F770" s="1643"/>
      <c r="G770" s="1644"/>
      <c r="H770" s="1645"/>
      <c r="I770" s="1646"/>
      <c r="J770" s="1647"/>
      <c r="K770" s="1648"/>
      <c r="L770" s="1643"/>
      <c r="M770" s="1649"/>
      <c r="N770" s="1649"/>
      <c r="O770" s="1650"/>
    </row>
    <row r="771">
      <c r="A771" s="1651"/>
      <c r="B771" s="1651"/>
      <c r="C771" s="1652"/>
      <c r="D771" s="1654"/>
      <c r="E771" s="1653"/>
      <c r="F771" s="1654"/>
      <c r="G771" s="1654"/>
      <c r="H771" s="1654"/>
      <c r="I771" s="1654"/>
      <c r="J771" s="1654"/>
      <c r="K771" s="1654"/>
      <c r="L771" s="1654"/>
      <c r="M771" s="1655"/>
      <c r="N771" s="1655"/>
      <c r="O771" s="1656"/>
    </row>
    <row r="772">
      <c r="A772" s="1639"/>
      <c r="B772" s="1639"/>
      <c r="C772" s="1640"/>
      <c r="D772" s="1646"/>
      <c r="E772" s="1642"/>
      <c r="F772" s="1643"/>
      <c r="G772" s="1644"/>
      <c r="H772" s="1645"/>
      <c r="I772" s="1646"/>
      <c r="J772" s="1647"/>
      <c r="K772" s="1648"/>
      <c r="L772" s="1643"/>
      <c r="M772" s="1649"/>
      <c r="N772" s="1649"/>
      <c r="O772" s="1650"/>
    </row>
    <row r="773">
      <c r="A773" s="1651"/>
      <c r="B773" s="1651"/>
      <c r="C773" s="1652"/>
      <c r="D773" s="1654"/>
      <c r="E773" s="1653"/>
      <c r="F773" s="1654"/>
      <c r="G773" s="1654"/>
      <c r="H773" s="1654"/>
      <c r="I773" s="1654"/>
      <c r="J773" s="1654"/>
      <c r="K773" s="1654"/>
      <c r="L773" s="1654"/>
      <c r="M773" s="1655"/>
      <c r="N773" s="1655"/>
      <c r="O773" s="1656"/>
    </row>
    <row r="774">
      <c r="A774" s="1639"/>
      <c r="B774" s="1639"/>
      <c r="C774" s="1640"/>
      <c r="D774" s="1646"/>
      <c r="E774" s="1642"/>
      <c r="F774" s="1643"/>
      <c r="G774" s="1644"/>
      <c r="H774" s="1645"/>
      <c r="I774" s="1646"/>
      <c r="J774" s="1647"/>
      <c r="K774" s="1648"/>
      <c r="L774" s="1643"/>
      <c r="M774" s="1649"/>
      <c r="N774" s="1649"/>
      <c r="O774" s="1650"/>
    </row>
    <row r="775">
      <c r="A775" s="1651"/>
      <c r="B775" s="1651"/>
      <c r="C775" s="1652"/>
      <c r="D775" s="1654"/>
      <c r="E775" s="1653"/>
      <c r="F775" s="1654"/>
      <c r="G775" s="1654"/>
      <c r="H775" s="1654"/>
      <c r="I775" s="1654"/>
      <c r="J775" s="1654"/>
      <c r="K775" s="1654"/>
      <c r="L775" s="1654"/>
      <c r="M775" s="1655"/>
      <c r="N775" s="1655"/>
      <c r="O775" s="1656"/>
    </row>
    <row r="776">
      <c r="A776" s="1639"/>
      <c r="B776" s="1639"/>
      <c r="C776" s="1640"/>
      <c r="D776" s="1646"/>
      <c r="E776" s="1642"/>
      <c r="F776" s="1643"/>
      <c r="G776" s="1644"/>
      <c r="H776" s="1645"/>
      <c r="I776" s="1646"/>
      <c r="J776" s="1647"/>
      <c r="K776" s="1648"/>
      <c r="L776" s="1643"/>
      <c r="M776" s="1649"/>
      <c r="N776" s="1649"/>
      <c r="O776" s="1650"/>
    </row>
    <row r="777">
      <c r="A777" s="1651"/>
      <c r="B777" s="1651"/>
      <c r="C777" s="1652"/>
      <c r="D777" s="1654"/>
      <c r="E777" s="1653"/>
      <c r="F777" s="1654"/>
      <c r="G777" s="1654"/>
      <c r="H777" s="1654"/>
      <c r="I777" s="1654"/>
      <c r="J777" s="1654"/>
      <c r="K777" s="1654"/>
      <c r="L777" s="1654"/>
      <c r="M777" s="1655"/>
      <c r="N777" s="1655"/>
      <c r="O777" s="1656"/>
    </row>
    <row r="778">
      <c r="A778" s="1639"/>
      <c r="B778" s="1639"/>
      <c r="C778" s="1640"/>
      <c r="D778" s="1646"/>
      <c r="E778" s="1642"/>
      <c r="F778" s="1643"/>
      <c r="G778" s="1644"/>
      <c r="H778" s="1645"/>
      <c r="I778" s="1646"/>
      <c r="J778" s="1647"/>
      <c r="K778" s="1648"/>
      <c r="L778" s="1643"/>
      <c r="M778" s="1649"/>
      <c r="N778" s="1649"/>
      <c r="O778" s="1650"/>
    </row>
    <row r="779">
      <c r="A779" s="1651"/>
      <c r="B779" s="1651"/>
      <c r="C779" s="1652"/>
      <c r="D779" s="1654"/>
      <c r="E779" s="1653"/>
      <c r="F779" s="1654"/>
      <c r="G779" s="1654"/>
      <c r="H779" s="1654"/>
      <c r="I779" s="1654"/>
      <c r="J779" s="1654"/>
      <c r="K779" s="1654"/>
      <c r="L779" s="1654"/>
      <c r="M779" s="1655"/>
      <c r="N779" s="1655"/>
      <c r="O779" s="1656"/>
    </row>
    <row r="780">
      <c r="A780" s="1639"/>
      <c r="B780" s="1639"/>
      <c r="C780" s="1640"/>
      <c r="D780" s="1646"/>
      <c r="E780" s="1642"/>
      <c r="F780" s="1643"/>
      <c r="G780" s="1644"/>
      <c r="H780" s="1645"/>
      <c r="I780" s="1646"/>
      <c r="J780" s="1647"/>
      <c r="K780" s="1648"/>
      <c r="L780" s="1643"/>
      <c r="M780" s="1649"/>
      <c r="N780" s="1649"/>
      <c r="O780" s="1650"/>
    </row>
    <row r="781">
      <c r="A781" s="1651"/>
      <c r="B781" s="1651"/>
      <c r="C781" s="1652"/>
      <c r="D781" s="1654"/>
      <c r="E781" s="1653"/>
      <c r="F781" s="1654"/>
      <c r="G781" s="1654"/>
      <c r="H781" s="1654"/>
      <c r="I781" s="1654"/>
      <c r="J781" s="1654"/>
      <c r="K781" s="1654"/>
      <c r="L781" s="1654"/>
      <c r="M781" s="1655"/>
      <c r="N781" s="1655"/>
      <c r="O781" s="1656"/>
    </row>
    <row r="782">
      <c r="A782" s="1639"/>
      <c r="B782" s="1639"/>
      <c r="C782" s="1640"/>
      <c r="D782" s="1646"/>
      <c r="E782" s="1642"/>
      <c r="F782" s="1643"/>
      <c r="G782" s="1644"/>
      <c r="H782" s="1645"/>
      <c r="I782" s="1646"/>
      <c r="J782" s="1647"/>
      <c r="K782" s="1648"/>
      <c r="L782" s="1643"/>
      <c r="M782" s="1649"/>
      <c r="N782" s="1649"/>
      <c r="O782" s="1650"/>
    </row>
    <row r="783">
      <c r="A783" s="1651"/>
      <c r="B783" s="1651"/>
      <c r="C783" s="1652"/>
      <c r="D783" s="1654"/>
      <c r="E783" s="1653"/>
      <c r="F783" s="1654"/>
      <c r="G783" s="1654"/>
      <c r="H783" s="1654"/>
      <c r="I783" s="1654"/>
      <c r="J783" s="1654"/>
      <c r="K783" s="1654"/>
      <c r="L783" s="1654"/>
      <c r="M783" s="1655"/>
      <c r="N783" s="1655"/>
      <c r="O783" s="1656"/>
    </row>
    <row r="784">
      <c r="A784" s="1639"/>
      <c r="B784" s="1639"/>
      <c r="C784" s="1640"/>
      <c r="D784" s="1646"/>
      <c r="E784" s="1642"/>
      <c r="F784" s="1643"/>
      <c r="G784" s="1644"/>
      <c r="H784" s="1645"/>
      <c r="I784" s="1646"/>
      <c r="J784" s="1647"/>
      <c r="K784" s="1648"/>
      <c r="L784" s="1643"/>
      <c r="M784" s="1649"/>
      <c r="N784" s="1649"/>
      <c r="O784" s="1650"/>
    </row>
    <row r="785">
      <c r="A785" s="1651"/>
      <c r="B785" s="1651"/>
      <c r="C785" s="1652"/>
      <c r="D785" s="1654"/>
      <c r="E785" s="1653"/>
      <c r="F785" s="1654"/>
      <c r="G785" s="1654"/>
      <c r="H785" s="1654"/>
      <c r="I785" s="1654"/>
      <c r="J785" s="1654"/>
      <c r="K785" s="1654"/>
      <c r="L785" s="1654"/>
      <c r="M785" s="1655"/>
      <c r="N785" s="1655"/>
      <c r="O785" s="1656"/>
    </row>
    <row r="786">
      <c r="A786" s="1639"/>
      <c r="B786" s="1639"/>
      <c r="C786" s="1640"/>
      <c r="D786" s="1646"/>
      <c r="E786" s="1642"/>
      <c r="F786" s="1643"/>
      <c r="G786" s="1644"/>
      <c r="H786" s="1645"/>
      <c r="I786" s="1646"/>
      <c r="J786" s="1647"/>
      <c r="K786" s="1648"/>
      <c r="L786" s="1643"/>
      <c r="M786" s="1649"/>
      <c r="N786" s="1649"/>
      <c r="O786" s="1650"/>
    </row>
    <row r="787">
      <c r="A787" s="1651"/>
      <c r="B787" s="1651"/>
      <c r="C787" s="1652"/>
      <c r="D787" s="1654"/>
      <c r="E787" s="1653"/>
      <c r="F787" s="1654"/>
      <c r="G787" s="1654"/>
      <c r="H787" s="1654"/>
      <c r="I787" s="1654"/>
      <c r="J787" s="1654"/>
      <c r="K787" s="1654"/>
      <c r="L787" s="1654"/>
      <c r="M787" s="1655"/>
      <c r="N787" s="1655"/>
      <c r="O787" s="1656"/>
    </row>
    <row r="788">
      <c r="A788" s="1639"/>
      <c r="B788" s="1639"/>
      <c r="C788" s="1640"/>
      <c r="D788" s="1646"/>
      <c r="E788" s="1642"/>
      <c r="F788" s="1643"/>
      <c r="G788" s="1644"/>
      <c r="H788" s="1645"/>
      <c r="I788" s="1646"/>
      <c r="J788" s="1647"/>
      <c r="K788" s="1648"/>
      <c r="L788" s="1643"/>
      <c r="M788" s="1649"/>
      <c r="N788" s="1649"/>
      <c r="O788" s="1650"/>
    </row>
    <row r="789">
      <c r="A789" s="1651"/>
      <c r="B789" s="1651"/>
      <c r="C789" s="1652"/>
      <c r="D789" s="1654"/>
      <c r="E789" s="1653"/>
      <c r="F789" s="1654"/>
      <c r="G789" s="1654"/>
      <c r="H789" s="1654"/>
      <c r="I789" s="1654"/>
      <c r="J789" s="1654"/>
      <c r="K789" s="1654"/>
      <c r="L789" s="1654"/>
      <c r="M789" s="1655"/>
      <c r="N789" s="1655"/>
      <c r="O789" s="1656"/>
    </row>
    <row r="790">
      <c r="A790" s="1639"/>
      <c r="B790" s="1639"/>
      <c r="C790" s="1640"/>
      <c r="D790" s="1646"/>
      <c r="E790" s="1642"/>
      <c r="F790" s="1643"/>
      <c r="G790" s="1644"/>
      <c r="H790" s="1645"/>
      <c r="I790" s="1646"/>
      <c r="J790" s="1647"/>
      <c r="K790" s="1648"/>
      <c r="L790" s="1643"/>
      <c r="M790" s="1649"/>
      <c r="N790" s="1649"/>
      <c r="O790" s="1650"/>
    </row>
    <row r="791">
      <c r="A791" s="1651"/>
      <c r="B791" s="1651"/>
      <c r="C791" s="1652"/>
      <c r="D791" s="1654"/>
      <c r="E791" s="1653"/>
      <c r="F791" s="1654"/>
      <c r="G791" s="1654"/>
      <c r="H791" s="1654"/>
      <c r="I791" s="1654"/>
      <c r="J791" s="1654"/>
      <c r="K791" s="1654"/>
      <c r="L791" s="1654"/>
      <c r="M791" s="1655"/>
      <c r="N791" s="1655"/>
      <c r="O791" s="1656"/>
    </row>
    <row r="792">
      <c r="A792" s="1639"/>
      <c r="B792" s="1639"/>
      <c r="C792" s="1640"/>
      <c r="D792" s="1646"/>
      <c r="E792" s="1642"/>
      <c r="F792" s="1643"/>
      <c r="G792" s="1644"/>
      <c r="H792" s="1645"/>
      <c r="I792" s="1646"/>
      <c r="J792" s="1647"/>
      <c r="K792" s="1648"/>
      <c r="L792" s="1643"/>
      <c r="M792" s="1649"/>
      <c r="N792" s="1649"/>
      <c r="O792" s="1650"/>
    </row>
    <row r="793">
      <c r="A793" s="1651"/>
      <c r="B793" s="1651"/>
      <c r="C793" s="1652"/>
      <c r="D793" s="1654"/>
      <c r="E793" s="1653"/>
      <c r="F793" s="1654"/>
      <c r="G793" s="1654"/>
      <c r="H793" s="1654"/>
      <c r="I793" s="1654"/>
      <c r="J793" s="1654"/>
      <c r="K793" s="1654"/>
      <c r="L793" s="1654"/>
      <c r="M793" s="1655"/>
      <c r="N793" s="1655"/>
      <c r="O793" s="1656"/>
    </row>
    <row r="794">
      <c r="A794" s="1639"/>
      <c r="B794" s="1639"/>
      <c r="C794" s="1640"/>
      <c r="D794" s="1646"/>
      <c r="E794" s="1642"/>
      <c r="F794" s="1643"/>
      <c r="G794" s="1644"/>
      <c r="H794" s="1645"/>
      <c r="I794" s="1646"/>
      <c r="J794" s="1647"/>
      <c r="K794" s="1648"/>
      <c r="L794" s="1643"/>
      <c r="M794" s="1649"/>
      <c r="N794" s="1649"/>
      <c r="O794" s="1650"/>
    </row>
    <row r="795">
      <c r="A795" s="1651"/>
      <c r="B795" s="1651"/>
      <c r="C795" s="1652"/>
      <c r="D795" s="1654"/>
      <c r="E795" s="1653"/>
      <c r="F795" s="1654"/>
      <c r="G795" s="1654"/>
      <c r="H795" s="1654"/>
      <c r="I795" s="1654"/>
      <c r="J795" s="1654"/>
      <c r="K795" s="1654"/>
      <c r="L795" s="1654"/>
      <c r="M795" s="1655"/>
      <c r="N795" s="1655"/>
      <c r="O795" s="1656"/>
    </row>
    <row r="796">
      <c r="A796" s="1639"/>
      <c r="B796" s="1639"/>
      <c r="C796" s="1640"/>
      <c r="D796" s="1646"/>
      <c r="E796" s="1642"/>
      <c r="F796" s="1643"/>
      <c r="G796" s="1644"/>
      <c r="H796" s="1645"/>
      <c r="I796" s="1646"/>
      <c r="J796" s="1647"/>
      <c r="K796" s="1648"/>
      <c r="L796" s="1643"/>
      <c r="M796" s="1649"/>
      <c r="N796" s="1649"/>
      <c r="O796" s="1650"/>
    </row>
    <row r="797">
      <c r="A797" s="1651"/>
      <c r="B797" s="1651"/>
      <c r="C797" s="1652"/>
      <c r="D797" s="1654"/>
      <c r="E797" s="1653"/>
      <c r="F797" s="1654"/>
      <c r="G797" s="1654"/>
      <c r="H797" s="1654"/>
      <c r="I797" s="1654"/>
      <c r="J797" s="1654"/>
      <c r="K797" s="1654"/>
      <c r="L797" s="1654"/>
      <c r="M797" s="1655"/>
      <c r="N797" s="1655"/>
      <c r="O797" s="1656"/>
    </row>
    <row r="798">
      <c r="A798" s="1639"/>
      <c r="B798" s="1639"/>
      <c r="C798" s="1640"/>
      <c r="D798" s="1646"/>
      <c r="E798" s="1642"/>
      <c r="F798" s="1643"/>
      <c r="G798" s="1644"/>
      <c r="H798" s="1645"/>
      <c r="I798" s="1646"/>
      <c r="J798" s="1647"/>
      <c r="K798" s="1648"/>
      <c r="L798" s="1643"/>
      <c r="M798" s="1649"/>
      <c r="N798" s="1649"/>
      <c r="O798" s="1650"/>
    </row>
    <row r="799">
      <c r="A799" s="1651"/>
      <c r="B799" s="1651"/>
      <c r="C799" s="1652"/>
      <c r="D799" s="1654"/>
      <c r="E799" s="1653"/>
      <c r="F799" s="1654"/>
      <c r="G799" s="1654"/>
      <c r="H799" s="1654"/>
      <c r="I799" s="1654"/>
      <c r="J799" s="1654"/>
      <c r="K799" s="1654"/>
      <c r="L799" s="1654"/>
      <c r="M799" s="1655"/>
      <c r="N799" s="1655"/>
      <c r="O799" s="1656"/>
    </row>
    <row r="800">
      <c r="A800" s="1639"/>
      <c r="B800" s="1639"/>
      <c r="C800" s="1640"/>
      <c r="D800" s="1646"/>
      <c r="E800" s="1642"/>
      <c r="F800" s="1643"/>
      <c r="G800" s="1644"/>
      <c r="H800" s="1645"/>
      <c r="I800" s="1646"/>
      <c r="J800" s="1647"/>
      <c r="K800" s="1648"/>
      <c r="L800" s="1643"/>
      <c r="M800" s="1649"/>
      <c r="N800" s="1649"/>
      <c r="O800" s="1650"/>
    </row>
    <row r="801">
      <c r="A801" s="1651"/>
      <c r="B801" s="1651"/>
      <c r="C801" s="1652"/>
      <c r="D801" s="1654"/>
      <c r="E801" s="1653"/>
      <c r="F801" s="1654"/>
      <c r="G801" s="1654"/>
      <c r="H801" s="1654"/>
      <c r="I801" s="1654"/>
      <c r="J801" s="1654"/>
      <c r="K801" s="1654"/>
      <c r="L801" s="1654"/>
      <c r="M801" s="1655"/>
      <c r="N801" s="1655"/>
      <c r="O801" s="1656"/>
    </row>
    <row r="802">
      <c r="A802" s="1639"/>
      <c r="B802" s="1639"/>
      <c r="C802" s="1640"/>
      <c r="D802" s="1646"/>
      <c r="E802" s="1642"/>
      <c r="F802" s="1643"/>
      <c r="G802" s="1644"/>
      <c r="H802" s="1645"/>
      <c r="I802" s="1646"/>
      <c r="J802" s="1647"/>
      <c r="K802" s="1648"/>
      <c r="L802" s="1643"/>
      <c r="M802" s="1649"/>
      <c r="N802" s="1649"/>
      <c r="O802" s="1650"/>
    </row>
    <row r="803">
      <c r="A803" s="1651"/>
      <c r="B803" s="1651"/>
      <c r="C803" s="1652"/>
      <c r="D803" s="1654"/>
      <c r="E803" s="1653"/>
      <c r="F803" s="1654"/>
      <c r="G803" s="1654"/>
      <c r="H803" s="1654"/>
      <c r="I803" s="1654"/>
      <c r="J803" s="1654"/>
      <c r="K803" s="1654"/>
      <c r="L803" s="1654"/>
      <c r="M803" s="1655"/>
      <c r="N803" s="1655"/>
      <c r="O803" s="1656"/>
    </row>
    <row r="804">
      <c r="A804" s="1639"/>
      <c r="B804" s="1639"/>
      <c r="C804" s="1640"/>
      <c r="D804" s="1646"/>
      <c r="E804" s="1642"/>
      <c r="F804" s="1643"/>
      <c r="G804" s="1644"/>
      <c r="H804" s="1645"/>
      <c r="I804" s="1646"/>
      <c r="J804" s="1647"/>
      <c r="K804" s="1648"/>
      <c r="L804" s="1643"/>
      <c r="M804" s="1649"/>
      <c r="N804" s="1649"/>
      <c r="O804" s="1650"/>
    </row>
    <row r="805">
      <c r="A805" s="1651"/>
      <c r="B805" s="1651"/>
      <c r="C805" s="1652"/>
      <c r="D805" s="1654"/>
      <c r="E805" s="1653"/>
      <c r="F805" s="1654"/>
      <c r="G805" s="1654"/>
      <c r="H805" s="1654"/>
      <c r="I805" s="1654"/>
      <c r="J805" s="1654"/>
      <c r="K805" s="1654"/>
      <c r="L805" s="1654"/>
      <c r="M805" s="1655"/>
      <c r="N805" s="1655"/>
      <c r="O805" s="1656"/>
    </row>
    <row r="806">
      <c r="A806" s="1639"/>
      <c r="B806" s="1639"/>
      <c r="C806" s="1640"/>
      <c r="D806" s="1646"/>
      <c r="E806" s="1642"/>
      <c r="F806" s="1643"/>
      <c r="G806" s="1644"/>
      <c r="H806" s="1645"/>
      <c r="I806" s="1646"/>
      <c r="J806" s="1647"/>
      <c r="K806" s="1648"/>
      <c r="L806" s="1643"/>
      <c r="M806" s="1649"/>
      <c r="N806" s="1649"/>
      <c r="O806" s="1650"/>
    </row>
    <row r="807">
      <c r="A807" s="1651"/>
      <c r="B807" s="1651"/>
      <c r="C807" s="1652"/>
      <c r="D807" s="1654"/>
      <c r="E807" s="1653"/>
      <c r="F807" s="1654"/>
      <c r="G807" s="1654"/>
      <c r="H807" s="1654"/>
      <c r="I807" s="1654"/>
      <c r="J807" s="1654"/>
      <c r="K807" s="1654"/>
      <c r="L807" s="1654"/>
      <c r="M807" s="1655"/>
      <c r="N807" s="1655"/>
      <c r="O807" s="1656"/>
    </row>
    <row r="808">
      <c r="A808" s="1639"/>
      <c r="B808" s="1639"/>
      <c r="C808" s="1640"/>
      <c r="D808" s="1646"/>
      <c r="E808" s="1642"/>
      <c r="F808" s="1643"/>
      <c r="G808" s="1644"/>
      <c r="H808" s="1645"/>
      <c r="I808" s="1646"/>
      <c r="J808" s="1647"/>
      <c r="K808" s="1648"/>
      <c r="L808" s="1643"/>
      <c r="M808" s="1649"/>
      <c r="N808" s="1649"/>
      <c r="O808" s="1650"/>
    </row>
    <row r="809">
      <c r="A809" s="1651"/>
      <c r="B809" s="1651"/>
      <c r="C809" s="1652"/>
      <c r="D809" s="1654"/>
      <c r="E809" s="1653"/>
      <c r="F809" s="1654"/>
      <c r="G809" s="1654"/>
      <c r="H809" s="1654"/>
      <c r="I809" s="1654"/>
      <c r="J809" s="1654"/>
      <c r="K809" s="1654"/>
      <c r="L809" s="1654"/>
      <c r="M809" s="1655"/>
      <c r="N809" s="1655"/>
      <c r="O809" s="1656"/>
    </row>
    <row r="810">
      <c r="A810" s="1639"/>
      <c r="B810" s="1639"/>
      <c r="C810" s="1640"/>
      <c r="D810" s="1646"/>
      <c r="E810" s="1642"/>
      <c r="F810" s="1643"/>
      <c r="G810" s="1644"/>
      <c r="H810" s="1645"/>
      <c r="I810" s="1646"/>
      <c r="J810" s="1647"/>
      <c r="K810" s="1648"/>
      <c r="L810" s="1643"/>
      <c r="M810" s="1649"/>
      <c r="N810" s="1649"/>
      <c r="O810" s="1650"/>
    </row>
    <row r="811">
      <c r="A811" s="1651"/>
      <c r="B811" s="1651"/>
      <c r="C811" s="1652"/>
      <c r="D811" s="1654"/>
      <c r="E811" s="1653"/>
      <c r="F811" s="1654"/>
      <c r="G811" s="1654"/>
      <c r="H811" s="1654"/>
      <c r="I811" s="1654"/>
      <c r="J811" s="1654"/>
      <c r="K811" s="1654"/>
      <c r="L811" s="1654"/>
      <c r="M811" s="1655"/>
      <c r="N811" s="1655"/>
      <c r="O811" s="1656"/>
    </row>
    <row r="812">
      <c r="A812" s="1639"/>
      <c r="B812" s="1639"/>
      <c r="C812" s="1640"/>
      <c r="D812" s="1646"/>
      <c r="E812" s="1642"/>
      <c r="F812" s="1643"/>
      <c r="G812" s="1644"/>
      <c r="H812" s="1645"/>
      <c r="I812" s="1646"/>
      <c r="J812" s="1647"/>
      <c r="K812" s="1648"/>
      <c r="L812" s="1643"/>
      <c r="M812" s="1649"/>
      <c r="N812" s="1649"/>
      <c r="O812" s="1650"/>
    </row>
    <row r="813">
      <c r="A813" s="1651"/>
      <c r="B813" s="1651"/>
      <c r="C813" s="1652"/>
      <c r="D813" s="1654"/>
      <c r="E813" s="1653"/>
      <c r="F813" s="1654"/>
      <c r="G813" s="1654"/>
      <c r="H813" s="1654"/>
      <c r="I813" s="1654"/>
      <c r="J813" s="1654"/>
      <c r="K813" s="1654"/>
      <c r="L813" s="1654"/>
      <c r="M813" s="1655"/>
      <c r="N813" s="1655"/>
      <c r="O813" s="1656"/>
    </row>
    <row r="814">
      <c r="A814" s="1639"/>
      <c r="B814" s="1639"/>
      <c r="C814" s="1640"/>
      <c r="D814" s="1646"/>
      <c r="E814" s="1642"/>
      <c r="F814" s="1643"/>
      <c r="G814" s="1644"/>
      <c r="H814" s="1645"/>
      <c r="I814" s="1646"/>
      <c r="J814" s="1647"/>
      <c r="K814" s="1648"/>
      <c r="L814" s="1643"/>
      <c r="M814" s="1649"/>
      <c r="N814" s="1649"/>
      <c r="O814" s="1650"/>
    </row>
    <row r="815">
      <c r="A815" s="1651"/>
      <c r="B815" s="1651"/>
      <c r="C815" s="1652"/>
      <c r="D815" s="1654"/>
      <c r="E815" s="1653"/>
      <c r="F815" s="1654"/>
      <c r="G815" s="1654"/>
      <c r="H815" s="1654"/>
      <c r="I815" s="1654"/>
      <c r="J815" s="1654"/>
      <c r="K815" s="1654"/>
      <c r="L815" s="1654"/>
      <c r="M815" s="1655"/>
      <c r="N815" s="1655"/>
      <c r="O815" s="1656"/>
    </row>
    <row r="816">
      <c r="A816" s="1639"/>
      <c r="B816" s="1639"/>
      <c r="C816" s="1640"/>
      <c r="D816" s="1646"/>
      <c r="E816" s="1642"/>
      <c r="F816" s="1643"/>
      <c r="G816" s="1644"/>
      <c r="H816" s="1645"/>
      <c r="I816" s="1646"/>
      <c r="J816" s="1647"/>
      <c r="K816" s="1648"/>
      <c r="L816" s="1643"/>
      <c r="M816" s="1649"/>
      <c r="N816" s="1649"/>
      <c r="O816" s="1650"/>
    </row>
    <row r="817">
      <c r="A817" s="1651"/>
      <c r="B817" s="1651"/>
      <c r="C817" s="1652"/>
      <c r="D817" s="1654"/>
      <c r="E817" s="1653"/>
      <c r="F817" s="1654"/>
      <c r="G817" s="1654"/>
      <c r="H817" s="1654"/>
      <c r="I817" s="1654"/>
      <c r="J817" s="1654"/>
      <c r="K817" s="1654"/>
      <c r="L817" s="1654"/>
      <c r="M817" s="1655"/>
      <c r="N817" s="1655"/>
      <c r="O817" s="1656"/>
    </row>
    <row r="818">
      <c r="A818" s="1639"/>
      <c r="B818" s="1639"/>
      <c r="C818" s="1640"/>
      <c r="D818" s="1646"/>
      <c r="E818" s="1642"/>
      <c r="F818" s="1643"/>
      <c r="G818" s="1644"/>
      <c r="H818" s="1645"/>
      <c r="I818" s="1646"/>
      <c r="J818" s="1647"/>
      <c r="K818" s="1648"/>
      <c r="L818" s="1643"/>
      <c r="M818" s="1649"/>
      <c r="N818" s="1649"/>
      <c r="O818" s="1650"/>
    </row>
    <row r="819">
      <c r="A819" s="1651"/>
      <c r="B819" s="1651"/>
      <c r="C819" s="1652"/>
      <c r="D819" s="1654"/>
      <c r="E819" s="1653"/>
      <c r="F819" s="1654"/>
      <c r="G819" s="1654"/>
      <c r="H819" s="1654"/>
      <c r="I819" s="1654"/>
      <c r="J819" s="1654"/>
      <c r="K819" s="1654"/>
      <c r="L819" s="1654"/>
      <c r="M819" s="1655"/>
      <c r="N819" s="1655"/>
      <c r="O819" s="1656"/>
    </row>
    <row r="820">
      <c r="A820" s="1639"/>
      <c r="B820" s="1639"/>
      <c r="C820" s="1640"/>
      <c r="D820" s="1646"/>
      <c r="E820" s="1642"/>
      <c r="F820" s="1643"/>
      <c r="G820" s="1644"/>
      <c r="H820" s="1645"/>
      <c r="I820" s="1646"/>
      <c r="J820" s="1647"/>
      <c r="K820" s="1648"/>
      <c r="L820" s="1643"/>
      <c r="M820" s="1649"/>
      <c r="N820" s="1649"/>
      <c r="O820" s="1650"/>
    </row>
    <row r="821">
      <c r="A821" s="1651"/>
      <c r="B821" s="1651"/>
      <c r="C821" s="1652"/>
      <c r="D821" s="1654"/>
      <c r="E821" s="1653"/>
      <c r="F821" s="1654"/>
      <c r="G821" s="1654"/>
      <c r="H821" s="1654"/>
      <c r="I821" s="1654"/>
      <c r="J821" s="1654"/>
      <c r="K821" s="1654"/>
      <c r="L821" s="1654"/>
      <c r="M821" s="1655"/>
      <c r="N821" s="1655"/>
      <c r="O821" s="1656"/>
    </row>
    <row r="822">
      <c r="A822" s="1639"/>
      <c r="B822" s="1639"/>
      <c r="C822" s="1640"/>
      <c r="D822" s="1646"/>
      <c r="E822" s="1642"/>
      <c r="F822" s="1643"/>
      <c r="G822" s="1644"/>
      <c r="H822" s="1645"/>
      <c r="I822" s="1646"/>
      <c r="J822" s="1647"/>
      <c r="K822" s="1648"/>
      <c r="L822" s="1643"/>
      <c r="M822" s="1649"/>
      <c r="N822" s="1649"/>
      <c r="O822" s="1650"/>
    </row>
    <row r="823">
      <c r="A823" s="1651"/>
      <c r="B823" s="1651"/>
      <c r="C823" s="1652"/>
      <c r="D823" s="1654"/>
      <c r="E823" s="1653"/>
      <c r="F823" s="1654"/>
      <c r="G823" s="1654"/>
      <c r="H823" s="1654"/>
      <c r="I823" s="1654"/>
      <c r="J823" s="1654"/>
      <c r="K823" s="1654"/>
      <c r="L823" s="1654"/>
      <c r="M823" s="1655"/>
      <c r="N823" s="1655"/>
      <c r="O823" s="1656"/>
    </row>
    <row r="824">
      <c r="A824" s="1639"/>
      <c r="B824" s="1639"/>
      <c r="C824" s="1640"/>
      <c r="D824" s="1646"/>
      <c r="E824" s="1642"/>
      <c r="F824" s="1643"/>
      <c r="G824" s="1644"/>
      <c r="H824" s="1645"/>
      <c r="I824" s="1646"/>
      <c r="J824" s="1647"/>
      <c r="K824" s="1648"/>
      <c r="L824" s="1643"/>
      <c r="M824" s="1649"/>
      <c r="N824" s="1649"/>
      <c r="O824" s="1650"/>
    </row>
    <row r="825">
      <c r="A825" s="1651"/>
      <c r="B825" s="1651"/>
      <c r="C825" s="1652"/>
      <c r="D825" s="1654"/>
      <c r="E825" s="1653"/>
      <c r="F825" s="1654"/>
      <c r="G825" s="1654"/>
      <c r="H825" s="1654"/>
      <c r="I825" s="1654"/>
      <c r="J825" s="1654"/>
      <c r="K825" s="1654"/>
      <c r="L825" s="1654"/>
      <c r="M825" s="1655"/>
      <c r="N825" s="1655"/>
      <c r="O825" s="1656"/>
    </row>
    <row r="826">
      <c r="A826" s="1639"/>
      <c r="B826" s="1639"/>
      <c r="C826" s="1640"/>
      <c r="D826" s="1646"/>
      <c r="E826" s="1642"/>
      <c r="F826" s="1643"/>
      <c r="G826" s="1644"/>
      <c r="H826" s="1645"/>
      <c r="I826" s="1646"/>
      <c r="J826" s="1647"/>
      <c r="K826" s="1648"/>
      <c r="L826" s="1643"/>
      <c r="M826" s="1649"/>
      <c r="N826" s="1649"/>
      <c r="O826" s="1650"/>
    </row>
    <row r="827">
      <c r="A827" s="1651"/>
      <c r="B827" s="1651"/>
      <c r="C827" s="1652"/>
      <c r="D827" s="1654"/>
      <c r="E827" s="1653"/>
      <c r="F827" s="1654"/>
      <c r="G827" s="1654"/>
      <c r="H827" s="1654"/>
      <c r="I827" s="1654"/>
      <c r="J827" s="1654"/>
      <c r="K827" s="1654"/>
      <c r="L827" s="1654"/>
      <c r="M827" s="1655"/>
      <c r="N827" s="1655"/>
      <c r="O827" s="1656"/>
    </row>
    <row r="828">
      <c r="A828" s="1639"/>
      <c r="B828" s="1639"/>
      <c r="C828" s="1640"/>
      <c r="D828" s="1646"/>
      <c r="E828" s="1642"/>
      <c r="F828" s="1643"/>
      <c r="G828" s="1644"/>
      <c r="H828" s="1645"/>
      <c r="I828" s="1646"/>
      <c r="J828" s="1647"/>
      <c r="K828" s="1648"/>
      <c r="L828" s="1643"/>
      <c r="M828" s="1649"/>
      <c r="N828" s="1649"/>
      <c r="O828" s="1650"/>
    </row>
    <row r="829">
      <c r="A829" s="1651"/>
      <c r="B829" s="1651"/>
      <c r="C829" s="1652"/>
      <c r="D829" s="1654"/>
      <c r="E829" s="1653"/>
      <c r="F829" s="1654"/>
      <c r="G829" s="1654"/>
      <c r="H829" s="1654"/>
      <c r="I829" s="1654"/>
      <c r="J829" s="1654"/>
      <c r="K829" s="1654"/>
      <c r="L829" s="1654"/>
      <c r="M829" s="1655"/>
      <c r="N829" s="1655"/>
      <c r="O829" s="1656"/>
    </row>
    <row r="830">
      <c r="A830" s="1639"/>
      <c r="B830" s="1639"/>
      <c r="C830" s="1640"/>
      <c r="D830" s="1646"/>
      <c r="E830" s="1642"/>
      <c r="F830" s="1643"/>
      <c r="G830" s="1644"/>
      <c r="H830" s="1645"/>
      <c r="I830" s="1646"/>
      <c r="J830" s="1647"/>
      <c r="K830" s="1648"/>
      <c r="L830" s="1643"/>
      <c r="M830" s="1649"/>
      <c r="N830" s="1649"/>
      <c r="O830" s="1650"/>
    </row>
    <row r="831">
      <c r="A831" s="1651"/>
      <c r="B831" s="1651"/>
      <c r="C831" s="1652"/>
      <c r="D831" s="1654"/>
      <c r="E831" s="1653"/>
      <c r="F831" s="1654"/>
      <c r="G831" s="1654"/>
      <c r="H831" s="1654"/>
      <c r="I831" s="1654"/>
      <c r="J831" s="1654"/>
      <c r="K831" s="1654"/>
      <c r="L831" s="1654"/>
      <c r="M831" s="1655"/>
      <c r="N831" s="1655"/>
      <c r="O831" s="1656"/>
    </row>
    <row r="832">
      <c r="A832" s="1639"/>
      <c r="B832" s="1639"/>
      <c r="C832" s="1640"/>
      <c r="D832" s="1646"/>
      <c r="E832" s="1642"/>
      <c r="F832" s="1643"/>
      <c r="G832" s="1644"/>
      <c r="H832" s="1645"/>
      <c r="I832" s="1646"/>
      <c r="J832" s="1647"/>
      <c r="K832" s="1648"/>
      <c r="L832" s="1643"/>
      <c r="M832" s="1649"/>
      <c r="N832" s="1649"/>
      <c r="O832" s="1650"/>
    </row>
    <row r="833">
      <c r="A833" s="1651"/>
      <c r="B833" s="1651"/>
      <c r="C833" s="1652"/>
      <c r="D833" s="1654"/>
      <c r="E833" s="1653"/>
      <c r="F833" s="1654"/>
      <c r="G833" s="1654"/>
      <c r="H833" s="1654"/>
      <c r="I833" s="1654"/>
      <c r="J833" s="1654"/>
      <c r="K833" s="1654"/>
      <c r="L833" s="1654"/>
      <c r="M833" s="1655"/>
      <c r="N833" s="1655"/>
      <c r="O833" s="1656"/>
    </row>
    <row r="834">
      <c r="A834" s="1639"/>
      <c r="B834" s="1639"/>
      <c r="C834" s="1640"/>
      <c r="D834" s="1646"/>
      <c r="E834" s="1642"/>
      <c r="F834" s="1643"/>
      <c r="G834" s="1644"/>
      <c r="H834" s="1645"/>
      <c r="I834" s="1646"/>
      <c r="J834" s="1647"/>
      <c r="K834" s="1648"/>
      <c r="L834" s="1643"/>
      <c r="M834" s="1649"/>
      <c r="N834" s="1649"/>
      <c r="O834" s="1650"/>
    </row>
    <row r="835">
      <c r="A835" s="1651"/>
      <c r="B835" s="1651"/>
      <c r="C835" s="1652"/>
      <c r="D835" s="1654"/>
      <c r="E835" s="1653"/>
      <c r="F835" s="1654"/>
      <c r="G835" s="1654"/>
      <c r="H835" s="1654"/>
      <c r="I835" s="1654"/>
      <c r="J835" s="1654"/>
      <c r="K835" s="1654"/>
      <c r="L835" s="1654"/>
      <c r="M835" s="1655"/>
      <c r="N835" s="1655"/>
      <c r="O835" s="1656"/>
    </row>
    <row r="836">
      <c r="A836" s="1639"/>
      <c r="B836" s="1639"/>
      <c r="C836" s="1640"/>
      <c r="D836" s="1646"/>
      <c r="E836" s="1642"/>
      <c r="F836" s="1643"/>
      <c r="G836" s="1644"/>
      <c r="H836" s="1645"/>
      <c r="I836" s="1646"/>
      <c r="J836" s="1647"/>
      <c r="K836" s="1648"/>
      <c r="L836" s="1643"/>
      <c r="M836" s="1649"/>
      <c r="N836" s="1649"/>
      <c r="O836" s="1650"/>
    </row>
    <row r="837">
      <c r="A837" s="1651"/>
      <c r="B837" s="1651"/>
      <c r="C837" s="1652"/>
      <c r="D837" s="1654"/>
      <c r="E837" s="1653"/>
      <c r="F837" s="1654"/>
      <c r="G837" s="1654"/>
      <c r="H837" s="1654"/>
      <c r="I837" s="1654"/>
      <c r="J837" s="1654"/>
      <c r="K837" s="1654"/>
      <c r="L837" s="1654"/>
      <c r="M837" s="1655"/>
      <c r="N837" s="1655"/>
      <c r="O837" s="1656"/>
    </row>
    <row r="838">
      <c r="A838" s="1639"/>
      <c r="B838" s="1639"/>
      <c r="C838" s="1640"/>
      <c r="D838" s="1646"/>
      <c r="E838" s="1642"/>
      <c r="F838" s="1643"/>
      <c r="G838" s="1644"/>
      <c r="H838" s="1645"/>
      <c r="I838" s="1646"/>
      <c r="J838" s="1647"/>
      <c r="K838" s="1648"/>
      <c r="L838" s="1643"/>
      <c r="M838" s="1649"/>
      <c r="N838" s="1649"/>
      <c r="O838" s="1650"/>
    </row>
    <row r="839">
      <c r="A839" s="1651"/>
      <c r="B839" s="1651"/>
      <c r="C839" s="1652"/>
      <c r="D839" s="1654"/>
      <c r="E839" s="1653"/>
      <c r="F839" s="1654"/>
      <c r="G839" s="1654"/>
      <c r="H839" s="1654"/>
      <c r="I839" s="1654"/>
      <c r="J839" s="1654"/>
      <c r="K839" s="1654"/>
      <c r="L839" s="1654"/>
      <c r="M839" s="1655"/>
      <c r="N839" s="1655"/>
      <c r="O839" s="1656"/>
    </row>
    <row r="840">
      <c r="A840" s="1639"/>
      <c r="B840" s="1639"/>
      <c r="C840" s="1640"/>
      <c r="D840" s="1646"/>
      <c r="E840" s="1642"/>
      <c r="F840" s="1643"/>
      <c r="G840" s="1644"/>
      <c r="H840" s="1645"/>
      <c r="I840" s="1646"/>
      <c r="J840" s="1647"/>
      <c r="K840" s="1648"/>
      <c r="L840" s="1643"/>
      <c r="M840" s="1649"/>
      <c r="N840" s="1649"/>
      <c r="O840" s="1650"/>
    </row>
    <row r="841">
      <c r="A841" s="1651"/>
      <c r="B841" s="1651"/>
      <c r="C841" s="1652"/>
      <c r="D841" s="1654"/>
      <c r="E841" s="1653"/>
      <c r="F841" s="1654"/>
      <c r="G841" s="1654"/>
      <c r="H841" s="1654"/>
      <c r="I841" s="1654"/>
      <c r="J841" s="1654"/>
      <c r="K841" s="1654"/>
      <c r="L841" s="1654"/>
      <c r="M841" s="1655"/>
      <c r="N841" s="1655"/>
      <c r="O841" s="1656"/>
    </row>
    <row r="842">
      <c r="A842" s="1639"/>
      <c r="B842" s="1639"/>
      <c r="C842" s="1640"/>
      <c r="D842" s="1646"/>
      <c r="E842" s="1642"/>
      <c r="F842" s="1643"/>
      <c r="G842" s="1644"/>
      <c r="H842" s="1645"/>
      <c r="I842" s="1646"/>
      <c r="J842" s="1647"/>
      <c r="K842" s="1648"/>
      <c r="L842" s="1643"/>
      <c r="M842" s="1649"/>
      <c r="N842" s="1649"/>
      <c r="O842" s="1650"/>
    </row>
    <row r="843">
      <c r="A843" s="1651"/>
      <c r="B843" s="1651"/>
      <c r="C843" s="1652"/>
      <c r="D843" s="1654"/>
      <c r="E843" s="1653"/>
      <c r="F843" s="1654"/>
      <c r="G843" s="1654"/>
      <c r="H843" s="1654"/>
      <c r="I843" s="1654"/>
      <c r="J843" s="1654"/>
      <c r="K843" s="1654"/>
      <c r="L843" s="1654"/>
      <c r="M843" s="1655"/>
      <c r="N843" s="1655"/>
      <c r="O843" s="1656"/>
    </row>
    <row r="844">
      <c r="A844" s="1639"/>
      <c r="B844" s="1639"/>
      <c r="C844" s="1640"/>
      <c r="D844" s="1646"/>
      <c r="E844" s="1642"/>
      <c r="F844" s="1643"/>
      <c r="G844" s="1644"/>
      <c r="H844" s="1645"/>
      <c r="I844" s="1646"/>
      <c r="J844" s="1647"/>
      <c r="K844" s="1648"/>
      <c r="L844" s="1643"/>
      <c r="M844" s="1649"/>
      <c r="N844" s="1649"/>
      <c r="O844" s="1650"/>
    </row>
    <row r="845">
      <c r="A845" s="1651"/>
      <c r="B845" s="1651"/>
      <c r="C845" s="1652"/>
      <c r="D845" s="1654"/>
      <c r="E845" s="1653"/>
      <c r="F845" s="1654"/>
      <c r="G845" s="1654"/>
      <c r="H845" s="1654"/>
      <c r="I845" s="1654"/>
      <c r="J845" s="1654"/>
      <c r="K845" s="1654"/>
      <c r="L845" s="1654"/>
      <c r="M845" s="1655"/>
      <c r="N845" s="1655"/>
      <c r="O845" s="1656"/>
    </row>
    <row r="846">
      <c r="A846" s="1639"/>
      <c r="B846" s="1639"/>
      <c r="C846" s="1640"/>
      <c r="D846" s="1646"/>
      <c r="E846" s="1642"/>
      <c r="F846" s="1643"/>
      <c r="G846" s="1644"/>
      <c r="H846" s="1645"/>
      <c r="I846" s="1646"/>
      <c r="J846" s="1647"/>
      <c r="K846" s="1648"/>
      <c r="L846" s="1643"/>
      <c r="M846" s="1649"/>
      <c r="N846" s="1649"/>
      <c r="O846" s="1650"/>
    </row>
    <row r="847">
      <c r="A847" s="1651"/>
      <c r="B847" s="1651"/>
      <c r="C847" s="1652"/>
      <c r="D847" s="1654"/>
      <c r="E847" s="1653"/>
      <c r="F847" s="1654"/>
      <c r="G847" s="1654"/>
      <c r="H847" s="1654"/>
      <c r="I847" s="1654"/>
      <c r="J847" s="1654"/>
      <c r="K847" s="1654"/>
      <c r="L847" s="1654"/>
      <c r="M847" s="1655"/>
      <c r="N847" s="1655"/>
      <c r="O847" s="1656"/>
    </row>
    <row r="848">
      <c r="A848" s="1639"/>
      <c r="B848" s="1639"/>
      <c r="C848" s="1640"/>
      <c r="D848" s="1646"/>
      <c r="E848" s="1642"/>
      <c r="F848" s="1643"/>
      <c r="G848" s="1644"/>
      <c r="H848" s="1645"/>
      <c r="I848" s="1646"/>
      <c r="J848" s="1647"/>
      <c r="K848" s="1648"/>
      <c r="L848" s="1643"/>
      <c r="M848" s="1649"/>
      <c r="N848" s="1649"/>
      <c r="O848" s="1650"/>
    </row>
    <row r="849">
      <c r="A849" s="1651"/>
      <c r="B849" s="1651"/>
      <c r="C849" s="1652"/>
      <c r="D849" s="1654"/>
      <c r="E849" s="1653"/>
      <c r="F849" s="1654"/>
      <c r="G849" s="1654"/>
      <c r="H849" s="1654"/>
      <c r="I849" s="1654"/>
      <c r="J849" s="1654"/>
      <c r="K849" s="1654"/>
      <c r="L849" s="1654"/>
      <c r="M849" s="1655"/>
      <c r="N849" s="1655"/>
      <c r="O849" s="1656"/>
    </row>
    <row r="850">
      <c r="A850" s="1639"/>
      <c r="B850" s="1639"/>
      <c r="C850" s="1640"/>
      <c r="D850" s="1646"/>
      <c r="E850" s="1642"/>
      <c r="F850" s="1643"/>
      <c r="G850" s="1644"/>
      <c r="H850" s="1645"/>
      <c r="I850" s="1646"/>
      <c r="J850" s="1647"/>
      <c r="K850" s="1648"/>
      <c r="L850" s="1643"/>
      <c r="M850" s="1649"/>
      <c r="N850" s="1649"/>
      <c r="O850" s="1650"/>
    </row>
    <row r="851">
      <c r="A851" s="1651"/>
      <c r="B851" s="1651"/>
      <c r="C851" s="1652"/>
      <c r="D851" s="1654"/>
      <c r="E851" s="1653"/>
      <c r="F851" s="1654"/>
      <c r="G851" s="1654"/>
      <c r="H851" s="1654"/>
      <c r="I851" s="1654"/>
      <c r="J851" s="1654"/>
      <c r="K851" s="1654"/>
      <c r="L851" s="1654"/>
      <c r="M851" s="1655"/>
      <c r="N851" s="1655"/>
      <c r="O851" s="1656"/>
    </row>
    <row r="852">
      <c r="A852" s="1639"/>
      <c r="B852" s="1639"/>
      <c r="C852" s="1640"/>
      <c r="D852" s="1646"/>
      <c r="E852" s="1642"/>
      <c r="F852" s="1643"/>
      <c r="G852" s="1644"/>
      <c r="H852" s="1645"/>
      <c r="I852" s="1646"/>
      <c r="J852" s="1647"/>
      <c r="K852" s="1648"/>
      <c r="L852" s="1643"/>
      <c r="M852" s="1649"/>
      <c r="N852" s="1649"/>
      <c r="O852" s="1650"/>
    </row>
    <row r="853">
      <c r="A853" s="1651"/>
      <c r="B853" s="1651"/>
      <c r="C853" s="1652"/>
      <c r="D853" s="1654"/>
      <c r="E853" s="1653"/>
      <c r="F853" s="1654"/>
      <c r="G853" s="1654"/>
      <c r="H853" s="1654"/>
      <c r="I853" s="1654"/>
      <c r="J853" s="1654"/>
      <c r="K853" s="1654"/>
      <c r="L853" s="1654"/>
      <c r="M853" s="1655"/>
      <c r="N853" s="1655"/>
      <c r="O853" s="1656"/>
    </row>
    <row r="854">
      <c r="A854" s="1639"/>
      <c r="B854" s="1639"/>
      <c r="C854" s="1640"/>
      <c r="D854" s="1646"/>
      <c r="E854" s="1642"/>
      <c r="F854" s="1643"/>
      <c r="G854" s="1644"/>
      <c r="H854" s="1645"/>
      <c r="I854" s="1646"/>
      <c r="J854" s="1647"/>
      <c r="K854" s="1648"/>
      <c r="L854" s="1643"/>
      <c r="M854" s="1649"/>
      <c r="N854" s="1649"/>
      <c r="O854" s="1650"/>
    </row>
    <row r="855">
      <c r="A855" s="1651"/>
      <c r="B855" s="1651"/>
      <c r="C855" s="1652"/>
      <c r="D855" s="1654"/>
      <c r="E855" s="1653"/>
      <c r="F855" s="1654"/>
      <c r="G855" s="1654"/>
      <c r="H855" s="1654"/>
      <c r="I855" s="1654"/>
      <c r="J855" s="1654"/>
      <c r="K855" s="1654"/>
      <c r="L855" s="1654"/>
      <c r="M855" s="1655"/>
      <c r="N855" s="1655"/>
      <c r="O855" s="1656"/>
    </row>
    <row r="856">
      <c r="A856" s="1639"/>
      <c r="B856" s="1639"/>
      <c r="C856" s="1640"/>
      <c r="D856" s="1646"/>
      <c r="E856" s="1642"/>
      <c r="F856" s="1643"/>
      <c r="G856" s="1644"/>
      <c r="H856" s="1645"/>
      <c r="I856" s="1646"/>
      <c r="J856" s="1647"/>
      <c r="K856" s="1648"/>
      <c r="L856" s="1643"/>
      <c r="M856" s="1649"/>
      <c r="N856" s="1649"/>
      <c r="O856" s="1650"/>
    </row>
    <row r="857">
      <c r="A857" s="1651"/>
      <c r="B857" s="1651"/>
      <c r="C857" s="1652"/>
      <c r="D857" s="1654"/>
      <c r="E857" s="1653"/>
      <c r="F857" s="1654"/>
      <c r="G857" s="1654"/>
      <c r="H857" s="1654"/>
      <c r="I857" s="1654"/>
      <c r="J857" s="1654"/>
      <c r="K857" s="1654"/>
      <c r="L857" s="1654"/>
      <c r="M857" s="1655"/>
      <c r="N857" s="1655"/>
      <c r="O857" s="1656"/>
    </row>
    <row r="858">
      <c r="A858" s="1639"/>
      <c r="B858" s="1639"/>
      <c r="C858" s="1640"/>
      <c r="D858" s="1646"/>
      <c r="E858" s="1642"/>
      <c r="F858" s="1643"/>
      <c r="G858" s="1644"/>
      <c r="H858" s="1645"/>
      <c r="I858" s="1646"/>
      <c r="J858" s="1647"/>
      <c r="K858" s="1648"/>
      <c r="L858" s="1643"/>
      <c r="M858" s="1649"/>
      <c r="N858" s="1649"/>
      <c r="O858" s="1650"/>
    </row>
    <row r="859">
      <c r="A859" s="1651"/>
      <c r="B859" s="1651"/>
      <c r="C859" s="1652"/>
      <c r="D859" s="1654"/>
      <c r="E859" s="1653"/>
      <c r="F859" s="1654"/>
      <c r="G859" s="1654"/>
      <c r="H859" s="1654"/>
      <c r="I859" s="1654"/>
      <c r="J859" s="1654"/>
      <c r="K859" s="1654"/>
      <c r="L859" s="1654"/>
      <c r="M859" s="1655"/>
      <c r="N859" s="1655"/>
      <c r="O859" s="1656"/>
    </row>
    <row r="860">
      <c r="A860" s="1639"/>
      <c r="B860" s="1639"/>
      <c r="C860" s="1640"/>
      <c r="D860" s="1646"/>
      <c r="E860" s="1642"/>
      <c r="F860" s="1643"/>
      <c r="G860" s="1644"/>
      <c r="H860" s="1645"/>
      <c r="I860" s="1646"/>
      <c r="J860" s="1647"/>
      <c r="K860" s="1648"/>
      <c r="L860" s="1643"/>
      <c r="M860" s="1649"/>
      <c r="N860" s="1649"/>
      <c r="O860" s="1650"/>
    </row>
    <row r="861">
      <c r="A861" s="1651"/>
      <c r="B861" s="1651"/>
      <c r="C861" s="1652"/>
      <c r="D861" s="1654"/>
      <c r="E861" s="1653"/>
      <c r="F861" s="1654"/>
      <c r="G861" s="1654"/>
      <c r="H861" s="1654"/>
      <c r="I861" s="1654"/>
      <c r="J861" s="1654"/>
      <c r="K861" s="1654"/>
      <c r="L861" s="1654"/>
      <c r="M861" s="1655"/>
      <c r="N861" s="1655"/>
      <c r="O861" s="1656"/>
    </row>
    <row r="862">
      <c r="A862" s="1639"/>
      <c r="B862" s="1639"/>
      <c r="C862" s="1640"/>
      <c r="D862" s="1646"/>
      <c r="E862" s="1642"/>
      <c r="F862" s="1643"/>
      <c r="G862" s="1644"/>
      <c r="H862" s="1645"/>
      <c r="I862" s="1646"/>
      <c r="J862" s="1647"/>
      <c r="K862" s="1648"/>
      <c r="L862" s="1643"/>
      <c r="M862" s="1649"/>
      <c r="N862" s="1649"/>
      <c r="O862" s="1650"/>
    </row>
    <row r="863">
      <c r="A863" s="1651"/>
      <c r="B863" s="1651"/>
      <c r="C863" s="1652"/>
      <c r="D863" s="1654"/>
      <c r="E863" s="1653"/>
      <c r="F863" s="1654"/>
      <c r="G863" s="1654"/>
      <c r="H863" s="1654"/>
      <c r="I863" s="1654"/>
      <c r="J863" s="1654"/>
      <c r="K863" s="1654"/>
      <c r="L863" s="1654"/>
      <c r="M863" s="1655"/>
      <c r="N863" s="1655"/>
      <c r="O863" s="1656"/>
    </row>
    <row r="864">
      <c r="A864" s="1639"/>
      <c r="B864" s="1639"/>
      <c r="C864" s="1640"/>
      <c r="D864" s="1646"/>
      <c r="E864" s="1642"/>
      <c r="F864" s="1643"/>
      <c r="G864" s="1644"/>
      <c r="H864" s="1645"/>
      <c r="I864" s="1646"/>
      <c r="J864" s="1647"/>
      <c r="K864" s="1648"/>
      <c r="L864" s="1643"/>
      <c r="M864" s="1649"/>
      <c r="N864" s="1649"/>
      <c r="O864" s="1650"/>
    </row>
    <row r="865">
      <c r="A865" s="1651"/>
      <c r="B865" s="1651"/>
      <c r="C865" s="1652"/>
      <c r="D865" s="1654"/>
      <c r="E865" s="1653"/>
      <c r="F865" s="1654"/>
      <c r="G865" s="1654"/>
      <c r="H865" s="1654"/>
      <c r="I865" s="1654"/>
      <c r="J865" s="1654"/>
      <c r="K865" s="1654"/>
      <c r="L865" s="1654"/>
      <c r="M865" s="1655"/>
      <c r="N865" s="1655"/>
      <c r="O865" s="1656"/>
    </row>
    <row r="866">
      <c r="A866" s="1639"/>
      <c r="B866" s="1639"/>
      <c r="C866" s="1640"/>
      <c r="D866" s="1646"/>
      <c r="E866" s="1642"/>
      <c r="F866" s="1643"/>
      <c r="G866" s="1644"/>
      <c r="H866" s="1645"/>
      <c r="I866" s="1646"/>
      <c r="J866" s="1647"/>
      <c r="K866" s="1648"/>
      <c r="L866" s="1643"/>
      <c r="M866" s="1649"/>
      <c r="N866" s="1649"/>
      <c r="O866" s="1650"/>
    </row>
    <row r="867">
      <c r="A867" s="1651"/>
      <c r="B867" s="1651"/>
      <c r="C867" s="1652"/>
      <c r="D867" s="1654"/>
      <c r="E867" s="1653"/>
      <c r="F867" s="1654"/>
      <c r="G867" s="1654"/>
      <c r="H867" s="1654"/>
      <c r="I867" s="1654"/>
      <c r="J867" s="1654"/>
      <c r="K867" s="1654"/>
      <c r="L867" s="1654"/>
      <c r="M867" s="1655"/>
      <c r="N867" s="1655"/>
      <c r="O867" s="1656"/>
    </row>
    <row r="868">
      <c r="A868" s="1639"/>
      <c r="B868" s="1639"/>
      <c r="C868" s="1640"/>
      <c r="D868" s="1646"/>
      <c r="E868" s="1642"/>
      <c r="F868" s="1643"/>
      <c r="G868" s="1644"/>
      <c r="H868" s="1645"/>
      <c r="I868" s="1646"/>
      <c r="J868" s="1647"/>
      <c r="K868" s="1648"/>
      <c r="L868" s="1643"/>
      <c r="M868" s="1649"/>
      <c r="N868" s="1649"/>
      <c r="O868" s="1650"/>
    </row>
    <row r="869">
      <c r="A869" s="1651"/>
      <c r="B869" s="1651"/>
      <c r="C869" s="1652"/>
      <c r="D869" s="1654"/>
      <c r="E869" s="1653"/>
      <c r="F869" s="1654"/>
      <c r="G869" s="1654"/>
      <c r="H869" s="1654"/>
      <c r="I869" s="1654"/>
      <c r="J869" s="1654"/>
      <c r="K869" s="1654"/>
      <c r="L869" s="1654"/>
      <c r="M869" s="1655"/>
      <c r="N869" s="1655"/>
      <c r="O869" s="1656"/>
    </row>
    <row r="870">
      <c r="A870" s="1639"/>
      <c r="B870" s="1639"/>
      <c r="C870" s="1640"/>
      <c r="D870" s="1646"/>
      <c r="E870" s="1642"/>
      <c r="F870" s="1643"/>
      <c r="G870" s="1644"/>
      <c r="H870" s="1645"/>
      <c r="I870" s="1646"/>
      <c r="J870" s="1647"/>
      <c r="K870" s="1648"/>
      <c r="L870" s="1643"/>
      <c r="M870" s="1649"/>
      <c r="N870" s="1649"/>
      <c r="O870" s="1650"/>
    </row>
    <row r="871">
      <c r="A871" s="1651"/>
      <c r="B871" s="1651"/>
      <c r="C871" s="1652"/>
      <c r="D871" s="1654"/>
      <c r="E871" s="1653"/>
      <c r="F871" s="1654"/>
      <c r="G871" s="1654"/>
      <c r="H871" s="1654"/>
      <c r="I871" s="1654"/>
      <c r="J871" s="1654"/>
      <c r="K871" s="1654"/>
      <c r="L871" s="1654"/>
      <c r="M871" s="1655"/>
      <c r="N871" s="1655"/>
      <c r="O871" s="1656"/>
    </row>
    <row r="872">
      <c r="A872" s="1639"/>
      <c r="B872" s="1639"/>
      <c r="C872" s="1640"/>
      <c r="D872" s="1646"/>
      <c r="E872" s="1642"/>
      <c r="F872" s="1643"/>
      <c r="G872" s="1644"/>
      <c r="H872" s="1645"/>
      <c r="I872" s="1646"/>
      <c r="J872" s="1647"/>
      <c r="K872" s="1648"/>
      <c r="L872" s="1643"/>
      <c r="M872" s="1649"/>
      <c r="N872" s="1649"/>
      <c r="O872" s="1650"/>
    </row>
    <row r="873">
      <c r="A873" s="1651"/>
      <c r="B873" s="1651"/>
      <c r="C873" s="1652"/>
      <c r="D873" s="1654"/>
      <c r="E873" s="1653"/>
      <c r="F873" s="1654"/>
      <c r="G873" s="1654"/>
      <c r="H873" s="1654"/>
      <c r="I873" s="1654"/>
      <c r="J873" s="1654"/>
      <c r="K873" s="1654"/>
      <c r="L873" s="1654"/>
      <c r="M873" s="1655"/>
      <c r="N873" s="1655"/>
      <c r="O873" s="1656"/>
    </row>
    <row r="874">
      <c r="A874" s="1639"/>
      <c r="B874" s="1639"/>
      <c r="C874" s="1640"/>
      <c r="D874" s="1646"/>
      <c r="E874" s="1642"/>
      <c r="F874" s="1643"/>
      <c r="G874" s="1644"/>
      <c r="H874" s="1645"/>
      <c r="I874" s="1646"/>
      <c r="J874" s="1647"/>
      <c r="K874" s="1648"/>
      <c r="L874" s="1643"/>
      <c r="M874" s="1649"/>
      <c r="N874" s="1649"/>
      <c r="O874" s="1650"/>
    </row>
    <row r="875">
      <c r="A875" s="1651"/>
      <c r="B875" s="1651"/>
      <c r="C875" s="1652"/>
      <c r="D875" s="1654"/>
      <c r="E875" s="1653"/>
      <c r="F875" s="1654"/>
      <c r="G875" s="1654"/>
      <c r="H875" s="1654"/>
      <c r="I875" s="1654"/>
      <c r="J875" s="1654"/>
      <c r="K875" s="1654"/>
      <c r="L875" s="1654"/>
      <c r="M875" s="1655"/>
      <c r="N875" s="1655"/>
      <c r="O875" s="1656"/>
    </row>
    <row r="876">
      <c r="A876" s="1639"/>
      <c r="B876" s="1639"/>
      <c r="C876" s="1640"/>
      <c r="D876" s="1646"/>
      <c r="E876" s="1642"/>
      <c r="F876" s="1643"/>
      <c r="G876" s="1644"/>
      <c r="H876" s="1645"/>
      <c r="I876" s="1646"/>
      <c r="J876" s="1647"/>
      <c r="K876" s="1648"/>
      <c r="L876" s="1643"/>
      <c r="M876" s="1649"/>
      <c r="N876" s="1649"/>
      <c r="O876" s="1650"/>
    </row>
    <row r="877">
      <c r="A877" s="1651"/>
      <c r="B877" s="1651"/>
      <c r="C877" s="1652"/>
      <c r="D877" s="1654"/>
      <c r="E877" s="1653"/>
      <c r="F877" s="1654"/>
      <c r="G877" s="1654"/>
      <c r="H877" s="1654"/>
      <c r="I877" s="1654"/>
      <c r="J877" s="1654"/>
      <c r="K877" s="1654"/>
      <c r="L877" s="1654"/>
      <c r="M877" s="1655"/>
      <c r="N877" s="1655"/>
      <c r="O877" s="1656"/>
    </row>
    <row r="878">
      <c r="A878" s="1639"/>
      <c r="B878" s="1639"/>
      <c r="C878" s="1640"/>
      <c r="D878" s="1646"/>
      <c r="E878" s="1642"/>
      <c r="F878" s="1643"/>
      <c r="G878" s="1644"/>
      <c r="H878" s="1645"/>
      <c r="I878" s="1646"/>
      <c r="J878" s="1647"/>
      <c r="K878" s="1648"/>
      <c r="L878" s="1643"/>
      <c r="M878" s="1649"/>
      <c r="N878" s="1649"/>
      <c r="O878" s="1650"/>
    </row>
    <row r="879">
      <c r="A879" s="1651"/>
      <c r="B879" s="1651"/>
      <c r="C879" s="1652"/>
      <c r="D879" s="1654"/>
      <c r="E879" s="1653"/>
      <c r="F879" s="1654"/>
      <c r="G879" s="1654"/>
      <c r="H879" s="1654"/>
      <c r="I879" s="1654"/>
      <c r="J879" s="1654"/>
      <c r="K879" s="1654"/>
      <c r="L879" s="1654"/>
      <c r="M879" s="1655"/>
      <c r="N879" s="1655"/>
      <c r="O879" s="1656"/>
    </row>
    <row r="880">
      <c r="A880" s="1639"/>
      <c r="B880" s="1639"/>
      <c r="C880" s="1640"/>
      <c r="D880" s="1646"/>
      <c r="E880" s="1642"/>
      <c r="F880" s="1643"/>
      <c r="G880" s="1644"/>
      <c r="H880" s="1645"/>
      <c r="I880" s="1646"/>
      <c r="J880" s="1647"/>
      <c r="K880" s="1648"/>
      <c r="L880" s="1643"/>
      <c r="M880" s="1649"/>
      <c r="N880" s="1649"/>
      <c r="O880" s="1650"/>
    </row>
    <row r="881">
      <c r="A881" s="1651"/>
      <c r="B881" s="1651"/>
      <c r="C881" s="1652"/>
      <c r="D881" s="1654"/>
      <c r="E881" s="1653"/>
      <c r="F881" s="1654"/>
      <c r="G881" s="1654"/>
      <c r="H881" s="1654"/>
      <c r="I881" s="1654"/>
      <c r="J881" s="1654"/>
      <c r="K881" s="1654"/>
      <c r="L881" s="1654"/>
      <c r="M881" s="1655"/>
      <c r="N881" s="1655"/>
      <c r="O881" s="1656"/>
    </row>
    <row r="882">
      <c r="A882" s="1639"/>
      <c r="B882" s="1639"/>
      <c r="C882" s="1640"/>
      <c r="D882" s="1646"/>
      <c r="E882" s="1642"/>
      <c r="F882" s="1643"/>
      <c r="G882" s="1644"/>
      <c r="H882" s="1645"/>
      <c r="I882" s="1646"/>
      <c r="J882" s="1647"/>
      <c r="K882" s="1648"/>
      <c r="L882" s="1643"/>
      <c r="M882" s="1649"/>
      <c r="N882" s="1649"/>
      <c r="O882" s="1650"/>
    </row>
    <row r="883">
      <c r="A883" s="1651"/>
      <c r="B883" s="1651"/>
      <c r="C883" s="1652"/>
      <c r="D883" s="1654"/>
      <c r="E883" s="1653"/>
      <c r="F883" s="1654"/>
      <c r="G883" s="1654"/>
      <c r="H883" s="1654"/>
      <c r="I883" s="1654"/>
      <c r="J883" s="1654"/>
      <c r="K883" s="1654"/>
      <c r="L883" s="1654"/>
      <c r="M883" s="1655"/>
      <c r="N883" s="1655"/>
      <c r="O883" s="1656"/>
    </row>
    <row r="884">
      <c r="A884" s="1639"/>
      <c r="B884" s="1639"/>
      <c r="C884" s="1640"/>
      <c r="D884" s="1646"/>
      <c r="E884" s="1642"/>
      <c r="F884" s="1643"/>
      <c r="G884" s="1644"/>
      <c r="H884" s="1645"/>
      <c r="I884" s="1646"/>
      <c r="J884" s="1647"/>
      <c r="K884" s="1648"/>
      <c r="L884" s="1643"/>
      <c r="M884" s="1649"/>
      <c r="N884" s="1649"/>
      <c r="O884" s="1650"/>
    </row>
    <row r="885">
      <c r="A885" s="1651"/>
      <c r="B885" s="1651"/>
      <c r="C885" s="1652"/>
      <c r="D885" s="1654"/>
      <c r="E885" s="1653"/>
      <c r="F885" s="1654"/>
      <c r="G885" s="1654"/>
      <c r="H885" s="1654"/>
      <c r="I885" s="1654"/>
      <c r="J885" s="1654"/>
      <c r="K885" s="1654"/>
      <c r="L885" s="1654"/>
      <c r="M885" s="1655"/>
      <c r="N885" s="1655"/>
      <c r="O885" s="1656"/>
    </row>
    <row r="886">
      <c r="A886" s="1639"/>
      <c r="B886" s="1639"/>
      <c r="C886" s="1640"/>
      <c r="D886" s="1646"/>
      <c r="E886" s="1642"/>
      <c r="F886" s="1643"/>
      <c r="G886" s="1644"/>
      <c r="H886" s="1645"/>
      <c r="I886" s="1646"/>
      <c r="J886" s="1647"/>
      <c r="K886" s="1648"/>
      <c r="L886" s="1643"/>
      <c r="M886" s="1649"/>
      <c r="N886" s="1649"/>
      <c r="O886" s="1650"/>
    </row>
    <row r="887">
      <c r="A887" s="1651"/>
      <c r="B887" s="1651"/>
      <c r="C887" s="1652"/>
      <c r="D887" s="1654"/>
      <c r="E887" s="1653"/>
      <c r="F887" s="1654"/>
      <c r="G887" s="1654"/>
      <c r="H887" s="1654"/>
      <c r="I887" s="1654"/>
      <c r="J887" s="1654"/>
      <c r="K887" s="1654"/>
      <c r="L887" s="1654"/>
      <c r="M887" s="1655"/>
      <c r="N887" s="1655"/>
      <c r="O887" s="1656"/>
    </row>
    <row r="888">
      <c r="A888" s="1639"/>
      <c r="B888" s="1639"/>
      <c r="C888" s="1640"/>
      <c r="D888" s="1646"/>
      <c r="E888" s="1642"/>
      <c r="F888" s="1643"/>
      <c r="G888" s="1644"/>
      <c r="H888" s="1645"/>
      <c r="I888" s="1646"/>
      <c r="J888" s="1647"/>
      <c r="K888" s="1648"/>
      <c r="L888" s="1643"/>
      <c r="M888" s="1649"/>
      <c r="N888" s="1649"/>
      <c r="O888" s="1650"/>
    </row>
    <row r="889">
      <c r="A889" s="1651"/>
      <c r="B889" s="1651"/>
      <c r="C889" s="1652"/>
      <c r="D889" s="1654"/>
      <c r="E889" s="1653"/>
      <c r="F889" s="1654"/>
      <c r="G889" s="1654"/>
      <c r="H889" s="1654"/>
      <c r="I889" s="1654"/>
      <c r="J889" s="1654"/>
      <c r="K889" s="1654"/>
      <c r="L889" s="1654"/>
      <c r="M889" s="1655"/>
      <c r="N889" s="1655"/>
      <c r="O889" s="1656"/>
    </row>
    <row r="890">
      <c r="A890" s="1639"/>
      <c r="B890" s="1639"/>
      <c r="C890" s="1640"/>
      <c r="D890" s="1646"/>
      <c r="E890" s="1642"/>
      <c r="F890" s="1643"/>
      <c r="G890" s="1644"/>
      <c r="H890" s="1645"/>
      <c r="I890" s="1646"/>
      <c r="J890" s="1647"/>
      <c r="K890" s="1648"/>
      <c r="L890" s="1643"/>
      <c r="M890" s="1649"/>
      <c r="N890" s="1649"/>
      <c r="O890" s="1650"/>
    </row>
    <row r="891">
      <c r="A891" s="1651"/>
      <c r="B891" s="1651"/>
      <c r="C891" s="1652"/>
      <c r="D891" s="1654"/>
      <c r="E891" s="1653"/>
      <c r="F891" s="1654"/>
      <c r="G891" s="1654"/>
      <c r="H891" s="1654"/>
      <c r="I891" s="1654"/>
      <c r="J891" s="1654"/>
      <c r="K891" s="1654"/>
      <c r="L891" s="1654"/>
      <c r="M891" s="1655"/>
      <c r="N891" s="1655"/>
      <c r="O891" s="1656"/>
    </row>
    <row r="892">
      <c r="A892" s="1639"/>
      <c r="B892" s="1639"/>
      <c r="C892" s="1640"/>
      <c r="D892" s="1646"/>
      <c r="E892" s="1642"/>
      <c r="F892" s="1643"/>
      <c r="G892" s="1644"/>
      <c r="H892" s="1645"/>
      <c r="I892" s="1646"/>
      <c r="J892" s="1647"/>
      <c r="K892" s="1648"/>
      <c r="L892" s="1643"/>
      <c r="M892" s="1649"/>
      <c r="N892" s="1649"/>
      <c r="O892" s="1650"/>
    </row>
    <row r="893">
      <c r="A893" s="1651"/>
      <c r="B893" s="1651"/>
      <c r="C893" s="1652"/>
      <c r="D893" s="1654"/>
      <c r="E893" s="1653"/>
      <c r="F893" s="1654"/>
      <c r="G893" s="1654"/>
      <c r="H893" s="1654"/>
      <c r="I893" s="1654"/>
      <c r="J893" s="1654"/>
      <c r="K893" s="1654"/>
      <c r="L893" s="1654"/>
      <c r="M893" s="1655"/>
      <c r="N893" s="1655"/>
      <c r="O893" s="1656"/>
    </row>
    <row r="894">
      <c r="A894" s="1639"/>
      <c r="B894" s="1639"/>
      <c r="C894" s="1640"/>
      <c r="D894" s="1646"/>
      <c r="E894" s="1642"/>
      <c r="F894" s="1643"/>
      <c r="G894" s="1644"/>
      <c r="H894" s="1645"/>
      <c r="I894" s="1646"/>
      <c r="J894" s="1647"/>
      <c r="K894" s="1648"/>
      <c r="L894" s="1643"/>
      <c r="M894" s="1649"/>
      <c r="N894" s="1649"/>
      <c r="O894" s="1650"/>
    </row>
    <row r="895">
      <c r="A895" s="1651"/>
      <c r="B895" s="1651"/>
      <c r="C895" s="1652"/>
      <c r="D895" s="1654"/>
      <c r="E895" s="1653"/>
      <c r="F895" s="1654"/>
      <c r="G895" s="1654"/>
      <c r="H895" s="1654"/>
      <c r="I895" s="1654"/>
      <c r="J895" s="1654"/>
      <c r="K895" s="1654"/>
      <c r="L895" s="1654"/>
      <c r="M895" s="1655"/>
      <c r="N895" s="1655"/>
      <c r="O895" s="1656"/>
    </row>
    <row r="896">
      <c r="A896" s="1639"/>
      <c r="B896" s="1639"/>
      <c r="C896" s="1640"/>
      <c r="D896" s="1646"/>
      <c r="E896" s="1642"/>
      <c r="F896" s="1643"/>
      <c r="G896" s="1644"/>
      <c r="H896" s="1645"/>
      <c r="I896" s="1646"/>
      <c r="J896" s="1647"/>
      <c r="K896" s="1648"/>
      <c r="L896" s="1643"/>
      <c r="M896" s="1649"/>
      <c r="N896" s="1649"/>
      <c r="O896" s="1650"/>
    </row>
    <row r="897">
      <c r="A897" s="1651"/>
      <c r="B897" s="1651"/>
      <c r="C897" s="1652"/>
      <c r="D897" s="1654"/>
      <c r="E897" s="1653"/>
      <c r="F897" s="1654"/>
      <c r="G897" s="1654"/>
      <c r="H897" s="1654"/>
      <c r="I897" s="1654"/>
      <c r="J897" s="1654"/>
      <c r="K897" s="1654"/>
      <c r="L897" s="1654"/>
      <c r="M897" s="1655"/>
      <c r="N897" s="1655"/>
      <c r="O897" s="1656"/>
    </row>
    <row r="898">
      <c r="A898" s="1639"/>
      <c r="B898" s="1639"/>
      <c r="C898" s="1640"/>
      <c r="D898" s="1646"/>
      <c r="E898" s="1642"/>
      <c r="F898" s="1643"/>
      <c r="G898" s="1644"/>
      <c r="H898" s="1645"/>
      <c r="I898" s="1646"/>
      <c r="J898" s="1647"/>
      <c r="K898" s="1648"/>
      <c r="L898" s="1643"/>
      <c r="M898" s="1649"/>
      <c r="N898" s="1649"/>
      <c r="O898" s="1650"/>
    </row>
    <row r="899">
      <c r="A899" s="1651"/>
      <c r="B899" s="1651"/>
      <c r="C899" s="1652"/>
      <c r="D899" s="1654"/>
      <c r="E899" s="1653"/>
      <c r="F899" s="1654"/>
      <c r="G899" s="1654"/>
      <c r="H899" s="1654"/>
      <c r="I899" s="1654"/>
      <c r="J899" s="1654"/>
      <c r="K899" s="1654"/>
      <c r="L899" s="1654"/>
      <c r="M899" s="1655"/>
      <c r="N899" s="1655"/>
      <c r="O899" s="1656"/>
    </row>
    <row r="900">
      <c r="A900" s="1639"/>
      <c r="B900" s="1639"/>
      <c r="C900" s="1640"/>
      <c r="D900" s="1646"/>
      <c r="E900" s="1642"/>
      <c r="F900" s="1643"/>
      <c r="G900" s="1644"/>
      <c r="H900" s="1645"/>
      <c r="I900" s="1646"/>
      <c r="J900" s="1647"/>
      <c r="K900" s="1648"/>
      <c r="L900" s="1643"/>
      <c r="M900" s="1649"/>
      <c r="N900" s="1649"/>
      <c r="O900" s="1650"/>
    </row>
    <row r="901">
      <c r="A901" s="1651"/>
      <c r="B901" s="1651"/>
      <c r="C901" s="1652"/>
      <c r="D901" s="1654"/>
      <c r="E901" s="1653"/>
      <c r="F901" s="1654"/>
      <c r="G901" s="1654"/>
      <c r="H901" s="1654"/>
      <c r="I901" s="1654"/>
      <c r="J901" s="1654"/>
      <c r="K901" s="1654"/>
      <c r="L901" s="1654"/>
      <c r="M901" s="1655"/>
      <c r="N901" s="1655"/>
      <c r="O901" s="1656"/>
    </row>
    <row r="902">
      <c r="A902" s="1639"/>
      <c r="B902" s="1639"/>
      <c r="C902" s="1640"/>
      <c r="D902" s="1646"/>
      <c r="E902" s="1642"/>
      <c r="F902" s="1643"/>
      <c r="G902" s="1644"/>
      <c r="H902" s="1645"/>
      <c r="I902" s="1646"/>
      <c r="J902" s="1647"/>
      <c r="K902" s="1648"/>
      <c r="L902" s="1643"/>
      <c r="M902" s="1649"/>
      <c r="N902" s="1649"/>
      <c r="O902" s="1650"/>
    </row>
    <row r="903">
      <c r="A903" s="1651"/>
      <c r="B903" s="1651"/>
      <c r="C903" s="1652"/>
      <c r="D903" s="1654"/>
      <c r="E903" s="1653"/>
      <c r="F903" s="1654"/>
      <c r="G903" s="1654"/>
      <c r="H903" s="1654"/>
      <c r="I903" s="1654"/>
      <c r="J903" s="1654"/>
      <c r="K903" s="1654"/>
      <c r="L903" s="1654"/>
      <c r="M903" s="1655"/>
      <c r="N903" s="1655"/>
      <c r="O903" s="1656"/>
    </row>
    <row r="904">
      <c r="A904" s="1639"/>
      <c r="B904" s="1639"/>
      <c r="C904" s="1640"/>
      <c r="D904" s="1646"/>
      <c r="E904" s="1642"/>
      <c r="F904" s="1643"/>
      <c r="G904" s="1644"/>
      <c r="H904" s="1645"/>
      <c r="I904" s="1646"/>
      <c r="J904" s="1647"/>
      <c r="K904" s="1648"/>
      <c r="L904" s="1643"/>
      <c r="M904" s="1649"/>
      <c r="N904" s="1649"/>
      <c r="O904" s="1650"/>
    </row>
    <row r="905">
      <c r="A905" s="1651"/>
      <c r="B905" s="1651"/>
      <c r="C905" s="1652"/>
      <c r="D905" s="1654"/>
      <c r="E905" s="1653"/>
      <c r="F905" s="1654"/>
      <c r="G905" s="1654"/>
      <c r="H905" s="1654"/>
      <c r="I905" s="1654"/>
      <c r="J905" s="1654"/>
      <c r="K905" s="1654"/>
      <c r="L905" s="1654"/>
      <c r="M905" s="1655"/>
      <c r="N905" s="1655"/>
      <c r="O905" s="1656"/>
    </row>
    <row r="906">
      <c r="A906" s="1639"/>
      <c r="B906" s="1639"/>
      <c r="C906" s="1640"/>
      <c r="D906" s="1646"/>
      <c r="E906" s="1642"/>
      <c r="F906" s="1643"/>
      <c r="G906" s="1644"/>
      <c r="H906" s="1645"/>
      <c r="I906" s="1646"/>
      <c r="J906" s="1647"/>
      <c r="K906" s="1648"/>
      <c r="L906" s="1643"/>
      <c r="M906" s="1649"/>
      <c r="N906" s="1649"/>
      <c r="O906" s="1650"/>
    </row>
    <row r="907">
      <c r="A907" s="1651"/>
      <c r="B907" s="1651"/>
      <c r="C907" s="1652"/>
      <c r="D907" s="1654"/>
      <c r="E907" s="1653"/>
      <c r="F907" s="1654"/>
      <c r="G907" s="1654"/>
      <c r="H907" s="1654"/>
      <c r="I907" s="1654"/>
      <c r="J907" s="1654"/>
      <c r="K907" s="1654"/>
      <c r="L907" s="1654"/>
      <c r="M907" s="1655"/>
      <c r="N907" s="1655"/>
      <c r="O907" s="1656"/>
    </row>
    <row r="908">
      <c r="A908" s="1639"/>
      <c r="B908" s="1639"/>
      <c r="C908" s="1640"/>
      <c r="D908" s="1646"/>
      <c r="E908" s="1642"/>
      <c r="F908" s="1643"/>
      <c r="G908" s="1644"/>
      <c r="H908" s="1645"/>
      <c r="I908" s="1646"/>
      <c r="J908" s="1647"/>
      <c r="K908" s="1648"/>
      <c r="L908" s="1643"/>
      <c r="M908" s="1649"/>
      <c r="N908" s="1649"/>
      <c r="O908" s="1650"/>
    </row>
    <row r="909">
      <c r="A909" s="1651"/>
      <c r="B909" s="1651"/>
      <c r="C909" s="1652"/>
      <c r="D909" s="1654"/>
      <c r="E909" s="1653"/>
      <c r="F909" s="1654"/>
      <c r="G909" s="1654"/>
      <c r="H909" s="1654"/>
      <c r="I909" s="1654"/>
      <c r="J909" s="1654"/>
      <c r="K909" s="1654"/>
      <c r="L909" s="1654"/>
      <c r="M909" s="1655"/>
      <c r="N909" s="1655"/>
      <c r="O909" s="1656"/>
    </row>
    <row r="910">
      <c r="A910" s="1639"/>
      <c r="B910" s="1639"/>
      <c r="C910" s="1640"/>
      <c r="D910" s="1646"/>
      <c r="E910" s="1642"/>
      <c r="F910" s="1643"/>
      <c r="G910" s="1644"/>
      <c r="H910" s="1645"/>
      <c r="I910" s="1646"/>
      <c r="J910" s="1647"/>
      <c r="K910" s="1648"/>
      <c r="L910" s="1643"/>
      <c r="M910" s="1649"/>
      <c r="N910" s="1649"/>
      <c r="O910" s="1650"/>
    </row>
    <row r="911">
      <c r="A911" s="1651"/>
      <c r="B911" s="1651"/>
      <c r="C911" s="1652"/>
      <c r="D911" s="1654"/>
      <c r="E911" s="1653"/>
      <c r="F911" s="1654"/>
      <c r="G911" s="1654"/>
      <c r="H911" s="1654"/>
      <c r="I911" s="1654"/>
      <c r="J911" s="1654"/>
      <c r="K911" s="1654"/>
      <c r="L911" s="1654"/>
      <c r="M911" s="1655"/>
      <c r="N911" s="1655"/>
      <c r="O911" s="1656"/>
    </row>
    <row r="912">
      <c r="A912" s="1639"/>
      <c r="B912" s="1639"/>
      <c r="C912" s="1640"/>
      <c r="D912" s="1646"/>
      <c r="E912" s="1642"/>
      <c r="F912" s="1643"/>
      <c r="G912" s="1644"/>
      <c r="H912" s="1645"/>
      <c r="I912" s="1646"/>
      <c r="J912" s="1647"/>
      <c r="K912" s="1648"/>
      <c r="L912" s="1643"/>
      <c r="M912" s="1649"/>
      <c r="N912" s="1649"/>
      <c r="O912" s="1650"/>
    </row>
    <row r="913">
      <c r="A913" s="1651"/>
      <c r="B913" s="1651"/>
      <c r="C913" s="1652"/>
      <c r="D913" s="1654"/>
      <c r="E913" s="1653"/>
      <c r="F913" s="1654"/>
      <c r="G913" s="1654"/>
      <c r="H913" s="1654"/>
      <c r="I913" s="1654"/>
      <c r="J913" s="1654"/>
      <c r="K913" s="1654"/>
      <c r="L913" s="1654"/>
      <c r="M913" s="1655"/>
      <c r="N913" s="1655"/>
      <c r="O913" s="1656"/>
    </row>
    <row r="914">
      <c r="A914" s="1639"/>
      <c r="B914" s="1639"/>
      <c r="C914" s="1640"/>
      <c r="D914" s="1646"/>
      <c r="E914" s="1642"/>
      <c r="F914" s="1643"/>
      <c r="G914" s="1644"/>
      <c r="H914" s="1645"/>
      <c r="I914" s="1646"/>
      <c r="J914" s="1647"/>
      <c r="K914" s="1648"/>
      <c r="L914" s="1643"/>
      <c r="M914" s="1649"/>
      <c r="N914" s="1649"/>
      <c r="O914" s="1650"/>
    </row>
    <row r="915">
      <c r="A915" s="1651"/>
      <c r="B915" s="1651"/>
      <c r="C915" s="1652"/>
      <c r="D915" s="1654"/>
      <c r="E915" s="1653"/>
      <c r="F915" s="1654"/>
      <c r="G915" s="1654"/>
      <c r="H915" s="1654"/>
      <c r="I915" s="1654"/>
      <c r="J915" s="1654"/>
      <c r="K915" s="1654"/>
      <c r="L915" s="1654"/>
      <c r="M915" s="1655"/>
      <c r="N915" s="1655"/>
      <c r="O915" s="1656"/>
    </row>
    <row r="916">
      <c r="A916" s="1639"/>
      <c r="B916" s="1639"/>
      <c r="C916" s="1640"/>
      <c r="D916" s="1646"/>
      <c r="E916" s="1642"/>
      <c r="F916" s="1643"/>
      <c r="G916" s="1644"/>
      <c r="H916" s="1645"/>
      <c r="I916" s="1646"/>
      <c r="J916" s="1647"/>
      <c r="K916" s="1648"/>
      <c r="L916" s="1643"/>
      <c r="M916" s="1649"/>
      <c r="N916" s="1649"/>
      <c r="O916" s="1650"/>
    </row>
    <row r="917">
      <c r="A917" s="1651"/>
      <c r="B917" s="1651"/>
      <c r="C917" s="1652"/>
      <c r="D917" s="1654"/>
      <c r="E917" s="1653"/>
      <c r="F917" s="1654"/>
      <c r="G917" s="1654"/>
      <c r="H917" s="1654"/>
      <c r="I917" s="1654"/>
      <c r="J917" s="1654"/>
      <c r="K917" s="1654"/>
      <c r="L917" s="1654"/>
      <c r="M917" s="1655"/>
      <c r="N917" s="1655"/>
      <c r="O917" s="1656"/>
    </row>
    <row r="918">
      <c r="A918" s="1639"/>
      <c r="B918" s="1639"/>
      <c r="C918" s="1640"/>
      <c r="D918" s="1646"/>
      <c r="E918" s="1642"/>
      <c r="F918" s="1643"/>
      <c r="G918" s="1644"/>
      <c r="H918" s="1645"/>
      <c r="I918" s="1646"/>
      <c r="J918" s="1647"/>
      <c r="K918" s="1648"/>
      <c r="L918" s="1643"/>
      <c r="M918" s="1649"/>
      <c r="N918" s="1649"/>
      <c r="O918" s="1650"/>
    </row>
    <row r="919">
      <c r="A919" s="1651"/>
      <c r="B919" s="1651"/>
      <c r="C919" s="1652"/>
      <c r="D919" s="1654"/>
      <c r="E919" s="1653"/>
      <c r="F919" s="1654"/>
      <c r="G919" s="1654"/>
      <c r="H919" s="1654"/>
      <c r="I919" s="1654"/>
      <c r="J919" s="1654"/>
      <c r="K919" s="1654"/>
      <c r="L919" s="1654"/>
      <c r="M919" s="1655"/>
      <c r="N919" s="1655"/>
      <c r="O919" s="1656"/>
    </row>
    <row r="920">
      <c r="A920" s="1639"/>
      <c r="B920" s="1639"/>
      <c r="C920" s="1640"/>
      <c r="D920" s="1646"/>
      <c r="E920" s="1642"/>
      <c r="F920" s="1643"/>
      <c r="G920" s="1644"/>
      <c r="H920" s="1645"/>
      <c r="I920" s="1646"/>
      <c r="J920" s="1647"/>
      <c r="K920" s="1648"/>
      <c r="L920" s="1643"/>
      <c r="M920" s="1649"/>
      <c r="N920" s="1649"/>
      <c r="O920" s="1650"/>
    </row>
    <row r="921">
      <c r="A921" s="1651"/>
      <c r="B921" s="1651"/>
      <c r="C921" s="1652"/>
      <c r="D921" s="1654"/>
      <c r="E921" s="1653"/>
      <c r="F921" s="1654"/>
      <c r="G921" s="1654"/>
      <c r="H921" s="1654"/>
      <c r="I921" s="1654"/>
      <c r="J921" s="1654"/>
      <c r="K921" s="1654"/>
      <c r="L921" s="1654"/>
      <c r="M921" s="1655"/>
      <c r="N921" s="1655"/>
      <c r="O921" s="1656"/>
    </row>
    <row r="922">
      <c r="A922" s="1639"/>
      <c r="B922" s="1639"/>
      <c r="C922" s="1640"/>
      <c r="D922" s="1646"/>
      <c r="E922" s="1642"/>
      <c r="F922" s="1643"/>
      <c r="G922" s="1644"/>
      <c r="H922" s="1645"/>
      <c r="I922" s="1646"/>
      <c r="J922" s="1647"/>
      <c r="K922" s="1648"/>
      <c r="L922" s="1643"/>
      <c r="M922" s="1649"/>
      <c r="N922" s="1649"/>
      <c r="O922" s="1650"/>
    </row>
    <row r="923">
      <c r="A923" s="1651"/>
      <c r="B923" s="1651"/>
      <c r="C923" s="1652"/>
      <c r="D923" s="1654"/>
      <c r="E923" s="1653"/>
      <c r="F923" s="1654"/>
      <c r="G923" s="1654"/>
      <c r="H923" s="1654"/>
      <c r="I923" s="1654"/>
      <c r="J923" s="1654"/>
      <c r="K923" s="1654"/>
      <c r="L923" s="1654"/>
      <c r="M923" s="1655"/>
      <c r="N923" s="1655"/>
      <c r="O923" s="1656"/>
    </row>
    <row r="924">
      <c r="A924" s="1639"/>
      <c r="B924" s="1639"/>
      <c r="C924" s="1640"/>
      <c r="D924" s="1646"/>
      <c r="E924" s="1642"/>
      <c r="F924" s="1643"/>
      <c r="G924" s="1644"/>
      <c r="H924" s="1645"/>
      <c r="I924" s="1646"/>
      <c r="J924" s="1647"/>
      <c r="K924" s="1648"/>
      <c r="L924" s="1643"/>
      <c r="M924" s="1649"/>
      <c r="N924" s="1649"/>
      <c r="O924" s="1650"/>
    </row>
    <row r="925">
      <c r="A925" s="1651"/>
      <c r="B925" s="1651"/>
      <c r="C925" s="1652"/>
      <c r="D925" s="1654"/>
      <c r="E925" s="1653"/>
      <c r="F925" s="1654"/>
      <c r="G925" s="1654"/>
      <c r="H925" s="1654"/>
      <c r="I925" s="1654"/>
      <c r="J925" s="1654"/>
      <c r="K925" s="1654"/>
      <c r="L925" s="1654"/>
      <c r="M925" s="1655"/>
      <c r="N925" s="1655"/>
      <c r="O925" s="1656"/>
    </row>
    <row r="926">
      <c r="A926" s="1639"/>
      <c r="B926" s="1639"/>
      <c r="C926" s="1640"/>
      <c r="D926" s="1646"/>
      <c r="E926" s="1642"/>
      <c r="F926" s="1643"/>
      <c r="G926" s="1644"/>
      <c r="H926" s="1645"/>
      <c r="I926" s="1646"/>
      <c r="J926" s="1647"/>
      <c r="K926" s="1648"/>
      <c r="L926" s="1643"/>
      <c r="M926" s="1649"/>
      <c r="N926" s="1649"/>
      <c r="O926" s="1650"/>
    </row>
    <row r="927">
      <c r="A927" s="1651"/>
      <c r="B927" s="1651"/>
      <c r="C927" s="1652"/>
      <c r="D927" s="1654"/>
      <c r="E927" s="1653"/>
      <c r="F927" s="1654"/>
      <c r="G927" s="1654"/>
      <c r="H927" s="1654"/>
      <c r="I927" s="1654"/>
      <c r="J927" s="1654"/>
      <c r="K927" s="1654"/>
      <c r="L927" s="1654"/>
      <c r="M927" s="1655"/>
      <c r="N927" s="1655"/>
      <c r="O927" s="1656"/>
    </row>
    <row r="928">
      <c r="A928" s="1639"/>
      <c r="B928" s="1639"/>
      <c r="C928" s="1640"/>
      <c r="D928" s="1646"/>
      <c r="E928" s="1642"/>
      <c r="F928" s="1643"/>
      <c r="G928" s="1644"/>
      <c r="H928" s="1645"/>
      <c r="I928" s="1646"/>
      <c r="J928" s="1647"/>
      <c r="K928" s="1648"/>
      <c r="L928" s="1643"/>
      <c r="M928" s="1649"/>
      <c r="N928" s="1649"/>
      <c r="O928" s="1650"/>
    </row>
    <row r="929">
      <c r="A929" s="1651"/>
      <c r="B929" s="1651"/>
      <c r="C929" s="1652"/>
      <c r="D929" s="1654"/>
      <c r="E929" s="1653"/>
      <c r="F929" s="1654"/>
      <c r="G929" s="1654"/>
      <c r="H929" s="1654"/>
      <c r="I929" s="1654"/>
      <c r="J929" s="1654"/>
      <c r="K929" s="1654"/>
      <c r="L929" s="1654"/>
      <c r="M929" s="1655"/>
      <c r="N929" s="1655"/>
      <c r="O929" s="1656"/>
    </row>
    <row r="930">
      <c r="A930" s="1639"/>
      <c r="B930" s="1639"/>
      <c r="C930" s="1640"/>
      <c r="D930" s="1646"/>
      <c r="E930" s="1642"/>
      <c r="F930" s="1643"/>
      <c r="G930" s="1644"/>
      <c r="H930" s="1645"/>
      <c r="I930" s="1646"/>
      <c r="J930" s="1647"/>
      <c r="K930" s="1648"/>
      <c r="L930" s="1643"/>
      <c r="M930" s="1649"/>
      <c r="N930" s="1649"/>
      <c r="O930" s="1650"/>
    </row>
    <row r="931">
      <c r="A931" s="1651"/>
      <c r="B931" s="1651"/>
      <c r="C931" s="1652"/>
      <c r="D931" s="1654"/>
      <c r="E931" s="1653"/>
      <c r="F931" s="1654"/>
      <c r="G931" s="1654"/>
      <c r="H931" s="1654"/>
      <c r="I931" s="1654"/>
      <c r="J931" s="1654"/>
      <c r="K931" s="1654"/>
      <c r="L931" s="1654"/>
      <c r="M931" s="1655"/>
      <c r="N931" s="1655"/>
      <c r="O931" s="1656"/>
    </row>
    <row r="932">
      <c r="A932" s="1639"/>
      <c r="B932" s="1639"/>
      <c r="C932" s="1640"/>
      <c r="D932" s="1646"/>
      <c r="E932" s="1642"/>
      <c r="F932" s="1643"/>
      <c r="G932" s="1644"/>
      <c r="H932" s="1645"/>
      <c r="I932" s="1646"/>
      <c r="J932" s="1647"/>
      <c r="K932" s="1648"/>
      <c r="L932" s="1643"/>
      <c r="M932" s="1649"/>
      <c r="N932" s="1649"/>
      <c r="O932" s="1650"/>
    </row>
    <row r="933">
      <c r="A933" s="1651"/>
      <c r="B933" s="1651"/>
      <c r="C933" s="1652"/>
      <c r="D933" s="1654"/>
      <c r="E933" s="1653"/>
      <c r="F933" s="1654"/>
      <c r="G933" s="1654"/>
      <c r="H933" s="1654"/>
      <c r="I933" s="1654"/>
      <c r="J933" s="1654"/>
      <c r="K933" s="1654"/>
      <c r="L933" s="1654"/>
      <c r="M933" s="1655"/>
      <c r="N933" s="1655"/>
      <c r="O933" s="1656"/>
    </row>
    <row r="934">
      <c r="A934" s="1639"/>
      <c r="B934" s="1639"/>
      <c r="C934" s="1640"/>
      <c r="D934" s="1646"/>
      <c r="E934" s="1642"/>
      <c r="F934" s="1643"/>
      <c r="G934" s="1644"/>
      <c r="H934" s="1645"/>
      <c r="I934" s="1646"/>
      <c r="J934" s="1647"/>
      <c r="K934" s="1648"/>
      <c r="L934" s="1643"/>
      <c r="M934" s="1649"/>
      <c r="N934" s="1649"/>
      <c r="O934" s="1650"/>
    </row>
    <row r="935">
      <c r="A935" s="1651"/>
      <c r="B935" s="1651"/>
      <c r="C935" s="1652"/>
      <c r="D935" s="1654"/>
      <c r="E935" s="1653"/>
      <c r="F935" s="1654"/>
      <c r="G935" s="1654"/>
      <c r="H935" s="1654"/>
      <c r="I935" s="1654"/>
      <c r="J935" s="1654"/>
      <c r="K935" s="1654"/>
      <c r="L935" s="1654"/>
      <c r="M935" s="1655"/>
      <c r="N935" s="1655"/>
      <c r="O935" s="1656"/>
    </row>
    <row r="936">
      <c r="A936" s="1639"/>
      <c r="B936" s="1639"/>
      <c r="C936" s="1640"/>
      <c r="D936" s="1646"/>
      <c r="E936" s="1642"/>
      <c r="F936" s="1643"/>
      <c r="G936" s="1644"/>
      <c r="H936" s="1645"/>
      <c r="I936" s="1646"/>
      <c r="J936" s="1647"/>
      <c r="K936" s="1648"/>
      <c r="L936" s="1643"/>
      <c r="M936" s="1649"/>
      <c r="N936" s="1649"/>
      <c r="O936" s="1650"/>
    </row>
    <row r="937">
      <c r="A937" s="1651"/>
      <c r="B937" s="1651"/>
      <c r="C937" s="1652"/>
      <c r="D937" s="1654"/>
      <c r="E937" s="1653"/>
      <c r="F937" s="1654"/>
      <c r="G937" s="1654"/>
      <c r="H937" s="1654"/>
      <c r="I937" s="1654"/>
      <c r="J937" s="1654"/>
      <c r="K937" s="1654"/>
      <c r="L937" s="1654"/>
      <c r="M937" s="1655"/>
      <c r="N937" s="1655"/>
      <c r="O937" s="1656"/>
    </row>
    <row r="938">
      <c r="A938" s="1639"/>
      <c r="B938" s="1639"/>
      <c r="C938" s="1640"/>
      <c r="D938" s="1646"/>
      <c r="E938" s="1642"/>
      <c r="F938" s="1643"/>
      <c r="G938" s="1644"/>
      <c r="H938" s="1645"/>
      <c r="I938" s="1646"/>
      <c r="J938" s="1647"/>
      <c r="K938" s="1648"/>
      <c r="L938" s="1643"/>
      <c r="M938" s="1649"/>
      <c r="N938" s="1649"/>
      <c r="O938" s="1650"/>
    </row>
    <row r="939">
      <c r="A939" s="1651"/>
      <c r="B939" s="1651"/>
      <c r="C939" s="1652"/>
      <c r="D939" s="1654"/>
      <c r="E939" s="1653"/>
      <c r="F939" s="1654"/>
      <c r="G939" s="1654"/>
      <c r="H939" s="1654"/>
      <c r="I939" s="1654"/>
      <c r="J939" s="1654"/>
      <c r="K939" s="1654"/>
      <c r="L939" s="1654"/>
      <c r="M939" s="1655"/>
      <c r="N939" s="1655"/>
      <c r="O939" s="1656"/>
    </row>
    <row r="940">
      <c r="A940" s="1639"/>
      <c r="B940" s="1639"/>
      <c r="C940" s="1640"/>
      <c r="D940" s="1646"/>
      <c r="E940" s="1642"/>
      <c r="F940" s="1643"/>
      <c r="G940" s="1644"/>
      <c r="H940" s="1645"/>
      <c r="I940" s="1646"/>
      <c r="J940" s="1647"/>
      <c r="K940" s="1648"/>
      <c r="L940" s="1643"/>
      <c r="M940" s="1649"/>
      <c r="N940" s="1649"/>
      <c r="O940" s="1650"/>
    </row>
    <row r="941">
      <c r="A941" s="1651"/>
      <c r="B941" s="1651"/>
      <c r="C941" s="1652"/>
      <c r="D941" s="1654"/>
      <c r="E941" s="1653"/>
      <c r="F941" s="1654"/>
      <c r="G941" s="1654"/>
      <c r="H941" s="1654"/>
      <c r="I941" s="1654"/>
      <c r="J941" s="1654"/>
      <c r="K941" s="1654"/>
      <c r="L941" s="1654"/>
      <c r="M941" s="1655"/>
      <c r="N941" s="1655"/>
      <c r="O941" s="1656"/>
    </row>
    <row r="942">
      <c r="A942" s="1639"/>
      <c r="B942" s="1639"/>
      <c r="C942" s="1640"/>
      <c r="D942" s="1646"/>
      <c r="E942" s="1642"/>
      <c r="F942" s="1643"/>
      <c r="G942" s="1644"/>
      <c r="H942" s="1645"/>
      <c r="I942" s="1646"/>
      <c r="J942" s="1647"/>
      <c r="K942" s="1648"/>
      <c r="L942" s="1643"/>
      <c r="M942" s="1649"/>
      <c r="N942" s="1649"/>
      <c r="O942" s="1650"/>
    </row>
    <row r="943">
      <c r="A943" s="1651"/>
      <c r="B943" s="1651"/>
      <c r="C943" s="1652"/>
      <c r="D943" s="1654"/>
      <c r="E943" s="1653"/>
      <c r="F943" s="1654"/>
      <c r="G943" s="1654"/>
      <c r="H943" s="1654"/>
      <c r="I943" s="1654"/>
      <c r="J943" s="1654"/>
      <c r="K943" s="1654"/>
      <c r="L943" s="1654"/>
      <c r="M943" s="1655"/>
      <c r="N943" s="1655"/>
      <c r="O943" s="1656"/>
    </row>
    <row r="944">
      <c r="A944" s="1639"/>
      <c r="B944" s="1639"/>
      <c r="C944" s="1640"/>
      <c r="D944" s="1646"/>
      <c r="E944" s="1642"/>
      <c r="F944" s="1643"/>
      <c r="G944" s="1644"/>
      <c r="H944" s="1645"/>
      <c r="I944" s="1646"/>
      <c r="J944" s="1647"/>
      <c r="K944" s="1648"/>
      <c r="L944" s="1643"/>
      <c r="M944" s="1649"/>
      <c r="N944" s="1649"/>
      <c r="O944" s="1650"/>
    </row>
    <row r="945">
      <c r="A945" s="1651"/>
      <c r="B945" s="1651"/>
      <c r="C945" s="1652"/>
      <c r="D945" s="1654"/>
      <c r="E945" s="1653"/>
      <c r="F945" s="1654"/>
      <c r="G945" s="1654"/>
      <c r="H945" s="1654"/>
      <c r="I945" s="1654"/>
      <c r="J945" s="1654"/>
      <c r="K945" s="1654"/>
      <c r="L945" s="1654"/>
      <c r="M945" s="1655"/>
      <c r="N945" s="1655"/>
      <c r="O945" s="1656"/>
    </row>
    <row r="946">
      <c r="A946" s="1639"/>
      <c r="B946" s="1639"/>
      <c r="C946" s="1640"/>
      <c r="D946" s="1646"/>
      <c r="E946" s="1642"/>
      <c r="F946" s="1643"/>
      <c r="G946" s="1644"/>
      <c r="H946" s="1645"/>
      <c r="I946" s="1646"/>
      <c r="J946" s="1647"/>
      <c r="K946" s="1648"/>
      <c r="L946" s="1643"/>
      <c r="M946" s="1649"/>
      <c r="N946" s="1649"/>
      <c r="O946" s="1650"/>
    </row>
    <row r="947">
      <c r="A947" s="1651"/>
      <c r="B947" s="1651"/>
      <c r="C947" s="1652"/>
      <c r="D947" s="1654"/>
      <c r="E947" s="1653"/>
      <c r="F947" s="1654"/>
      <c r="G947" s="1654"/>
      <c r="H947" s="1654"/>
      <c r="I947" s="1654"/>
      <c r="J947" s="1654"/>
      <c r="K947" s="1654"/>
      <c r="L947" s="1654"/>
      <c r="M947" s="1655"/>
      <c r="N947" s="1655"/>
      <c r="O947" s="1656"/>
    </row>
    <row r="948">
      <c r="A948" s="1639"/>
      <c r="B948" s="1639"/>
      <c r="C948" s="1640"/>
      <c r="D948" s="1646"/>
      <c r="E948" s="1642"/>
      <c r="F948" s="1643"/>
      <c r="G948" s="1644"/>
      <c r="H948" s="1645"/>
      <c r="I948" s="1646"/>
      <c r="J948" s="1647"/>
      <c r="K948" s="1648"/>
      <c r="L948" s="1643"/>
      <c r="M948" s="1649"/>
      <c r="N948" s="1649"/>
      <c r="O948" s="1650"/>
    </row>
    <row r="949">
      <c r="A949" s="1651"/>
      <c r="B949" s="1651"/>
      <c r="C949" s="1652"/>
      <c r="D949" s="1654"/>
      <c r="E949" s="1653"/>
      <c r="F949" s="1654"/>
      <c r="G949" s="1654"/>
      <c r="H949" s="1654"/>
      <c r="I949" s="1654"/>
      <c r="J949" s="1654"/>
      <c r="K949" s="1654"/>
      <c r="L949" s="1654"/>
      <c r="M949" s="1655"/>
      <c r="N949" s="1655"/>
      <c r="O949" s="1656"/>
    </row>
    <row r="950">
      <c r="A950" s="1639"/>
      <c r="B950" s="1639"/>
      <c r="C950" s="1640"/>
      <c r="D950" s="1646"/>
      <c r="E950" s="1642"/>
      <c r="F950" s="1643"/>
      <c r="G950" s="1644"/>
      <c r="H950" s="1645"/>
      <c r="I950" s="1646"/>
      <c r="J950" s="1647"/>
      <c r="K950" s="1648"/>
      <c r="L950" s="1643"/>
      <c r="M950" s="1649"/>
      <c r="N950" s="1649"/>
      <c r="O950" s="1650"/>
    </row>
    <row r="951">
      <c r="A951" s="1651"/>
      <c r="B951" s="1651"/>
      <c r="C951" s="1652"/>
      <c r="D951" s="1654"/>
      <c r="E951" s="1653"/>
      <c r="F951" s="1654"/>
      <c r="G951" s="1654"/>
      <c r="H951" s="1654"/>
      <c r="I951" s="1654"/>
      <c r="J951" s="1654"/>
      <c r="K951" s="1654"/>
      <c r="L951" s="1654"/>
      <c r="M951" s="1655"/>
      <c r="N951" s="1655"/>
      <c r="O951" s="1656"/>
    </row>
    <row r="952">
      <c r="A952" s="1639"/>
      <c r="B952" s="1639"/>
      <c r="C952" s="1640"/>
      <c r="D952" s="1646"/>
      <c r="E952" s="1642"/>
      <c r="F952" s="1643"/>
      <c r="G952" s="1644"/>
      <c r="H952" s="1645"/>
      <c r="I952" s="1646"/>
      <c r="J952" s="1647"/>
      <c r="K952" s="1648"/>
      <c r="L952" s="1643"/>
      <c r="M952" s="1649"/>
      <c r="N952" s="1649"/>
      <c r="O952" s="1650"/>
    </row>
    <row r="953">
      <c r="A953" s="1651"/>
      <c r="B953" s="1651"/>
      <c r="C953" s="1652"/>
      <c r="D953" s="1654"/>
      <c r="E953" s="1653"/>
      <c r="F953" s="1654"/>
      <c r="G953" s="1654"/>
      <c r="H953" s="1654"/>
      <c r="I953" s="1654"/>
      <c r="J953" s="1654"/>
      <c r="K953" s="1654"/>
      <c r="L953" s="1654"/>
      <c r="M953" s="1655"/>
      <c r="N953" s="1655"/>
      <c r="O953" s="1656"/>
    </row>
    <row r="954">
      <c r="A954" s="1639"/>
      <c r="B954" s="1639"/>
      <c r="C954" s="1640"/>
      <c r="D954" s="1646"/>
      <c r="E954" s="1642"/>
      <c r="F954" s="1643"/>
      <c r="G954" s="1644"/>
      <c r="H954" s="1645"/>
      <c r="I954" s="1646"/>
      <c r="J954" s="1647"/>
      <c r="K954" s="1648"/>
      <c r="L954" s="1643"/>
      <c r="M954" s="1649"/>
      <c r="N954" s="1649"/>
      <c r="O954" s="1650"/>
    </row>
    <row r="955">
      <c r="A955" s="1651"/>
      <c r="B955" s="1651"/>
      <c r="C955" s="1652"/>
      <c r="D955" s="1654"/>
      <c r="E955" s="1653"/>
      <c r="F955" s="1654"/>
      <c r="G955" s="1654"/>
      <c r="H955" s="1654"/>
      <c r="I955" s="1654"/>
      <c r="J955" s="1654"/>
      <c r="K955" s="1654"/>
      <c r="L955" s="1654"/>
      <c r="M955" s="1655"/>
      <c r="N955" s="1655"/>
      <c r="O955" s="1656"/>
    </row>
    <row r="956">
      <c r="A956" s="1639"/>
      <c r="B956" s="1639"/>
      <c r="C956" s="1640"/>
      <c r="D956" s="1646"/>
      <c r="E956" s="1642"/>
      <c r="F956" s="1643"/>
      <c r="G956" s="1644"/>
      <c r="H956" s="1645"/>
      <c r="I956" s="1646"/>
      <c r="J956" s="1647"/>
      <c r="K956" s="1648"/>
      <c r="L956" s="1643"/>
      <c r="M956" s="1649"/>
      <c r="N956" s="1649"/>
      <c r="O956" s="1650"/>
    </row>
    <row r="957">
      <c r="A957" s="1651"/>
      <c r="B957" s="1651"/>
      <c r="C957" s="1652"/>
      <c r="D957" s="1654"/>
      <c r="E957" s="1653"/>
      <c r="F957" s="1654"/>
      <c r="G957" s="1654"/>
      <c r="H957" s="1654"/>
      <c r="I957" s="1654"/>
      <c r="J957" s="1654"/>
      <c r="K957" s="1654"/>
      <c r="L957" s="1654"/>
      <c r="M957" s="1655"/>
      <c r="N957" s="1655"/>
      <c r="O957" s="1656"/>
    </row>
    <row r="958">
      <c r="A958" s="1639"/>
      <c r="B958" s="1639"/>
      <c r="C958" s="1640"/>
      <c r="D958" s="1646"/>
      <c r="E958" s="1642"/>
      <c r="F958" s="1643"/>
      <c r="G958" s="1644"/>
      <c r="H958" s="1645"/>
      <c r="I958" s="1646"/>
      <c r="J958" s="1647"/>
      <c r="K958" s="1648"/>
      <c r="L958" s="1643"/>
      <c r="M958" s="1649"/>
      <c r="N958" s="1649"/>
      <c r="O958" s="1650"/>
    </row>
    <row r="959">
      <c r="A959" s="1651"/>
      <c r="B959" s="1651"/>
      <c r="C959" s="1652"/>
      <c r="D959" s="1654"/>
      <c r="E959" s="1653"/>
      <c r="F959" s="1654"/>
      <c r="G959" s="1654"/>
      <c r="H959" s="1654"/>
      <c r="I959" s="1654"/>
      <c r="J959" s="1654"/>
      <c r="K959" s="1654"/>
      <c r="L959" s="1654"/>
      <c r="M959" s="1655"/>
      <c r="N959" s="1655"/>
      <c r="O959" s="1656"/>
    </row>
    <row r="960">
      <c r="A960" s="1639"/>
      <c r="B960" s="1639"/>
      <c r="C960" s="1640"/>
      <c r="D960" s="1646"/>
      <c r="E960" s="1642"/>
      <c r="F960" s="1643"/>
      <c r="G960" s="1644"/>
      <c r="H960" s="1645"/>
      <c r="I960" s="1646"/>
      <c r="J960" s="1647"/>
      <c r="K960" s="1648"/>
      <c r="L960" s="1643"/>
      <c r="M960" s="1649"/>
      <c r="N960" s="1649"/>
      <c r="O960" s="1650"/>
    </row>
    <row r="961">
      <c r="A961" s="1651"/>
      <c r="B961" s="1651"/>
      <c r="C961" s="1652"/>
      <c r="D961" s="1654"/>
      <c r="E961" s="1653"/>
      <c r="F961" s="1654"/>
      <c r="G961" s="1654"/>
      <c r="H961" s="1654"/>
      <c r="I961" s="1654"/>
      <c r="J961" s="1654"/>
      <c r="K961" s="1654"/>
      <c r="L961" s="1654"/>
      <c r="M961" s="1655"/>
      <c r="N961" s="1655"/>
      <c r="O961" s="1656"/>
    </row>
    <row r="962">
      <c r="A962" s="1639"/>
      <c r="B962" s="1639"/>
      <c r="C962" s="1640"/>
      <c r="D962" s="1646"/>
      <c r="E962" s="1642"/>
      <c r="F962" s="1643"/>
      <c r="G962" s="1644"/>
      <c r="H962" s="1645"/>
      <c r="I962" s="1646"/>
      <c r="J962" s="1647"/>
      <c r="K962" s="1648"/>
      <c r="L962" s="1643"/>
      <c r="M962" s="1649"/>
      <c r="N962" s="1649"/>
      <c r="O962" s="1650"/>
    </row>
    <row r="963">
      <c r="A963" s="1651"/>
      <c r="B963" s="1651"/>
      <c r="C963" s="1652"/>
      <c r="D963" s="1654"/>
      <c r="E963" s="1653"/>
      <c r="F963" s="1654"/>
      <c r="G963" s="1654"/>
      <c r="H963" s="1654"/>
      <c r="I963" s="1654"/>
      <c r="J963" s="1654"/>
      <c r="K963" s="1654"/>
      <c r="L963" s="1654"/>
      <c r="M963" s="1655"/>
      <c r="N963" s="1655"/>
      <c r="O963" s="1656"/>
    </row>
    <row r="964">
      <c r="A964" s="1639"/>
      <c r="B964" s="1639"/>
      <c r="C964" s="1640"/>
      <c r="D964" s="1646"/>
      <c r="E964" s="1642"/>
      <c r="F964" s="1643"/>
      <c r="G964" s="1644"/>
      <c r="H964" s="1645"/>
      <c r="I964" s="1646"/>
      <c r="J964" s="1647"/>
      <c r="K964" s="1648"/>
      <c r="L964" s="1643"/>
      <c r="M964" s="1649"/>
      <c r="N964" s="1649"/>
      <c r="O964" s="1650"/>
    </row>
    <row r="965">
      <c r="A965" s="1651"/>
      <c r="B965" s="1651"/>
      <c r="C965" s="1652"/>
      <c r="D965" s="1654"/>
      <c r="E965" s="1653"/>
      <c r="F965" s="1654"/>
      <c r="G965" s="1654"/>
      <c r="H965" s="1654"/>
      <c r="I965" s="1654"/>
      <c r="J965" s="1654"/>
      <c r="K965" s="1654"/>
      <c r="L965" s="1654"/>
      <c r="M965" s="1655"/>
      <c r="N965" s="1655"/>
      <c r="O965" s="1656"/>
    </row>
    <row r="966">
      <c r="A966" s="1639"/>
      <c r="B966" s="1639"/>
      <c r="C966" s="1640"/>
      <c r="D966" s="1646"/>
      <c r="E966" s="1642"/>
      <c r="F966" s="1643"/>
      <c r="G966" s="1644"/>
      <c r="H966" s="1645"/>
      <c r="I966" s="1646"/>
      <c r="J966" s="1647"/>
      <c r="K966" s="1648"/>
      <c r="L966" s="1643"/>
      <c r="M966" s="1649"/>
      <c r="N966" s="1649"/>
      <c r="O966" s="1650"/>
    </row>
    <row r="967">
      <c r="A967" s="1651"/>
      <c r="B967" s="1651"/>
      <c r="C967" s="1652"/>
      <c r="D967" s="1654"/>
      <c r="E967" s="1653"/>
      <c r="F967" s="1654"/>
      <c r="G967" s="1654"/>
      <c r="H967" s="1654"/>
      <c r="I967" s="1654"/>
      <c r="J967" s="1654"/>
      <c r="K967" s="1654"/>
      <c r="L967" s="1654"/>
      <c r="M967" s="1655"/>
      <c r="N967" s="1655"/>
      <c r="O967" s="1656"/>
    </row>
    <row r="968">
      <c r="A968" s="1639"/>
      <c r="B968" s="1639"/>
      <c r="C968" s="1640"/>
      <c r="D968" s="1646"/>
      <c r="E968" s="1642"/>
      <c r="F968" s="1643"/>
      <c r="G968" s="1644"/>
      <c r="H968" s="1645"/>
      <c r="I968" s="1646"/>
      <c r="J968" s="1647"/>
      <c r="K968" s="1648"/>
      <c r="L968" s="1643"/>
      <c r="M968" s="1649"/>
      <c r="N968" s="1649"/>
      <c r="O968" s="1650"/>
    </row>
    <row r="969">
      <c r="A969" s="1651"/>
      <c r="B969" s="1651"/>
      <c r="C969" s="1652"/>
      <c r="D969" s="1654"/>
      <c r="E969" s="1653"/>
      <c r="F969" s="1654"/>
      <c r="G969" s="1654"/>
      <c r="H969" s="1654"/>
      <c r="I969" s="1654"/>
      <c r="J969" s="1654"/>
      <c r="K969" s="1654"/>
      <c r="L969" s="1654"/>
      <c r="M969" s="1655"/>
      <c r="N969" s="1655"/>
      <c r="O969" s="1656"/>
    </row>
    <row r="970">
      <c r="A970" s="1639"/>
      <c r="B970" s="1639"/>
      <c r="C970" s="1640"/>
      <c r="D970" s="1646"/>
      <c r="E970" s="1642"/>
      <c r="F970" s="1643"/>
      <c r="G970" s="1644"/>
      <c r="H970" s="1645"/>
      <c r="I970" s="1646"/>
      <c r="J970" s="1647"/>
      <c r="K970" s="1648"/>
      <c r="L970" s="1643"/>
      <c r="M970" s="1649"/>
      <c r="N970" s="1649"/>
      <c r="O970" s="1650"/>
    </row>
    <row r="971">
      <c r="A971" s="1651"/>
      <c r="B971" s="1651"/>
      <c r="C971" s="1652"/>
      <c r="D971" s="1654"/>
      <c r="E971" s="1653"/>
      <c r="F971" s="1654"/>
      <c r="G971" s="1654"/>
      <c r="H971" s="1654"/>
      <c r="I971" s="1654"/>
      <c r="J971" s="1654"/>
      <c r="K971" s="1654"/>
      <c r="L971" s="1654"/>
      <c r="M971" s="1655"/>
      <c r="N971" s="1655"/>
      <c r="O971" s="1656"/>
    </row>
    <row r="972">
      <c r="A972" s="1639"/>
      <c r="B972" s="1639"/>
      <c r="C972" s="1640"/>
      <c r="D972" s="1646"/>
      <c r="E972" s="1642"/>
      <c r="F972" s="1643"/>
      <c r="G972" s="1644"/>
      <c r="H972" s="1645"/>
      <c r="I972" s="1646"/>
      <c r="J972" s="1647"/>
      <c r="K972" s="1648"/>
      <c r="L972" s="1643"/>
      <c r="M972" s="1649"/>
      <c r="N972" s="1649"/>
      <c r="O972" s="1650"/>
    </row>
    <row r="973">
      <c r="A973" s="1651"/>
      <c r="B973" s="1651"/>
      <c r="C973" s="1652"/>
      <c r="D973" s="1654"/>
      <c r="E973" s="1653"/>
      <c r="F973" s="1654"/>
      <c r="G973" s="1654"/>
      <c r="H973" s="1654"/>
      <c r="I973" s="1654"/>
      <c r="J973" s="1654"/>
      <c r="K973" s="1654"/>
      <c r="L973" s="1654"/>
      <c r="M973" s="1655"/>
      <c r="N973" s="1655"/>
      <c r="O973" s="1656"/>
    </row>
    <row r="974">
      <c r="A974" s="1639"/>
      <c r="B974" s="1639"/>
      <c r="C974" s="1640"/>
      <c r="D974" s="1646"/>
      <c r="E974" s="1642"/>
      <c r="F974" s="1643"/>
      <c r="G974" s="1644"/>
      <c r="H974" s="1645"/>
      <c r="I974" s="1646"/>
      <c r="J974" s="1647"/>
      <c r="K974" s="1648"/>
      <c r="L974" s="1643"/>
      <c r="M974" s="1649"/>
      <c r="N974" s="1649"/>
      <c r="O974" s="1650"/>
    </row>
    <row r="975">
      <c r="A975" s="1651"/>
      <c r="B975" s="1651"/>
      <c r="C975" s="1652"/>
      <c r="D975" s="1654"/>
      <c r="E975" s="1653"/>
      <c r="F975" s="1654"/>
      <c r="G975" s="1654"/>
      <c r="H975" s="1654"/>
      <c r="I975" s="1654"/>
      <c r="J975" s="1654"/>
      <c r="K975" s="1654"/>
      <c r="L975" s="1654"/>
      <c r="M975" s="1655"/>
      <c r="N975" s="1655"/>
      <c r="O975" s="1656"/>
    </row>
    <row r="976">
      <c r="A976" s="1639"/>
      <c r="B976" s="1639"/>
      <c r="C976" s="1640"/>
      <c r="D976" s="1646"/>
      <c r="E976" s="1642"/>
      <c r="F976" s="1643"/>
      <c r="G976" s="1644"/>
      <c r="H976" s="1645"/>
      <c r="I976" s="1646"/>
      <c r="J976" s="1647"/>
      <c r="K976" s="1648"/>
      <c r="L976" s="1643"/>
      <c r="M976" s="1649"/>
      <c r="N976" s="1649"/>
      <c r="O976" s="1650"/>
    </row>
    <row r="977">
      <c r="A977" s="1651"/>
      <c r="B977" s="1651"/>
      <c r="C977" s="1652"/>
      <c r="D977" s="1654"/>
      <c r="E977" s="1653"/>
      <c r="F977" s="1654"/>
      <c r="G977" s="1654"/>
      <c r="H977" s="1654"/>
      <c r="I977" s="1654"/>
      <c r="J977" s="1654"/>
      <c r="K977" s="1654"/>
      <c r="L977" s="1654"/>
      <c r="M977" s="1655"/>
      <c r="N977" s="1655"/>
      <c r="O977" s="1656"/>
    </row>
    <row r="978">
      <c r="A978" s="1639"/>
      <c r="B978" s="1639"/>
      <c r="C978" s="1640"/>
      <c r="D978" s="1646"/>
      <c r="E978" s="1642"/>
      <c r="F978" s="1643"/>
      <c r="G978" s="1644"/>
      <c r="H978" s="1645"/>
      <c r="I978" s="1646"/>
      <c r="J978" s="1647"/>
      <c r="K978" s="1648"/>
      <c r="L978" s="1643"/>
      <c r="M978" s="1649"/>
      <c r="N978" s="1649"/>
      <c r="O978" s="1650"/>
    </row>
    <row r="979">
      <c r="A979" s="1651"/>
      <c r="B979" s="1651"/>
      <c r="C979" s="1652"/>
      <c r="D979" s="1654"/>
      <c r="E979" s="1653"/>
      <c r="F979" s="1654"/>
      <c r="G979" s="1654"/>
      <c r="H979" s="1654"/>
      <c r="I979" s="1654"/>
      <c r="J979" s="1654"/>
      <c r="K979" s="1654"/>
      <c r="L979" s="1654"/>
      <c r="M979" s="1655"/>
      <c r="N979" s="1655"/>
      <c r="O979" s="1656"/>
    </row>
    <row r="980">
      <c r="A980" s="1639"/>
      <c r="B980" s="1639"/>
      <c r="C980" s="1640"/>
      <c r="D980" s="1646"/>
      <c r="E980" s="1642"/>
      <c r="F980" s="1643"/>
      <c r="G980" s="1644"/>
      <c r="H980" s="1645"/>
      <c r="I980" s="1646"/>
      <c r="J980" s="1647"/>
      <c r="K980" s="1648"/>
      <c r="L980" s="1643"/>
      <c r="M980" s="1649"/>
      <c r="N980" s="1649"/>
      <c r="O980" s="1650"/>
    </row>
    <row r="981">
      <c r="A981" s="1651"/>
      <c r="B981" s="1651"/>
      <c r="C981" s="1652"/>
      <c r="D981" s="1654"/>
      <c r="E981" s="1653"/>
      <c r="F981" s="1654"/>
      <c r="G981" s="1654"/>
      <c r="H981" s="1654"/>
      <c r="I981" s="1654"/>
      <c r="J981" s="1654"/>
      <c r="K981" s="1654"/>
      <c r="L981" s="1654"/>
      <c r="M981" s="1655"/>
      <c r="N981" s="1655"/>
      <c r="O981" s="1656"/>
    </row>
    <row r="982">
      <c r="A982" s="1639"/>
      <c r="B982" s="1639"/>
      <c r="C982" s="1640"/>
      <c r="D982" s="1646"/>
      <c r="E982" s="1642"/>
      <c r="F982" s="1643"/>
      <c r="G982" s="1644"/>
      <c r="H982" s="1645"/>
      <c r="I982" s="1646"/>
      <c r="J982" s="1647"/>
      <c r="K982" s="1648"/>
      <c r="L982" s="1643"/>
      <c r="M982" s="1649"/>
      <c r="N982" s="1649"/>
      <c r="O982" s="1650"/>
    </row>
    <row r="983">
      <c r="A983" s="1651"/>
      <c r="B983" s="1651"/>
      <c r="C983" s="1652"/>
      <c r="D983" s="1654"/>
      <c r="E983" s="1653"/>
      <c r="F983" s="1654"/>
      <c r="G983" s="1654"/>
      <c r="H983" s="1654"/>
      <c r="I983" s="1654"/>
      <c r="J983" s="1654"/>
      <c r="K983" s="1654"/>
      <c r="L983" s="1654"/>
      <c r="M983" s="1655"/>
      <c r="N983" s="1655"/>
      <c r="O983" s="1656"/>
    </row>
    <row r="984">
      <c r="A984" s="1639"/>
      <c r="B984" s="1639"/>
      <c r="C984" s="1640"/>
      <c r="D984" s="1646"/>
      <c r="E984" s="1642"/>
      <c r="F984" s="1643"/>
      <c r="G984" s="1644"/>
      <c r="H984" s="1645"/>
      <c r="I984" s="1646"/>
      <c r="J984" s="1647"/>
      <c r="K984" s="1648"/>
      <c r="L984" s="1643"/>
      <c r="M984" s="1649"/>
      <c r="N984" s="1649"/>
      <c r="O984" s="1650"/>
    </row>
    <row r="985">
      <c r="A985" s="1651"/>
      <c r="B985" s="1651"/>
      <c r="C985" s="1652"/>
      <c r="D985" s="1654"/>
      <c r="E985" s="1653"/>
      <c r="F985" s="1654"/>
      <c r="G985" s="1654"/>
      <c r="H985" s="1654"/>
      <c r="I985" s="1654"/>
      <c r="J985" s="1654"/>
      <c r="K985" s="1654"/>
      <c r="L985" s="1654"/>
      <c r="M985" s="1655"/>
      <c r="N985" s="1655"/>
      <c r="O985" s="1656"/>
    </row>
    <row r="986">
      <c r="A986" s="1639"/>
      <c r="B986" s="1639"/>
      <c r="C986" s="1640"/>
      <c r="D986" s="1646"/>
      <c r="E986" s="1642"/>
      <c r="F986" s="1643"/>
      <c r="G986" s="1644"/>
      <c r="H986" s="1645"/>
      <c r="I986" s="1646"/>
      <c r="J986" s="1647"/>
      <c r="K986" s="1648"/>
      <c r="L986" s="1643"/>
      <c r="M986" s="1649"/>
      <c r="N986" s="1649"/>
      <c r="O986" s="1650"/>
    </row>
    <row r="987">
      <c r="A987" s="1651"/>
      <c r="B987" s="1651"/>
      <c r="C987" s="1652"/>
      <c r="D987" s="1654"/>
      <c r="E987" s="1653"/>
      <c r="F987" s="1654"/>
      <c r="G987" s="1654"/>
      <c r="H987" s="1654"/>
      <c r="I987" s="1654"/>
      <c r="J987" s="1654"/>
      <c r="K987" s="1654"/>
      <c r="L987" s="1654"/>
      <c r="M987" s="1655"/>
      <c r="N987" s="1655"/>
      <c r="O987" s="1656"/>
    </row>
    <row r="988">
      <c r="A988" s="1639"/>
      <c r="B988" s="1639"/>
      <c r="C988" s="1640"/>
      <c r="D988" s="1646"/>
      <c r="E988" s="1642"/>
      <c r="F988" s="1643"/>
      <c r="G988" s="1644"/>
      <c r="H988" s="1645"/>
      <c r="I988" s="1646"/>
      <c r="J988" s="1647"/>
      <c r="K988" s="1648"/>
      <c r="L988" s="1643"/>
      <c r="M988" s="1649"/>
      <c r="N988" s="1649"/>
      <c r="O988" s="1650"/>
    </row>
    <row r="989">
      <c r="A989" s="1651"/>
      <c r="B989" s="1651"/>
      <c r="C989" s="1652"/>
      <c r="D989" s="1654"/>
      <c r="E989" s="1653"/>
      <c r="F989" s="1654"/>
      <c r="G989" s="1654"/>
      <c r="H989" s="1654"/>
      <c r="I989" s="1654"/>
      <c r="J989" s="1654"/>
      <c r="K989" s="1654"/>
      <c r="L989" s="1654"/>
      <c r="M989" s="1655"/>
      <c r="N989" s="1655"/>
      <c r="O989" s="1656"/>
    </row>
    <row r="990">
      <c r="A990" s="1639"/>
      <c r="B990" s="1639"/>
      <c r="C990" s="1640"/>
      <c r="D990" s="1646"/>
      <c r="E990" s="1642"/>
      <c r="F990" s="1643"/>
      <c r="G990" s="1644"/>
      <c r="H990" s="1645"/>
      <c r="I990" s="1646"/>
      <c r="J990" s="1647"/>
      <c r="K990" s="1648"/>
      <c r="L990" s="1643"/>
      <c r="M990" s="1649"/>
      <c r="N990" s="1649"/>
      <c r="O990" s="1650"/>
    </row>
    <row r="991">
      <c r="A991" s="1651"/>
      <c r="B991" s="1651"/>
      <c r="C991" s="1652"/>
      <c r="D991" s="1654"/>
      <c r="E991" s="1653"/>
      <c r="F991" s="1654"/>
      <c r="G991" s="1654"/>
      <c r="H991" s="1654"/>
      <c r="I991" s="1654"/>
      <c r="J991" s="1654"/>
      <c r="K991" s="1654"/>
      <c r="L991" s="1654"/>
      <c r="M991" s="1655"/>
      <c r="N991" s="1655"/>
      <c r="O991" s="1656"/>
    </row>
    <row r="992">
      <c r="A992" s="1639"/>
      <c r="B992" s="1639"/>
      <c r="C992" s="1640"/>
      <c r="D992" s="1646"/>
      <c r="E992" s="1642"/>
      <c r="F992" s="1643"/>
      <c r="G992" s="1644"/>
      <c r="H992" s="1645"/>
      <c r="I992" s="1646"/>
      <c r="J992" s="1647"/>
      <c r="K992" s="1648"/>
      <c r="L992" s="1643"/>
      <c r="M992" s="1649"/>
      <c r="N992" s="1649"/>
      <c r="O992" s="1650"/>
    </row>
    <row r="993">
      <c r="A993" s="1651"/>
      <c r="B993" s="1651"/>
      <c r="C993" s="1652"/>
      <c r="D993" s="1654"/>
      <c r="E993" s="1653"/>
      <c r="F993" s="1654"/>
      <c r="G993" s="1654"/>
      <c r="H993" s="1654"/>
      <c r="I993" s="1654"/>
      <c r="J993" s="1654"/>
      <c r="K993" s="1654"/>
      <c r="L993" s="1654"/>
      <c r="M993" s="1655"/>
      <c r="N993" s="1655"/>
      <c r="O993" s="1656"/>
    </row>
    <row r="994">
      <c r="A994" s="1639"/>
      <c r="B994" s="1639"/>
      <c r="C994" s="1640"/>
      <c r="D994" s="1646"/>
      <c r="E994" s="1642"/>
      <c r="F994" s="1643"/>
      <c r="G994" s="1644"/>
      <c r="H994" s="1645"/>
      <c r="I994" s="1646"/>
      <c r="J994" s="1647"/>
      <c r="K994" s="1648"/>
      <c r="L994" s="1643"/>
      <c r="M994" s="1649"/>
      <c r="N994" s="1649"/>
      <c r="O994" s="165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09" t="s">
        <v>43</v>
      </c>
      <c r="B1" s="1310" t="s">
        <v>8242</v>
      </c>
      <c r="C1" s="1657" t="s">
        <v>10412</v>
      </c>
      <c r="D1" s="1658" t="s">
        <v>6486</v>
      </c>
      <c r="E1" s="1659" t="s">
        <v>6752</v>
      </c>
      <c r="F1" s="1660" t="s">
        <v>38</v>
      </c>
      <c r="G1" s="1661" t="s">
        <v>36</v>
      </c>
      <c r="H1" s="1657" t="s">
        <v>10413</v>
      </c>
      <c r="I1" s="1662" t="s">
        <v>39</v>
      </c>
      <c r="J1" s="1663" t="s">
        <v>6700</v>
      </c>
      <c r="K1" s="1309" t="s">
        <v>8276</v>
      </c>
      <c r="L1" s="1309" t="s">
        <v>8278</v>
      </c>
    </row>
    <row r="2" ht="15.75" customHeight="1">
      <c r="A2" s="1322" t="s">
        <v>8279</v>
      </c>
      <c r="B2" s="1322" t="s">
        <v>8280</v>
      </c>
      <c r="C2" s="1325" t="s">
        <v>10414</v>
      </c>
      <c r="D2" s="1328" t="s">
        <v>10682</v>
      </c>
      <c r="E2" s="1664" t="s">
        <v>10683</v>
      </c>
      <c r="F2" s="1665" t="s">
        <v>10684</v>
      </c>
      <c r="G2" s="1666" t="s">
        <v>10685</v>
      </c>
      <c r="H2" s="1326" t="s">
        <v>10686</v>
      </c>
      <c r="I2" s="1339" t="s">
        <v>10687</v>
      </c>
      <c r="J2" s="1341" t="s">
        <v>10688</v>
      </c>
      <c r="K2" s="1345" t="s">
        <v>8490</v>
      </c>
      <c r="L2" s="1667"/>
    </row>
    <row r="3" ht="15.75" customHeight="1">
      <c r="A3" s="1347" t="s">
        <v>8307</v>
      </c>
      <c r="B3" s="1347" t="s">
        <v>8308</v>
      </c>
      <c r="C3" s="1350" t="s">
        <v>10589</v>
      </c>
      <c r="D3" s="1351" t="s">
        <v>10689</v>
      </c>
      <c r="E3" s="1352" t="s">
        <v>10690</v>
      </c>
      <c r="F3" s="1353" t="s">
        <v>10691</v>
      </c>
      <c r="G3" s="1356" t="s">
        <v>10692</v>
      </c>
      <c r="H3" s="1350" t="s">
        <v>10693</v>
      </c>
      <c r="I3" s="1358" t="s">
        <v>10694</v>
      </c>
      <c r="J3" s="1360" t="s">
        <v>10695</v>
      </c>
      <c r="K3" s="1601">
        <v>0.053043981481481484</v>
      </c>
    </row>
    <row r="4" ht="15.75" customHeight="1">
      <c r="A4" s="1363" t="s">
        <v>8335</v>
      </c>
      <c r="B4" s="1363" t="s">
        <v>8336</v>
      </c>
      <c r="C4" s="1366" t="s">
        <v>10581</v>
      </c>
      <c r="D4" s="1367" t="s">
        <v>10696</v>
      </c>
      <c r="E4" s="1368" t="s">
        <v>10697</v>
      </c>
      <c r="F4" s="1369" t="s">
        <v>10698</v>
      </c>
      <c r="G4" s="1370" t="s">
        <v>10699</v>
      </c>
      <c r="H4" s="1366" t="s">
        <v>10700</v>
      </c>
      <c r="I4" s="1372" t="s">
        <v>10701</v>
      </c>
      <c r="J4" s="1373" t="s">
        <v>10702</v>
      </c>
      <c r="K4" s="1668">
        <v>0.053043981481481484</v>
      </c>
    </row>
    <row r="5" ht="15.75" customHeight="1">
      <c r="A5" s="1521" t="s">
        <v>6155</v>
      </c>
      <c r="B5" s="1492" t="s">
        <v>8280</v>
      </c>
      <c r="C5" s="1550" t="s">
        <v>10458</v>
      </c>
      <c r="D5" s="1392" t="s">
        <v>10703</v>
      </c>
      <c r="E5" s="1392" t="s">
        <v>10704</v>
      </c>
      <c r="F5" s="1392" t="s">
        <v>10705</v>
      </c>
      <c r="G5" s="1392" t="s">
        <v>10706</v>
      </c>
      <c r="H5" s="1392" t="s">
        <v>10707</v>
      </c>
      <c r="I5" s="1392" t="s">
        <v>10708</v>
      </c>
      <c r="J5" s="1669" t="s">
        <v>10688</v>
      </c>
      <c r="K5" s="1670" t="s">
        <v>8490</v>
      </c>
      <c r="L5" s="1392"/>
    </row>
    <row r="6" ht="15.75" customHeight="1">
      <c r="A6" s="1576" t="s">
        <v>1936</v>
      </c>
      <c r="B6" s="1576" t="s">
        <v>8280</v>
      </c>
      <c r="C6" s="1392" t="s">
        <v>10450</v>
      </c>
      <c r="D6" s="1392" t="s">
        <v>10709</v>
      </c>
      <c r="E6" s="1626" t="s">
        <v>10710</v>
      </c>
      <c r="F6" s="1402" t="s">
        <v>10711</v>
      </c>
      <c r="G6" s="1671" t="s">
        <v>10712</v>
      </c>
      <c r="H6" s="1671" t="s">
        <v>10713</v>
      </c>
      <c r="I6" s="1392" t="s">
        <v>10714</v>
      </c>
      <c r="J6" s="1672" t="s">
        <v>10715</v>
      </c>
      <c r="K6" s="1672" t="s">
        <v>8445</v>
      </c>
      <c r="L6" s="1392" t="s">
        <v>10716</v>
      </c>
    </row>
    <row r="7" ht="15.75" customHeight="1">
      <c r="A7" s="1541" t="s">
        <v>1128</v>
      </c>
      <c r="B7" s="1492" t="s">
        <v>8280</v>
      </c>
      <c r="C7" s="1402" t="s">
        <v>10717</v>
      </c>
      <c r="D7" s="1402" t="s">
        <v>10718</v>
      </c>
      <c r="E7" s="1405" t="s">
        <v>10683</v>
      </c>
      <c r="F7" s="1405" t="s">
        <v>10684</v>
      </c>
      <c r="G7" s="1405" t="s">
        <v>10685</v>
      </c>
      <c r="H7" s="1405" t="s">
        <v>10686</v>
      </c>
      <c r="I7" s="1405" t="s">
        <v>10687</v>
      </c>
      <c r="J7" s="1673" t="s">
        <v>10719</v>
      </c>
      <c r="K7" s="1392" t="s">
        <v>8386</v>
      </c>
      <c r="L7" s="1392" t="s">
        <v>10720</v>
      </c>
    </row>
    <row r="8" ht="15.75" customHeight="1">
      <c r="A8" s="1606" t="s">
        <v>431</v>
      </c>
      <c r="B8" s="1379" t="s">
        <v>8280</v>
      </c>
      <c r="C8" s="1402" t="s">
        <v>10437</v>
      </c>
      <c r="D8" s="1392" t="s">
        <v>10682</v>
      </c>
      <c r="E8" s="1392" t="s">
        <v>10721</v>
      </c>
      <c r="F8" s="1392" t="s">
        <v>10722</v>
      </c>
      <c r="G8" s="1392" t="s">
        <v>10723</v>
      </c>
      <c r="H8" s="1392" t="s">
        <v>10724</v>
      </c>
      <c r="I8" s="1392" t="s">
        <v>10725</v>
      </c>
      <c r="J8" s="1392" t="s">
        <v>10726</v>
      </c>
      <c r="K8" s="1392" t="s">
        <v>8386</v>
      </c>
      <c r="L8" s="1392"/>
    </row>
    <row r="9" ht="15.75" customHeight="1">
      <c r="A9" s="1576" t="s">
        <v>6266</v>
      </c>
      <c r="B9" s="1379" t="s">
        <v>8280</v>
      </c>
      <c r="C9" s="1392" t="s">
        <v>10727</v>
      </c>
      <c r="D9" s="1392" t="s">
        <v>10728</v>
      </c>
      <c r="E9" s="1392" t="s">
        <v>10729</v>
      </c>
      <c r="F9" s="1402" t="s">
        <v>10730</v>
      </c>
      <c r="G9" s="1402" t="s">
        <v>10731</v>
      </c>
      <c r="H9" s="1674" t="s">
        <v>10732</v>
      </c>
      <c r="I9" s="1402" t="s">
        <v>10733</v>
      </c>
      <c r="J9" s="1402" t="s">
        <v>10734</v>
      </c>
      <c r="K9" s="1392" t="s">
        <v>8425</v>
      </c>
      <c r="L9" s="1392"/>
    </row>
    <row r="10" ht="15.75" customHeight="1">
      <c r="A10" s="1564" t="s">
        <v>2000</v>
      </c>
      <c r="B10" s="1379" t="s">
        <v>8280</v>
      </c>
      <c r="C10" s="1443" t="s">
        <v>10414</v>
      </c>
      <c r="D10" s="1392" t="s">
        <v>10735</v>
      </c>
      <c r="E10" s="1392" t="s">
        <v>10736</v>
      </c>
      <c r="F10" s="1392" t="s">
        <v>10737</v>
      </c>
      <c r="G10" s="1392" t="s">
        <v>10738</v>
      </c>
      <c r="H10" s="1392" t="s">
        <v>10739</v>
      </c>
      <c r="I10" s="1392" t="s">
        <v>10740</v>
      </c>
      <c r="J10" s="1392" t="s">
        <v>10741</v>
      </c>
      <c r="K10" s="1392" t="s">
        <v>8616</v>
      </c>
      <c r="L10" s="1392"/>
    </row>
    <row r="11" ht="15.75" customHeight="1">
      <c r="A11" s="1606" t="s">
        <v>327</v>
      </c>
      <c r="B11" s="1379" t="s">
        <v>8280</v>
      </c>
      <c r="C11" s="1392" t="s">
        <v>10742</v>
      </c>
      <c r="D11" s="1392" t="s">
        <v>10743</v>
      </c>
      <c r="E11" s="1392" t="s">
        <v>10744</v>
      </c>
      <c r="F11" s="1392" t="s">
        <v>10745</v>
      </c>
      <c r="G11" s="1392" t="s">
        <v>10746</v>
      </c>
      <c r="H11" s="1392" t="s">
        <v>10747</v>
      </c>
      <c r="I11" s="1392" t="s">
        <v>10748</v>
      </c>
      <c r="J11" s="1392" t="s">
        <v>10749</v>
      </c>
      <c r="K11" s="1392" t="s">
        <v>8469</v>
      </c>
      <c r="L11" s="1392"/>
    </row>
    <row r="12" ht="16.5" customHeight="1">
      <c r="A12" s="1617" t="s">
        <v>2633</v>
      </c>
      <c r="B12" s="1379" t="s">
        <v>8280</v>
      </c>
      <c r="C12" s="1392" t="s">
        <v>10496</v>
      </c>
      <c r="D12" s="1443" t="s">
        <v>10750</v>
      </c>
      <c r="E12" s="1392" t="s">
        <v>10751</v>
      </c>
      <c r="F12" s="1392" t="s">
        <v>10752</v>
      </c>
      <c r="G12" s="1392" t="s">
        <v>10753</v>
      </c>
      <c r="H12" s="1392" t="s">
        <v>10754</v>
      </c>
      <c r="I12" s="1392" t="s">
        <v>10755</v>
      </c>
      <c r="J12" s="1392" t="s">
        <v>10756</v>
      </c>
      <c r="K12" s="1392" t="s">
        <v>10757</v>
      </c>
      <c r="L12" s="1392" t="s">
        <v>10758</v>
      </c>
    </row>
    <row r="13" ht="15.0" customHeight="1">
      <c r="A13" s="1421" t="s">
        <v>1545</v>
      </c>
      <c r="B13" s="1497" t="s">
        <v>8280</v>
      </c>
      <c r="C13" s="1675" t="s">
        <v>10759</v>
      </c>
      <c r="D13" s="1392" t="s">
        <v>10760</v>
      </c>
      <c r="E13" s="1392" t="s">
        <v>10761</v>
      </c>
      <c r="F13" s="1392" t="s">
        <v>10762</v>
      </c>
      <c r="G13" s="1392" t="s">
        <v>10763</v>
      </c>
      <c r="H13" s="1392" t="s">
        <v>10764</v>
      </c>
      <c r="I13" s="1392" t="s">
        <v>10765</v>
      </c>
      <c r="J13" s="1392" t="s">
        <v>10766</v>
      </c>
      <c r="K13" s="1392" t="s">
        <v>8908</v>
      </c>
      <c r="L13" s="1392"/>
    </row>
    <row r="14" ht="15.75" customHeight="1">
      <c r="A14" s="1541" t="s">
        <v>6260</v>
      </c>
      <c r="B14" s="1379" t="s">
        <v>8280</v>
      </c>
      <c r="C14" s="1392" t="s">
        <v>10519</v>
      </c>
      <c r="D14" s="1392" t="s">
        <v>10767</v>
      </c>
      <c r="E14" s="1392" t="s">
        <v>10768</v>
      </c>
      <c r="F14" s="1392" t="s">
        <v>10769</v>
      </c>
      <c r="G14" s="1392" t="s">
        <v>10770</v>
      </c>
      <c r="H14" s="1392" t="s">
        <v>10771</v>
      </c>
      <c r="I14" s="1392" t="s">
        <v>10772</v>
      </c>
      <c r="J14" s="1392" t="s">
        <v>10773</v>
      </c>
      <c r="K14" s="1392" t="s">
        <v>8790</v>
      </c>
      <c r="L14" s="1392" t="s">
        <v>10774</v>
      </c>
    </row>
    <row r="15" ht="15.75" customHeight="1">
      <c r="A15" s="1606" t="s">
        <v>1411</v>
      </c>
      <c r="B15" s="1379" t="s">
        <v>8280</v>
      </c>
      <c r="C15" s="1392" t="s">
        <v>10775</v>
      </c>
      <c r="D15" s="1392" t="s">
        <v>10776</v>
      </c>
      <c r="E15" s="1392" t="s">
        <v>10777</v>
      </c>
      <c r="F15" s="1392" t="s">
        <v>10778</v>
      </c>
      <c r="G15" s="1392" t="s">
        <v>10779</v>
      </c>
      <c r="H15" s="1392" t="s">
        <v>10780</v>
      </c>
      <c r="I15" s="1392" t="s">
        <v>10781</v>
      </c>
      <c r="J15" s="1392" t="s">
        <v>10782</v>
      </c>
      <c r="K15" s="1392" t="s">
        <v>8766</v>
      </c>
      <c r="L15" s="1392"/>
    </row>
    <row r="16" ht="15.75" customHeight="1">
      <c r="A16" s="1541" t="s">
        <v>2212</v>
      </c>
      <c r="B16" s="1506" t="s">
        <v>8280</v>
      </c>
      <c r="C16" s="1675" t="s">
        <v>10673</v>
      </c>
      <c r="D16" s="1392" t="s">
        <v>10783</v>
      </c>
      <c r="E16" s="1392" t="s">
        <v>10784</v>
      </c>
      <c r="F16" s="1392" t="s">
        <v>10785</v>
      </c>
      <c r="G16" s="1392" t="s">
        <v>10786</v>
      </c>
      <c r="H16" s="1392" t="s">
        <v>10787</v>
      </c>
      <c r="I16" s="1392" t="s">
        <v>10788</v>
      </c>
      <c r="J16" s="1392" t="s">
        <v>10789</v>
      </c>
      <c r="K16" s="1392" t="s">
        <v>8664</v>
      </c>
      <c r="L16" s="1392" t="s">
        <v>10790</v>
      </c>
    </row>
    <row r="17" ht="15.75" customHeight="1">
      <c r="A17" s="1606" t="s">
        <v>822</v>
      </c>
      <c r="B17" s="1379" t="s">
        <v>8280</v>
      </c>
      <c r="C17" s="1392" t="s">
        <v>10791</v>
      </c>
      <c r="D17" s="1392" t="s">
        <v>10792</v>
      </c>
      <c r="E17" s="1392" t="s">
        <v>10793</v>
      </c>
      <c r="F17" s="1392" t="s">
        <v>10794</v>
      </c>
      <c r="G17" s="1392" t="s">
        <v>10795</v>
      </c>
      <c r="H17" s="1392" t="s">
        <v>10796</v>
      </c>
      <c r="I17" s="1392" t="s">
        <v>10797</v>
      </c>
      <c r="J17" s="1392" t="s">
        <v>10798</v>
      </c>
      <c r="K17" s="1392" t="s">
        <v>9091</v>
      </c>
      <c r="L17" s="1392"/>
    </row>
    <row r="18" ht="15.75" customHeight="1">
      <c r="A18" s="1541" t="s">
        <v>1635</v>
      </c>
      <c r="B18" s="1492" t="s">
        <v>8280</v>
      </c>
      <c r="C18" s="1392" t="s">
        <v>10799</v>
      </c>
      <c r="D18" s="1392" t="s">
        <v>10800</v>
      </c>
      <c r="E18" s="1626" t="s">
        <v>10801</v>
      </c>
      <c r="F18" s="1392" t="s">
        <v>10802</v>
      </c>
      <c r="G18" s="1392" t="s">
        <v>10803</v>
      </c>
      <c r="H18" s="1392" t="s">
        <v>10804</v>
      </c>
      <c r="I18" s="1392" t="s">
        <v>10805</v>
      </c>
      <c r="J18" s="1392" t="s">
        <v>10806</v>
      </c>
      <c r="K18" s="1392" t="s">
        <v>8815</v>
      </c>
      <c r="L18" s="1392"/>
    </row>
    <row r="19" ht="15.75" customHeight="1">
      <c r="A19" s="1576" t="s">
        <v>8666</v>
      </c>
      <c r="B19" s="1379" t="s">
        <v>8280</v>
      </c>
      <c r="C19" s="1392" t="s">
        <v>10529</v>
      </c>
      <c r="D19" s="1392" t="s">
        <v>10807</v>
      </c>
      <c r="E19" s="1392" t="s">
        <v>10808</v>
      </c>
      <c r="F19" s="1392" t="s">
        <v>10809</v>
      </c>
      <c r="G19" s="1392" t="s">
        <v>10810</v>
      </c>
      <c r="H19" s="1392" t="s">
        <v>10811</v>
      </c>
      <c r="I19" s="1392" t="s">
        <v>10812</v>
      </c>
      <c r="J19" s="1392" t="s">
        <v>10813</v>
      </c>
      <c r="K19" s="1392" t="s">
        <v>8682</v>
      </c>
      <c r="L19" s="1392"/>
    </row>
    <row r="20" ht="15.75" customHeight="1">
      <c r="A20" s="1541" t="s">
        <v>1719</v>
      </c>
      <c r="B20" s="1492" t="s">
        <v>8280</v>
      </c>
      <c r="C20" s="1675" t="s">
        <v>10814</v>
      </c>
      <c r="D20" s="1392" t="s">
        <v>10815</v>
      </c>
      <c r="E20" s="1392" t="s">
        <v>10816</v>
      </c>
      <c r="F20" s="1392" t="s">
        <v>10817</v>
      </c>
      <c r="G20" s="1392" t="s">
        <v>10818</v>
      </c>
      <c r="H20" s="1392" t="s">
        <v>10819</v>
      </c>
      <c r="I20" s="1392" t="s">
        <v>10820</v>
      </c>
      <c r="J20" s="1392" t="s">
        <v>10821</v>
      </c>
      <c r="K20" s="1392" t="s">
        <v>9070</v>
      </c>
      <c r="L20" s="1392"/>
    </row>
    <row r="21" ht="15.75" customHeight="1">
      <c r="A21" s="1541" t="s">
        <v>734</v>
      </c>
      <c r="B21" s="1492" t="s">
        <v>8308</v>
      </c>
      <c r="C21" s="1392" t="s">
        <v>10822</v>
      </c>
      <c r="D21" s="1620" t="s">
        <v>10689</v>
      </c>
      <c r="E21" s="1620" t="s">
        <v>10690</v>
      </c>
      <c r="F21" s="1620" t="s">
        <v>10691</v>
      </c>
      <c r="G21" s="1620" t="s">
        <v>10692</v>
      </c>
      <c r="H21" s="1620" t="s">
        <v>10693</v>
      </c>
      <c r="I21" s="1620" t="s">
        <v>10694</v>
      </c>
      <c r="J21" s="1620" t="s">
        <v>10695</v>
      </c>
      <c r="K21" s="1620" t="s">
        <v>8639</v>
      </c>
      <c r="L21" s="1392" t="s">
        <v>10823</v>
      </c>
    </row>
    <row r="22" ht="15.75" customHeight="1">
      <c r="A22" s="1521" t="s">
        <v>1340</v>
      </c>
      <c r="B22" s="1492" t="s">
        <v>8336</v>
      </c>
      <c r="C22" s="1499" t="s">
        <v>10581</v>
      </c>
      <c r="D22" s="1499" t="s">
        <v>10696</v>
      </c>
      <c r="E22" s="1499" t="s">
        <v>10697</v>
      </c>
      <c r="F22" s="1499" t="s">
        <v>10698</v>
      </c>
      <c r="G22" s="1499" t="s">
        <v>10699</v>
      </c>
      <c r="H22" s="1499" t="s">
        <v>10700</v>
      </c>
      <c r="I22" s="1499" t="s">
        <v>10701</v>
      </c>
      <c r="J22" s="1499" t="s">
        <v>10702</v>
      </c>
      <c r="K22" s="1499" t="s">
        <v>8639</v>
      </c>
      <c r="L22" s="1392"/>
    </row>
    <row r="23" ht="16.5" customHeight="1">
      <c r="A23" s="1521" t="s">
        <v>10824</v>
      </c>
      <c r="B23" s="1492" t="s">
        <v>8280</v>
      </c>
      <c r="C23" s="1631" t="s">
        <v>10563</v>
      </c>
      <c r="D23" s="1392" t="s">
        <v>10825</v>
      </c>
      <c r="E23" s="1392" t="s">
        <v>10826</v>
      </c>
      <c r="F23" s="1392" t="s">
        <v>10827</v>
      </c>
      <c r="G23" s="1392" t="s">
        <v>10810</v>
      </c>
      <c r="H23" s="1392" t="s">
        <v>10828</v>
      </c>
      <c r="I23" s="1392" t="s">
        <v>10829</v>
      </c>
      <c r="J23" s="1392" t="s">
        <v>10830</v>
      </c>
      <c r="K23" s="1392" t="s">
        <v>9289</v>
      </c>
      <c r="L23" s="1392"/>
    </row>
    <row r="24" ht="15.75" customHeight="1">
      <c r="A24" s="1521" t="s">
        <v>2812</v>
      </c>
      <c r="B24" s="1492" t="s">
        <v>8280</v>
      </c>
      <c r="C24" s="1392" t="s">
        <v>10831</v>
      </c>
      <c r="D24" s="1392" t="s">
        <v>10832</v>
      </c>
      <c r="E24" s="1392" t="s">
        <v>10833</v>
      </c>
      <c r="F24" s="1392" t="s">
        <v>10834</v>
      </c>
      <c r="G24" s="1392" t="s">
        <v>10835</v>
      </c>
      <c r="H24" s="1392" t="s">
        <v>10836</v>
      </c>
      <c r="I24" s="1392" t="s">
        <v>10837</v>
      </c>
      <c r="J24" s="1392" t="s">
        <v>10838</v>
      </c>
      <c r="K24" s="1392" t="s">
        <v>10839</v>
      </c>
      <c r="L24" s="1392" t="s">
        <v>10840</v>
      </c>
    </row>
    <row r="25">
      <c r="A25" s="1616" t="s">
        <v>2922</v>
      </c>
      <c r="B25" s="1616" t="s">
        <v>8308</v>
      </c>
      <c r="C25" s="1675" t="s">
        <v>10841</v>
      </c>
      <c r="D25" s="1392"/>
      <c r="E25" s="1392" t="s">
        <v>10842</v>
      </c>
      <c r="F25" s="1392" t="s">
        <v>10843</v>
      </c>
      <c r="G25" s="1392"/>
      <c r="H25" s="1392"/>
      <c r="I25" s="1392"/>
      <c r="J25" s="1392"/>
      <c r="K25" s="1392" t="s">
        <v>9375</v>
      </c>
      <c r="L25" s="1392"/>
    </row>
    <row r="26" ht="15.75" customHeight="1">
      <c r="A26" s="1541" t="s">
        <v>2525</v>
      </c>
      <c r="B26" s="1497" t="s">
        <v>8308</v>
      </c>
      <c r="C26" s="1620" t="s">
        <v>10589</v>
      </c>
      <c r="D26" s="1392" t="s">
        <v>10844</v>
      </c>
      <c r="E26" s="1392" t="s">
        <v>10845</v>
      </c>
      <c r="F26" s="1392" t="s">
        <v>10846</v>
      </c>
      <c r="G26" s="1392" t="s">
        <v>10847</v>
      </c>
      <c r="H26" s="1392" t="s">
        <v>10848</v>
      </c>
      <c r="I26" s="1392" t="s">
        <v>10849</v>
      </c>
      <c r="J26" s="1392" t="s">
        <v>10850</v>
      </c>
      <c r="K26" s="1392" t="s">
        <v>9265</v>
      </c>
      <c r="L26" s="1392"/>
    </row>
    <row r="27">
      <c r="A27" s="1627" t="s">
        <v>2491</v>
      </c>
      <c r="B27" s="1506" t="s">
        <v>8308</v>
      </c>
      <c r="C27" s="1392" t="s">
        <v>10851</v>
      </c>
      <c r="D27" s="1392" t="s">
        <v>10852</v>
      </c>
      <c r="E27" s="1392" t="s">
        <v>10853</v>
      </c>
      <c r="F27" s="1392" t="s">
        <v>10854</v>
      </c>
      <c r="G27" s="1392" t="s">
        <v>10855</v>
      </c>
      <c r="H27" s="1392" t="s">
        <v>10856</v>
      </c>
      <c r="I27" s="1392" t="s">
        <v>10857</v>
      </c>
      <c r="J27" s="1392" t="s">
        <v>10858</v>
      </c>
      <c r="K27" s="1392" t="s">
        <v>10129</v>
      </c>
      <c r="L27" s="1392" t="s">
        <v>10859</v>
      </c>
    </row>
    <row r="28" ht="15.75" customHeight="1">
      <c r="A28" s="1521" t="s">
        <v>5336</v>
      </c>
      <c r="B28" s="1492" t="s">
        <v>8280</v>
      </c>
      <c r="C28" s="1675" t="s">
        <v>10860</v>
      </c>
      <c r="D28" s="1392" t="s">
        <v>10861</v>
      </c>
      <c r="E28" s="1392" t="s">
        <v>10862</v>
      </c>
      <c r="F28" s="1392" t="s">
        <v>10863</v>
      </c>
      <c r="G28" s="1392" t="s">
        <v>10864</v>
      </c>
      <c r="H28" s="1392" t="s">
        <v>10865</v>
      </c>
      <c r="I28" s="1392" t="s">
        <v>10866</v>
      </c>
      <c r="J28" s="1392" t="s">
        <v>10867</v>
      </c>
      <c r="K28" s="1392" t="s">
        <v>10868</v>
      </c>
      <c r="L28" s="1392" t="s">
        <v>10869</v>
      </c>
    </row>
    <row r="29" ht="15.75" customHeight="1">
      <c r="A29" s="1521" t="s">
        <v>4785</v>
      </c>
      <c r="B29" s="1492" t="s">
        <v>8308</v>
      </c>
      <c r="C29" s="1675" t="s">
        <v>10665</v>
      </c>
      <c r="D29" s="1392" t="s">
        <v>10870</v>
      </c>
      <c r="E29" s="1392" t="s">
        <v>10871</v>
      </c>
      <c r="F29" s="1392" t="s">
        <v>10872</v>
      </c>
      <c r="G29" s="1392" t="s">
        <v>10873</v>
      </c>
      <c r="H29" s="1392" t="s">
        <v>10874</v>
      </c>
      <c r="I29" s="1392" t="s">
        <v>10875</v>
      </c>
      <c r="J29" s="1392" t="s">
        <v>10876</v>
      </c>
      <c r="K29" s="1392" t="s">
        <v>10355</v>
      </c>
      <c r="L29" s="1392" t="s">
        <v>10877</v>
      </c>
    </row>
    <row r="30" ht="15.75" customHeight="1">
      <c r="A30" s="1521"/>
      <c r="B30" s="1507"/>
      <c r="C30" s="1676"/>
      <c r="D30" s="1392"/>
      <c r="E30" s="1392"/>
      <c r="F30" s="1392"/>
      <c r="G30" s="1392"/>
      <c r="H30" s="1392"/>
      <c r="I30" s="1392"/>
      <c r="J30" s="1392"/>
      <c r="K30" s="1392"/>
      <c r="L30" s="1392"/>
    </row>
    <row r="31" ht="15.75" customHeight="1">
      <c r="A31" s="1576"/>
      <c r="B31" s="1379"/>
      <c r="C31" s="1676"/>
      <c r="D31" s="1392"/>
      <c r="E31" s="1392"/>
      <c r="F31" s="1392"/>
      <c r="G31" s="1392"/>
      <c r="H31" s="1392"/>
      <c r="I31" s="1392"/>
      <c r="J31" s="1392"/>
      <c r="K31" s="1392"/>
      <c r="L31" s="1392"/>
    </row>
    <row r="32" ht="15.75" customHeight="1">
      <c r="A32" s="1564"/>
      <c r="B32" s="1379"/>
      <c r="C32" s="1676"/>
      <c r="D32" s="1392"/>
      <c r="E32" s="1392"/>
      <c r="F32" s="1392"/>
      <c r="G32" s="1392"/>
      <c r="H32" s="1392"/>
      <c r="I32" s="1392"/>
      <c r="J32" s="1392"/>
      <c r="K32" s="1392"/>
      <c r="L32" s="1392"/>
    </row>
    <row r="33" ht="15.75" customHeight="1">
      <c r="A33" s="1576"/>
      <c r="B33" s="1379"/>
      <c r="C33" s="1676"/>
      <c r="D33" s="1392"/>
      <c r="E33" s="1392"/>
      <c r="F33" s="1392"/>
      <c r="G33" s="1392"/>
      <c r="H33" s="1392"/>
      <c r="I33" s="1392"/>
      <c r="J33" s="1392"/>
      <c r="K33" s="1392"/>
      <c r="L33" s="1392"/>
    </row>
    <row r="34" ht="15.75" customHeight="1">
      <c r="A34" s="1564"/>
      <c r="B34" s="1379"/>
      <c r="C34" s="1676"/>
      <c r="D34" s="1392"/>
      <c r="E34" s="1392"/>
      <c r="F34" s="1392"/>
      <c r="G34" s="1392"/>
      <c r="H34" s="1392"/>
      <c r="I34" s="1392"/>
      <c r="J34" s="1392"/>
      <c r="K34" s="1392"/>
      <c r="L34" s="1392"/>
    </row>
    <row r="35" ht="15.75" customHeight="1">
      <c r="A35" s="1576"/>
      <c r="B35" s="1379"/>
      <c r="C35" s="1676"/>
      <c r="D35" s="1392"/>
      <c r="E35" s="1392"/>
      <c r="F35" s="1392"/>
      <c r="G35" s="1392"/>
      <c r="H35" s="1392"/>
      <c r="I35" s="1392"/>
      <c r="J35" s="1392"/>
      <c r="K35" s="1392"/>
      <c r="L35" s="1392"/>
    </row>
    <row r="36">
      <c r="A36" s="1627"/>
      <c r="B36" s="1627"/>
      <c r="C36" s="1676"/>
      <c r="D36" s="1392"/>
      <c r="E36" s="1392"/>
      <c r="F36" s="1392"/>
      <c r="G36" s="1392"/>
      <c r="H36" s="1392"/>
      <c r="I36" s="1392"/>
      <c r="J36" s="1392"/>
      <c r="K36" s="1392"/>
      <c r="L36" s="1392"/>
    </row>
    <row r="37" ht="15.75" customHeight="1">
      <c r="A37" s="1521"/>
      <c r="B37" s="1507"/>
      <c r="C37" s="1676"/>
      <c r="D37" s="1392"/>
      <c r="E37" s="1392"/>
      <c r="F37" s="1392"/>
      <c r="G37" s="1392"/>
      <c r="H37" s="1392"/>
      <c r="I37" s="1392"/>
      <c r="J37" s="1392"/>
      <c r="K37" s="1392"/>
      <c r="L37" s="1392"/>
    </row>
    <row r="38" ht="15.75" customHeight="1">
      <c r="A38" s="1541"/>
      <c r="B38" s="1441"/>
      <c r="C38" s="1676"/>
      <c r="D38" s="1392"/>
      <c r="E38" s="1392"/>
      <c r="F38" s="1392"/>
      <c r="G38" s="1392"/>
      <c r="H38" s="1392"/>
      <c r="I38" s="1392"/>
      <c r="J38" s="1392"/>
      <c r="K38" s="1392"/>
      <c r="L38" s="1392"/>
    </row>
    <row r="39">
      <c r="A39" s="1616"/>
      <c r="B39" s="1616"/>
      <c r="C39" s="1676"/>
      <c r="D39" s="1392"/>
      <c r="E39" s="1392"/>
      <c r="F39" s="1392"/>
      <c r="G39" s="1392"/>
      <c r="H39" s="1392"/>
      <c r="I39" s="1392"/>
      <c r="J39" s="1392"/>
      <c r="K39" s="1392"/>
      <c r="L39" s="1392"/>
    </row>
    <row r="40" ht="15.75" customHeight="1">
      <c r="A40" s="1564"/>
      <c r="B40" s="1441"/>
      <c r="C40" s="1676"/>
      <c r="D40" s="1392"/>
      <c r="E40" s="1392"/>
      <c r="F40" s="1392"/>
      <c r="G40" s="1392"/>
      <c r="H40" s="1392"/>
      <c r="I40" s="1392"/>
      <c r="J40" s="1392"/>
      <c r="K40" s="1392"/>
      <c r="L40" s="1392"/>
    </row>
    <row r="41">
      <c r="A41" s="1521"/>
      <c r="B41" s="1521"/>
      <c r="C41" s="1676"/>
      <c r="D41" s="1392"/>
      <c r="E41" s="1392"/>
      <c r="F41" s="1392"/>
      <c r="G41" s="1392"/>
      <c r="H41" s="1392"/>
      <c r="I41" s="1392"/>
      <c r="J41" s="1392"/>
      <c r="K41" s="1392"/>
      <c r="L41" s="1392"/>
    </row>
    <row r="42" ht="15.75" customHeight="1">
      <c r="A42" s="1576"/>
      <c r="B42" s="1441"/>
      <c r="C42" s="1676"/>
      <c r="D42" s="1392"/>
      <c r="E42" s="1392"/>
      <c r="F42" s="1392"/>
      <c r="G42" s="1392"/>
      <c r="H42" s="1392"/>
      <c r="I42" s="1392"/>
      <c r="J42" s="1392"/>
      <c r="K42" s="1392"/>
      <c r="L42" s="1392"/>
    </row>
    <row r="43" ht="15.75" customHeight="1">
      <c r="A43" s="1564"/>
      <c r="B43" s="1379"/>
      <c r="C43" s="1676"/>
      <c r="D43" s="1392"/>
      <c r="E43" s="1392"/>
      <c r="F43" s="1392"/>
      <c r="G43" s="1392"/>
      <c r="H43" s="1392"/>
      <c r="I43" s="1392"/>
      <c r="J43" s="1392"/>
      <c r="K43" s="1392"/>
      <c r="L43" s="1392"/>
    </row>
    <row r="44">
      <c r="A44" s="1627"/>
      <c r="B44" s="1627"/>
      <c r="C44" s="1676"/>
      <c r="D44" s="1392"/>
      <c r="E44" s="1392"/>
      <c r="F44" s="1392"/>
      <c r="G44" s="1392"/>
      <c r="H44" s="1392"/>
      <c r="I44" s="1392"/>
      <c r="J44" s="1392"/>
      <c r="K44" s="1392"/>
      <c r="L44" s="1392"/>
    </row>
    <row r="45" ht="15.75" customHeight="1">
      <c r="A45" s="1564"/>
      <c r="B45" s="1379"/>
      <c r="C45" s="1676"/>
      <c r="D45" s="1392"/>
      <c r="E45" s="1392"/>
      <c r="F45" s="1392"/>
      <c r="G45" s="1392"/>
      <c r="H45" s="1392"/>
      <c r="I45" s="1392"/>
      <c r="J45" s="1392"/>
      <c r="K45" s="1392"/>
      <c r="L45" s="1392"/>
    </row>
    <row r="46" ht="15.75" customHeight="1">
      <c r="A46" s="1576"/>
      <c r="B46" s="1379"/>
      <c r="C46" s="1676"/>
      <c r="D46" s="1392"/>
      <c r="E46" s="1392"/>
      <c r="F46" s="1392"/>
      <c r="G46" s="1392"/>
      <c r="H46" s="1392"/>
      <c r="I46" s="1392"/>
      <c r="J46" s="1392"/>
      <c r="K46" s="1392"/>
      <c r="L46" s="1392"/>
    </row>
    <row r="47" ht="15.75" customHeight="1">
      <c r="A47" s="1564"/>
      <c r="B47" s="1441"/>
      <c r="C47" s="1676"/>
      <c r="D47" s="1392"/>
      <c r="E47" s="1392"/>
      <c r="F47" s="1392"/>
      <c r="G47" s="1392"/>
      <c r="H47" s="1392"/>
      <c r="I47" s="1392"/>
      <c r="J47" s="1392"/>
      <c r="K47" s="1392"/>
      <c r="L47" s="1392"/>
    </row>
    <row r="48" ht="15.0" customHeight="1">
      <c r="A48" s="1576"/>
      <c r="B48" s="1441"/>
      <c r="C48" s="1676"/>
      <c r="D48" s="1392"/>
      <c r="E48" s="1392"/>
      <c r="F48" s="1392"/>
      <c r="G48" s="1392"/>
      <c r="H48" s="1392"/>
      <c r="I48" s="1392"/>
      <c r="J48" s="1392"/>
      <c r="K48" s="1392"/>
      <c r="L48" s="1392"/>
    </row>
    <row r="49" ht="15.75" customHeight="1">
      <c r="A49" s="1521"/>
      <c r="B49" s="1492"/>
      <c r="C49" s="1676"/>
      <c r="D49" s="1392"/>
      <c r="E49" s="1392"/>
      <c r="F49" s="1392"/>
      <c r="G49" s="1392"/>
      <c r="H49" s="1392"/>
      <c r="I49" s="1392"/>
      <c r="J49" s="1392"/>
      <c r="K49" s="1392"/>
      <c r="L49" s="1392"/>
    </row>
    <row r="50" ht="15.75" customHeight="1">
      <c r="A50" s="1564"/>
      <c r="B50" s="1507"/>
      <c r="C50" s="1676"/>
      <c r="D50" s="1392"/>
      <c r="E50" s="1392"/>
      <c r="F50" s="1392"/>
      <c r="G50" s="1392"/>
      <c r="H50" s="1392"/>
      <c r="I50" s="1392"/>
      <c r="J50" s="1392"/>
      <c r="K50" s="1392"/>
      <c r="L50" s="1392"/>
    </row>
    <row r="51">
      <c r="A51" s="1616"/>
      <c r="B51" s="1616"/>
      <c r="C51" s="1676"/>
      <c r="D51" s="1392"/>
      <c r="E51" s="1392"/>
      <c r="F51" s="1392"/>
      <c r="G51" s="1392"/>
      <c r="H51" s="1392"/>
      <c r="I51" s="1392"/>
      <c r="J51" s="1392"/>
      <c r="K51" s="1392"/>
      <c r="L51" s="1392"/>
    </row>
    <row r="52" ht="15.75" customHeight="1">
      <c r="A52" s="1576"/>
      <c r="B52" s="1379"/>
      <c r="C52" s="1676"/>
      <c r="D52" s="1392"/>
      <c r="E52" s="1392"/>
      <c r="F52" s="1392"/>
      <c r="G52" s="1392"/>
      <c r="H52" s="1392"/>
      <c r="I52" s="1392"/>
      <c r="J52" s="1392"/>
      <c r="K52" s="1392"/>
      <c r="L52" s="1392"/>
    </row>
    <row r="53" ht="15.75" customHeight="1">
      <c r="A53" s="1564"/>
      <c r="B53" s="1379"/>
      <c r="C53" s="1676"/>
      <c r="D53" s="1392"/>
      <c r="E53" s="1392"/>
      <c r="F53" s="1392"/>
      <c r="G53" s="1392"/>
      <c r="H53" s="1392"/>
      <c r="I53" s="1392"/>
      <c r="J53" s="1392"/>
      <c r="K53" s="1392"/>
      <c r="L53" s="1392"/>
    </row>
    <row r="54" ht="15.75" customHeight="1">
      <c r="A54" s="1627"/>
      <c r="B54" s="1627"/>
      <c r="C54" s="1676"/>
      <c r="D54" s="1392"/>
      <c r="E54" s="1392"/>
      <c r="F54" s="1392"/>
      <c r="G54" s="1392"/>
      <c r="H54" s="1392"/>
      <c r="I54" s="1392"/>
      <c r="J54" s="1392"/>
      <c r="K54" s="1392"/>
      <c r="L54" s="1392"/>
    </row>
    <row r="55" ht="15.75" customHeight="1">
      <c r="A55" s="1576"/>
      <c r="B55" s="1441"/>
      <c r="C55" s="1676"/>
      <c r="D55" s="1392"/>
      <c r="E55" s="1392"/>
      <c r="F55" s="1392"/>
      <c r="G55" s="1392"/>
      <c r="H55" s="1392"/>
      <c r="I55" s="1392"/>
      <c r="J55" s="1392"/>
      <c r="K55" s="1392"/>
      <c r="L55" s="1392"/>
    </row>
    <row r="56" ht="15.75" customHeight="1">
      <c r="A56" s="1564"/>
      <c r="B56" s="1507"/>
      <c r="C56" s="1676"/>
      <c r="D56" s="1392"/>
      <c r="E56" s="1392"/>
      <c r="F56" s="1392"/>
      <c r="G56" s="1392"/>
      <c r="H56" s="1392"/>
      <c r="I56" s="1392"/>
      <c r="J56" s="1392"/>
      <c r="K56" s="1392"/>
      <c r="L56" s="1392"/>
    </row>
    <row r="57" ht="15.75" customHeight="1">
      <c r="A57" s="1627"/>
      <c r="B57" s="1492"/>
      <c r="C57" s="1676"/>
      <c r="D57" s="1392"/>
      <c r="E57" s="1392"/>
      <c r="F57" s="1392"/>
      <c r="G57" s="1392"/>
      <c r="H57" s="1392"/>
      <c r="I57" s="1392"/>
      <c r="J57" s="1392"/>
      <c r="K57" s="1392"/>
      <c r="L57" s="1392"/>
    </row>
    <row r="58" ht="15.75" customHeight="1">
      <c r="A58" s="1521"/>
      <c r="B58" s="1506"/>
      <c r="C58" s="1676"/>
      <c r="D58" s="1392"/>
      <c r="E58" s="1392"/>
      <c r="F58" s="1392"/>
      <c r="G58" s="1392"/>
      <c r="H58" s="1392"/>
      <c r="I58" s="1392"/>
      <c r="J58" s="1392"/>
      <c r="K58" s="1392"/>
      <c r="L58" s="1392"/>
    </row>
    <row r="59" ht="15.75" customHeight="1">
      <c r="A59" s="1627"/>
      <c r="B59" s="1627"/>
      <c r="C59" s="1676"/>
      <c r="D59" s="1392"/>
      <c r="E59" s="1392"/>
      <c r="F59" s="1392"/>
      <c r="G59" s="1392"/>
      <c r="H59" s="1392"/>
      <c r="I59" s="1392"/>
      <c r="J59" s="1392"/>
      <c r="K59" s="1392"/>
      <c r="L59" s="1392"/>
    </row>
    <row r="60" ht="15.75" customHeight="1">
      <c r="A60" s="1564"/>
      <c r="B60" s="1507"/>
      <c r="C60" s="1676"/>
      <c r="D60" s="1392"/>
      <c r="E60" s="1392"/>
      <c r="F60" s="1392"/>
      <c r="G60" s="1392"/>
      <c r="H60" s="1392"/>
      <c r="I60" s="1392"/>
      <c r="J60" s="1392"/>
      <c r="K60" s="1392"/>
      <c r="L60" s="1392"/>
    </row>
    <row r="61" ht="16.5" customHeight="1">
      <c r="A61" s="1576"/>
      <c r="B61" s="1507"/>
      <c r="C61" s="1676"/>
      <c r="D61" s="1392"/>
      <c r="E61" s="1392"/>
      <c r="F61" s="1392"/>
      <c r="G61" s="1392"/>
      <c r="H61" s="1392"/>
      <c r="I61" s="1392"/>
      <c r="J61" s="1392"/>
      <c r="K61" s="1392"/>
      <c r="L61" s="1392"/>
    </row>
    <row r="62">
      <c r="A62" s="1627"/>
      <c r="B62" s="1627"/>
      <c r="C62" s="1392"/>
      <c r="D62" s="1392"/>
      <c r="E62" s="1392"/>
      <c r="F62" s="1392"/>
      <c r="G62" s="1392"/>
      <c r="H62" s="1392"/>
      <c r="I62" s="1392"/>
      <c r="J62" s="1392"/>
      <c r="K62" s="1392"/>
      <c r="L62" s="1392"/>
    </row>
    <row r="63" ht="17.25" customHeight="1">
      <c r="A63" s="1541"/>
      <c r="B63" s="1506"/>
      <c r="C63" s="1392"/>
      <c r="D63" s="1392"/>
      <c r="E63" s="1392"/>
      <c r="F63" s="1392"/>
      <c r="G63" s="1392"/>
      <c r="H63" s="1392"/>
      <c r="I63" s="1392"/>
      <c r="J63" s="1392"/>
      <c r="K63" s="1392"/>
      <c r="L63" s="1392"/>
    </row>
    <row r="64">
      <c r="A64" s="1616"/>
      <c r="B64" s="1497"/>
      <c r="C64" s="1392"/>
      <c r="D64" s="1392"/>
      <c r="E64" s="1392"/>
      <c r="F64" s="1392"/>
      <c r="G64" s="1392"/>
      <c r="H64" s="1392"/>
      <c r="I64" s="1392"/>
      <c r="J64" s="1392"/>
      <c r="K64" s="1392"/>
      <c r="L64" s="1392"/>
    </row>
    <row r="65">
      <c r="A65" s="1627"/>
      <c r="B65" s="1627"/>
      <c r="C65" s="1392"/>
      <c r="D65" s="1392"/>
      <c r="E65" s="1392"/>
      <c r="F65" s="1392"/>
      <c r="G65" s="1392"/>
      <c r="H65" s="1392"/>
      <c r="I65" s="1392"/>
      <c r="J65" s="1392"/>
      <c r="K65" s="1392"/>
      <c r="L65" s="1392"/>
    </row>
    <row r="66">
      <c r="A66" s="1564"/>
      <c r="B66" s="1441"/>
      <c r="C66" s="1392"/>
      <c r="D66" s="1392"/>
      <c r="E66" s="1392"/>
      <c r="F66" s="1392"/>
      <c r="G66" s="1392"/>
      <c r="H66" s="1392"/>
      <c r="I66" s="1392"/>
      <c r="J66" s="1392"/>
      <c r="K66" s="1392"/>
      <c r="L66" s="1392"/>
    </row>
    <row r="67">
      <c r="A67" s="1521"/>
      <c r="B67" s="1497"/>
      <c r="C67" s="1392"/>
      <c r="D67" s="1392"/>
      <c r="E67" s="1392"/>
      <c r="F67" s="1392"/>
      <c r="G67" s="1392"/>
      <c r="H67" s="1392"/>
      <c r="I67" s="1392"/>
      <c r="J67" s="1392"/>
      <c r="K67" s="1392"/>
      <c r="L67" s="1392"/>
    </row>
    <row r="68" ht="17.25" customHeight="1">
      <c r="A68" s="1616"/>
      <c r="B68" s="1441"/>
      <c r="C68" s="1392"/>
      <c r="D68" s="1392"/>
      <c r="E68" s="1392"/>
      <c r="F68" s="1392"/>
      <c r="G68" s="1392"/>
      <c r="H68" s="1392"/>
      <c r="I68" s="1392"/>
      <c r="J68" s="1392"/>
      <c r="K68" s="1392"/>
      <c r="L68" s="1392"/>
    </row>
    <row r="69">
      <c r="A69" s="1651"/>
      <c r="B69" s="1616"/>
      <c r="C69" s="1641"/>
      <c r="D69" s="1677"/>
      <c r="E69" s="1677"/>
      <c r="F69" s="1677"/>
      <c r="G69" s="1654"/>
      <c r="H69" s="1654"/>
      <c r="I69" s="1654"/>
      <c r="J69" s="1654"/>
      <c r="K69" s="1655"/>
      <c r="L69" s="1656"/>
    </row>
    <row r="70">
      <c r="A70" s="1639"/>
      <c r="B70" s="1639"/>
      <c r="C70" s="1641"/>
      <c r="D70" s="1678"/>
      <c r="E70" s="1643"/>
      <c r="F70" s="1644"/>
      <c r="G70" s="1645"/>
      <c r="H70" s="1646"/>
      <c r="I70" s="1647"/>
      <c r="J70" s="1648"/>
      <c r="K70" s="1649"/>
      <c r="L70" s="1650"/>
    </row>
    <row r="71">
      <c r="A71" s="1651"/>
      <c r="B71" s="1651"/>
      <c r="C71" s="1641"/>
      <c r="D71" s="1654"/>
      <c r="E71" s="1654"/>
      <c r="F71" s="1654"/>
      <c r="G71" s="1654"/>
      <c r="H71" s="1654"/>
      <c r="I71" s="1654"/>
      <c r="J71" s="1654"/>
      <c r="K71" s="1655"/>
      <c r="L71" s="1656"/>
    </row>
    <row r="72">
      <c r="A72" s="1639"/>
      <c r="B72" s="1639"/>
      <c r="C72" s="1641"/>
      <c r="D72" s="1678"/>
      <c r="E72" s="1643"/>
      <c r="F72" s="1644"/>
      <c r="G72" s="1645"/>
      <c r="H72" s="1646"/>
      <c r="I72" s="1647"/>
      <c r="J72" s="1648"/>
      <c r="K72" s="1649"/>
      <c r="L72" s="1650"/>
    </row>
    <row r="73">
      <c r="A73" s="1651"/>
      <c r="B73" s="1651"/>
      <c r="C73" s="1641"/>
      <c r="D73" s="1654"/>
      <c r="E73" s="1654"/>
      <c r="F73" s="1654"/>
      <c r="G73" s="1654"/>
      <c r="H73" s="1654"/>
      <c r="I73" s="1654"/>
      <c r="J73" s="1654"/>
      <c r="K73" s="1655"/>
      <c r="L73" s="1656"/>
    </row>
    <row r="74">
      <c r="A74" s="1639"/>
      <c r="B74" s="1639"/>
      <c r="C74" s="1641"/>
      <c r="D74" s="1678"/>
      <c r="E74" s="1643"/>
      <c r="F74" s="1644"/>
      <c r="G74" s="1645"/>
      <c r="H74" s="1646"/>
      <c r="I74" s="1647"/>
      <c r="J74" s="1648"/>
      <c r="K74" s="1649"/>
      <c r="L74" s="1650"/>
    </row>
    <row r="75">
      <c r="A75" s="1651"/>
      <c r="B75" s="1651"/>
      <c r="C75" s="1641"/>
      <c r="D75" s="1654"/>
      <c r="E75" s="1654"/>
      <c r="F75" s="1654"/>
      <c r="G75" s="1654"/>
      <c r="H75" s="1654"/>
      <c r="I75" s="1654"/>
      <c r="J75" s="1654"/>
      <c r="K75" s="1655"/>
      <c r="L75" s="1656"/>
    </row>
    <row r="76">
      <c r="A76" s="1639"/>
      <c r="B76" s="1639"/>
      <c r="C76" s="1641"/>
      <c r="D76" s="1678"/>
      <c r="E76" s="1643"/>
      <c r="F76" s="1644"/>
      <c r="G76" s="1645"/>
      <c r="H76" s="1646"/>
      <c r="I76" s="1647"/>
      <c r="J76" s="1648"/>
      <c r="K76" s="1649"/>
      <c r="L76" s="1650"/>
    </row>
    <row r="77">
      <c r="A77" s="1651"/>
      <c r="B77" s="1651"/>
      <c r="C77" s="1641"/>
      <c r="D77" s="1654"/>
      <c r="E77" s="1654"/>
      <c r="F77" s="1654"/>
      <c r="G77" s="1654"/>
      <c r="H77" s="1654"/>
      <c r="I77" s="1654"/>
      <c r="J77" s="1654"/>
      <c r="K77" s="1655"/>
      <c r="L77" s="1656"/>
    </row>
    <row r="78">
      <c r="A78" s="1639"/>
      <c r="B78" s="1639"/>
      <c r="C78" s="1641"/>
      <c r="D78" s="1678"/>
      <c r="E78" s="1643"/>
      <c r="F78" s="1644"/>
      <c r="G78" s="1645"/>
      <c r="H78" s="1646"/>
      <c r="I78" s="1647"/>
      <c r="J78" s="1648"/>
      <c r="K78" s="1649"/>
      <c r="L78" s="1650"/>
    </row>
    <row r="79">
      <c r="A79" s="1651"/>
      <c r="B79" s="1651"/>
      <c r="C79" s="1641"/>
      <c r="D79" s="1654"/>
      <c r="E79" s="1654"/>
      <c r="F79" s="1654"/>
      <c r="G79" s="1654"/>
      <c r="H79" s="1654"/>
      <c r="I79" s="1654"/>
      <c r="J79" s="1654"/>
      <c r="K79" s="1655"/>
      <c r="L79" s="1656"/>
    </row>
    <row r="80">
      <c r="A80" s="1639"/>
      <c r="B80" s="1639"/>
      <c r="C80" s="1641"/>
      <c r="D80" s="1678"/>
      <c r="E80" s="1643"/>
      <c r="F80" s="1644"/>
      <c r="G80" s="1645"/>
      <c r="H80" s="1646"/>
      <c r="I80" s="1647"/>
      <c r="J80" s="1648"/>
      <c r="K80" s="1649"/>
      <c r="L80" s="1650"/>
    </row>
    <row r="81">
      <c r="A81" s="1651"/>
      <c r="B81" s="1651"/>
      <c r="C81" s="1641"/>
      <c r="D81" s="1654"/>
      <c r="E81" s="1654"/>
      <c r="F81" s="1654"/>
      <c r="G81" s="1654"/>
      <c r="H81" s="1654"/>
      <c r="I81" s="1654"/>
      <c r="J81" s="1654"/>
      <c r="K81" s="1655"/>
      <c r="L81" s="1656"/>
    </row>
    <row r="82">
      <c r="A82" s="1639"/>
      <c r="B82" s="1639"/>
      <c r="C82" s="1641"/>
      <c r="D82" s="1678"/>
      <c r="E82" s="1643"/>
      <c r="F82" s="1644"/>
      <c r="G82" s="1645"/>
      <c r="H82" s="1646"/>
      <c r="I82" s="1647"/>
      <c r="J82" s="1648"/>
      <c r="K82" s="1649"/>
      <c r="L82" s="1650"/>
    </row>
    <row r="83">
      <c r="A83" s="1651"/>
      <c r="B83" s="1651"/>
      <c r="C83" s="1641"/>
      <c r="D83" s="1654"/>
      <c r="E83" s="1654"/>
      <c r="F83" s="1654"/>
      <c r="G83" s="1654"/>
      <c r="H83" s="1654"/>
      <c r="I83" s="1654"/>
      <c r="J83" s="1654"/>
      <c r="K83" s="1655"/>
      <c r="L83" s="1656"/>
    </row>
    <row r="84">
      <c r="A84" s="1639"/>
      <c r="B84" s="1639"/>
      <c r="C84" s="1641"/>
      <c r="D84" s="1678"/>
      <c r="E84" s="1643"/>
      <c r="F84" s="1644"/>
      <c r="G84" s="1645"/>
      <c r="H84" s="1646"/>
      <c r="I84" s="1647"/>
      <c r="J84" s="1648"/>
      <c r="K84" s="1649"/>
      <c r="L84" s="1650"/>
    </row>
    <row r="85">
      <c r="A85" s="1651"/>
      <c r="B85" s="1651"/>
      <c r="C85" s="1641"/>
      <c r="D85" s="1654"/>
      <c r="E85" s="1654"/>
      <c r="F85" s="1654"/>
      <c r="G85" s="1654"/>
      <c r="H85" s="1654"/>
      <c r="I85" s="1654"/>
      <c r="J85" s="1654"/>
      <c r="K85" s="1655"/>
      <c r="L85" s="1656"/>
    </row>
    <row r="86">
      <c r="A86" s="1639"/>
      <c r="B86" s="1639"/>
      <c r="C86" s="1641"/>
      <c r="D86" s="1678"/>
      <c r="E86" s="1643"/>
      <c r="F86" s="1644"/>
      <c r="G86" s="1645"/>
      <c r="H86" s="1646"/>
      <c r="I86" s="1647"/>
      <c r="J86" s="1648"/>
      <c r="K86" s="1649"/>
      <c r="L86" s="1650"/>
    </row>
    <row r="87">
      <c r="A87" s="1651"/>
      <c r="B87" s="1651"/>
      <c r="C87" s="1641"/>
      <c r="D87" s="1654"/>
      <c r="E87" s="1654"/>
      <c r="F87" s="1654"/>
      <c r="G87" s="1654"/>
      <c r="H87" s="1654"/>
      <c r="I87" s="1654"/>
      <c r="J87" s="1654"/>
      <c r="K87" s="1655"/>
      <c r="L87" s="1656"/>
    </row>
    <row r="88">
      <c r="A88" s="1639"/>
      <c r="B88" s="1639"/>
      <c r="C88" s="1641"/>
      <c r="D88" s="1678"/>
      <c r="E88" s="1643"/>
      <c r="F88" s="1644"/>
      <c r="G88" s="1645"/>
      <c r="H88" s="1646"/>
      <c r="I88" s="1647"/>
      <c r="J88" s="1648"/>
      <c r="K88" s="1649"/>
      <c r="L88" s="1650"/>
    </row>
    <row r="89">
      <c r="A89" s="1651"/>
      <c r="B89" s="1651"/>
      <c r="C89" s="1641"/>
      <c r="D89" s="1654"/>
      <c r="E89" s="1654"/>
      <c r="F89" s="1654"/>
      <c r="G89" s="1654"/>
      <c r="H89" s="1654"/>
      <c r="I89" s="1654"/>
      <c r="J89" s="1654"/>
      <c r="K89" s="1655"/>
      <c r="L89" s="1656"/>
    </row>
    <row r="90">
      <c r="A90" s="1639"/>
      <c r="B90" s="1639"/>
      <c r="C90" s="1641"/>
      <c r="D90" s="1678"/>
      <c r="E90" s="1643"/>
      <c r="F90" s="1644"/>
      <c r="G90" s="1645"/>
      <c r="H90" s="1646"/>
      <c r="I90" s="1647"/>
      <c r="J90" s="1648"/>
      <c r="K90" s="1649"/>
      <c r="L90" s="1650"/>
    </row>
    <row r="91">
      <c r="A91" s="1651"/>
      <c r="B91" s="1651"/>
      <c r="C91" s="1641"/>
      <c r="D91" s="1654"/>
      <c r="E91" s="1654"/>
      <c r="F91" s="1654"/>
      <c r="G91" s="1654"/>
      <c r="H91" s="1654"/>
      <c r="I91" s="1654"/>
      <c r="J91" s="1654"/>
      <c r="K91" s="1655"/>
      <c r="L91" s="1656"/>
    </row>
    <row r="92">
      <c r="A92" s="1639"/>
      <c r="B92" s="1639"/>
      <c r="C92" s="1641"/>
      <c r="D92" s="1678"/>
      <c r="E92" s="1643"/>
      <c r="F92" s="1644"/>
      <c r="G92" s="1645"/>
      <c r="H92" s="1646"/>
      <c r="I92" s="1647"/>
      <c r="J92" s="1648"/>
      <c r="K92" s="1649"/>
      <c r="L92" s="1650"/>
    </row>
    <row r="93">
      <c r="A93" s="1651"/>
      <c r="B93" s="1651"/>
      <c r="C93" s="1641"/>
      <c r="D93" s="1654"/>
      <c r="E93" s="1654"/>
      <c r="F93" s="1654"/>
      <c r="G93" s="1654"/>
      <c r="H93" s="1654"/>
      <c r="I93" s="1654"/>
      <c r="J93" s="1654"/>
      <c r="K93" s="1655"/>
      <c r="L93" s="1656"/>
    </row>
    <row r="94">
      <c r="A94" s="1639"/>
      <c r="B94" s="1639"/>
      <c r="C94" s="1641"/>
      <c r="D94" s="1678"/>
      <c r="E94" s="1643"/>
      <c r="F94" s="1644"/>
      <c r="G94" s="1645"/>
      <c r="H94" s="1646"/>
      <c r="I94" s="1647"/>
      <c r="J94" s="1648"/>
      <c r="K94" s="1649"/>
      <c r="L94" s="1650"/>
    </row>
    <row r="95">
      <c r="A95" s="1651"/>
      <c r="B95" s="1651"/>
      <c r="C95" s="1641"/>
      <c r="D95" s="1654"/>
      <c r="E95" s="1654"/>
      <c r="F95" s="1654"/>
      <c r="G95" s="1654"/>
      <c r="H95" s="1654"/>
      <c r="I95" s="1654"/>
      <c r="J95" s="1654"/>
      <c r="K95" s="1655"/>
      <c r="L95" s="1656"/>
    </row>
    <row r="96">
      <c r="A96" s="1639"/>
      <c r="B96" s="1639"/>
      <c r="C96" s="1641"/>
      <c r="D96" s="1678"/>
      <c r="E96" s="1643"/>
      <c r="F96" s="1644"/>
      <c r="G96" s="1645"/>
      <c r="H96" s="1646"/>
      <c r="I96" s="1647"/>
      <c r="J96" s="1648"/>
      <c r="K96" s="1649"/>
      <c r="L96" s="1650"/>
    </row>
    <row r="97">
      <c r="A97" s="1651"/>
      <c r="B97" s="1651"/>
      <c r="C97" s="1641"/>
      <c r="D97" s="1654"/>
      <c r="E97" s="1654"/>
      <c r="F97" s="1654"/>
      <c r="G97" s="1654"/>
      <c r="H97" s="1654"/>
      <c r="I97" s="1654"/>
      <c r="J97" s="1654"/>
      <c r="K97" s="1655"/>
      <c r="L97" s="1656"/>
    </row>
    <row r="98">
      <c r="A98" s="1639"/>
      <c r="B98" s="1639"/>
      <c r="C98" s="1646"/>
      <c r="D98" s="1678"/>
      <c r="E98" s="1643"/>
      <c r="F98" s="1644"/>
      <c r="G98" s="1645"/>
      <c r="H98" s="1646"/>
      <c r="I98" s="1647"/>
      <c r="J98" s="1648"/>
      <c r="K98" s="1649"/>
      <c r="L98" s="1650"/>
    </row>
    <row r="99">
      <c r="A99" s="1651"/>
      <c r="B99" s="1651"/>
      <c r="C99" s="1654"/>
      <c r="D99" s="1654"/>
      <c r="E99" s="1654"/>
      <c r="F99" s="1654"/>
      <c r="G99" s="1654"/>
      <c r="H99" s="1654"/>
      <c r="I99" s="1654"/>
      <c r="J99" s="1654"/>
      <c r="K99" s="1655"/>
      <c r="L99" s="1656"/>
    </row>
    <row r="100">
      <c r="A100" s="1639"/>
      <c r="B100" s="1639"/>
      <c r="C100" s="1646"/>
      <c r="D100" s="1678"/>
      <c r="E100" s="1643"/>
      <c r="F100" s="1644"/>
      <c r="G100" s="1645"/>
      <c r="H100" s="1646"/>
      <c r="I100" s="1647"/>
      <c r="J100" s="1648"/>
      <c r="K100" s="1649"/>
      <c r="L100" s="165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9"/>
      <c r="B1" s="1680" t="s">
        <v>10878</v>
      </c>
      <c r="C1" s="1680" t="s">
        <v>43</v>
      </c>
      <c r="D1" s="1681" t="s">
        <v>10879</v>
      </c>
      <c r="E1" s="1680" t="s">
        <v>10880</v>
      </c>
      <c r="F1" s="1682" t="s">
        <v>10881</v>
      </c>
    </row>
    <row r="2">
      <c r="A2" s="1683"/>
      <c r="B2" s="1684"/>
      <c r="C2" s="1684"/>
      <c r="D2" s="1684"/>
      <c r="E2" s="1684"/>
      <c r="F2" s="1684"/>
    </row>
    <row r="3">
      <c r="A3" s="1683"/>
      <c r="B3" s="1684"/>
      <c r="C3" s="1684"/>
      <c r="D3" s="1684"/>
      <c r="E3" s="1684"/>
      <c r="F3" s="1684"/>
    </row>
    <row r="4">
      <c r="A4" s="1685" t="s">
        <v>10882</v>
      </c>
      <c r="B4" s="1686" t="s">
        <v>10883</v>
      </c>
      <c r="C4" s="1687"/>
      <c r="D4" s="1687"/>
      <c r="E4" s="1687"/>
      <c r="F4" s="1688"/>
    </row>
    <row r="5">
      <c r="A5" s="1684"/>
      <c r="B5" s="1689"/>
      <c r="C5" s="1690"/>
      <c r="D5" s="1690"/>
      <c r="E5" s="1690"/>
      <c r="F5" s="1691"/>
    </row>
    <row r="6">
      <c r="A6" s="1692" t="s">
        <v>10883</v>
      </c>
      <c r="B6" s="1693" t="s">
        <v>10884</v>
      </c>
      <c r="C6" s="1694" t="s">
        <v>4103</v>
      </c>
      <c r="D6" s="1695" t="s">
        <v>10885</v>
      </c>
      <c r="E6" s="1694" t="s">
        <v>10886</v>
      </c>
      <c r="F6" s="1696">
        <v>44233.0</v>
      </c>
    </row>
    <row r="7">
      <c r="A7" s="1692" t="s">
        <v>10887</v>
      </c>
      <c r="B7" s="1697" t="s">
        <v>10888</v>
      </c>
      <c r="C7" s="1694" t="s">
        <v>822</v>
      </c>
      <c r="D7" s="1695" t="s">
        <v>10889</v>
      </c>
      <c r="E7" s="1694" t="s">
        <v>10886</v>
      </c>
      <c r="F7" s="1696">
        <v>43878.0</v>
      </c>
    </row>
    <row r="8">
      <c r="A8" s="1692" t="s">
        <v>10890</v>
      </c>
      <c r="B8" s="1698" t="s">
        <v>10891</v>
      </c>
      <c r="C8" s="1694" t="s">
        <v>327</v>
      </c>
      <c r="D8" s="1695" t="s">
        <v>10892</v>
      </c>
      <c r="E8" s="1694" t="s">
        <v>10886</v>
      </c>
      <c r="F8" s="1696">
        <v>43879.0</v>
      </c>
    </row>
    <row r="9">
      <c r="A9" s="1699" t="s">
        <v>10893</v>
      </c>
      <c r="B9" s="1700" t="s">
        <v>10894</v>
      </c>
      <c r="C9" s="1694" t="s">
        <v>3788</v>
      </c>
      <c r="D9" s="1695" t="s">
        <v>10895</v>
      </c>
      <c r="E9" s="1694" t="s">
        <v>10896</v>
      </c>
      <c r="F9" s="1696">
        <v>44084.0</v>
      </c>
    </row>
    <row r="10">
      <c r="A10" s="1699" t="s">
        <v>10897</v>
      </c>
      <c r="B10" s="1700" t="s">
        <v>10898</v>
      </c>
      <c r="C10" s="1701"/>
      <c r="D10" s="1702"/>
      <c r="E10" s="1701"/>
      <c r="F10" s="1701"/>
    </row>
    <row r="11">
      <c r="A11" s="1699" t="s">
        <v>10899</v>
      </c>
      <c r="B11" s="1700"/>
      <c r="C11" s="1701"/>
      <c r="D11" s="1702"/>
      <c r="E11" s="1701"/>
      <c r="F11" s="1701"/>
    </row>
    <row r="12">
      <c r="A12" s="1692" t="s">
        <v>10900</v>
      </c>
      <c r="B12" s="1700"/>
      <c r="C12" s="1701"/>
      <c r="D12" s="1702"/>
      <c r="E12" s="1701"/>
      <c r="F12" s="1701"/>
    </row>
    <row r="13">
      <c r="A13" s="1703" t="s">
        <v>10901</v>
      </c>
      <c r="B13" s="1700"/>
      <c r="C13" s="1701"/>
      <c r="D13" s="1702"/>
      <c r="E13" s="1701"/>
      <c r="F13" s="1701"/>
    </row>
    <row r="14" ht="15.75" customHeight="1">
      <c r="A14" s="1692" t="s">
        <v>10902</v>
      </c>
      <c r="B14" s="1686" t="s">
        <v>10887</v>
      </c>
      <c r="C14" s="1687"/>
      <c r="D14" s="1687"/>
      <c r="E14" s="1687"/>
      <c r="F14" s="1688"/>
    </row>
    <row r="15">
      <c r="A15" s="1692" t="s">
        <v>10903</v>
      </c>
      <c r="B15" s="1689"/>
      <c r="C15" s="1690"/>
      <c r="D15" s="1690"/>
      <c r="E15" s="1690"/>
      <c r="F15" s="1691"/>
    </row>
    <row r="16">
      <c r="A16" s="1692" t="s">
        <v>10904</v>
      </c>
      <c r="B16" s="1693" t="s">
        <v>10884</v>
      </c>
      <c r="C16" s="1694" t="s">
        <v>4103</v>
      </c>
      <c r="D16" s="1695" t="s">
        <v>10905</v>
      </c>
      <c r="E16" s="1694" t="s">
        <v>10886</v>
      </c>
      <c r="F16" s="1696">
        <v>44250.0</v>
      </c>
    </row>
    <row r="17">
      <c r="A17" s="1699" t="s">
        <v>10906</v>
      </c>
      <c r="B17" s="1697" t="s">
        <v>10888</v>
      </c>
      <c r="C17" s="1694" t="s">
        <v>4082</v>
      </c>
      <c r="D17" s="1695" t="s">
        <v>10907</v>
      </c>
      <c r="E17" s="1694" t="s">
        <v>10886</v>
      </c>
      <c r="F17" s="1696">
        <v>43364.0</v>
      </c>
    </row>
    <row r="18">
      <c r="A18" s="1699" t="s">
        <v>10908</v>
      </c>
      <c r="B18" s="1698" t="s">
        <v>10891</v>
      </c>
      <c r="C18" s="1694" t="s">
        <v>10909</v>
      </c>
      <c r="D18" s="1695" t="s">
        <v>10910</v>
      </c>
      <c r="E18" s="1694" t="s">
        <v>10896</v>
      </c>
      <c r="F18" s="1696">
        <v>43757.0</v>
      </c>
    </row>
    <row r="19">
      <c r="A19" s="1699" t="s">
        <v>10911</v>
      </c>
      <c r="B19" s="1700" t="s">
        <v>10894</v>
      </c>
      <c r="C19" s="1694" t="s">
        <v>10912</v>
      </c>
      <c r="D19" s="1695" t="s">
        <v>10913</v>
      </c>
      <c r="E19" s="1694" t="s">
        <v>10896</v>
      </c>
      <c r="F19" s="1696">
        <v>43438.0</v>
      </c>
    </row>
    <row r="20">
      <c r="A20" s="1703" t="s">
        <v>10914</v>
      </c>
      <c r="B20" s="1700" t="s">
        <v>10898</v>
      </c>
      <c r="C20" s="1701"/>
      <c r="D20" s="1702"/>
      <c r="E20" s="1701"/>
      <c r="F20" s="1701"/>
    </row>
    <row r="21">
      <c r="A21" s="1703" t="s">
        <v>10915</v>
      </c>
      <c r="B21" s="1704"/>
      <c r="C21" s="1701"/>
      <c r="D21" s="1702"/>
      <c r="E21" s="1701"/>
      <c r="F21" s="1701"/>
    </row>
    <row r="22">
      <c r="A22" s="1703" t="s">
        <v>10916</v>
      </c>
      <c r="B22" s="1704"/>
      <c r="C22" s="1701"/>
      <c r="D22" s="1702"/>
      <c r="E22" s="1701"/>
      <c r="F22" s="1701"/>
    </row>
    <row r="23">
      <c r="A23" s="1705" t="s">
        <v>10917</v>
      </c>
      <c r="B23" s="1704"/>
      <c r="C23" s="1701"/>
      <c r="D23" s="1702"/>
      <c r="E23" s="1701"/>
      <c r="F23" s="1701"/>
    </row>
    <row r="24">
      <c r="A24" s="1705" t="s">
        <v>10918</v>
      </c>
      <c r="B24" s="1706" t="s">
        <v>10890</v>
      </c>
      <c r="C24" s="1687"/>
      <c r="D24" s="1687"/>
      <c r="E24" s="1687"/>
      <c r="F24" s="1688"/>
    </row>
    <row r="25">
      <c r="A25" s="1707"/>
      <c r="B25" s="1690"/>
      <c r="C25" s="1690"/>
      <c r="D25" s="1690"/>
      <c r="E25" s="1690"/>
      <c r="F25" s="1691"/>
    </row>
    <row r="26">
      <c r="A26" s="1708"/>
      <c r="B26" s="1693" t="s">
        <v>10884</v>
      </c>
      <c r="C26" s="1694" t="s">
        <v>10919</v>
      </c>
      <c r="D26" s="1695" t="s">
        <v>10920</v>
      </c>
      <c r="E26" s="1694" t="s">
        <v>10886</v>
      </c>
      <c r="F26" s="1696">
        <v>44021.0</v>
      </c>
    </row>
    <row r="27">
      <c r="A27" s="1708"/>
      <c r="B27" s="1697" t="s">
        <v>10888</v>
      </c>
      <c r="C27" s="1694" t="s">
        <v>5132</v>
      </c>
      <c r="D27" s="1695" t="s">
        <v>10921</v>
      </c>
      <c r="E27" s="1694" t="s">
        <v>10896</v>
      </c>
      <c r="F27" s="1696">
        <v>44022.0</v>
      </c>
    </row>
    <row r="28">
      <c r="A28" s="1708"/>
      <c r="B28" s="1698" t="s">
        <v>10891</v>
      </c>
      <c r="C28" s="1694" t="s">
        <v>10922</v>
      </c>
      <c r="D28" s="1695" t="s">
        <v>10923</v>
      </c>
      <c r="E28" s="1694" t="s">
        <v>10924</v>
      </c>
      <c r="F28" s="1696">
        <v>43884.0</v>
      </c>
    </row>
    <row r="29">
      <c r="A29" s="1708"/>
      <c r="B29" s="1700" t="s">
        <v>10894</v>
      </c>
      <c r="C29" s="1694" t="s">
        <v>5336</v>
      </c>
      <c r="D29" s="1695" t="s">
        <v>10925</v>
      </c>
      <c r="E29" s="1694" t="s">
        <v>10886</v>
      </c>
      <c r="F29" s="1696">
        <v>43892.0</v>
      </c>
    </row>
    <row r="30">
      <c r="A30" s="1708"/>
      <c r="B30" s="1700" t="s">
        <v>10898</v>
      </c>
      <c r="C30" s="1701"/>
      <c r="D30" s="1702"/>
      <c r="E30" s="1701"/>
      <c r="F30" s="1701"/>
    </row>
    <row r="31">
      <c r="A31" s="1708"/>
      <c r="B31" s="1704"/>
      <c r="C31" s="1701"/>
      <c r="D31" s="1702"/>
      <c r="E31" s="1701"/>
      <c r="F31" s="1701"/>
    </row>
    <row r="32">
      <c r="A32" s="1708"/>
      <c r="B32" s="1704"/>
      <c r="C32" s="1701"/>
      <c r="D32" s="1702"/>
      <c r="E32" s="1701"/>
      <c r="F32" s="1701"/>
    </row>
    <row r="33">
      <c r="A33" s="1708"/>
      <c r="B33" s="1704"/>
      <c r="C33" s="1701"/>
      <c r="D33" s="1702"/>
      <c r="E33" s="1701"/>
      <c r="F33" s="1701"/>
    </row>
    <row r="34">
      <c r="A34" s="1708"/>
      <c r="B34" s="1686" t="s">
        <v>10893</v>
      </c>
      <c r="C34" s="1687"/>
      <c r="D34" s="1687"/>
      <c r="E34" s="1687"/>
      <c r="F34" s="1688"/>
    </row>
    <row r="35">
      <c r="A35" s="1708"/>
      <c r="B35" s="1689"/>
      <c r="C35" s="1690"/>
      <c r="D35" s="1690"/>
      <c r="E35" s="1690"/>
      <c r="F35" s="1691"/>
    </row>
    <row r="36">
      <c r="A36" s="1708"/>
      <c r="B36" s="1709" t="s">
        <v>10926</v>
      </c>
      <c r="C36" s="1687"/>
      <c r="D36" s="1687"/>
      <c r="E36" s="1687"/>
      <c r="F36" s="1688"/>
    </row>
    <row r="37">
      <c r="A37" s="1708"/>
      <c r="B37" s="1689"/>
      <c r="C37" s="1690"/>
      <c r="D37" s="1690"/>
      <c r="E37" s="1690"/>
      <c r="F37" s="1691"/>
    </row>
    <row r="38">
      <c r="A38" s="1708"/>
      <c r="B38" s="1693" t="s">
        <v>10884</v>
      </c>
      <c r="C38" s="1710" t="s">
        <v>431</v>
      </c>
      <c r="D38" s="1695" t="s">
        <v>10927</v>
      </c>
      <c r="E38" s="1694" t="s">
        <v>10886</v>
      </c>
      <c r="F38" s="1696">
        <v>43659.0</v>
      </c>
    </row>
    <row r="39">
      <c r="A39" s="1708"/>
      <c r="B39" s="1697" t="s">
        <v>10888</v>
      </c>
      <c r="C39" s="1694" t="s">
        <v>1545</v>
      </c>
      <c r="D39" s="1695" t="s">
        <v>10928</v>
      </c>
      <c r="E39" s="1694" t="s">
        <v>10886</v>
      </c>
      <c r="F39" s="1696">
        <v>43228.0</v>
      </c>
    </row>
    <row r="40">
      <c r="A40" s="1708"/>
      <c r="B40" s="1698" t="s">
        <v>10891</v>
      </c>
      <c r="C40" s="1701"/>
      <c r="D40" s="1711"/>
      <c r="E40" s="1701"/>
      <c r="F40" s="1701"/>
    </row>
    <row r="41">
      <c r="A41" s="1708"/>
      <c r="B41" s="1700" t="s">
        <v>10894</v>
      </c>
      <c r="C41" s="1701"/>
      <c r="D41" s="1711"/>
      <c r="E41" s="1701"/>
      <c r="F41" s="1701"/>
    </row>
    <row r="42">
      <c r="A42" s="1708"/>
      <c r="B42" s="1700" t="s">
        <v>10898</v>
      </c>
      <c r="C42" s="1701"/>
      <c r="D42" s="1711"/>
      <c r="E42" s="1701"/>
      <c r="F42" s="1701"/>
    </row>
    <row r="43">
      <c r="A43" s="1708"/>
      <c r="B43" s="1704"/>
      <c r="C43" s="1701"/>
      <c r="D43" s="1711"/>
      <c r="E43" s="1701"/>
      <c r="F43" s="1701"/>
    </row>
    <row r="44">
      <c r="A44" s="1708"/>
      <c r="B44" s="1704"/>
      <c r="C44" s="1701"/>
      <c r="D44" s="1711"/>
      <c r="E44" s="1701"/>
      <c r="F44" s="1701"/>
    </row>
    <row r="45">
      <c r="A45" s="1708"/>
      <c r="B45" s="1704"/>
      <c r="C45" s="1701"/>
      <c r="D45" s="1711"/>
      <c r="E45" s="1701"/>
      <c r="F45" s="1701"/>
    </row>
    <row r="46">
      <c r="A46" s="1708"/>
      <c r="B46" s="1709" t="s">
        <v>10929</v>
      </c>
      <c r="C46" s="1687"/>
      <c r="D46" s="1687"/>
      <c r="E46" s="1687"/>
      <c r="F46" s="1688"/>
    </row>
    <row r="47">
      <c r="A47" s="1708"/>
      <c r="B47" s="1689"/>
      <c r="C47" s="1690"/>
      <c r="D47" s="1690"/>
      <c r="E47" s="1690"/>
      <c r="F47" s="1691"/>
    </row>
    <row r="48">
      <c r="A48" s="1708"/>
      <c r="B48" s="1693" t="s">
        <v>10884</v>
      </c>
      <c r="C48" s="1694" t="s">
        <v>1545</v>
      </c>
      <c r="D48" s="1695" t="s">
        <v>10930</v>
      </c>
      <c r="E48" s="1694" t="s">
        <v>10886</v>
      </c>
      <c r="F48" s="1696">
        <v>43352.0</v>
      </c>
    </row>
    <row r="49">
      <c r="A49" s="1708"/>
      <c r="B49" s="1697" t="s">
        <v>10888</v>
      </c>
      <c r="C49" s="1694" t="s">
        <v>10931</v>
      </c>
      <c r="D49" s="1695" t="s">
        <v>10932</v>
      </c>
      <c r="E49" s="1694" t="s">
        <v>10886</v>
      </c>
      <c r="F49" s="1696">
        <v>43799.0</v>
      </c>
    </row>
    <row r="50">
      <c r="A50" s="1708"/>
      <c r="B50" s="1698" t="s">
        <v>10891</v>
      </c>
      <c r="C50" s="1701"/>
      <c r="D50" s="1702"/>
      <c r="E50" s="1701"/>
      <c r="F50" s="1701"/>
    </row>
    <row r="51">
      <c r="A51" s="1708"/>
      <c r="B51" s="1700" t="s">
        <v>10894</v>
      </c>
      <c r="C51" s="1701"/>
      <c r="D51" s="1702"/>
      <c r="E51" s="1701"/>
      <c r="F51" s="1701"/>
    </row>
    <row r="52">
      <c r="A52" s="1708"/>
      <c r="B52" s="1700" t="s">
        <v>10898</v>
      </c>
      <c r="C52" s="1701"/>
      <c r="D52" s="1702"/>
      <c r="E52" s="1701"/>
      <c r="F52" s="1701"/>
    </row>
    <row r="53">
      <c r="A53" s="1708"/>
      <c r="B53" s="1704"/>
      <c r="C53" s="1701"/>
      <c r="D53" s="1702"/>
      <c r="E53" s="1701"/>
      <c r="F53" s="1701"/>
    </row>
    <row r="54">
      <c r="A54" s="1708"/>
      <c r="B54" s="1704"/>
      <c r="C54" s="1701"/>
      <c r="D54" s="1702"/>
      <c r="E54" s="1701"/>
      <c r="F54" s="1701"/>
    </row>
    <row r="55">
      <c r="A55" s="1708"/>
      <c r="B55" s="1686" t="s">
        <v>10897</v>
      </c>
      <c r="C55" s="1687"/>
      <c r="D55" s="1687"/>
      <c r="E55" s="1687"/>
      <c r="F55" s="1688"/>
    </row>
    <row r="56">
      <c r="A56" s="1708"/>
      <c r="B56" s="1689"/>
      <c r="C56" s="1690"/>
      <c r="D56" s="1690"/>
      <c r="E56" s="1690"/>
      <c r="F56" s="1691"/>
    </row>
    <row r="57">
      <c r="A57" s="1708"/>
      <c r="B57" s="1693" t="s">
        <v>10884</v>
      </c>
      <c r="C57" s="1694" t="s">
        <v>6979</v>
      </c>
      <c r="D57" s="1712" t="s">
        <v>10933</v>
      </c>
      <c r="E57" s="1694" t="s">
        <v>10886</v>
      </c>
      <c r="F57" s="1713">
        <v>44511.0</v>
      </c>
    </row>
    <row r="58">
      <c r="A58" s="1708"/>
      <c r="B58" s="1697" t="s">
        <v>10888</v>
      </c>
      <c r="C58" s="1694" t="s">
        <v>10931</v>
      </c>
      <c r="D58" s="1712" t="s">
        <v>10934</v>
      </c>
      <c r="E58" s="1694" t="s">
        <v>10886</v>
      </c>
      <c r="F58" s="1713">
        <v>43740.0</v>
      </c>
    </row>
    <row r="59">
      <c r="A59" s="1708"/>
      <c r="B59" s="1698" t="s">
        <v>10891</v>
      </c>
      <c r="C59" s="1694" t="s">
        <v>10023</v>
      </c>
      <c r="D59" s="1712" t="s">
        <v>10935</v>
      </c>
      <c r="E59" s="1694" t="s">
        <v>10886</v>
      </c>
      <c r="F59" s="1713">
        <v>42098.0</v>
      </c>
    </row>
    <row r="60">
      <c r="A60" s="1708"/>
      <c r="B60" s="1700" t="s">
        <v>10894</v>
      </c>
      <c r="C60" s="1694"/>
      <c r="D60" s="1712"/>
      <c r="E60" s="1694"/>
      <c r="F60" s="1713"/>
    </row>
    <row r="61">
      <c r="A61" s="1708"/>
      <c r="B61" s="1700" t="s">
        <v>10898</v>
      </c>
      <c r="C61" s="1701"/>
      <c r="D61" s="1714"/>
      <c r="E61" s="1701"/>
      <c r="F61" s="1708"/>
    </row>
    <row r="62">
      <c r="A62" s="1708"/>
      <c r="B62" s="1715"/>
      <c r="C62" s="1701"/>
      <c r="D62" s="1714"/>
      <c r="E62" s="1701"/>
      <c r="F62" s="1708"/>
    </row>
    <row r="63">
      <c r="A63" s="1708"/>
      <c r="B63" s="1715"/>
      <c r="C63" s="1701"/>
      <c r="D63" s="1714"/>
      <c r="E63" s="1701"/>
      <c r="F63" s="1708"/>
    </row>
    <row r="64">
      <c r="A64" s="1708"/>
      <c r="B64" s="1686" t="s">
        <v>10899</v>
      </c>
      <c r="C64" s="1687"/>
      <c r="D64" s="1687"/>
      <c r="E64" s="1687"/>
      <c r="F64" s="1688"/>
    </row>
    <row r="65">
      <c r="A65" s="1708"/>
      <c r="B65" s="1689"/>
      <c r="C65" s="1690"/>
      <c r="D65" s="1690"/>
      <c r="E65" s="1690"/>
      <c r="F65" s="1691"/>
    </row>
    <row r="66">
      <c r="A66" s="1708"/>
      <c r="B66" s="1693" t="s">
        <v>10884</v>
      </c>
      <c r="C66" s="1694" t="s">
        <v>10936</v>
      </c>
      <c r="D66" s="1712" t="s">
        <v>10937</v>
      </c>
      <c r="E66" s="1694" t="s">
        <v>10938</v>
      </c>
      <c r="F66" s="1713">
        <v>43395.0</v>
      </c>
    </row>
    <row r="67">
      <c r="A67" s="1708"/>
      <c r="B67" s="1697" t="s">
        <v>10888</v>
      </c>
      <c r="C67" s="1694" t="s">
        <v>2212</v>
      </c>
      <c r="D67" s="1712" t="s">
        <v>10939</v>
      </c>
      <c r="E67" s="1694" t="s">
        <v>10896</v>
      </c>
      <c r="F67" s="1713">
        <v>43376.0</v>
      </c>
    </row>
    <row r="68">
      <c r="A68" s="1708"/>
      <c r="B68" s="1698" t="s">
        <v>10891</v>
      </c>
      <c r="C68" s="1701"/>
      <c r="D68" s="1714"/>
      <c r="E68" s="1701"/>
      <c r="F68" s="1708"/>
    </row>
    <row r="69">
      <c r="A69" s="1708"/>
      <c r="B69" s="1700" t="s">
        <v>10894</v>
      </c>
      <c r="C69" s="1701"/>
      <c r="D69" s="1714"/>
      <c r="E69" s="1701"/>
      <c r="F69" s="1708"/>
    </row>
    <row r="70">
      <c r="A70" s="1708"/>
      <c r="B70" s="1700" t="s">
        <v>10898</v>
      </c>
      <c r="C70" s="1701"/>
      <c r="D70" s="1714"/>
      <c r="E70" s="1701"/>
      <c r="F70" s="1708"/>
    </row>
    <row r="71">
      <c r="A71" s="1708"/>
      <c r="B71" s="1715"/>
      <c r="C71" s="1701"/>
      <c r="D71" s="1714"/>
      <c r="E71" s="1701"/>
      <c r="F71" s="1708"/>
    </row>
    <row r="72">
      <c r="A72" s="1708"/>
      <c r="B72" s="1715"/>
      <c r="C72" s="1701"/>
      <c r="D72" s="1714"/>
      <c r="E72" s="1701"/>
      <c r="F72" s="1708"/>
    </row>
    <row r="73">
      <c r="A73" s="1708"/>
      <c r="B73" s="1715"/>
      <c r="C73" s="1701"/>
      <c r="D73" s="1714"/>
      <c r="E73" s="1701"/>
      <c r="F73" s="1708"/>
    </row>
    <row r="74">
      <c r="A74" s="1708"/>
      <c r="B74" s="1686" t="s">
        <v>10900</v>
      </c>
      <c r="C74" s="1687"/>
      <c r="D74" s="1687"/>
      <c r="E74" s="1687"/>
      <c r="F74" s="1688"/>
    </row>
    <row r="75">
      <c r="A75" s="1708"/>
      <c r="B75" s="1689"/>
      <c r="C75" s="1690"/>
      <c r="D75" s="1690"/>
      <c r="E75" s="1690"/>
      <c r="F75" s="1691"/>
    </row>
    <row r="76">
      <c r="A76" s="1708"/>
      <c r="B76" s="1716" t="s">
        <v>10940</v>
      </c>
      <c r="C76" s="1687"/>
      <c r="D76" s="1687"/>
      <c r="E76" s="1687"/>
      <c r="F76" s="1688"/>
    </row>
    <row r="77">
      <c r="A77" s="1708"/>
      <c r="B77" s="1689"/>
      <c r="C77" s="1690"/>
      <c r="D77" s="1690"/>
      <c r="E77" s="1690"/>
      <c r="F77" s="1691"/>
    </row>
    <row r="78">
      <c r="A78" s="1708"/>
      <c r="B78" s="1693" t="s">
        <v>10884</v>
      </c>
      <c r="C78" s="1717" t="s">
        <v>431</v>
      </c>
      <c r="D78" s="1712" t="s">
        <v>10941</v>
      </c>
      <c r="E78" s="1694" t="s">
        <v>10886</v>
      </c>
      <c r="F78" s="1713">
        <v>43758.0</v>
      </c>
    </row>
    <row r="79">
      <c r="A79" s="1708"/>
      <c r="B79" s="1697" t="s">
        <v>10888</v>
      </c>
      <c r="C79" s="1701"/>
      <c r="D79" s="1714"/>
      <c r="E79" s="1701"/>
      <c r="F79" s="1708"/>
    </row>
    <row r="80">
      <c r="A80" s="1708"/>
      <c r="B80" s="1698" t="s">
        <v>10891</v>
      </c>
      <c r="C80" s="1701"/>
      <c r="D80" s="1714"/>
      <c r="E80" s="1701"/>
      <c r="F80" s="1708"/>
    </row>
    <row r="81">
      <c r="A81" s="1708"/>
      <c r="B81" s="1700" t="s">
        <v>10894</v>
      </c>
      <c r="C81" s="1701"/>
      <c r="D81" s="1714"/>
      <c r="E81" s="1701"/>
      <c r="F81" s="1708"/>
    </row>
    <row r="82">
      <c r="A82" s="1708"/>
      <c r="B82" s="1700" t="s">
        <v>10898</v>
      </c>
      <c r="C82" s="1701"/>
      <c r="D82" s="1714"/>
      <c r="E82" s="1701"/>
      <c r="F82" s="1708"/>
    </row>
    <row r="83">
      <c r="A83" s="1708"/>
      <c r="B83" s="1715"/>
      <c r="C83" s="1701"/>
      <c r="D83" s="1714"/>
      <c r="E83" s="1701"/>
      <c r="F83" s="1708"/>
    </row>
    <row r="84">
      <c r="A84" s="1708"/>
      <c r="B84" s="1715"/>
      <c r="C84" s="1701"/>
      <c r="D84" s="1714"/>
      <c r="E84" s="1701"/>
      <c r="F84" s="1708"/>
    </row>
    <row r="85">
      <c r="A85" s="1708"/>
      <c r="B85" s="1715"/>
      <c r="C85" s="1701"/>
      <c r="D85" s="1714"/>
      <c r="E85" s="1701"/>
      <c r="F85" s="1708"/>
    </row>
    <row r="86">
      <c r="A86" s="1708"/>
      <c r="B86" s="1716" t="s">
        <v>10929</v>
      </c>
      <c r="C86" s="1687"/>
      <c r="D86" s="1687"/>
      <c r="E86" s="1687"/>
      <c r="F86" s="1688"/>
    </row>
    <row r="87">
      <c r="A87" s="1708"/>
      <c r="B87" s="1689"/>
      <c r="C87" s="1690"/>
      <c r="D87" s="1690"/>
      <c r="E87" s="1690"/>
      <c r="F87" s="1691"/>
    </row>
    <row r="88">
      <c r="A88" s="1708"/>
      <c r="B88" s="1693" t="s">
        <v>10884</v>
      </c>
      <c r="C88" s="1694" t="s">
        <v>10942</v>
      </c>
      <c r="D88" s="1718" t="s">
        <v>10943</v>
      </c>
      <c r="E88" s="1694" t="s">
        <v>10886</v>
      </c>
      <c r="F88" s="1713">
        <v>44805.0</v>
      </c>
    </row>
    <row r="89">
      <c r="A89" s="1708"/>
      <c r="B89" s="1697" t="s">
        <v>10888</v>
      </c>
      <c r="C89" s="1694" t="s">
        <v>10944</v>
      </c>
      <c r="D89" s="1712" t="s">
        <v>10945</v>
      </c>
      <c r="E89" s="1694" t="s">
        <v>10886</v>
      </c>
      <c r="F89" s="1713">
        <v>43307.0</v>
      </c>
    </row>
    <row r="90">
      <c r="A90" s="1708"/>
      <c r="B90" s="1698" t="s">
        <v>10891</v>
      </c>
      <c r="C90" s="1701"/>
      <c r="D90" s="1714"/>
      <c r="E90" s="1701"/>
      <c r="F90" s="1708"/>
    </row>
    <row r="91">
      <c r="A91" s="1708"/>
      <c r="B91" s="1700" t="s">
        <v>10894</v>
      </c>
      <c r="C91" s="1701"/>
      <c r="D91" s="1714"/>
      <c r="E91" s="1701"/>
      <c r="F91" s="1708"/>
    </row>
    <row r="92">
      <c r="A92" s="1708"/>
      <c r="B92" s="1700" t="s">
        <v>10898</v>
      </c>
      <c r="C92" s="1701"/>
      <c r="D92" s="1714"/>
      <c r="E92" s="1701"/>
      <c r="F92" s="1708"/>
    </row>
    <row r="93">
      <c r="A93" s="1708"/>
      <c r="B93" s="1715"/>
      <c r="C93" s="1701"/>
      <c r="D93" s="1714"/>
      <c r="E93" s="1701"/>
      <c r="F93" s="1708"/>
    </row>
    <row r="94">
      <c r="A94" s="1708"/>
      <c r="B94" s="1715"/>
      <c r="C94" s="1701"/>
      <c r="D94" s="1714"/>
      <c r="E94" s="1701"/>
      <c r="F94" s="1708"/>
    </row>
    <row r="95">
      <c r="A95" s="1708"/>
      <c r="B95" s="1715"/>
      <c r="C95" s="1701"/>
      <c r="D95" s="1714"/>
      <c r="E95" s="1701"/>
      <c r="F95" s="1708"/>
    </row>
    <row r="96">
      <c r="A96" s="1708"/>
      <c r="B96" s="1686" t="s">
        <v>10901</v>
      </c>
      <c r="C96" s="1687"/>
      <c r="D96" s="1687"/>
      <c r="E96" s="1687"/>
      <c r="F96" s="1688"/>
    </row>
    <row r="97">
      <c r="A97" s="1708"/>
      <c r="B97" s="1689"/>
      <c r="C97" s="1690"/>
      <c r="D97" s="1690"/>
      <c r="E97" s="1690"/>
      <c r="F97" s="1691"/>
    </row>
    <row r="98">
      <c r="A98" s="1708"/>
      <c r="B98" s="1716" t="s">
        <v>10929</v>
      </c>
      <c r="C98" s="1687"/>
      <c r="D98" s="1687"/>
      <c r="E98" s="1687"/>
      <c r="F98" s="1688"/>
    </row>
    <row r="99">
      <c r="A99" s="1708"/>
      <c r="B99" s="1689"/>
      <c r="C99" s="1690"/>
      <c r="D99" s="1690"/>
      <c r="E99" s="1690"/>
      <c r="F99" s="1691"/>
    </row>
    <row r="100">
      <c r="A100" s="1708"/>
      <c r="B100" s="1693" t="s">
        <v>10884</v>
      </c>
      <c r="C100" s="1694" t="s">
        <v>4963</v>
      </c>
      <c r="D100" s="1712" t="s">
        <v>10946</v>
      </c>
      <c r="E100" s="1694" t="s">
        <v>10886</v>
      </c>
      <c r="F100" s="1713">
        <v>43370.0</v>
      </c>
    </row>
    <row r="101">
      <c r="A101" s="1708"/>
      <c r="B101" s="1697" t="s">
        <v>10888</v>
      </c>
      <c r="C101" s="1701"/>
      <c r="D101" s="1714"/>
      <c r="E101" s="1701"/>
      <c r="F101" s="1708"/>
    </row>
    <row r="102">
      <c r="A102" s="1708"/>
      <c r="B102" s="1698" t="s">
        <v>10891</v>
      </c>
      <c r="C102" s="1701"/>
      <c r="D102" s="1714"/>
      <c r="E102" s="1701"/>
      <c r="F102" s="1708"/>
    </row>
    <row r="103">
      <c r="A103" s="1708"/>
      <c r="B103" s="1700" t="s">
        <v>10894</v>
      </c>
      <c r="C103" s="1701"/>
      <c r="D103" s="1714"/>
      <c r="E103" s="1701"/>
      <c r="F103" s="1708"/>
    </row>
    <row r="104">
      <c r="A104" s="1708"/>
      <c r="B104" s="1700" t="s">
        <v>10898</v>
      </c>
      <c r="C104" s="1701"/>
      <c r="D104" s="1714"/>
      <c r="E104" s="1701"/>
      <c r="F104" s="1708"/>
    </row>
    <row r="105">
      <c r="A105" s="1708"/>
      <c r="B105" s="1715"/>
      <c r="C105" s="1701"/>
      <c r="D105" s="1714"/>
      <c r="E105" s="1701"/>
      <c r="F105" s="1708"/>
    </row>
    <row r="106">
      <c r="A106" s="1708"/>
      <c r="B106" s="1715"/>
      <c r="C106" s="1701"/>
      <c r="D106" s="1714"/>
      <c r="E106" s="1701"/>
      <c r="F106" s="1708"/>
    </row>
    <row r="107">
      <c r="A107" s="1708"/>
      <c r="B107" s="1715"/>
      <c r="C107" s="1701"/>
      <c r="D107" s="1714"/>
      <c r="E107" s="1701"/>
      <c r="F107" s="1708"/>
    </row>
    <row r="108">
      <c r="A108" s="1708"/>
      <c r="B108" s="1686" t="s">
        <v>10902</v>
      </c>
      <c r="C108" s="1687"/>
      <c r="D108" s="1687"/>
      <c r="E108" s="1687"/>
      <c r="F108" s="1688"/>
    </row>
    <row r="109">
      <c r="A109" s="1708"/>
      <c r="B109" s="1689"/>
      <c r="C109" s="1690"/>
      <c r="D109" s="1690"/>
      <c r="E109" s="1690"/>
      <c r="F109" s="1691"/>
    </row>
    <row r="110">
      <c r="A110" s="1708"/>
      <c r="B110" s="1716" t="s">
        <v>10947</v>
      </c>
      <c r="C110" s="1687"/>
      <c r="D110" s="1687"/>
      <c r="E110" s="1687"/>
      <c r="F110" s="1688"/>
    </row>
    <row r="111">
      <c r="A111" s="1708"/>
      <c r="B111" s="1689"/>
      <c r="C111" s="1690"/>
      <c r="D111" s="1690"/>
      <c r="E111" s="1690"/>
      <c r="F111" s="1691"/>
    </row>
    <row r="112">
      <c r="A112" s="1708"/>
      <c r="B112" s="1693" t="s">
        <v>10884</v>
      </c>
      <c r="C112" s="1694" t="s">
        <v>4103</v>
      </c>
      <c r="D112" s="1712" t="s">
        <v>10948</v>
      </c>
      <c r="E112" s="1694" t="s">
        <v>10886</v>
      </c>
      <c r="F112" s="1713">
        <v>44246.0</v>
      </c>
    </row>
    <row r="113">
      <c r="A113" s="1708"/>
      <c r="B113" s="1697" t="s">
        <v>10888</v>
      </c>
      <c r="C113" s="1694" t="s">
        <v>10936</v>
      </c>
      <c r="D113" s="1712" t="s">
        <v>10949</v>
      </c>
      <c r="E113" s="1694" t="s">
        <v>10938</v>
      </c>
      <c r="F113" s="1713">
        <v>43637.0</v>
      </c>
    </row>
    <row r="114">
      <c r="A114" s="1708"/>
      <c r="B114" s="1698" t="s">
        <v>10891</v>
      </c>
      <c r="C114" s="1701"/>
      <c r="D114" s="1714"/>
      <c r="E114" s="1701"/>
      <c r="F114" s="1708"/>
    </row>
    <row r="115">
      <c r="A115" s="1708"/>
      <c r="B115" s="1700" t="s">
        <v>10894</v>
      </c>
      <c r="C115" s="1701"/>
      <c r="D115" s="1714"/>
      <c r="E115" s="1701"/>
      <c r="F115" s="1708"/>
    </row>
    <row r="116">
      <c r="A116" s="1708"/>
      <c r="B116" s="1700" t="s">
        <v>10898</v>
      </c>
      <c r="C116" s="1701"/>
      <c r="D116" s="1714"/>
      <c r="E116" s="1701"/>
      <c r="F116" s="1708"/>
    </row>
    <row r="117">
      <c r="A117" s="1708"/>
      <c r="B117" s="1715"/>
      <c r="C117" s="1701"/>
      <c r="D117" s="1714"/>
      <c r="E117" s="1701"/>
      <c r="F117" s="1708"/>
    </row>
    <row r="118">
      <c r="A118" s="1708"/>
      <c r="B118" s="1715"/>
      <c r="C118" s="1701"/>
      <c r="D118" s="1714"/>
      <c r="E118" s="1701"/>
      <c r="F118" s="1708"/>
    </row>
    <row r="119">
      <c r="A119" s="1708"/>
      <c r="B119" s="1716" t="s">
        <v>10950</v>
      </c>
      <c r="C119" s="1687"/>
      <c r="D119" s="1687"/>
      <c r="E119" s="1687"/>
      <c r="F119" s="1688"/>
    </row>
    <row r="120">
      <c r="A120" s="1708"/>
      <c r="B120" s="1689"/>
      <c r="C120" s="1690"/>
      <c r="D120" s="1690"/>
      <c r="E120" s="1690"/>
      <c r="F120" s="1691"/>
    </row>
    <row r="121">
      <c r="A121" s="1708"/>
      <c r="B121" s="1693" t="s">
        <v>10884</v>
      </c>
      <c r="C121" s="1694" t="s">
        <v>6030</v>
      </c>
      <c r="D121" s="1712" t="s">
        <v>10951</v>
      </c>
      <c r="E121" s="1694" t="s">
        <v>10886</v>
      </c>
      <c r="F121" s="1713">
        <v>43592.0</v>
      </c>
    </row>
    <row r="122">
      <c r="A122" s="1708"/>
      <c r="B122" s="1697" t="s">
        <v>10888</v>
      </c>
      <c r="C122" s="1694" t="s">
        <v>10952</v>
      </c>
      <c r="D122" s="1712" t="s">
        <v>10953</v>
      </c>
      <c r="E122" s="1694" t="s">
        <v>10886</v>
      </c>
      <c r="F122" s="1713">
        <v>43396.0</v>
      </c>
    </row>
    <row r="123">
      <c r="A123" s="1708"/>
      <c r="B123" s="1698" t="s">
        <v>10891</v>
      </c>
      <c r="C123" s="1701"/>
      <c r="D123" s="1714"/>
      <c r="E123" s="1701"/>
      <c r="F123" s="1708"/>
    </row>
    <row r="124">
      <c r="A124" s="1708"/>
      <c r="B124" s="1700" t="s">
        <v>10894</v>
      </c>
      <c r="C124" s="1701"/>
      <c r="D124" s="1714"/>
      <c r="E124" s="1701"/>
      <c r="F124" s="1708"/>
    </row>
    <row r="125">
      <c r="A125" s="1708"/>
      <c r="B125" s="1700" t="s">
        <v>10898</v>
      </c>
      <c r="C125" s="1701"/>
      <c r="D125" s="1714"/>
      <c r="E125" s="1701"/>
      <c r="F125" s="1708"/>
    </row>
    <row r="126">
      <c r="A126" s="1708"/>
      <c r="B126" s="1715"/>
      <c r="C126" s="1701"/>
      <c r="D126" s="1714"/>
      <c r="E126" s="1701"/>
      <c r="F126" s="1708"/>
    </row>
    <row r="127">
      <c r="A127" s="1708"/>
      <c r="B127" s="1686" t="s">
        <v>10903</v>
      </c>
      <c r="C127" s="1687"/>
      <c r="D127" s="1687"/>
      <c r="E127" s="1687"/>
      <c r="F127" s="1688"/>
    </row>
    <row r="128">
      <c r="A128" s="1708"/>
      <c r="B128" s="1689"/>
      <c r="C128" s="1690"/>
      <c r="D128" s="1690"/>
      <c r="E128" s="1690"/>
      <c r="F128" s="1691"/>
    </row>
    <row r="129">
      <c r="A129" s="1708"/>
      <c r="B129" s="1693" t="s">
        <v>10884</v>
      </c>
      <c r="C129" s="1717" t="s">
        <v>431</v>
      </c>
      <c r="D129" s="1712" t="s">
        <v>10954</v>
      </c>
      <c r="E129" s="1694" t="s">
        <v>10886</v>
      </c>
      <c r="F129" s="1713">
        <v>43457.0</v>
      </c>
    </row>
    <row r="130">
      <c r="A130" s="1708"/>
      <c r="B130" s="1697" t="s">
        <v>10888</v>
      </c>
      <c r="C130" s="1694" t="s">
        <v>2409</v>
      </c>
      <c r="D130" s="1712" t="s">
        <v>10955</v>
      </c>
      <c r="E130" s="1694" t="s">
        <v>10886</v>
      </c>
      <c r="F130" s="1713">
        <v>43925.0</v>
      </c>
    </row>
    <row r="131">
      <c r="A131" s="1708"/>
      <c r="B131" s="1698" t="s">
        <v>10891</v>
      </c>
      <c r="C131" s="1694" t="s">
        <v>4632</v>
      </c>
      <c r="D131" s="1712" t="s">
        <v>10956</v>
      </c>
      <c r="E131" s="1694" t="s">
        <v>10924</v>
      </c>
      <c r="F131" s="1713">
        <v>43433.0</v>
      </c>
    </row>
    <row r="132">
      <c r="A132" s="1708"/>
      <c r="B132" s="1700" t="s">
        <v>10894</v>
      </c>
      <c r="C132" s="1701"/>
      <c r="D132" s="1714"/>
      <c r="E132" s="1701"/>
      <c r="F132" s="1708"/>
    </row>
    <row r="133">
      <c r="A133" s="1708"/>
      <c r="B133" s="1700" t="s">
        <v>10898</v>
      </c>
      <c r="C133" s="1701"/>
      <c r="D133" s="1714"/>
      <c r="E133" s="1701"/>
      <c r="F133" s="1708"/>
    </row>
    <row r="134">
      <c r="A134" s="1708"/>
      <c r="B134" s="1715"/>
      <c r="C134" s="1701"/>
      <c r="D134" s="1714"/>
      <c r="E134" s="1701"/>
      <c r="F134" s="1708"/>
    </row>
    <row r="135">
      <c r="A135" s="1708"/>
      <c r="B135" s="1715"/>
      <c r="C135" s="1701"/>
      <c r="D135" s="1714"/>
      <c r="E135" s="1701"/>
      <c r="F135" s="1708"/>
    </row>
    <row r="136">
      <c r="A136" s="1708"/>
      <c r="B136" s="1686" t="s">
        <v>10904</v>
      </c>
      <c r="C136" s="1687"/>
      <c r="D136" s="1687"/>
      <c r="E136" s="1687"/>
      <c r="F136" s="1688"/>
    </row>
    <row r="137">
      <c r="A137" s="1708"/>
      <c r="B137" s="1689"/>
      <c r="C137" s="1690"/>
      <c r="D137" s="1690"/>
      <c r="E137" s="1690"/>
      <c r="F137" s="1691"/>
    </row>
    <row r="138">
      <c r="A138" s="1708"/>
      <c r="B138" s="1716" t="s">
        <v>10957</v>
      </c>
      <c r="C138" s="1687"/>
      <c r="D138" s="1687"/>
      <c r="E138" s="1687"/>
      <c r="F138" s="1688"/>
    </row>
    <row r="139">
      <c r="A139" s="1708"/>
      <c r="B139" s="1689"/>
      <c r="C139" s="1690"/>
      <c r="D139" s="1690"/>
      <c r="E139" s="1690"/>
      <c r="F139" s="1691"/>
    </row>
    <row r="140">
      <c r="A140" s="1708"/>
      <c r="B140" s="1693" t="s">
        <v>10884</v>
      </c>
      <c r="C140" s="1694" t="s">
        <v>10931</v>
      </c>
      <c r="D140" s="1712" t="s">
        <v>10958</v>
      </c>
      <c r="E140" s="1694" t="s">
        <v>10886</v>
      </c>
      <c r="F140" s="1713">
        <v>43862.0</v>
      </c>
    </row>
    <row r="141">
      <c r="A141" s="1708"/>
      <c r="B141" s="1697" t="s">
        <v>10888</v>
      </c>
      <c r="C141" s="1701"/>
      <c r="D141" s="1714"/>
      <c r="E141" s="1701"/>
      <c r="F141" s="1708"/>
    </row>
    <row r="142">
      <c r="A142" s="1708"/>
      <c r="B142" s="1698" t="s">
        <v>10891</v>
      </c>
      <c r="C142" s="1701"/>
      <c r="D142" s="1714"/>
      <c r="E142" s="1701"/>
      <c r="F142" s="1708"/>
    </row>
    <row r="143">
      <c r="A143" s="1708"/>
      <c r="B143" s="1700" t="s">
        <v>10894</v>
      </c>
      <c r="C143" s="1701"/>
      <c r="D143" s="1714"/>
      <c r="E143" s="1701"/>
      <c r="F143" s="1708"/>
    </row>
    <row r="144">
      <c r="A144" s="1708"/>
      <c r="B144" s="1700" t="s">
        <v>10898</v>
      </c>
      <c r="C144" s="1701"/>
      <c r="D144" s="1714"/>
      <c r="E144" s="1701"/>
      <c r="F144" s="1708"/>
    </row>
    <row r="145">
      <c r="A145" s="1708"/>
      <c r="B145" s="1716" t="s">
        <v>10959</v>
      </c>
      <c r="C145" s="1687"/>
      <c r="D145" s="1687"/>
      <c r="E145" s="1687"/>
      <c r="F145" s="1688"/>
    </row>
    <row r="146">
      <c r="A146" s="1708"/>
      <c r="B146" s="1689"/>
      <c r="C146" s="1690"/>
      <c r="D146" s="1690"/>
      <c r="E146" s="1690"/>
      <c r="F146" s="1691"/>
    </row>
    <row r="147">
      <c r="A147" s="1708"/>
      <c r="B147" s="1693" t="s">
        <v>10884</v>
      </c>
      <c r="C147" s="1694" t="s">
        <v>10931</v>
      </c>
      <c r="D147" s="1712" t="s">
        <v>10960</v>
      </c>
      <c r="E147" s="1694" t="s">
        <v>10886</v>
      </c>
      <c r="F147" s="1713">
        <v>43862.0</v>
      </c>
    </row>
    <row r="148">
      <c r="A148" s="1708"/>
      <c r="B148" s="1697" t="s">
        <v>10888</v>
      </c>
      <c r="C148" s="1719" t="s">
        <v>5958</v>
      </c>
      <c r="D148" s="1712" t="s">
        <v>10961</v>
      </c>
      <c r="E148" s="1694" t="s">
        <v>10938</v>
      </c>
      <c r="F148" s="1713">
        <v>43630.0</v>
      </c>
    </row>
    <row r="149">
      <c r="A149" s="1708"/>
      <c r="B149" s="1698" t="s">
        <v>10891</v>
      </c>
      <c r="C149" s="1701"/>
      <c r="D149" s="1714"/>
      <c r="E149" s="1701"/>
      <c r="F149" s="1708"/>
    </row>
    <row r="150">
      <c r="A150" s="1708"/>
      <c r="B150" s="1700" t="s">
        <v>10894</v>
      </c>
      <c r="C150" s="1701"/>
      <c r="D150" s="1714"/>
      <c r="E150" s="1701"/>
      <c r="F150" s="1708"/>
    </row>
    <row r="151">
      <c r="A151" s="1708"/>
      <c r="B151" s="1700" t="s">
        <v>10898</v>
      </c>
      <c r="C151" s="1701"/>
      <c r="D151" s="1714"/>
      <c r="E151" s="1701"/>
      <c r="F151" s="1708"/>
    </row>
    <row r="152">
      <c r="A152" s="1708"/>
      <c r="B152" s="1715"/>
      <c r="C152" s="1701"/>
      <c r="D152" s="1714"/>
      <c r="E152" s="1701"/>
      <c r="F152" s="1708"/>
    </row>
    <row r="153">
      <c r="A153" s="1708"/>
      <c r="B153" s="1686" t="s">
        <v>10906</v>
      </c>
      <c r="C153" s="1687"/>
      <c r="D153" s="1687"/>
      <c r="E153" s="1687"/>
      <c r="F153" s="1688"/>
    </row>
    <row r="154">
      <c r="A154" s="1708"/>
      <c r="B154" s="1689"/>
      <c r="C154" s="1690"/>
      <c r="D154" s="1690"/>
      <c r="E154" s="1690"/>
      <c r="F154" s="1691"/>
    </row>
    <row r="155">
      <c r="A155" s="1708"/>
      <c r="B155" s="1716" t="s">
        <v>10962</v>
      </c>
      <c r="C155" s="1687"/>
      <c r="D155" s="1687"/>
      <c r="E155" s="1687"/>
      <c r="F155" s="1688"/>
    </row>
    <row r="156">
      <c r="A156" s="1708"/>
      <c r="B156" s="1689"/>
      <c r="C156" s="1690"/>
      <c r="D156" s="1690"/>
      <c r="E156" s="1690"/>
      <c r="F156" s="1691"/>
    </row>
    <row r="157">
      <c r="A157" s="1708"/>
      <c r="B157" s="1693" t="s">
        <v>10884</v>
      </c>
      <c r="C157" s="1694" t="s">
        <v>10919</v>
      </c>
      <c r="D157" s="1712" t="s">
        <v>10963</v>
      </c>
      <c r="E157" s="1694" t="s">
        <v>10896</v>
      </c>
      <c r="F157" s="1713">
        <v>43569.0</v>
      </c>
    </row>
    <row r="158">
      <c r="A158" s="1708"/>
      <c r="B158" s="1697" t="s">
        <v>10888</v>
      </c>
      <c r="C158" s="1701"/>
      <c r="D158" s="1714"/>
      <c r="E158" s="1701"/>
      <c r="F158" s="1708"/>
    </row>
    <row r="159">
      <c r="A159" s="1708"/>
      <c r="B159" s="1698" t="s">
        <v>10891</v>
      </c>
      <c r="C159" s="1701"/>
      <c r="D159" s="1714"/>
      <c r="E159" s="1701"/>
      <c r="F159" s="1708"/>
    </row>
    <row r="160">
      <c r="A160" s="1708"/>
      <c r="B160" s="1700" t="s">
        <v>10894</v>
      </c>
      <c r="C160" s="1701"/>
      <c r="D160" s="1714"/>
      <c r="E160" s="1701"/>
      <c r="F160" s="1708"/>
    </row>
    <row r="161">
      <c r="A161" s="1708"/>
      <c r="B161" s="1700" t="s">
        <v>10898</v>
      </c>
      <c r="C161" s="1701"/>
      <c r="D161" s="1714"/>
      <c r="E161" s="1701"/>
      <c r="F161" s="1708"/>
    </row>
    <row r="162">
      <c r="A162" s="1708"/>
      <c r="B162" s="1716" t="s">
        <v>10929</v>
      </c>
      <c r="C162" s="1687"/>
      <c r="D162" s="1687"/>
      <c r="E162" s="1687"/>
      <c r="F162" s="1688"/>
    </row>
    <row r="163">
      <c r="A163" s="1708"/>
      <c r="B163" s="1689"/>
      <c r="C163" s="1690"/>
      <c r="D163" s="1690"/>
      <c r="E163" s="1690"/>
      <c r="F163" s="1691"/>
    </row>
    <row r="164">
      <c r="A164" s="1708"/>
      <c r="B164" s="1693" t="s">
        <v>10884</v>
      </c>
      <c r="C164" s="1694" t="s">
        <v>10919</v>
      </c>
      <c r="D164" s="1712" t="s">
        <v>10964</v>
      </c>
      <c r="E164" s="1694" t="s">
        <v>10896</v>
      </c>
      <c r="F164" s="1713">
        <v>43835.0</v>
      </c>
    </row>
    <row r="165">
      <c r="A165" s="1708"/>
      <c r="B165" s="1697" t="s">
        <v>10888</v>
      </c>
      <c r="C165" s="1694" t="s">
        <v>10965</v>
      </c>
      <c r="D165" s="1712" t="s">
        <v>10966</v>
      </c>
      <c r="E165" s="1694" t="s">
        <v>10967</v>
      </c>
      <c r="F165" s="1713">
        <v>43003.0</v>
      </c>
    </row>
    <row r="166">
      <c r="A166" s="1708"/>
      <c r="B166" s="1698" t="s">
        <v>10891</v>
      </c>
      <c r="C166" s="1701"/>
      <c r="D166" s="1714"/>
      <c r="E166" s="1701"/>
      <c r="F166" s="1708"/>
    </row>
    <row r="167">
      <c r="A167" s="1708"/>
      <c r="B167" s="1700" t="s">
        <v>10894</v>
      </c>
      <c r="C167" s="1701"/>
      <c r="D167" s="1714"/>
      <c r="E167" s="1701"/>
      <c r="F167" s="1708"/>
    </row>
    <row r="168">
      <c r="A168" s="1708"/>
      <c r="B168" s="1700" t="s">
        <v>10898</v>
      </c>
      <c r="C168" s="1701"/>
      <c r="D168" s="1714"/>
      <c r="E168" s="1701"/>
      <c r="F168" s="1708"/>
    </row>
    <row r="169">
      <c r="A169" s="1708"/>
      <c r="B169" s="1715"/>
      <c r="C169" s="1701"/>
      <c r="D169" s="1714"/>
      <c r="E169" s="1701"/>
      <c r="F169" s="1708"/>
    </row>
    <row r="170">
      <c r="A170" s="1708"/>
      <c r="B170" s="1686" t="s">
        <v>10908</v>
      </c>
      <c r="C170" s="1687"/>
      <c r="D170" s="1687"/>
      <c r="E170" s="1687"/>
      <c r="F170" s="1688"/>
    </row>
    <row r="171">
      <c r="A171" s="1708"/>
      <c r="B171" s="1689"/>
      <c r="C171" s="1690"/>
      <c r="D171" s="1690"/>
      <c r="E171" s="1690"/>
      <c r="F171" s="1691"/>
    </row>
    <row r="172">
      <c r="A172" s="1708"/>
      <c r="B172" s="1693" t="s">
        <v>10884</v>
      </c>
      <c r="C172" s="1694" t="s">
        <v>5132</v>
      </c>
      <c r="D172" s="1712" t="s">
        <v>10968</v>
      </c>
      <c r="E172" s="1694" t="s">
        <v>10896</v>
      </c>
      <c r="F172" s="1713">
        <v>44132.0</v>
      </c>
    </row>
    <row r="173">
      <c r="A173" s="1708"/>
      <c r="B173" s="1697" t="s">
        <v>10888</v>
      </c>
      <c r="C173" s="1701"/>
      <c r="D173" s="1714"/>
      <c r="E173" s="1701"/>
      <c r="F173" s="1708"/>
    </row>
    <row r="174">
      <c r="A174" s="1708"/>
      <c r="B174" s="1698" t="s">
        <v>10891</v>
      </c>
      <c r="C174" s="1701"/>
      <c r="D174" s="1714"/>
      <c r="E174" s="1701"/>
      <c r="F174" s="1708"/>
    </row>
    <row r="175">
      <c r="A175" s="1708"/>
      <c r="B175" s="1700" t="s">
        <v>10894</v>
      </c>
      <c r="C175" s="1701"/>
      <c r="D175" s="1714"/>
      <c r="E175" s="1701"/>
      <c r="F175" s="1708"/>
    </row>
    <row r="176">
      <c r="A176" s="1708"/>
      <c r="B176" s="1700" t="s">
        <v>10898</v>
      </c>
      <c r="C176" s="1701"/>
      <c r="D176" s="1714"/>
      <c r="E176" s="1701"/>
      <c r="F176" s="1708"/>
    </row>
    <row r="177">
      <c r="A177" s="1708"/>
      <c r="B177" s="1686" t="s">
        <v>10911</v>
      </c>
      <c r="C177" s="1687"/>
      <c r="D177" s="1687"/>
      <c r="E177" s="1687"/>
      <c r="F177" s="1688"/>
    </row>
    <row r="178">
      <c r="A178" s="1708"/>
      <c r="B178" s="1689"/>
      <c r="C178" s="1690"/>
      <c r="D178" s="1690"/>
      <c r="E178" s="1690"/>
      <c r="F178" s="1691"/>
    </row>
    <row r="179">
      <c r="A179" s="1708"/>
      <c r="B179" s="1693" t="s">
        <v>10884</v>
      </c>
      <c r="C179" s="1694" t="s">
        <v>5988</v>
      </c>
      <c r="D179" s="1712" t="s">
        <v>10969</v>
      </c>
      <c r="E179" s="1694" t="s">
        <v>10886</v>
      </c>
      <c r="F179" s="1713">
        <v>43741.0</v>
      </c>
    </row>
    <row r="180">
      <c r="A180" s="1708"/>
      <c r="B180" s="1697" t="s">
        <v>10888</v>
      </c>
      <c r="C180" s="1694" t="s">
        <v>10970</v>
      </c>
      <c r="D180" s="1712" t="s">
        <v>10971</v>
      </c>
      <c r="E180" s="1694" t="s">
        <v>10924</v>
      </c>
      <c r="F180" s="1713">
        <v>43748.0</v>
      </c>
    </row>
    <row r="181">
      <c r="A181" s="1708"/>
      <c r="B181" s="1698" t="s">
        <v>10891</v>
      </c>
      <c r="C181" s="1694" t="s">
        <v>2130</v>
      </c>
      <c r="D181" s="1712" t="s">
        <v>10972</v>
      </c>
      <c r="E181" s="1694" t="s">
        <v>10938</v>
      </c>
      <c r="F181" s="1713">
        <v>43729.0</v>
      </c>
    </row>
    <row r="182">
      <c r="A182" s="1708"/>
      <c r="B182" s="1700" t="s">
        <v>10894</v>
      </c>
      <c r="C182" s="1717" t="s">
        <v>431</v>
      </c>
      <c r="D182" s="1712" t="s">
        <v>10973</v>
      </c>
      <c r="E182" s="1694" t="s">
        <v>10886</v>
      </c>
      <c r="F182" s="1713">
        <v>44470.0</v>
      </c>
    </row>
    <row r="183">
      <c r="A183" s="1708"/>
      <c r="B183" s="1700" t="s">
        <v>10898</v>
      </c>
      <c r="C183" s="1694" t="s">
        <v>5132</v>
      </c>
      <c r="D183" s="1712" t="s">
        <v>10974</v>
      </c>
      <c r="E183" s="1694" t="s">
        <v>10896</v>
      </c>
      <c r="F183" s="1713">
        <v>44020.0</v>
      </c>
    </row>
    <row r="184">
      <c r="A184" s="1708"/>
      <c r="B184" s="1715"/>
      <c r="C184" s="1701"/>
      <c r="D184" s="1714"/>
      <c r="E184" s="1701"/>
      <c r="F184" s="1708"/>
    </row>
    <row r="185">
      <c r="A185" s="1708"/>
      <c r="B185" s="1715"/>
      <c r="C185" s="1701"/>
      <c r="D185" s="1714"/>
      <c r="E185" s="1701"/>
      <c r="F185" s="1708"/>
    </row>
    <row r="186">
      <c r="A186" s="1708"/>
      <c r="B186" s="1686" t="s">
        <v>10914</v>
      </c>
      <c r="C186" s="1687"/>
      <c r="D186" s="1687"/>
      <c r="E186" s="1687"/>
      <c r="F186" s="1688"/>
    </row>
    <row r="187">
      <c r="A187" s="1708"/>
      <c r="B187" s="1689"/>
      <c r="C187" s="1690"/>
      <c r="D187" s="1690"/>
      <c r="E187" s="1690"/>
      <c r="F187" s="1691"/>
    </row>
    <row r="188">
      <c r="A188" s="1708"/>
      <c r="B188" s="1693" t="s">
        <v>10884</v>
      </c>
      <c r="C188" s="1717" t="s">
        <v>1411</v>
      </c>
      <c r="D188" s="1712" t="s">
        <v>10975</v>
      </c>
      <c r="E188" s="1694" t="s">
        <v>10896</v>
      </c>
      <c r="F188" s="1713">
        <v>43600.0</v>
      </c>
    </row>
    <row r="189">
      <c r="A189" s="1708"/>
      <c r="B189" s="1697" t="s">
        <v>10888</v>
      </c>
      <c r="C189" s="1694" t="s">
        <v>10976</v>
      </c>
      <c r="D189" s="1712" t="s">
        <v>10977</v>
      </c>
      <c r="E189" s="1694" t="s">
        <v>10886</v>
      </c>
      <c r="F189" s="1713">
        <v>43723.0</v>
      </c>
    </row>
    <row r="190">
      <c r="A190" s="1708"/>
      <c r="B190" s="1698" t="s">
        <v>10891</v>
      </c>
      <c r="C190" s="1694" t="s">
        <v>7627</v>
      </c>
      <c r="D190" s="1712" t="s">
        <v>10978</v>
      </c>
      <c r="E190" s="1694" t="s">
        <v>10886</v>
      </c>
      <c r="F190" s="1713">
        <v>43951.0</v>
      </c>
    </row>
    <row r="191">
      <c r="A191" s="1708"/>
      <c r="B191" s="1700" t="s">
        <v>10894</v>
      </c>
      <c r="C191" s="1701"/>
      <c r="D191" s="1714"/>
      <c r="E191" s="1701"/>
      <c r="F191" s="1708"/>
    </row>
    <row r="192">
      <c r="A192" s="1708"/>
      <c r="B192" s="1700" t="s">
        <v>10898</v>
      </c>
      <c r="C192" s="1701"/>
      <c r="D192" s="1714"/>
      <c r="E192" s="1701"/>
      <c r="F192" s="1708"/>
    </row>
    <row r="193">
      <c r="A193" s="1708"/>
      <c r="B193" s="1715"/>
      <c r="C193" s="1701"/>
      <c r="D193" s="1714"/>
      <c r="E193" s="1701"/>
      <c r="F193" s="1708"/>
    </row>
    <row r="194">
      <c r="A194" s="1708"/>
      <c r="B194" s="1715"/>
      <c r="C194" s="1701"/>
      <c r="D194" s="1714"/>
      <c r="E194" s="1701"/>
      <c r="F194" s="1708"/>
    </row>
    <row r="195">
      <c r="A195" s="1708"/>
      <c r="B195" s="1715"/>
      <c r="C195" s="1701"/>
      <c r="D195" s="1714"/>
      <c r="E195" s="1701"/>
      <c r="F195" s="1708"/>
    </row>
    <row r="196">
      <c r="A196" s="1708"/>
      <c r="B196" s="1686" t="s">
        <v>10979</v>
      </c>
      <c r="C196" s="1687"/>
      <c r="D196" s="1687"/>
      <c r="E196" s="1687"/>
      <c r="F196" s="1688"/>
    </row>
    <row r="197">
      <c r="A197" s="1708"/>
      <c r="B197" s="1689"/>
      <c r="C197" s="1690"/>
      <c r="D197" s="1690"/>
      <c r="E197" s="1690"/>
      <c r="F197" s="1691"/>
    </row>
    <row r="198">
      <c r="A198" s="1708"/>
      <c r="B198" s="1716" t="s">
        <v>10980</v>
      </c>
      <c r="C198" s="1687"/>
      <c r="D198" s="1687"/>
      <c r="E198" s="1687"/>
      <c r="F198" s="1688"/>
    </row>
    <row r="199">
      <c r="A199" s="1708"/>
      <c r="B199" s="1689"/>
      <c r="C199" s="1690"/>
      <c r="D199" s="1690"/>
      <c r="E199" s="1690"/>
      <c r="F199" s="1691"/>
    </row>
    <row r="200">
      <c r="A200" s="1708"/>
      <c r="B200" s="1693" t="s">
        <v>10884</v>
      </c>
      <c r="C200" s="1694" t="s">
        <v>10981</v>
      </c>
      <c r="D200" s="1712" t="s">
        <v>10982</v>
      </c>
      <c r="E200" s="1694" t="s">
        <v>10886</v>
      </c>
      <c r="F200" s="1713">
        <v>44460.0</v>
      </c>
    </row>
    <row r="201">
      <c r="A201" s="1708"/>
      <c r="B201" s="1697" t="s">
        <v>10888</v>
      </c>
      <c r="C201" s="1694" t="s">
        <v>10970</v>
      </c>
      <c r="D201" s="1712" t="s">
        <v>10983</v>
      </c>
      <c r="E201" s="1694" t="s">
        <v>10924</v>
      </c>
      <c r="F201" s="1713">
        <v>44063.0</v>
      </c>
    </row>
    <row r="202">
      <c r="A202" s="1708"/>
      <c r="B202" s="1698" t="s">
        <v>10891</v>
      </c>
      <c r="C202" s="1701"/>
      <c r="D202" s="1714"/>
      <c r="E202" s="1701"/>
      <c r="F202" s="1708"/>
    </row>
    <row r="203">
      <c r="A203" s="1708"/>
      <c r="B203" s="1700" t="s">
        <v>10894</v>
      </c>
      <c r="C203" s="1701"/>
      <c r="D203" s="1714"/>
      <c r="E203" s="1701"/>
      <c r="F203" s="1708"/>
    </row>
    <row r="204">
      <c r="A204" s="1708"/>
      <c r="B204" s="1700" t="s">
        <v>10898</v>
      </c>
      <c r="C204" s="1701"/>
      <c r="D204" s="1714"/>
      <c r="E204" s="1701"/>
      <c r="F204" s="1708"/>
    </row>
    <row r="205">
      <c r="A205" s="1708"/>
      <c r="B205" s="1716" t="s">
        <v>10899</v>
      </c>
      <c r="C205" s="1687"/>
      <c r="D205" s="1687"/>
      <c r="E205" s="1687"/>
      <c r="F205" s="1688"/>
    </row>
    <row r="206">
      <c r="A206" s="1708"/>
      <c r="B206" s="1689"/>
      <c r="C206" s="1690"/>
      <c r="D206" s="1690"/>
      <c r="E206" s="1690"/>
      <c r="F206" s="1691"/>
    </row>
    <row r="207">
      <c r="A207" s="1708"/>
      <c r="B207" s="1693" t="s">
        <v>10884</v>
      </c>
      <c r="C207" s="1694" t="s">
        <v>8211</v>
      </c>
      <c r="D207" s="1712" t="s">
        <v>10984</v>
      </c>
      <c r="E207" s="1694" t="s">
        <v>10924</v>
      </c>
      <c r="F207" s="1713">
        <v>44069.0</v>
      </c>
    </row>
    <row r="208">
      <c r="A208" s="1708"/>
      <c r="B208" s="1697" t="s">
        <v>10888</v>
      </c>
      <c r="C208" s="1701"/>
      <c r="D208" s="1714"/>
      <c r="E208" s="1701"/>
      <c r="F208" s="1708"/>
    </row>
    <row r="209">
      <c r="A209" s="1708"/>
      <c r="B209" s="1698" t="s">
        <v>10891</v>
      </c>
      <c r="C209" s="1701"/>
      <c r="D209" s="1714"/>
      <c r="E209" s="1701"/>
      <c r="F209" s="1708"/>
    </row>
    <row r="210">
      <c r="A210" s="1708"/>
      <c r="B210" s="1700" t="s">
        <v>10894</v>
      </c>
      <c r="C210" s="1701"/>
      <c r="D210" s="1714"/>
      <c r="E210" s="1701"/>
      <c r="F210" s="1708"/>
    </row>
    <row r="211">
      <c r="A211" s="1708"/>
      <c r="B211" s="1700" t="s">
        <v>10898</v>
      </c>
      <c r="C211" s="1701"/>
      <c r="D211" s="1714"/>
      <c r="E211" s="1701"/>
      <c r="F211" s="1708"/>
    </row>
    <row r="212">
      <c r="A212" s="1708"/>
      <c r="B212" s="1715"/>
      <c r="C212" s="1701"/>
      <c r="D212" s="1714"/>
      <c r="E212" s="1701"/>
      <c r="F212" s="1708"/>
    </row>
    <row r="213">
      <c r="A213" s="1708"/>
      <c r="B213" s="1686" t="s">
        <v>10916</v>
      </c>
      <c r="C213" s="1687"/>
      <c r="D213" s="1687"/>
      <c r="E213" s="1687"/>
      <c r="F213" s="1688"/>
    </row>
    <row r="214">
      <c r="A214" s="1708"/>
      <c r="B214" s="1689"/>
      <c r="C214" s="1690"/>
      <c r="D214" s="1690"/>
      <c r="E214" s="1690"/>
      <c r="F214" s="1691"/>
    </row>
    <row r="215">
      <c r="A215" s="1708"/>
      <c r="B215" s="1693" t="s">
        <v>10884</v>
      </c>
      <c r="C215" s="1694" t="s">
        <v>4082</v>
      </c>
      <c r="D215" s="1712" t="s">
        <v>10985</v>
      </c>
      <c r="E215" s="1694" t="s">
        <v>10886</v>
      </c>
      <c r="F215" s="1713">
        <v>43514.0</v>
      </c>
    </row>
    <row r="216">
      <c r="A216" s="1708"/>
      <c r="B216" s="1697" t="s">
        <v>10888</v>
      </c>
      <c r="C216" s="1717" t="s">
        <v>431</v>
      </c>
      <c r="D216" s="1712" t="s">
        <v>10986</v>
      </c>
      <c r="E216" s="1694" t="s">
        <v>10886</v>
      </c>
      <c r="F216" s="1713">
        <v>43402.0</v>
      </c>
    </row>
    <row r="217">
      <c r="A217" s="1708"/>
      <c r="B217" s="1698" t="s">
        <v>10891</v>
      </c>
      <c r="C217" s="1694" t="s">
        <v>10970</v>
      </c>
      <c r="D217" s="1712" t="s">
        <v>10987</v>
      </c>
      <c r="E217" s="1694" t="s">
        <v>10924</v>
      </c>
      <c r="F217" s="1713">
        <v>43390.0</v>
      </c>
    </row>
    <row r="218">
      <c r="A218" s="1708"/>
      <c r="B218" s="1700" t="s">
        <v>10894</v>
      </c>
      <c r="C218" s="1694" t="s">
        <v>10912</v>
      </c>
      <c r="D218" s="1712" t="s">
        <v>10988</v>
      </c>
      <c r="E218" s="1694" t="s">
        <v>10896</v>
      </c>
      <c r="F218" s="1713">
        <v>44135.0</v>
      </c>
    </row>
    <row r="219">
      <c r="A219" s="1708"/>
      <c r="B219" s="1700" t="s">
        <v>10898</v>
      </c>
      <c r="C219" s="1701"/>
      <c r="D219" s="1714"/>
      <c r="E219" s="1701"/>
      <c r="F219" s="1708"/>
    </row>
    <row r="220">
      <c r="A220" s="1708"/>
      <c r="B220" s="1720"/>
      <c r="C220" s="1701"/>
      <c r="D220" s="1714"/>
      <c r="E220" s="1701"/>
      <c r="F220" s="1708"/>
    </row>
    <row r="221">
      <c r="A221" s="1708"/>
      <c r="B221" s="1686" t="s">
        <v>10917</v>
      </c>
      <c r="C221" s="1687"/>
      <c r="D221" s="1687"/>
      <c r="E221" s="1687"/>
      <c r="F221" s="1688"/>
    </row>
    <row r="222">
      <c r="A222" s="1721" t="s">
        <v>10989</v>
      </c>
      <c r="B222" s="1689"/>
      <c r="C222" s="1690"/>
      <c r="D222" s="1690"/>
      <c r="E222" s="1690"/>
      <c r="F222" s="1691"/>
    </row>
    <row r="223">
      <c r="A223" s="1721" t="s">
        <v>10990</v>
      </c>
      <c r="B223" s="1693" t="s">
        <v>10884</v>
      </c>
      <c r="C223" s="1694" t="s">
        <v>982</v>
      </c>
      <c r="D223" s="1722">
        <v>0.06525462962962963</v>
      </c>
      <c r="E223" s="1694" t="s">
        <v>10896</v>
      </c>
      <c r="F223" s="1696">
        <v>44652.0</v>
      </c>
    </row>
    <row r="224">
      <c r="A224" s="1723"/>
      <c r="B224" s="1697" t="s">
        <v>10888</v>
      </c>
      <c r="C224" s="1694" t="s">
        <v>3960</v>
      </c>
      <c r="D224" s="1722">
        <v>0.06892361111111112</v>
      </c>
      <c r="E224" s="1694" t="s">
        <v>10896</v>
      </c>
      <c r="F224" s="1696">
        <v>44652.0</v>
      </c>
    </row>
    <row r="225">
      <c r="A225" s="1723"/>
      <c r="B225" s="1698" t="s">
        <v>10891</v>
      </c>
      <c r="C225" s="1707" t="s">
        <v>5259</v>
      </c>
      <c r="D225" s="1724">
        <v>0.07195601851851852</v>
      </c>
      <c r="E225" s="1707" t="s">
        <v>10896</v>
      </c>
      <c r="F225" s="1713">
        <v>44652.0</v>
      </c>
    </row>
    <row r="226">
      <c r="A226" s="1723"/>
      <c r="B226" s="1700" t="s">
        <v>10894</v>
      </c>
      <c r="C226" s="1701" t="s">
        <v>10991</v>
      </c>
      <c r="D226" s="1725">
        <v>0.07211805555555556</v>
      </c>
      <c r="E226" s="1726" t="s">
        <v>10992</v>
      </c>
      <c r="F226" s="1713">
        <v>44652.0</v>
      </c>
    </row>
    <row r="227">
      <c r="A227" s="1723"/>
      <c r="B227" s="1700" t="s">
        <v>10898</v>
      </c>
      <c r="C227" s="1701"/>
      <c r="D227" s="1701"/>
      <c r="E227" s="1701"/>
      <c r="F227" s="1701"/>
    </row>
    <row r="228">
      <c r="A228" s="1723"/>
      <c r="B228" s="1727"/>
      <c r="C228" s="1701"/>
      <c r="D228" s="1701"/>
      <c r="E228" s="1701"/>
      <c r="F228" s="1701"/>
    </row>
    <row r="229">
      <c r="A229" s="1728" t="s">
        <v>10918</v>
      </c>
      <c r="B229" s="1686" t="s">
        <v>10918</v>
      </c>
      <c r="C229" s="1687"/>
      <c r="D229" s="1687"/>
      <c r="E229" s="1687"/>
      <c r="F229" s="1688"/>
    </row>
    <row r="230">
      <c r="A230" s="1723"/>
      <c r="B230" s="1689"/>
      <c r="C230" s="1690"/>
      <c r="D230" s="1690"/>
      <c r="E230" s="1690"/>
      <c r="F230" s="1691"/>
    </row>
    <row r="231">
      <c r="A231" s="1723"/>
      <c r="B231" s="1693" t="s">
        <v>10884</v>
      </c>
      <c r="C231" s="1694" t="s">
        <v>2409</v>
      </c>
      <c r="D231" s="1729" t="s">
        <v>10993</v>
      </c>
      <c r="E231" s="1694" t="s">
        <v>10886</v>
      </c>
      <c r="F231" s="1696">
        <v>45152.0</v>
      </c>
    </row>
    <row r="232">
      <c r="A232" s="1723"/>
      <c r="B232" s="1697" t="s">
        <v>10888</v>
      </c>
      <c r="C232" s="1694" t="s">
        <v>4082</v>
      </c>
      <c r="D232" s="1729" t="s">
        <v>10994</v>
      </c>
      <c r="E232" s="1694" t="s">
        <v>10886</v>
      </c>
      <c r="F232" s="1696">
        <v>44866.0</v>
      </c>
    </row>
    <row r="233">
      <c r="A233" s="1723"/>
      <c r="B233" s="1698" t="s">
        <v>10891</v>
      </c>
      <c r="C233" s="1701"/>
      <c r="D233" s="1725"/>
      <c r="E233" s="1726"/>
      <c r="F233" s="1713"/>
    </row>
    <row r="234">
      <c r="A234" s="1723"/>
      <c r="B234" s="1700" t="s">
        <v>10894</v>
      </c>
      <c r="C234" s="1701"/>
      <c r="D234" s="1725"/>
      <c r="E234" s="1726"/>
      <c r="F234" s="1713"/>
    </row>
    <row r="235">
      <c r="A235" s="1723"/>
      <c r="B235" s="1700" t="s">
        <v>10898</v>
      </c>
      <c r="C235" s="1701"/>
      <c r="D235" s="1701"/>
      <c r="E235" s="1701"/>
      <c r="F235" s="1701"/>
    </row>
    <row r="236">
      <c r="A236" s="1723"/>
      <c r="B236" s="1727"/>
      <c r="C236" s="1701"/>
      <c r="D236" s="1701"/>
      <c r="E236" s="1701"/>
      <c r="F236" s="1701"/>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