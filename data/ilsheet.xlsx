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<sst xmlns="http://schemas.openxmlformats.org/spreadsheetml/2006/main" count="28363" uniqueCount="11917">
  <si>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</si>
  <si>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</si>
  <si>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</si>
  <si>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</si>
  <si>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</si>
  <si>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</si>
  <si>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</si>
  <si>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</si>
  <si>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</si>
  <si>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</si>
  <si>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</si>
  <si>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</si>
  <si>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</si>
  <si>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</si>
  <si>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</si>
  <si>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</si>
  <si>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</si>
  <si>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</si>
  <si>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</si>
  <si>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</si>
  <si>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</si>
  <si>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</si>
  <si>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</si>
  <si>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</si>
  <si>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</si>
  <si>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</si>
  <si>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</si>
  <si>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</si>
  <si>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</si>
  <si>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</si>
  <si>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</si>
  <si>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</si>
  <si>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</si>
  <si>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</si>
  <si>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</si>
  <si>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</si>
  <si>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</si>
  <si>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</si>
  <si>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</si>
  <si>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</si>
  <si>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</si>
  <si>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</si>
  <si>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</si>
  <si>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</si>
  <si>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</si>
  <si>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</si>
  <si>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</si>
  <si>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</si>
  <si>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</si>
  <si>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</si>
  <si>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</si>
  <si>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</si>
  <si>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</si>
  <si>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</si>
  <si>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</si>
  <si>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</si>
  <si>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</si>
  <si>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</si>
  <si>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</si>
  <si>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</si>
  <si>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</si>
  <si>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</si>
  <si>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</si>
  <si>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</si>
  <si>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</si>
  <si>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</si>
  <si>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</si>
  <si>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</si>
  <si>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</si>
  <si>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</si>
  <si>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</si>
  <si>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</si>
  <si>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</si>
  <si>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</si>
  <si>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</si>
  <si>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</si>
  <si>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</si>
  <si>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</si>
  <si>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</si>
  <si>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</si>
  <si>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</si>
  <si>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</si>
  <si>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</si>
  <si>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</si>
  <si>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</si>
  <si>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</si>
  <si>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</si>
  <si>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</si>
  <si>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</si>
  <si>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</si>
  <si>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</si>
  <si>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</si>
  <si>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</si>
  <si>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</si>
  <si>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</si>
  <si>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</si>
  <si>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</si>
  <si>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</si>
  <si>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</si>
  <si>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</si>
  <si>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</si>
  <si>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</si>
  <si>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</si>
  <si>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</si>
  <si>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</si>
  <si>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</si>
  <si>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</si>
  <si>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</si>
  <si>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</si>
  <si>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</si>
  <si>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</si>
  <si>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</si>
  <si>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</si>
  <si>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</si>
  <si>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</si>
  <si>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</si>
  <si>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</si>
  <si>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</si>
  <si>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</si>
  <si>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</si>
  <si>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</si>
  <si>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</si>
  <si>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</si>
  <si>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</si>
  <si>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</si>
  <si>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</si>
  <si>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</si>
  <si>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</si>
  <si>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</si>
  <si>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</si>
  <si>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</si>
  <si>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</si>
  <si>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</si>
  <si>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</si>
  <si>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</si>
  <si>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</si>
  <si>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</si>
  <si>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</si>
  <si>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</si>
  <si>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</si>
  <si>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</si>
  <si>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</si>
  <si>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</si>
  <si>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</si>
  <si>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</si>
  <si>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</si>
  <si>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</si>
  <si>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</si>
  <si>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</si>
  <si>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</si>
  <si>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</si>
  <si>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</si>
  <si>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</si>
  <si>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</si>
  <si>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</si>
  <si>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</si>
  <si>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</si>
  <si>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</si>
  <si>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</si>
  <si>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</si>
  <si>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</si>
  <si>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</si>
  <si>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</si>
  <si>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</si>
  <si>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</si>
  <si>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</si>
  <si>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</si>
  <si>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</si>
  <si>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</si>
  <si>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</si>
  <si>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</si>
  <si>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</si>
  <si>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</si>
  <si>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</si>
  <si>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</si>
  <si>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</si>
  <si>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</si>
  <si>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</si>
  <si>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</si>
  <si>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</si>
  <si>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</si>
  <si>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</si>
  <si>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</si>
  <si>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</si>
  <si>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</si>
  <si>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</si>
  <si>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</si>
  <si>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</si>
  <si>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</si>
  <si>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</si>
  <si>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</si>
  <si>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</si>
  <si>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</si>
  <si>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</si>
  <si>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</si>
  <si>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</si>
  <si>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</si>
  <si>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</si>
  <si>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</si>
  <si>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</si>
  <si>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</si>
  <si>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</si>
  <si>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</si>
  <si>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</si>
  <si>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</si>
  <si>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</si>
  <si>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</si>
  <si>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</si>
  <si>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</si>
  <si>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</si>
  <si>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</si>
  <si>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</si>
  <si>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</si>
  <si>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</si>
  <si>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</si>
  <si>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</si>
  <si>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</si>
  <si>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</si>
  <si>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</si>
  <si>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</si>
  <si>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</si>
  <si>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</si>
  <si>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</si>
  <si>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</si>
  <si>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</si>
  <si>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</si>
  <si>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</si>
  <si>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</si>
  <si>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</si>
  <si>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</si>
  <si>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</si>
  <si>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</si>
  <si>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</si>
  <si>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</si>
  <si>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</si>
  <si>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</si>
  <si>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</si>
  <si>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</si>
  <si>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</si>
  <si>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</si>
  <si>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</si>
  <si>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</si>
  <si>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</si>
  <si>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</si>
  <si>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</si>
  <si>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</si>
  <si>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</si>
  <si>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</si>
  <si>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</si>
  <si>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</si>
  <si>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</si>
  <si>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</si>
  <si>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</si>
  <si>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</si>
  <si>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</si>
  <si>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</si>
  <si>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</si>
  <si>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</si>
  <si>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</si>
  <si>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</si>
  <si>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</si>
  <si>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</si>
  <si>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</si>
  <si>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</si>
  <si>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</si>
  <si>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</si>
  <si>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</si>
  <si>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</si>
  <si>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</si>
  <si>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</si>
  <si>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</si>
  <si>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</si>
  <si>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</si>
  <si>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</si>
  <si>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</si>
  <si>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</si>
  <si>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</si>
  <si>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</si>
  <si>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</si>
  <si>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</si>
  <si>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</si>
  <si>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</si>
  <si>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</si>
  <si>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</si>
  <si>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</si>
  <si>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</si>
  <si>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</si>
  <si>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</si>
  <si>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</si>
  <si>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</si>
  <si>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</si>
  <si>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</si>
  <si>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</si>
  <si>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</si>
  <si>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</si>
  <si>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</si>
  <si>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</si>
  <si>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</si>
  <si>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</si>
  <si>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</si>
  <si>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</si>
  <si>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</si>
  <si>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</si>
  <si>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</si>
  <si>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</si>
  <si>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</si>
  <si>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</si>
  <si>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</si>
  <si>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</si>
  <si>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</si>
  <si>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</si>
  <si>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</si>
  <si>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</si>
  <si>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</si>
  <si>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</si>
  <si>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</si>
  <si>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</si>
  <si>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</si>
  <si>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</si>
  <si>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</si>
  <si>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</si>
  <si>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</si>
  <si>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</si>
  <si>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</si>
  <si>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</si>
  <si>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</si>
  <si>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</si>
  <si>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</si>
  <si>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</si>
  <si>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</si>
  <si>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</si>
  <si>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</si>
  <si>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</si>
  <si>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</si>
  <si>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</si>
  <si>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</si>
  <si>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</si>
  <si>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</si>
  <si>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</si>
  <si>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</si>
  <si>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</si>
  <si>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</si>
  <si>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</si>
  <si>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</si>
  <si>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</si>
  <si>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</si>
  <si>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</si>
  <si>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</si>
  <si>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</si>
  <si>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</si>
  <si>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</si>
  <si>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</si>
  <si>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</si>
  <si>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</si>
  <si>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</si>
  <si>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</si>
  <si>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</si>
  <si>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</si>
  <si>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</si>
  <si>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</si>
  <si>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</si>
  <si>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</si>
  <si>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</si>
  <si>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</si>
  <si>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</si>
  <si>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</si>
  <si>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</si>
  <si>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</si>
  <si>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</si>
  <si>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</si>
  <si>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</si>
  <si>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</si>
  <si>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</si>
  <si>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</si>
  <si>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</si>
  <si>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</si>
  <si>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</si>
  <si>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</si>
  <si>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</si>
  <si>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</si>
  <si>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</si>
  <si>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</si>
  <si>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</si>
  <si>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</si>
  <si>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</si>
  <si>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</si>
  <si>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</si>
  <si>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</si>
  <si>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</si>
  <si>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</si>
  <si>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</si>
  <si>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</si>
  <si>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</si>
  <si>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</si>
  <si>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</si>
  <si>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</si>
  <si>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</si>
  <si>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</si>
  <si>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</si>
  <si>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</si>
  <si>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</si>
  <si>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</si>
  <si>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</si>
  <si>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</si>
  <si>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</si>
  <si>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</si>
  <si>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</si>
  <si>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</si>
  <si>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</si>
  <si>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</si>
  <si>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</si>
  <si>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</si>
  <si>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</si>
  <si>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</si>
  <si>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</si>
  <si>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</si>
  <si>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</si>
  <si>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</si>
  <si>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</si>
  <si>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</si>
  <si>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</si>
  <si>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</si>
  <si>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</si>
  <si>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</si>
  <si>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</si>
  <si>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</si>
  <si>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</si>
  <si>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</si>
  <si>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</si>
  <si>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</si>
  <si>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</si>
  <si>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</si>
  <si>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</si>
  <si>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</si>
  <si>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</si>
  <si>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</si>
  <si>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</si>
  <si>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</si>
  <si>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</si>
  <si>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</si>
  <si>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</si>
  <si>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</si>
  <si>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</si>
  <si>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</si>
  <si>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</si>
  <si>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</si>
  <si>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</si>
  <si>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</si>
  <si>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</si>
  <si>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</si>
  <si>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</si>
  <si>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</si>
  <si>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</si>
  <si>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</si>
  <si>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</si>
  <si>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</si>
  <si>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</si>
  <si>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</si>
  <si>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</si>
  <si>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</si>
  <si>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</si>
  <si>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</si>
  <si>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</si>
  <si>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</si>
  <si>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</si>
  <si>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</si>
  <si>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</si>
  <si>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</si>
  <si>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</si>
  <si>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</si>
  <si>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</si>
  <si>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</si>
  <si>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</si>
  <si>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</si>
  <si>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</si>
  <si>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</si>
  <si>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</si>
  <si>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</si>
  <si>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</si>
  <si>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</si>
  <si>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</si>
  <si>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</si>
  <si>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</si>
  <si>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</si>
  <si>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</si>
  <si>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</si>
  <si>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</si>
  <si>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</si>
  <si>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</si>
  <si>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</si>
  <si>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</si>
  <si>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</si>
  <si>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</si>
  <si>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</si>
  <si>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</si>
  <si>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</si>
  <si>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</si>
  <si>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</si>
  <si>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</si>
  <si>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</si>
  <si>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</si>
  <si>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</si>
  <si>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</si>
  <si>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</si>
  <si>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</si>
  <si>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</si>
  <si>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</si>
  <si>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</si>
  <si>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</si>
  <si>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</si>
  <si>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</si>
  <si>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</si>
  <si>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</si>
  <si>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</si>
  <si>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</si>
  <si>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</si>
  <si>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</si>
  <si>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</si>
  <si>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</si>
  <si>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</si>
  <si>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</si>
  <si>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</si>
  <si>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</si>
  <si>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</si>
  <si>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</si>
  <si>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</si>
  <si>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</si>
  <si>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</si>
  <si>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</si>
  <si>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</si>
  <si>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</si>
  <si>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</si>
  <si>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</si>
  <si>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</si>
  <si>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</si>
  <si>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</si>
  <si>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</si>
  <si>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</si>
  <si>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</si>
  <si>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</si>
  <si>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</si>
  <si>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</si>
  <si>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</si>
  <si>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</si>
  <si>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</si>
  <si>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</si>
  <si>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</si>
  <si>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</si>
  <si>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</si>
  <si>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</si>
  <si>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</si>
  <si>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</si>
  <si>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</si>
  <si>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</si>
  <si>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</si>
  <si>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</si>
  <si>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</si>
  <si>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</si>
  <si>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</si>
  <si>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</si>
  <si>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</si>
  <si>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</si>
  <si>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</si>
  <si>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</si>
  <si>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</si>
  <si>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</si>
  <si>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</si>
  <si>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</si>
  <si>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</si>
  <si>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</si>
  <si>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</si>
  <si>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</si>
  <si>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</si>
  <si>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</si>
  <si>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</si>
  <si>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</si>
  <si>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</si>
  <si>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</si>
  <si>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</si>
  <si>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</si>
  <si>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</si>
  <si>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</si>
  <si>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</si>
  <si>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</si>
  <si>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</si>
  <si>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</si>
  <si>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</si>
  <si>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</si>
  <si>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</si>
  <si>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</si>
  <si>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</si>
  <si>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</si>
  <si>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</si>
  <si>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</si>
  <si>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</si>
  <si>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</si>
  <si>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</si>
  <si>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</si>
  <si>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</si>
  <si>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</si>
  <si>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</si>
  <si>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</si>
  <si>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</si>
  <si>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</si>
  <si>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</si>
  <si>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</si>
  <si>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</si>
  <si>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</si>
  <si>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</si>
  <si>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</si>
  <si>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</si>
  <si>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</si>
  <si>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</si>
  <si>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</si>
  <si>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</si>
  <si>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</si>
  <si>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</si>
  <si>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</si>
  <si>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</si>
  <si>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</si>
  <si>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</si>
  <si>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</si>
  <si>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</si>
  <si>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</si>
  <si>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</si>
  <si>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</si>
  <si>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</si>
  <si>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</si>
  <si>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</si>
  <si>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</si>
  <si>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</si>
  <si>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</si>
  <si>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</si>
  <si>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</si>
  <si>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</si>
  <si>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</si>
  <si>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</si>
  <si>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</si>
  <si>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</si>
  <si>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</si>
  <si>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</si>
  <si>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</si>
  <si>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</si>
  <si>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</si>
  <si>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</si>
  <si>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</si>
  <si>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</si>
  <si>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</si>
  <si>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</si>
  <si>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</si>
  <si>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</si>
  <si>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</si>
  <si>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</si>
  <si>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</si>
  <si>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</si>
  <si>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</si>
  <si>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</si>
  <si>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</si>
  <si>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</si>
  <si>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</si>
  <si>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</si>
  <si>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</si>
  <si>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</si>
  <si>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</si>
  <si>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</si>
  <si>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</si>
  <si>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</si>
  <si>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</si>
  <si>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</si>
  <si>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</si>
  <si>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</si>
  <si>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</si>
  <si>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</si>
  <si>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</si>
  <si>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</si>
  <si>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</si>
  <si>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</si>
  <si>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</si>
  <si>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</si>
  <si>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</si>
  <si>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</si>
  <si>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</si>
  <si>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</si>
  <si>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</si>
  <si>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</si>
  <si>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</si>
  <si>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</si>
  <si>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</si>
  <si>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</si>
  <si>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</si>
  <si>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</si>
  <si>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</si>
  <si>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</si>
  <si>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</si>
  <si>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</si>
  <si>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</si>
  <si>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</si>
  <si>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</si>
  <si>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</si>
  <si>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</si>
  <si>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</si>
  <si>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</si>
  <si>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</si>
  <si>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</si>
  <si>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</si>
  <si>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</si>
  <si>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</si>
  <si>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</si>
  <si>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</si>
  <si>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</si>
  <si>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</si>
  <si>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</si>
  <si>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</si>
  <si>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</si>
  <si>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</si>
  <si>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</si>
  <si>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</si>
  <si>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</si>
  <si>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</si>
  <si>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</si>
  <si>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</si>
  <si>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</si>
  <si>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</si>
  <si>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</si>
  <si>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</si>
  <si>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</si>
  <si>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</si>
  <si>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</si>
  <si>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</si>
  <si>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</si>
  <si>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</si>
  <si>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</si>
  <si>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</si>
  <si>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</si>
  <si>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</si>
  <si>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</si>
  <si>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</si>
  <si>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</si>
  <si>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</si>
  <si>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</si>
  <si>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</si>
  <si>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</si>
  <si>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</si>
  <si>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</si>
  <si>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</si>
  <si>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</si>
  <si>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</si>
  <si>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</si>
  <si>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</si>
  <si>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</si>
  <si>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</si>
  <si>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</si>
  <si>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</si>
  <si>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</si>
  <si>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</si>
  <si>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</si>
  <si>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</si>
  <si>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</si>
  <si>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</si>
  <si>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</si>
  <si>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</si>
  <si>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</si>
  <si>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</si>
  <si>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</si>
  <si>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</si>
  <si>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</si>
  <si>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</si>
  <si>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</si>
  <si>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</si>
  <si>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</si>
  <si>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</si>
  <si>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</si>
  <si>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</si>
  <si>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</si>
  <si>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</si>
  <si>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</si>
  <si>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</si>
  <si>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</si>
  <si>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</si>
  <si>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</si>
  <si>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</si>
  <si>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</si>
  <si>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</si>
  <si>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</si>
  <si>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</si>
  <si>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</si>
  <si>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</si>
  <si>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</si>
  <si>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</si>
  <si>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</si>
  <si>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</si>
  <si>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</si>
  <si>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</si>
  <si>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</si>
  <si>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</si>
  <si>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</si>
  <si>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</si>
  <si>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</si>
  <si>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</si>
  <si>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</si>
  <si>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</si>
  <si>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</si>
  <si>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</si>
  <si>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</si>
  <si>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</si>
  <si>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</si>
  <si>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</si>
  <si>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</si>
  <si>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</si>
  <si>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</si>
  <si>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</si>
  <si>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</si>
  <si>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</si>
  <si>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</si>
  <si>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</si>
  <si>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</si>
  <si>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</si>
  <si>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</si>
  <si>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</si>
  <si>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</si>
  <si>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</si>
  <si>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</si>
  <si>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</si>
  <si>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</si>
  <si>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</si>
  <si>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</si>
  <si>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</si>
  <si>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</si>
  <si>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</si>
  <si>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</si>
  <si>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</si>
  <si>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</si>
  <si>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</si>
  <si>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</si>
  <si>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</si>
  <si>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</si>
  <si>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</si>
  <si>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</si>
  <si>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</si>
  <si>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</si>
  <si>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</si>
  <si>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</si>
  <si>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</si>
  <si>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</si>
  <si>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</si>
  <si>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</si>
  <si>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</si>
  <si>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</si>
  <si>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</si>
  <si>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</si>
  <si>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</si>
  <si>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</si>
  <si>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</si>
  <si>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</si>
  <si>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</si>
  <si>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</si>
  <si>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</si>
  <si>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</si>
  <si>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</si>
  <si>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</si>
  <si>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</si>
  <si>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</si>
  <si>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</si>
  <si>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</si>
  <si>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</si>
  <si>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</si>
  <si>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</si>
  <si>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</si>
  <si>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</si>
  <si>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</si>
  <si>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</si>
  <si>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</si>
  <si>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</si>
  <si>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</si>
  <si>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</si>
  <si>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</si>
  <si>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</si>
  <si>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</si>
  <si>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</si>
  <si>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</si>
  <si>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</si>
  <si>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</si>
  <si>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</si>
  <si>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</si>
  <si>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</si>
  <si>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</si>
  <si>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</si>
  <si>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</si>
  <si>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</si>
  <si>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</si>
  <si>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</si>
  <si>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</si>
  <si>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</si>
  <si>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</si>
  <si>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</si>
  <si>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</si>
  <si>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</si>
  <si>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</si>
  <si>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</si>
  <si>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</si>
  <si>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</si>
  <si>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</si>
  <si>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</si>
  <si>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</si>
  <si>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</si>
  <si>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</si>
  <si>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</si>
  <si>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</si>
  <si>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</si>
  <si>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</si>
  <si>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</si>
  <si>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</si>
  <si>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</si>
  <si>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</si>
  <si>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</si>
  <si>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</si>
  <si>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</si>
  <si>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</si>
  <si>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</si>
  <si>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</si>
  <si>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</si>
  <si>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</si>
  <si>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</si>
  <si>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</si>
  <si>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</si>
  <si>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</si>
  <si>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</si>
  <si>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</si>
  <si>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</si>
  <si>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</si>
  <si>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</si>
  <si>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</si>
  <si>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</si>
  <si>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</si>
  <si>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</si>
  <si>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</si>
  <si>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</si>
  <si>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</si>
  <si>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</si>
  <si>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</si>
  <si>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</si>
  <si>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</si>
  <si>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</si>
  <si>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</si>
  <si>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</si>
  <si>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</si>
  <si>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</si>
  <si>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</si>
  <si>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</si>
  <si>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</si>
  <si>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</si>
  <si>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</si>
  <si>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</si>
  <si>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</si>
  <si>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</si>
  <si>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</si>
  <si>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</si>
  <si>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</si>
  <si>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</si>
  <si>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</si>
  <si>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</si>
  <si>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</si>
  <si>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</si>
  <si>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</si>
  <si>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</si>
  <si>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</si>
  <si>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</si>
  <si>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</si>
  <si>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</si>
  <si>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</si>
  <si>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</si>
  <si>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</si>
  <si>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</si>
  <si>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</si>
  <si>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</si>
  <si>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</si>
  <si>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</si>
  <si>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</si>
  <si>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</si>
  <si>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</si>
  <si>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</si>
  <si>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</si>
  <si>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</si>
  <si>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</si>
  <si>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</si>
  <si>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</si>
  <si>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</si>
  <si>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</si>
  <si>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</si>
  <si>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</si>
  <si>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</si>
  <si>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</si>
  <si>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</si>
  <si>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</si>
  <si>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</si>
  <si>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</si>
  <si>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</si>
  <si>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</si>
  <si>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</si>
  <si>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</si>
  <si>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</si>
  <si>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</si>
  <si>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</si>
  <si>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</si>
  <si>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</si>
  <si>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</si>
  <si>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</si>
  <si>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</si>
  <si>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</si>
  <si>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</si>
  <si>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</si>
  <si>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</si>
  <si>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</si>
  <si>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</si>
  <si>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</si>
  <si>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</si>
  <si>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</si>
  <si>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</si>
  <si>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</si>
  <si>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</si>
  <si>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</si>
  <si>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</si>
  <si>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</si>
  <si>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</si>
  <si>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</si>
  <si>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</si>
  <si>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</si>
  <si>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</si>
  <si>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</si>
  <si>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</si>
  <si>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</si>
  <si>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</si>
  <si>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</si>
  <si>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</si>
  <si>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</si>
  <si>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</si>
  <si>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</si>
  <si>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</si>
  <si>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</si>
  <si>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</si>
  <si>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</si>
  <si>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</si>
  <si>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</si>
  <si>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</si>
  <si>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</si>
  <si>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</si>
  <si>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</si>
  <si>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</si>
  <si>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</si>
  <si>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</si>
  <si>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</si>
  <si>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</si>
  <si>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</si>
  <si>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</si>
  <si>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</si>
  <si>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</si>
  <si>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</si>
  <si>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</si>
  <si>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</si>
  <si>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</si>
  <si>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</si>
  <si>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</si>
  <si>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</si>
  <si>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</si>
  <si>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</si>
  <si>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</si>
  <si>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</si>
  <si>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</si>
  <si>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</si>
  <si>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</si>
  <si>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</si>
  <si>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</si>
  <si>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</si>
  <si>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</si>
  <si>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</si>
  <si>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</si>
  <si>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</si>
  <si>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</si>
  <si>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</si>
  <si>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</si>
  <si>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</si>
  <si>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</si>
  <si>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</si>
  <si>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</si>
  <si>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</si>
  <si>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</si>
  <si>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</si>
  <si>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</si>
  <si>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</si>
  <si>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</si>
  <si>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</si>
  <si>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</si>
  <si>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</si>
  <si>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</si>
  <si>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</si>
  <si>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</si>
  <si>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</si>
  <si>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</si>
  <si>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</si>
  <si>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</si>
  <si>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</si>
  <si>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</si>
  <si>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</si>
  <si>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</si>
  <si>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</si>
  <si>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</si>
  <si>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</si>
  <si>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</si>
  <si>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</si>
  <si>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</si>
  <si>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</si>
  <si>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</si>
  <si>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</si>
  <si>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</si>
  <si>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</si>
  <si>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</si>
  <si>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</si>
  <si>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</si>
  <si>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</si>
  <si>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</si>
  <si>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</si>
  <si>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</si>
  <si>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</si>
  <si>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</si>
  <si>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</si>
  <si>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</si>
  <si>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</si>
  <si>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</si>
  <si>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</si>
  <si>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</si>
  <si>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</si>
  <si>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</si>
  <si>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</si>
  <si>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</si>
  <si>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</si>
  <si>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</si>
  <si>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</si>
  <si>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</si>
  <si>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</si>
  <si>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</si>
  <si>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</si>
  <si>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</si>
  <si>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</si>
  <si>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</si>
  <si>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</si>
  <si>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</si>
  <si>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</si>
  <si>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</si>
  <si>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</si>
  <si>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</si>
  <si>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</si>
  <si>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</si>
  <si>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</si>
  <si>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</si>
  <si>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</si>
  <si>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</si>
  <si>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</si>
  <si>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</si>
  <si>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</si>
  <si>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</si>
  <si>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</si>
  <si>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</si>
  <si>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</si>
  <si>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</si>
  <si>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</si>
  <si>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</si>
  <si>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</si>
  <si>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</si>
  <si>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</si>
  <si>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</si>
  <si>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</si>
  <si>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</si>
  <si>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</si>
  <si>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</si>
  <si>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</si>
  <si>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</si>
  <si>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</si>
  <si>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</si>
  <si>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</si>
  <si>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</si>
  <si>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</si>
  <si>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</si>
  <si>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</si>
  <si>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</si>
  <si>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</si>
  <si>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</si>
  <si>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</si>
  <si>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</si>
  <si>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</si>
  <si>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</si>
  <si>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</si>
  <si>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</si>
  <si>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</si>
  <si>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</si>
  <si>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</si>
  <si>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</si>
  <si>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</si>
  <si>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</si>
  <si>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</si>
  <si>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</si>
  <si>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</si>
  <si>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</si>
  <si>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</si>
  <si>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</si>
  <si>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</si>
  <si>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</si>
  <si>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</si>
  <si>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</si>
  <si>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</si>
  <si>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</si>
  <si>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</si>
  <si>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</si>
  <si>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</si>
  <si>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</si>
  <si>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</si>
  <si>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</si>
  <si>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</si>
  <si>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</si>
  <si>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</si>
  <si>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</si>
  <si>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</si>
  <si>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</si>
  <si>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</si>
  <si>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</si>
  <si>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</si>
  <si>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</si>
  <si>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</si>
  <si>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</si>
  <si>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</si>
  <si>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</si>
  <si>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</si>
  <si>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</si>
  <si>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</si>
  <si>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</si>
  <si>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</si>
  <si>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</si>
  <si>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</si>
  <si>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</si>
  <si>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</si>
  <si>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</si>
  <si>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</si>
  <si>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</si>
  <si>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</si>
  <si>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</si>
  <si>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</si>
  <si>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</si>
  <si>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</si>
  <si>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</si>
  <si>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</si>
  <si>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</si>
  <si>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</si>
  <si>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</si>
  <si>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</si>
  <si>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</si>
  <si>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</si>
  <si>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</si>
  <si>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</si>
  <si>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</si>
  <si>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</si>
  <si>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</si>
  <si>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</si>
  <si>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</si>
  <si>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</si>
  <si>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</si>
  <si>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</si>
  <si>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</si>
  <si>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</si>
  <si>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</si>
  <si>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</si>
  <si>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</si>
  <si>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</si>
  <si>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</si>
  <si>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</si>
  <si>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</si>
  <si>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</si>
  <si>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</si>
  <si>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</si>
  <si>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</si>
  <si>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</si>
  <si>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</si>
  <si>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</si>
  <si>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</si>
  <si>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</si>
  <si>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</si>
  <si>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</si>
  <si>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</si>
  <si>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</si>
  <si>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</si>
  <si>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</si>
  <si>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</si>
  <si>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</si>
  <si>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</si>
  <si>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</si>
  <si>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</si>
  <si>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</si>
  <si>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</si>
  <si>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</si>
  <si>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</si>
  <si>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</si>
  <si>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</si>
  <si>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</si>
  <si>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</si>
  <si>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</si>
  <si>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</si>
  <si>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</si>
  <si>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</si>
  <si>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</si>
  <si>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</si>
  <si>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</si>
  <si>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</si>
  <si>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</si>
  <si>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</si>
  <si>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</si>
  <si>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</si>
  <si>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</si>
  <si>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</si>
  <si>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</si>
  <si>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</si>
  <si>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</si>
  <si>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</si>
  <si>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</si>
  <si>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</si>
  <si>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</si>
  <si>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</si>
  <si>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</si>
  <si>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</si>
  <si>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</si>
  <si>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</si>
  <si>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</si>
  <si>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</si>
  <si>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</si>
  <si>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</si>
  <si>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</si>
  <si>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</si>
  <si>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</si>
  <si>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</si>
  <si>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</si>
  <si>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</si>
  <si>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</si>
  <si>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</si>
  <si>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</si>
  <si>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</si>
  <si>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</si>
  <si>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</si>
  <si>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</si>
  <si>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</si>
  <si>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</si>
  <si>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</si>
  <si>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</si>
  <si>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</si>
  <si>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</si>
  <si>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</si>
  <si>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</si>
  <si>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</si>
  <si>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</si>
  <si>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</si>
  <si>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</si>
  <si>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</si>
  <si>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</si>
  <si>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</si>
  <si>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</si>
  <si>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</si>
  <si>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</si>
  <si>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</si>
  <si>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</si>
  <si>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</si>
  <si>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</si>
  <si>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</si>
  <si>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</si>
  <si>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</si>
  <si>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</si>
  <si>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</si>
  <si>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</si>
  <si>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</si>
  <si>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</si>
  <si>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</si>
  <si>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</si>
  <si>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</si>
  <si>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</si>
  <si>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</si>
  <si>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</si>
  <si>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</si>
  <si>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</si>
  <si>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</si>
  <si>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</si>
  <si>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</si>
  <si>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</si>
  <si>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</si>
  <si>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</si>
  <si>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</si>
  <si>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</si>
  <si>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</si>
  <si>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</si>
  <si>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</si>
  <si>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</si>
  <si>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</si>
  <si>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</si>
  <si>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</si>
  <si>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</si>
  <si>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</si>
  <si>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</si>
  <si>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</si>
  <si>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</si>
  <si>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</si>
  <si>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</si>
  <si>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</si>
  <si>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</si>
  <si>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</si>
  <si>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</si>
  <si>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</si>
  <si>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</si>
  <si>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</si>
  <si>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</si>
  <si>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</si>
  <si>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</si>
  <si>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</si>
  <si>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</si>
  <si>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</si>
  <si>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</si>
  <si>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</si>
  <si>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</si>
  <si>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</si>
  <si>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</si>
  <si>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</si>
  <si>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</si>
  <si>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</si>
  <si>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</si>
  <si>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</si>
  <si>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</si>
  <si>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</si>
  <si>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</si>
  <si>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</si>
  <si>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</si>
  <si>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</si>
  <si>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</si>
  <si>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</si>
  <si>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</si>
  <si>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</si>
  <si>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</si>
  <si>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</si>
  <si>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</si>
  <si>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</si>
  <si>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</si>
  <si>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</si>
  <si>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</si>
  <si>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</si>
  <si>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</si>
  <si>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</si>
  <si>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</si>
  <si>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</si>
  <si>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</si>
  <si>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</si>
  <si>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</si>
  <si>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</si>
  <si>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</si>
  <si>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</si>
  <si>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</si>
  <si>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</si>
  <si>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</si>
  <si>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</si>
  <si>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</si>
  <si>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</si>
  <si>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</si>
  <si>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</si>
  <si>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</si>
  <si>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</si>
  <si>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</si>
  <si>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</si>
  <si>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</si>
  <si>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</si>
  <si>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</si>
  <si>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</si>
  <si>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</si>
  <si>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</si>
  <si>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</si>
  <si>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</si>
  <si>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</si>
  <si>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</si>
  <si>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</si>
  <si>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</si>
  <si>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</si>
  <si>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</si>
  <si>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</si>
  <si>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</si>
  <si>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</si>
  <si>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</si>
  <si>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</si>
  <si>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</si>
  <si>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</si>
  <si>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</si>
  <si>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</si>
  <si>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</si>
  <si>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</si>
  <si>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</si>
  <si>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</si>
  <si>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</si>
  <si>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</si>
  <si>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</si>
  <si>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</si>
  <si>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</si>
  <si>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</si>
  <si>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</si>
  <si>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</si>
  <si>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</si>
  <si>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</si>
  <si>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</si>
  <si>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</si>
  <si>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</si>
  <si>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</si>
  <si>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</si>
  <si>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</si>
  <si>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</si>
  <si>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</si>
  <si>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</si>
  <si>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</si>
  <si>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</si>
  <si>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</si>
  <si>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</si>
  <si>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</si>
  <si>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</si>
  <si>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</si>
  <si>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</si>
  <si>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</si>
  <si>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</si>
  <si>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</si>
  <si>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</si>
  <si>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</si>
  <si>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</si>
  <si>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</si>
  <si>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</si>
  <si>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</si>
  <si>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</si>
  <si>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</si>
  <si>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</si>
  <si>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</si>
  <si>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</si>
  <si>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</si>
  <si>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</si>
  <si>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</si>
  <si>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</si>
  <si>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</si>
  <si>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</si>
  <si>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</si>
  <si>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</si>
  <si>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</si>
  <si>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</si>
  <si>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</si>
  <si>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</si>
  <si>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</si>
  <si>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</si>
  <si>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</si>
  <si>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</si>
  <si>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</si>
  <si>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</si>
  <si>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</si>
  <si>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</si>
  <si>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</si>
  <si>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</si>
  <si>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</si>
  <si>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</si>
  <si>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</si>
  <si>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</si>
  <si>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</si>
  <si>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</si>
  <si>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</si>
  <si>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</si>
  <si>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</si>
  <si>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</si>
  <si>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</si>
  <si>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</si>
  <si>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</si>
  <si>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</si>
  <si>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</si>
  <si>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</si>
  <si>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</si>
  <si>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</si>
  <si>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</si>
  <si>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</si>
  <si>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</si>
  <si>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</si>
  <si>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</si>
  <si>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</si>
  <si>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</si>
  <si>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</si>
  <si>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</si>
  <si>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</si>
  <si>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</si>
  <si>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</si>
  <si>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</si>
  <si>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</si>
  <si>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</si>
  <si>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</si>
  <si>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</si>
  <si>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</si>
  <si>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</si>
  <si>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</si>
  <si>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</si>
  <si>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</si>
  <si>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</si>
  <si>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</si>
  <si>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</si>
  <si>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</si>
  <si>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</si>
  <si>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</si>
  <si>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</si>
  <si>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</si>
  <si>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</si>
  <si>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</si>
  <si>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</si>
  <si>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</si>
  <si>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</si>
  <si>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</si>
  <si>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</si>
  <si>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</si>
  <si>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</si>
  <si>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</si>
  <si>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</si>
  <si>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</si>
  <si>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</si>
  <si>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</si>
  <si>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</si>
  <si>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</si>
  <si>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</si>
  <si>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</si>
  <si>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</si>
  <si>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</si>
  <si>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</si>
  <si>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</si>
  <si>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</si>
  <si>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</si>
  <si>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</si>
  <si>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</si>
  <si>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</si>
  <si>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</si>
  <si>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</si>
  <si>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</si>
  <si>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</si>
  <si>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</si>
  <si>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</si>
  <si>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</si>
  <si>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</si>
  <si>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</si>
  <si>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</si>
  <si>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</si>
  <si>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</si>
  <si>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</si>
  <si>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</si>
  <si>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</si>
  <si>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</si>
  <si>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</si>
  <si>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</si>
  <si>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</si>
  <si>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</si>
  <si>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</si>
  <si>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</si>
  <si>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</si>
  <si>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</si>
  <si>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</si>
  <si>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</si>
  <si>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</si>
  <si>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</si>
  <si>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</si>
  <si>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</si>
  <si>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</si>
  <si>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</si>
  <si>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</si>
  <si>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</si>
  <si>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</si>
  <si>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</si>
  <si>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</si>
  <si>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</si>
  <si>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</si>
  <si>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</si>
  <si>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</si>
  <si>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</si>
  <si>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</si>
  <si>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</si>
  <si>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</si>
  <si>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</si>
  <si>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</si>
  <si>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</si>
  <si>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</si>
  <si>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</si>
  <si>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</si>
  <si>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</si>
  <si>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</si>
  <si>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</si>
  <si>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</si>
  <si>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</si>
  <si>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</si>
  <si>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</si>
  <si>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</si>
  <si>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</si>
  <si>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</si>
  <si>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</si>
  <si>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</si>
  <si>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</si>
  <si>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</si>
  <si>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</si>
  <si>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</si>
  <si>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</si>
  <si>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</si>
  <si>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</si>
  <si>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</si>
  <si>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</si>
  <si>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</si>
  <si>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</si>
  <si>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</si>
  <si>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</si>
  <si>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</si>
  <si>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</si>
  <si>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</si>
  <si>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</si>
  <si>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</si>
  <si>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</si>
  <si>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</si>
  <si>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</si>
  <si>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</si>
  <si>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</si>
  <si>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</si>
  <si>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</si>
  <si>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</si>
  <si>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</si>
  <si>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</si>
  <si>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</si>
  <si>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</si>
  <si>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</si>
  <si>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</si>
  <si>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</si>
  <si>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</si>
  <si>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</si>
  <si>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</si>
  <si>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</si>
  <si>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</si>
  <si>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</si>
  <si>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</si>
  <si>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</si>
  <si>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</si>
  <si>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</si>
  <si>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</si>
  <si>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</si>
  <si>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</si>
  <si>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</si>
  <si>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</si>
  <si>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</si>
  <si>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</si>
  <si>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</si>
  <si>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</si>
  <si>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</si>
  <si>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</si>
  <si>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</si>
  <si>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</si>
  <si>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</si>
  <si>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</si>
  <si>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</si>
  <si>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</si>
  <si>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</si>
  <si>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</si>
  <si>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</si>
  <si>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</si>
  <si>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</si>
  <si>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</si>
  <si>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</si>
  <si>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</si>
  <si>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</si>
  <si>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</si>
  <si>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</si>
  <si>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</si>
  <si>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</si>
  <si>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</si>
  <si>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</si>
  <si>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</si>
  <si>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</si>
  <si>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</si>
  <si>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</si>
  <si>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</si>
  <si>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</si>
  <si>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</si>
  <si>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</si>
  <si>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</si>
  <si>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</si>
  <si>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</si>
  <si>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</si>
  <si>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</si>
  <si>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</si>
  <si>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</si>
  <si>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</si>
  <si>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</si>
  <si>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</si>
  <si>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</si>
  <si>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</si>
  <si>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</si>
  <si>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</si>
  <si>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</si>
  <si>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</si>
  <si>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</si>
  <si>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</si>
  <si>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</si>
  <si>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</si>
  <si>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</si>
  <si>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</si>
  <si>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</si>
  <si>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</si>
  <si>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</si>
  <si>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</si>
  <si>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</si>
  <si>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</si>
  <si>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</si>
  <si>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</si>
  <si>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</si>
  <si>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</si>
  <si>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</si>
  <si>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</si>
  <si>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</si>
  <si>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</si>
  <si>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</si>
  <si>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</si>
  <si>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</si>
  <si>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</si>
  <si>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</si>
  <si>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</si>
  <si>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</si>
  <si>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</si>
  <si>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</si>
  <si>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</si>
  <si>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</si>
  <si>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</si>
  <si>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</si>
  <si>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</si>
  <si>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</si>
  <si>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</si>
  <si>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</si>
  <si>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</si>
  <si>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</si>
  <si>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</si>
  <si>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</si>
  <si>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</si>
  <si>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</si>
  <si>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</si>
  <si>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</si>
  <si>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</si>
  <si>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</si>
  <si>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</si>
  <si>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</si>
  <si>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</si>
  <si>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</si>
  <si>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</si>
  <si>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</si>
  <si>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</si>
  <si>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</si>
  <si>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</si>
  <si>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</si>
  <si>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</si>
  <si>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</si>
  <si>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</si>
  <si>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</si>
  <si>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</si>
  <si>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</si>
  <si>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</si>
  <si>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</si>
  <si>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</si>
  <si>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</si>
  <si>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</si>
  <si>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</si>
  <si>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</si>
  <si>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</si>
  <si>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</si>
  <si>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</si>
  <si>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</si>
  <si>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</si>
  <si>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</si>
  <si>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</si>
  <si>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</si>
  <si>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</si>
  <si>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</si>
  <si>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</si>
  <si>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</si>
  <si>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</si>
  <si>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</si>
  <si>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</si>
  <si>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7729</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</si>
  <si>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</si>
  <si>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</si>
  <si>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</si>
  <si>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</si>
  <si>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</si>
  <si>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</si>
  <si>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</si>
  <si>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</si>
  <si>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</si>
  <si>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</si>
  <si>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</si>
  <si>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</si>
  <si>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</si>
  <si>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</si>
  <si>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</si>
  <si>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</si>
  <si>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</si>
  <si>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</si>
  <si>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</si>
  <si>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</si>
  <si>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</si>
  <si>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</si>
  <si>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</si>
  <si>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</si>
  <si>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</si>
  <si>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</si>
  <si>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</si>
  <si>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</si>
  <si>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</si>
  <si>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</si>
  <si>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</si>
  <si>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</si>
  <si>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</si>
  <si>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</si>
  <si>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</si>
  <si>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</si>
  <si>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</si>
  <si>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</si>
  <si>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</si>
  <si>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</si>
  <si>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</si>
  <si>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</si>
  <si>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</si>
  <si>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</si>
  <si>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</si>
  <si>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</si>
  <si>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</si>
  <si>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</si>
  <si>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</si>
  <si>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</si>
  <si>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</si>
  <si>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</si>
  <si>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</si>
  <si>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</si>
  <si>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</si>
  <si>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</si>
  <si>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</si>
  <si>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</si>
  <si>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</si>
  <si>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</si>
  <si>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</si>
  <si>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</si>
  <si>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</si>
  <si>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</si>
  <si>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</si>
  <si>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</si>
  <si>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</si>
  <si>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</si>
  <si>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</si>
  <si>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</si>
  <si>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</si>
  <si>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</si>
  <si>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</si>
  <si>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</si>
  <si>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</si>
  <si>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</si>
  <si>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</si>
  <si>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</si>
  <si>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</si>
  <si>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</si>
  <si>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</si>
  <si>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</si>
  <si>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</si>
  <si>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</si>
  <si>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</si>
  <si>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</si>
  <si>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</si>
  <si>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</si>
  <si>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</si>
  <si>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</si>
  <si>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</si>
  <si>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</si>
  <si>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</si>
  <si>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</si>
  <si>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</si>
  <si>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</si>
  <si>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</si>
  <si>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</si>
  <si>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</si>
  <si>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</si>
  <si>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</si>
  <si>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</si>
  <si>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</si>
  <si>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</si>
  <si>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</si>
  <si>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</si>
  <si>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</si>
  <si>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</si>
  <si>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</si>
  <si>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</si>
  <si>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</si>
  <si>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</si>
  <si>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</si>
  <si>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</si>
  <si>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</si>
  <si>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</si>
  <si>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</si>
  <si>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</si>
  <si>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</si>
  <si>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</si>
  <si>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</si>
  <si>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</si>
  <si>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</si>
  <si>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</si>
  <si>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</si>
  <si>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</si>
  <si>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</si>
  <si>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</si>
  <si>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</si>
  <si>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</si>
  <si>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</si>
  <si>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</si>
  <si>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</si>
  <si>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</si>
  <si>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</si>
  <si>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</si>
  <si>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</si>
  <si>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</si>
  <si>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</si>
  <si>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</si>
  <si>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</si>
  <si>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</si>
  <si>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</si>
  <si>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</si>
  <si>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</si>
  <si>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</si>
  <si>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</si>
  <si>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</si>
  <si>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</si>
  <si>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</si>
  <si>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</si>
  <si>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</si>
  <si>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</si>
  <si>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</si>
  <si>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</si>
  <si>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</si>
  <si>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</si>
  <si>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</si>
  <si>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</si>
  <si>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</si>
  <si>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</si>
  <si>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</si>
  <si>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</si>
  <si>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</si>
  <si>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</si>
  <si>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</si>
  <si>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</si>
  <si>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</si>
  <si>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</si>
  <si>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</si>
  <si>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</si>
  <si>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</si>
  <si>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</si>
  <si>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</si>
  <si>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</si>
  <si>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</si>
  <si>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</si>
  <si>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</si>
  <si>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</si>
  <si>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</si>
  <si>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</si>
  <si>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</si>
  <si>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</si>
  <si>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</si>
  <si>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</si>
  <si>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</si>
  <si>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</si>
  <si>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</si>
  <si>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</si>
  <si>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</si>
  <si>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</si>
  <si>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</si>
  <si>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</si>
  <si>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</si>
  <si>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</si>
  <si>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</si>
  <si>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</si>
  <si>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</si>
  <si>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</si>
  <si>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</si>
  <si>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</si>
  <si>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</si>
  <si>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</si>
  <si>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</si>
  <si>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</si>
  <si>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</si>
  <si>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</si>
  <si>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</si>
  <si>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</si>
  <si>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</si>
  <si>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</si>
  <si>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</si>
  <si>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</si>
  <si>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</si>
  <si>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</si>
  <si>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</si>
  <si>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</si>
  <si>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</si>
  <si>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</si>
  <si>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</si>
  <si>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</si>
  <si>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</si>
  <si>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</si>
  <si>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</si>
  <si>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</si>
  <si>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</si>
  <si>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</si>
  <si>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</si>
  <si>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</si>
  <si>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</si>
  <si>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</si>
  <si>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</si>
  <si>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</si>
  <si>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</si>
  <si>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</si>
  <si>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</si>
  <si>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</si>
  <si>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</si>
  <si>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</si>
  <si>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</si>
  <si>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</si>
  <si>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</si>
  <si>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</si>
  <si>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</si>
  <si>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</si>
  <si>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</si>
  <si>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</si>
  <si>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</si>
  <si>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</si>
  <si>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</si>
  <si>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</si>
  <si>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</si>
  <si>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</si>
  <si>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</si>
  <si>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</si>
  <si>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</si>
  <si>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</si>
  <si>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</si>
  <si>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</si>
  <si>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</si>
  <si>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</si>
  <si>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</si>
  <si>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</si>
  <si>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</si>
  <si>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</si>
  <si>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</si>
  <si>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</si>
  <si>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</si>
  <si>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</si>
  <si>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</si>
  <si>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</si>
  <si>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</si>
  <si>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</si>
  <si>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</si>
  <si>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</si>
  <si>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</si>
  <si>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</si>
  <si>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</si>
  <si>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</si>
  <si>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</si>
  <si>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</si>
  <si>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</si>
  <si>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</si>
  <si>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</si>
  <si>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</si>
  <si>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</si>
  <si>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</si>
  <si>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</si>
  <si>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</si>
  <si>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</si>
  <si>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</si>
  <si>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</si>
  <si>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</si>
  <si>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</si>
  <si>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</si>
  <si>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</si>
  <si>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</si>
  <si>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</si>
  <si>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</si>
  <si>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</si>
  <si>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</si>
  <si>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</si>
  <si>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</si>
  <si>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</si>
  <si>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</si>
  <si>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</si>
  <si>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</si>
  <si>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</si>
  <si>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</si>
  <si>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</si>
  <si>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</si>
  <si>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</si>
  <si>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</si>
  <si>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</si>
  <si>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</si>
  <si>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</si>
  <si>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</si>
  <si>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</si>
  <si>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</si>
  <si>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</si>
  <si>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</si>
  <si>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</si>
  <si>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</si>
  <si>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</si>
  <si>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</si>
  <si>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</si>
  <si>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</si>
  <si>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</si>
  <si>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</si>
  <si>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</si>
  <si>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</si>
  <si>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</si>
  <si>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</si>
  <si>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</si>
  <si>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</si>
  <si>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</si>
  <si>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</si>
  <si>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</si>
  <si>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</si>
  <si>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</si>
  <si>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</si>
  <si>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</si>
  <si>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</si>
  <si>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</si>
  <si>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</si>
  <si>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</si>
  <si>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</si>
  <si>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</si>
  <si>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</si>
  <si>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</si>
  <si>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</si>
  <si>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</si>
  <si>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</si>
  <si>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</si>
  <si>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</si>
  <si>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</si>
  <si>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</si>
  <si>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</si>
  <si>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</si>
  <si>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</si>
  <si>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</si>
  <si>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</si>
  <si>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</si>
  <si>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</si>
  <si>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</si>
  <si>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</si>
  <si>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</si>
  <si>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</si>
  <si>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</si>
  <si>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</si>
  <si>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</si>
  <si>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</si>
  <si>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</si>
  <si>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</si>
  <si>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</si>
  <si>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</si>
  <si>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</si>
  <si>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</si>
  <si>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</si>
  <si>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</si>
  <si>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</si>
  <si>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</si>
  <si>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</si>
  <si>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</si>
  <si>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</si>
  <si>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</si>
  <si>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</si>
  <si>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</si>
  <si>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</si>
  <si>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</si>
  <si>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</si>
  <si>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</si>
  <si>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</si>
  <si>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</si>
  <si>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</si>
  <si>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</si>
  <si>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</si>
  <si>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</si>
  <si>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</si>
  <si>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</si>
  <si>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</si>
  <si>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</si>
  <si>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</si>
  <si>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</si>
  <si>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</si>
  <si>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</si>
  <si>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</si>
  <si>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</si>
  <si>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</si>
  <si>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</si>
  <si>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</si>
  <si>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</si>
  <si>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</si>
  <si>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</si>
  <si>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</si>
  <si>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</si>
  <si>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</si>
  <si>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</si>
  <si>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</si>
  <si>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</si>
  <si>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</si>
  <si>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</si>
  <si>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</si>
  <si>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</si>
  <si>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</si>
  <si>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</si>
  <si>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</si>
  <si>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</si>
  <si>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</si>
  <si>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</si>
  <si>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</si>
  <si>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</si>
  <si>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</si>
  <si>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</si>
  <si>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</si>
  <si>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</si>
  <si>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</si>
  <si>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</si>
  <si>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</si>
  <si>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</si>
  <si>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</si>
  <si>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</si>
  <si>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</si>
  <si>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</si>
  <si>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</si>
  <si>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</si>
  <si>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</si>
  <si>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</si>
  <si>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</si>
  <si>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</si>
  <si>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</si>
  <si>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</si>
  <si>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</si>
  <si>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</si>
  <si>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</si>
  <si>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</si>
  <si>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</si>
  <si>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</si>
  <si>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</si>
  <si>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</si>
  <si>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</si>
  <si>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</si>
  <si>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</si>
  <si>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</si>
  <si>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</si>
  <si>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</si>
  <si>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</si>
  <si>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</si>
  <si>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</si>
  <si>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</si>
  <si>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</si>
  <si>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</si>
  <si>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</si>
  <si>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</si>
  <si>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</si>
  <si>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</si>
  <si>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</si>
  <si>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</si>
  <si>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</si>
  <si>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</si>
  <si>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</si>
  <si>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</si>
  <si>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</si>
  <si>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</si>
  <si>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</si>
  <si>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</si>
  <si>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</si>
  <si>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</si>
  <si>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</si>
  <si>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</si>
  <si>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</si>
  <si>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</si>
  <si>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</si>
  <si>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</si>
  <si>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</si>
  <si>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</si>
  <si>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</si>
  <si>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</si>
  <si>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</si>
  <si>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</si>
  <si>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</si>
  <si>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</si>
  <si>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</si>
  <si>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</si>
  <si>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</si>
  <si>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</si>
  <si>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</si>
  <si>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</si>
  <si>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</si>
  <si>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</si>
  <si>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</si>
  <si>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</si>
  <si>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</si>
  <si>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</si>
  <si>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</si>
  <si>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</si>
  <si>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</si>
  <si>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</si>
  <si>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</si>
  <si>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</si>
  <si>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</si>
  <si>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</si>
  <si>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</si>
  <si>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</si>
  <si>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</si>
  <si>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</si>
  <si>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</si>
  <si>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</si>
  <si>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</si>
  <si>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</si>
  <si>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</si>
  <si>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</si>
  <si>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</si>
  <si>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</si>
  <si>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</si>
  <si>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</si>
  <si>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</si>
  <si>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</si>
  <si>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</si>
  <si>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</si>
  <si>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</si>
  <si>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</si>
  <si>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</si>
  <si>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</si>
  <si>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</si>
  <si>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</si>
  <si>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</si>
  <si>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</si>
  <si>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</si>
  <si>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</si>
  <si>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</si>
  <si>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</si>
  <si>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</si>
  <si>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</si>
  <si>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</si>
  <si>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</si>
  <si>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</si>
  <si>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</si>
  <si>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</si>
  <si>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</si>
  <si>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</si>
  <si>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</si>
  <si>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</si>
  <si>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</si>
  <si>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</si>
  <si>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</si>
  <si>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</si>
  <si>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</si>
  <si>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</si>
  <si>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</si>
  <si>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</si>
  <si>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</si>
  <si>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</si>
  <si>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</si>
  <si>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</si>
  <si>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</si>
  <si>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</si>
  <si>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</si>
  <si>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</si>
  <si>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</si>
  <si>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</si>
  <si>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</si>
  <si>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</si>
  <si>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</si>
  <si>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</si>
  <si>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</si>
  <si>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</si>
  <si>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</si>
  <si>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</si>
  <si>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</si>
  <si>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</si>
  <si>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</si>
  <si>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</si>
  <si>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</si>
  <si>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</si>
  <si>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</si>
  <si>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</si>
  <si>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</si>
  <si>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</si>
  <si>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</si>
  <si>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</si>
  <si>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</si>
  <si>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</si>
  <si>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</si>
  <si>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</si>
  <si>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</si>
  <si>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</si>
  <si>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</si>
  <si>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</si>
  <si>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</si>
  <si>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</si>
  <si>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</si>
  <si>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</si>
  <si>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</si>
  <si>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</si>
  <si>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</si>
  <si>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</si>
  <si>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</si>
  <si>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</si>
  <si>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</si>
  <si>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</si>
  <si>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</si>
  <si>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</si>
  <si>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</si>
  <si>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</si>
  <si>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</si>
  <si>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</si>
  <si>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</si>
  <si>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</si>
  <si>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</si>
  <si>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</si>
  <si>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</si>
  <si>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</si>
  <si>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</si>
  <si>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</si>
  <si>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</si>
  <si>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</si>
  <si>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</si>
  <si>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</si>
  <si>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</si>
  <si>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</si>
  <si>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</si>
  <si>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</si>
  <si>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</si>
  <si>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</si>
  <si>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</si>
  <si>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</si>
  <si>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</si>
  <si>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</si>
  <si>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</si>
  <si>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</si>
  <si>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</si>
  <si>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</si>
  <si>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</si>
  <si>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</si>
  <si>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</si>
  <si>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</si>
  <si>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</si>
  <si>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</si>
  <si>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</si>
  <si>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</si>
  <si>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</si>
  <si>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</si>
  <si>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</si>
  <si>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</si>
  <si>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</si>
  <si>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</si>
  <si>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</si>
  <si>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</si>
  <si>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</si>
  <si>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</si>
  <si>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</si>
  <si>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</si>
  <si>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</si>
  <si>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</si>
  <si>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</si>
  <si>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</si>
  <si>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</si>
  <si>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</si>
  <si>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</si>
  <si>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</si>
  <si>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</si>
  <si>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</si>
  <si>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</si>
  <si>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</si>
  <si>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</si>
  <si>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</si>
  <si>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</si>
  <si>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</si>
  <si>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</si>
  <si>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</si>
  <si>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</si>
  <si>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</si>
  <si>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</si>
  <si>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</si>
  <si>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</si>
  <si>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</si>
  <si>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</si>
  <si>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</si>
  <si>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</si>
  <si>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</si>
  <si>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</si>
  <si>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</si>
  <si>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</si>
  <si>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</si>
  <si>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</si>
  <si>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</si>
  <si>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</si>
  <si>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</si>
  <si>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</si>
  <si>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</si>
  <si>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</si>
  <si>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</si>
  <si>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</si>
  <si>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</si>
  <si>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</si>
  <si>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</si>
  <si>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</si>
  <si>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</si>
  <si>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</si>
  <si>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</si>
  <si>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</si>
  <si>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</si>
  <si>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</si>
  <si>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</si>
  <si>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</si>
  <si>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</si>
  <si>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</si>
  <si>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</si>
  <si>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</si>
  <si>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</si>
  <si>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</si>
  <si>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</si>
  <si>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</si>
  <si>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</si>
  <si>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</si>
  <si>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</si>
  <si>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</si>
  <si>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</si>
  <si>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</si>
  <si>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</si>
  <si>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</si>
  <si>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</si>
  <si>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</si>
  <si>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</si>
  <si>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</si>
  <si>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</si>
  <si>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</si>
  <si>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</si>
  <si>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</si>
  <si>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</si>
  <si>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</si>
  <si>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</si>
  <si>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</si>
  <si>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</si>
  <si>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</si>
  <si>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</si>
  <si>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</si>
  <si>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</si>
  <si>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</si>
  <si>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</si>
  <si>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</si>
  <si>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</si>
  <si>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</si>
  <si>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</si>
  <si>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</si>
  <si>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</si>
  <si>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</si>
  <si>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</si>
  <si>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</si>
  <si>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</si>
  <si>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</si>
  <si>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</si>
  <si>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</si>
  <si>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</si>
  <si>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</si>
  <si>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</si>
  <si>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</si>
  <si>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</si>
  <si>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</si>
  <si>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</si>
  <si>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</si>
  <si>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</si>
  <si>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</si>
  <si>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</si>
  <si>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</si>
  <si>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</si>
  <si>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</si>
  <si>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</si>
  <si>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</si>
  <si>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</si>
  <si>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</si>
  <si>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</si>
  <si>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</si>
  <si>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</si>
  <si>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</si>
  <si>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</si>
  <si>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</si>
  <si>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</si>
  <si>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</si>
  <si>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</si>
  <si>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</si>
  <si>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</si>
  <si>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</si>
  <si>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</si>
  <si>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</si>
  <si>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</si>
  <si>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</si>
  <si>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</si>
  <si>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</si>
  <si>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</si>
  <si>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</si>
  <si>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</si>
  <si>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</si>
  <si>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</si>
  <si>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</si>
  <si>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</si>
  <si>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</si>
  <si>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</si>
  <si>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</si>
  <si>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</si>
  <si>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</si>
  <si>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</si>
  <si>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</si>
  <si>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</si>
  <si>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</si>
  <si>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</si>
  <si>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</si>
  <si>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</si>
  <si>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</si>
  <si>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</si>
  <si>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</si>
  <si>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</si>
  <si>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</si>
  <si>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</si>
  <si>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</si>
  <si>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</si>
  <si>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</si>
  <si>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</si>
  <si>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</si>
  <si>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</si>
  <si>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</si>
  <si>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</si>
  <si>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</si>
  <si>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</si>
  <si>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</si>
  <si>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</si>
  <si>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</si>
  <si>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</si>
  <si>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</si>
  <si>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</si>
  <si>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</si>
  <si>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</si>
  <si>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</si>
  <si>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</si>
  <si>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</si>
  <si>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</si>
  <si>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</si>
  <si>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</si>
  <si>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</si>
  <si>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</si>
  <si>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</si>
  <si>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</si>
  <si>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</si>
  <si>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</si>
  <si>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</si>
  <si>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</si>
  <si>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</si>
  <si>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</si>
  <si>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</si>
  <si>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</si>
  <si>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</si>
  <si>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</si>
  <si>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</si>
  <si>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</si>
  <si>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</si>
  <si>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</si>
  <si>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</si>
  <si>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</si>
  <si>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</si>
  <si>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</si>
  <si>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</si>
  <si>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</si>
  <si>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</si>
  <si>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</si>
  <si>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</si>
  <si>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</si>
  <si>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</si>
  <si>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</si>
  <si>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</si>
  <si>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</si>
  <si>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</si>
  <si>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</si>
  <si>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</si>
  <si>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</si>
  <si>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</si>
  <si>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</si>
  <si>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</si>
  <si>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</si>
  <si>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</si>
  <si>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</si>
  <si>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</si>
  <si>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</si>
  <si>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</si>
  <si>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</si>
  <si>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</si>
  <si>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</si>
  <si>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</si>
  <si>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</si>
  <si>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</si>
  <si>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</si>
  <si>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</si>
  <si>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</si>
  <si>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</si>
  <si>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</si>
  <si>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</si>
  <si>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</si>
  <si>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</si>
  <si>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</si>
  <si>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</si>
  <si>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</si>
  <si>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</si>
  <si>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</si>
  <si>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</si>
  <si>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</si>
  <si>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</si>
  <si>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</si>
  <si>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</si>
  <si>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</si>
  <si>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</si>
  <si>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</si>
  <si>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</si>
  <si>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</si>
  <si>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</si>
  <si>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</si>
  <si>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</si>
  <si>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</si>
  <si>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</si>
  <si>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</si>
  <si>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</si>
  <si>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</si>
  <si>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</si>
  <si>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</si>
  <si>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</si>
  <si>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</si>
  <si>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</si>
  <si>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</si>
  <si>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</si>
  <si>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</si>
  <si>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</si>
  <si>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</si>
  <si>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</si>
  <si>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</si>
  <si>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</si>
  <si>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</si>
  <si>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</si>
  <si>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</si>
  <si>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</si>
  <si>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</si>
  <si>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</si>
  <si>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</si>
  <si>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</si>
  <si>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</si>
  <si>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</si>
  <si>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</si>
  <si>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</si>
  <si>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</si>
  <si>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</si>
  <si>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</si>
  <si>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</si>
  <si>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</si>
  <si>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</si>
  <si>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</si>
  <si>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</si>
  <si>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</si>
  <si>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</si>
  <si>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</si>
  <si>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</si>
  <si>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</si>
  <si>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</si>
  <si>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</si>
  <si>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</si>
  <si>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</si>
  <si>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</si>
  <si>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</si>
  <si>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</si>
  <si>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</si>
  <si>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</si>
  <si>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</si>
  <si>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</si>
  <si>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</si>
  <si>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</si>
  <si>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</si>
  <si>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</si>
  <si>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</si>
  <si>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</si>
  <si>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</si>
  <si>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</si>
  <si>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</si>
  <si>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</si>
  <si>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</si>
  <si>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</si>
  <si>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</si>
  <si>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</si>
  <si>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</si>
  <si>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</si>
  <si>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</si>
  <si>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</si>
  <si>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</si>
  <si>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</si>
  <si>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</si>
  <si>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</si>
  <si>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</si>
  <si>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</si>
  <si>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</si>
  <si>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</si>
  <si>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</si>
  <si>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</si>
  <si>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</si>
  <si>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</si>
  <si>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</si>
  <si>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</si>
  <si>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</si>
  <si>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</si>
  <si>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</si>
  <si>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</si>
  <si>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</si>
  <si>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</si>
  <si>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</si>
  <si>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</si>
  <si>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</si>
  <si>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</si>
  <si>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</si>
  <si>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</si>
  <si>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</si>
  <si>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</si>
  <si>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</si>
  <si>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</si>
  <si>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</si>
  <si>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</si>
  <si>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</si>
  <si>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</si>
  <si>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</si>
  <si>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</si>
  <si>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</si>
  <si>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</si>
  <si>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</si>
  <si>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</si>
  <si>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</si>
  <si>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</si>
  <si>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</si>
  <si>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</si>
  <si>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</si>
  <si>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</si>
  <si>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</si>
  <si>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</si>
  <si>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</si>
  <si>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</si>
  <si>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</si>
  <si>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</si>
  <si>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</si>
  <si>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</si>
  <si>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</si>
  <si>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</si>
  <si>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</si>
  <si>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</si>
  <si>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</si>
  <si>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</si>
  <si>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</si>
  <si>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</si>
  <si>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</si>
  <si>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</si>
  <si>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</si>
  <si>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</si>
  <si>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</si>
  <si>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</si>
  <si>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</si>
  <si>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</si>
  <si>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</si>
  <si>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</si>
  <si>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</si>
  <si>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</si>
  <si>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</si>
  <si>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</si>
  <si>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</si>
  <si>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</si>
  <si>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</si>
  <si>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</si>
  <si>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</si>
  <si>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</si>
  <si>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</si>
  <si>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</si>
  <si>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</si>
  <si>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</si>
  <si>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</si>
  <si>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</si>
  <si>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</si>
  <si>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</si>
  <si>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</si>
  <si>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</si>
  <si>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</si>
  <si>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</si>
  <si>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</si>
  <si>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</si>
  <si>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</si>
  <si>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</si>
  <si>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</si>
  <si>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</si>
  <si>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</si>
  <si>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</si>
  <si>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</si>
  <si>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</si>
  <si>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</si>
  <si>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</si>
  <si>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</si>
  <si>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</si>
  <si>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</si>
  <si>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</si>
  <si>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</si>
  <si>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</si>
  <si>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</si>
  <si>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</si>
  <si>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</si>
  <si>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</si>
  <si>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</si>
  <si>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</si>
  <si>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</si>
  <si>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</si>
  <si>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</si>
  <si>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</si>
  <si>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</si>
  <si>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</si>
  <si>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</si>
  <si>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</si>
  <si>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</si>
  <si>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</si>
  <si>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</si>
  <si>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</si>
  <si>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</si>
  <si>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</si>
  <si>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</si>
  <si>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</si>
  <si>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</si>
  <si>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</si>
  <si>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</si>
  <si>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</si>
  <si>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</si>
  <si>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</si>
  <si>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</si>
  <si>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</si>
  <si>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</si>
  <si>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</si>
  <si>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</si>
  <si>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</si>
  <si>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</si>
  <si>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</si>
  <si>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</si>
  <si>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</si>
  <si>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</si>
  <si>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</si>
  <si>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</si>
  <si>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</si>
  <si>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</si>
  <si>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</si>
  <si>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</si>
  <si>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</si>
  <si>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</si>
  <si>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</si>
  <si>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</si>
  <si>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</si>
  <si>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</si>
  <si>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</si>
  <si>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</si>
  <si>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</si>
  <si>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</si>
  <si>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</si>
  <si>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</si>
  <si>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</si>
  <si>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</si>
  <si>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</si>
  <si>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</si>
  <si>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</si>
  <si>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</si>
  <si>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</si>
  <si>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</si>
  <si>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</si>
  <si>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</si>
  <si>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</si>
  <si>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</si>
  <si>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</si>
  <si>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</si>
  <si>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</si>
  <si>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</si>
  <si>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</si>
  <si>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</si>
  <si>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</si>
  <si>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</si>
  <si>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</si>
  <si>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</si>
  <si>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</si>
  <si>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</si>
  <si>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</si>
  <si>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</si>
  <si>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</si>
  <si>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</si>
  <si>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</si>
  <si>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</si>
  <si>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</si>
  <si>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</si>
  <si>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</si>
  <si>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</si>
  <si>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</si>
  <si>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</si>
  <si>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</si>
  <si>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</si>
  <si>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</si>
  <si>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</si>
  <si>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</si>
  <si>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</si>
  <si>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</si>
  <si>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</si>
  <si>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</si>
  <si>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</si>
  <si>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</si>
  <si>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</si>
  <si>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</si>
  <si>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</si>
  <si>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</si>
  <si>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</si>
  <si>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</si>
  <si>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</si>
  <si>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</si>
  <si>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</si>
  <si>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</si>
  <si>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</si>
  <si>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</si>
  <si>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</si>
  <si>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</si>
  <si>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</si>
  <si>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</si>
  <si>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</si>
  <si>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</si>
  <si>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</si>
  <si>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</si>
  <si>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</si>
  <si>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</si>
  <si>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</si>
  <si>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</si>
  <si>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</si>
  <si>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</si>
  <si>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</si>
  <si>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</si>
  <si>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</si>
  <si>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</si>
  <si>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</si>
  <si>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</si>
  <si>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</si>
  <si>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</si>
  <si>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</si>
  <si>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</si>
  <si>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</si>
  <si>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</si>
  <si>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</si>
  <si>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</si>
  <si>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</si>
  <si>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</si>
  <si>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</si>
  <si>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</si>
  <si>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</si>
  <si>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</si>
  <si>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</si>
  <si>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</si>
  <si>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</si>
  <si>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</si>
  <si>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</si>
  <si>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</si>
  <si>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</si>
  <si>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</si>
  <si>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</si>
  <si>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</si>
  <si>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</si>
  <si>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</si>
  <si>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</si>
  <si>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</si>
  <si>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</si>
  <si>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</si>
  <si>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</si>
  <si>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</si>
  <si>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</si>
  <si>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</si>
  <si>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</si>
  <si>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</si>
  <si>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</si>
  <si>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</si>
  <si>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</si>
  <si>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</si>
  <si>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</si>
  <si>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</si>
  <si>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</si>
  <si>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</si>
  <si>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</si>
  <si>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</si>
  <si>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</si>
  <si>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</si>
  <si>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</si>
  <si>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</si>
  <si>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</si>
  <si>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</si>
  <si>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</si>
  <si>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</si>
  <si>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</si>
  <si>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</si>
  <si>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</si>
  <si>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</si>
  <si>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</si>
  <si>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</si>
  <si>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</si>
  <si>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</si>
  <si>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</si>
  <si>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</si>
  <si>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</si>
  <si>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</si>
  <si>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</si>
  <si>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</si>
  <si>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</si>
  <si>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</si>
  <si>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</si>
  <si>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</si>
  <si>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</si>
  <si>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</si>
  <si>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</si>
  <si>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</si>
  <si>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</si>
  <si>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</si>
  <si>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</si>
  <si>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</si>
  <si>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</si>
  <si>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</si>
  <si>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</si>
  <si>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</si>
  <si>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</si>
  <si>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</si>
  <si>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</si>
  <si>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</si>
  <si>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</si>
  <si>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</si>
  <si>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</si>
  <si>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</si>
  <si>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</si>
  <si>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</si>
  <si>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</si>
  <si>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</si>
  <si>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</si>
  <si>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</si>
  <si>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</si>
  <si>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</si>
  <si>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</si>
  <si>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</si>
  <si>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</si>
  <si>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</si>
  <si>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</si>
  <si>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</si>
  <si>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</si>
  <si>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</si>
  <si>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</si>
  <si>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</si>
  <si>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</si>
  <si>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</si>
  <si>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</si>
  <si>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</si>
  <si>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</si>
  <si>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</si>
  <si>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</si>
  <si>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</si>
  <si>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</si>
  <si>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</si>
  <si>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</si>
  <si>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</si>
  <si>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</si>
  <si>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</si>
  <si>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</si>
  <si>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</si>
  <si>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</si>
  <si>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</si>
  <si>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</si>
  <si>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</si>
  <si>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</si>
  <si>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</si>
  <si>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</si>
  <si>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</si>
  <si>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</si>
  <si>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</si>
  <si>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</si>
  <si>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</si>
  <si>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</si>
  <si>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</si>
  <si>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</si>
  <si>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</si>
  <si>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</si>
  <si>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</si>
  <si>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</si>
  <si>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</si>
  <si>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</si>
  <si>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</si>
  <si>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</si>
  <si>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</si>
  <si>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</si>
  <si>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</si>
  <si>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</si>
  <si>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</si>
  <si>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</si>
  <si>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</si>
  <si>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</si>
  <si>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</si>
  <si>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</si>
  <si>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</si>
  <si>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</si>
  <si>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</si>
  <si>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</si>
  <si>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</si>
  <si>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</si>
  <si>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</si>
  <si>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</si>
  <si>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</si>
  <si>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</si>
  <si>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</si>
  <si>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</si>
  <si>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</si>
  <si>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</si>
  <si>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</si>
  <si>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</si>
  <si>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</si>
  <si>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</si>
  <si>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</si>
  <si>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</si>
  <si>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</si>
  <si>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</si>
  <si>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</si>
  <si>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</si>
  <si>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</si>
  <si>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</si>
  <si>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</si>
  <si>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</si>
  <si>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</si>
  <si>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</si>
  <si>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</si>
  <si>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</si>
  <si>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</si>
  <si>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</si>
  <si>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</si>
  <si>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</si>
  <si>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</si>
  <si>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</si>
  <si>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</si>
  <si>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</si>
  <si>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</si>
  <si>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</si>
  <si>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</si>
  <si>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</si>
  <si>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</si>
  <si>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</si>
  <si>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</si>
  <si>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</si>
  <si>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</si>
  <si>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</si>
  <si>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</si>
  <si>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</si>
  <si>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</si>
  <si>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</si>
  <si>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</si>
  <si>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</si>
  <si>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</si>
  <si>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</si>
  <si>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</si>
  <si>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</si>
  <si>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</si>
  <si>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</si>
  <si>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</si>
  <si>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</si>
  <si>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</si>
  <si>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</si>
  <si>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</si>
  <si>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</si>
  <si>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</si>
  <si>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</si>
  <si>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</si>
  <si>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</si>
  <si>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</si>
  <si>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</si>
  <si>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</si>
  <si>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</si>
  <si>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</si>
  <si>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</si>
  <si>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</si>
  <si>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</si>
  <si>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</si>
  <si>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</si>
  <si>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</si>
  <si>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</si>
  <si>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</si>
  <si>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</si>
  <si>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</si>
  <si>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</si>
  <si>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</si>
  <si>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</si>
  <si>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</si>
  <si>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</si>
  <si>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</si>
  <si>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</si>
  <si>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</si>
  <si>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</si>
  <si>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</si>
  <si>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</si>
  <si>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</si>
  <si>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</si>
  <si>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</si>
  <si>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</si>
  <si>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</si>
  <si>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</si>
  <si>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</si>
  <si>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</si>
  <si>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</si>
  <si>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</si>
  <si>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</si>
  <si>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</si>
  <si>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</si>
  <si>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</si>
  <si>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</si>
  <si>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</si>
  <si>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</si>
  <si>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</si>
  <si>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</si>
  <si>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</si>
  <si>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</si>
  <si>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</si>
  <si>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</si>
  <si>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</si>
  <si>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</si>
  <si>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</si>
  <si>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</si>
  <si>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</si>
  <si>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</si>
  <si>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</si>
  <si>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</si>
  <si>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</si>
  <si>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</si>
  <si>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</si>
  <si>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</si>
  <si>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</si>
  <si>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</si>
  <si>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</si>
  <si>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</si>
  <si>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</si>
  <si>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</si>
  <si>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</si>
  <si>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</si>
  <si>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</si>
  <si>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</si>
  <si>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</si>
  <si>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</si>
  <si>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</si>
  <si>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</si>
  <si>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</si>
  <si>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</si>
  <si>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</si>
  <si>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</si>
  <si>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</si>
  <si>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</si>
  <si>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</si>
  <si>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</si>
  <si>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</si>
  <si>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</si>
  <si>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</si>
  <si>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</si>
  <si>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</si>
  <si>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</si>
  <si>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</si>
  <si>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</si>
  <si>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</si>
  <si>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</si>
  <si>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</si>
  <si>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</si>
  <si>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</si>
  <si>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</si>
  <si>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</si>
  <si>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</si>
  <si>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</si>
  <si>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</si>
  <si>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</si>
  <si>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</si>
  <si>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</si>
  <si>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</si>
  <si>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</si>
  <si>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</si>
  <si>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</si>
  <si>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</si>
  <si>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</si>
  <si>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</si>
  <si>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</si>
  <si>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</si>
  <si>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</si>
  <si>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</si>
  <si>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</si>
  <si>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</si>
  <si>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</si>
  <si>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</si>
  <si>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</si>
  <si>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</si>
  <si>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</si>
  <si>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</si>
  <si>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</si>
  <si>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</si>
  <si>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</si>
  <si>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</si>
  <si>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</si>
  <si>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</si>
  <si>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</si>
  <si>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</si>
  <si>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</si>
  <si>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</si>
  <si>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</si>
  <si>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</si>
  <si>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</si>
  <si>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</si>
  <si>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</si>
  <si>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</si>
  <si>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</si>
  <si>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</si>
  <si>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</si>
  <si>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</si>
  <si>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</si>
  <si>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</si>
  <si>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</si>
  <si>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</si>
  <si>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</si>
  <si>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</si>
  <si>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</si>
  <si>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</si>
  <si>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</si>
  <si>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</si>
  <si>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</si>
  <si>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</si>
  <si>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</si>
  <si>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</si>
  <si>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</si>
  <si>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</si>
  <si>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</si>
  <si>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</si>
  <si>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</si>
  <si>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</si>
  <si>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</si>
  <si>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</si>
  <si>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</si>
  <si>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</si>
  <si>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</si>
  <si>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</si>
  <si>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</si>
  <si>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</si>
  <si>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</si>
  <si>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</si>
  <si>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</si>
  <si>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</si>
  <si>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</si>
  <si>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</si>
  <si>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</si>
  <si>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</si>
  <si>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</si>
  <si>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</si>
  <si>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</si>
  <si>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</si>
  <si>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</si>
  <si>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</si>
  <si>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</si>
  <si>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</si>
  <si>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</si>
  <si>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</si>
  <si>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</si>
  <si>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</si>
  <si>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</si>
  <si>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</si>
  <si>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</si>
  <si>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</si>
  <si>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</si>
  <si>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</si>
  <si>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</si>
  <si>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</si>
  <si>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</si>
  <si>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</si>
  <si>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</si>
  <si>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</si>
  <si>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</si>
  <si>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</si>
  <si>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</si>
  <si>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</si>
  <si>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</si>
  <si>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</si>
  <si>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</si>
  <si>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</si>
  <si>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</si>
  <si>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</si>
  <si>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</si>
  <si>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</si>
  <si>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</si>
  <si>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</si>
  <si>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</si>
  <si>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</si>
  <si>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</si>
  <si>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</si>
  <si>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</si>
  <si>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</si>
  <si>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</si>
  <si>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</si>
  <si>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</si>
  <si>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</si>
  <si>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</si>
  <si>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</si>
  <si>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</si>
  <si>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</si>
  <si>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</si>
  <si>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</si>
  <si>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</si>
  <si>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</si>
  <si>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</si>
  <si>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</si>
  <si>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</si>
  <si>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</si>
  <si>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</si>
  <si>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</si>
  <si>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</si>
  <si>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</si>
  <si>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</si>
  <si>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</si>
  <si>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</si>
  <si>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</si>
  <si>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</si>
  <si>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</si>
  <si>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</si>
  <si>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</si>
  <si>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</si>
  <si>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</si>
  <si>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</si>
  <si>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</si>
  <si>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</si>
  <si>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</si>
  <si>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</si>
  <si>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</si>
  <si>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</si>
  <si>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</si>
  <si>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</si>
  <si>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</si>
  <si>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</si>
  <si>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</si>
  <si>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</si>
  <si>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</si>
  <si>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</si>
  <si>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</si>
  <si>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</si>
  <si>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</si>
  <si>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</si>
  <si>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</si>
  <si>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</si>
  <si>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</si>
  <si>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</si>
  <si>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</si>
  <si>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</si>
  <si>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</si>
  <si>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</si>
  <si>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</si>
  <si>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</si>
  <si>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</si>
  <si>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</si>
  <si>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</si>
  <si>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</si>
  <si>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</si>
  <si>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</si>
  <si>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</si>
  <si>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</si>
  <si>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</si>
  <si>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</si>
  <si>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</si>
  <si>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</si>
  <si>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</si>
  <si>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</si>
  <si>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</si>
  <si>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</si>
  <si>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</si>
  <si>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</si>
  <si>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</si>
  <si>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</si>
  <si>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</si>
  <si>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</si>
  <si>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</si>
  <si>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</si>
  <si>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</si>
  <si>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</si>
  <si>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</si>
  <si>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</si>
  <si>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</si>
  <si>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</si>
  <si>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</si>
  <si>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</si>
  <si>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</si>
  <si>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</si>
  <si>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</si>
  <si>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</si>
  <si>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</si>
  <si>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</si>
  <si>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</si>
  <si>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</si>
  <si>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</si>
  <si>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</si>
  <si>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</si>
  <si>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</si>
  <si>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</si>
  <si>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</si>
  <si>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</si>
  <si>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</si>
  <si>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</si>
  <si>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</si>
  <si>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</si>
  <si>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</si>
  <si>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</si>
  <si>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</si>
  <si>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</si>
  <si>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</si>
  <si>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</si>
  <si>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</si>
  <si>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</si>
  <si>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</si>
  <si>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</si>
  <si>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</si>
  <si>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</si>
  <si>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</si>
  <si>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</si>
  <si>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</si>
  <si>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</si>
  <si>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</si>
  <si>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</si>
  <si>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</si>
  <si>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</si>
  <si>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</si>
  <si>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</si>
  <si>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</si>
  <si>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</si>
  <si>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</si>
  <si>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</si>
  <si>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</si>
  <si>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</si>
  <si>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</si>
  <si>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</si>
  <si>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</si>
  <si>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</si>
  <si>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</si>
  <si>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</si>
  <si>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</si>
  <si>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</si>
  <si>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</si>
  <si>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</si>
  <si>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</si>
  <si>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</si>
  <si>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</si>
  <si>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</si>
  <si>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</si>
  <si>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</si>
  <si>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</si>
  <si>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</si>
  <si>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</si>
  <si>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</si>
  <si>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</si>
  <si>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</si>
  <si>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</si>
  <si>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</si>
  <si>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</si>
  <si>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</si>
  <si>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</si>
  <si>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</si>
  <si>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</si>
  <si>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</si>
  <si>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</si>
  <si>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</si>
  <si>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</si>
  <si>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</si>
  <si>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</si>
  <si>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</si>
  <si>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</si>
  <si>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</si>
  <si>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</si>
  <si>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</si>
  <si>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</si>
  <si>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</si>
  <si>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</si>
  <si>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</si>
  <si>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</si>
  <si>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</si>
  <si>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</si>
  <si>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</si>
  <si>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</si>
  <si>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</si>
  <si>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</si>
  <si>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</si>
  <si>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</si>
  <si>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</si>
  <si>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</si>
  <si>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</si>
  <si>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</si>
  <si>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</si>
  <si>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</si>
  <si>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</si>
  <si>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</si>
  <si>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</si>
  <si>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</si>
  <si>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</si>
  <si>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</si>
  <si>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</si>
  <si>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</si>
  <si>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</si>
  <si>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</si>
  <si>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</si>
  <si>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</si>
  <si>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</si>
  <si>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</si>
  <si>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</si>
  <si>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</si>
  <si>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</si>
  <si>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</si>
  <si>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</si>
  <si>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</si>
  <si>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</si>
  <si>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</si>
  <si>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</si>
  <si>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</si>
  <si>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</si>
  <si>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</si>
  <si>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</si>
  <si>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</si>
  <si>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</si>
  <si>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</si>
  <si>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</si>
  <si>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</si>
  <si>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</si>
  <si>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</si>
  <si>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</si>
  <si>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</si>
  <si>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</si>
  <si>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</si>
  <si>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</si>
  <si>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</si>
  <si>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</si>
  <si>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</si>
  <si>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</si>
  <si>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</si>
  <si>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</si>
  <si>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</si>
  <si>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</si>
  <si>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</si>
  <si>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</si>
  <si>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</si>
  <si>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</si>
  <si>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</si>
  <si>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</si>
  <si>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</si>
  <si>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</si>
  <si>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</si>
  <si>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</si>
  <si>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</si>
  <si>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</si>
  <si>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</si>
  <si>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</si>
  <si>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</si>
  <si>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</si>
  <si>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</si>
  <si>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</si>
  <si>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</si>
  <si>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</si>
  <si>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</si>
  <si>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</si>
  <si>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</si>
  <si>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</si>
  <si>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</si>
  <si>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</si>
  <si>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</si>
  <si>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</si>
  <si>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</si>
  <si>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</si>
  <si>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</si>
  <si>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</si>
  <si>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</si>
  <si>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</si>
  <si>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</si>
  <si>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</si>
  <si>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</si>
  <si>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</si>
  <si>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</si>
  <si>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</si>
  <si>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</si>
  <si>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</si>
  <si>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</si>
  <si>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</si>
  <si>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</si>
  <si>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</si>
  <si>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</si>
  <si>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</si>
  <si>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</si>
  <si>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</si>
  <si>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</si>
  <si>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</si>
  <si>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</si>
  <si>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</si>
  <si>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</si>
  <si>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</si>
  <si>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</si>
  <si>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</si>
  <si>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</si>
  <si>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</si>
  <si>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</si>
  <si>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</si>
  <si>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</si>
  <si>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</si>
  <si>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</si>
  <si>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</si>
  <si>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</si>
  <si>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</si>
  <si>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</si>
  <si>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</si>
  <si>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</si>
  <si>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</si>
  <si>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</si>
  <si>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</si>
  <si>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</si>
  <si>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</si>
  <si>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</si>
  <si>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</si>
  <si>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</si>
  <si>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</si>
  <si>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</si>
  <si>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</si>
  <si>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</si>
  <si>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</si>
  <si>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</si>
  <si>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</si>
  <si>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</si>
  <si>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</si>
  <si>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</si>
  <si>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</si>
  <si>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</si>
  <si>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</si>
  <si>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</si>
  <si>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</si>
  <si>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</si>
  <si>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</si>
  <si>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</si>
  <si>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</si>
  <si>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</si>
  <si>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</si>
  <si>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</si>
  <si>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</si>
  <si>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</si>
  <si>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</si>
  <si>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</si>
  <si>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</si>
  <si>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</si>
  <si>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</si>
  <si>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</si>
  <si>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</si>
  <si>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</si>
  <si>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</si>
  <si>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</si>
  <si>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</si>
  <si>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</si>
  <si>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</si>
  <si>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</si>
  <si>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</si>
  <si>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</si>
  <si>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</si>
  <si>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</si>
  <si>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</si>
  <si>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</si>
  <si>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</si>
  <si>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</si>
  <si>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</si>
  <si>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</si>
  <si>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</si>
  <si>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</si>
  <si>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</si>
  <si>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</si>
  <si>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</si>
  <si>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</si>
  <si>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</si>
  <si>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</si>
  <si>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</si>
  <si>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</si>
  <si>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</si>
  <si>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</si>
  <si>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</si>
  <si>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</si>
  <si>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</si>
  <si>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</si>
  <si>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</si>
  <si>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</si>
  <si>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</si>
  <si>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</si>
  <si>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</si>
  <si>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</si>
  <si>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</si>
  <si>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</si>
  <si>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</si>
  <si>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</si>
  <si>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</si>
  <si>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</si>
  <si>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</si>
  <si>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</si>
  <si>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</si>
  <si>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</si>
  <si>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</si>
  <si>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</si>
  <si>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</si>
  <si>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</si>
  <si>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</si>
  <si>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</si>
  <si>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</si>
  <si>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</si>
  <si>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</si>
  <si>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</si>
  <si>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</si>
  <si>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</si>
  <si>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</si>
  <si>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</si>
  <si>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</si>
  <si>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</si>
  <si>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</si>
  <si>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</si>
  <si>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</si>
  <si>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</si>
  <si>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</si>
  <si>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</si>
  <si>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</si>
  <si>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</si>
  <si>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</si>
  <si>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</si>
  <si>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</si>
  <si>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</si>
  <si>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</si>
  <si>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</si>
  <si>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</si>
  <si>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</si>
  <si>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</si>
  <si>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</si>
  <si>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</si>
  <si>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</si>
  <si>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</si>
  <si>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</si>
  <si>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</si>
  <si>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</si>
  <si>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</si>
  <si>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</si>
  <si>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</si>
  <si>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</si>
  <si>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</si>
  <si>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</si>
  <si>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</si>
  <si>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</si>
  <si>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</si>
  <si>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</si>
  <si>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</si>
  <si>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</si>
  <si>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</si>
  <si>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</si>
  <si>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</si>
  <si>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</si>
  <si>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</si>
  <si>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</si>
  <si>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</si>
  <si>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</si>
  <si>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</si>
  <si>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</si>
  <si>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</si>
  <si>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</si>
  <si>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</si>
  <si>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</si>
  <si>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</si>
  <si>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</si>
  <si>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</si>
  <si>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</si>
  <si>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</si>
  <si>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</si>
  <si>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</si>
  <si>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</si>
  <si>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</si>
  <si>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</si>
  <si>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</si>
  <si>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</si>
  <si>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</si>
  <si>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</si>
  <si>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</si>
  <si>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</si>
  <si>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</si>
  <si>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</si>
  <si>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</si>
  <si>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</si>
  <si>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</si>
  <si>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</si>
  <si>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</si>
  <si>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</si>
  <si>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</si>
  <si>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</si>
  <si>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</si>
  <si>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</si>
  <si>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</si>
  <si>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</si>
  <si>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</si>
  <si>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</si>
  <si>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</si>
  <si>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</si>
  <si>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</si>
  <si>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</si>
  <si>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</si>
  <si>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</si>
  <si>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</si>
  <si>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</si>
  <si>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</si>
  <si>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</si>
  <si>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</si>
  <si>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</si>
  <si>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</si>
  <si>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</si>
  <si>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</si>
  <si>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</si>
  <si>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</si>
  <si>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</si>
  <si>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</si>
  <si>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</si>
  <si>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</si>
  <si>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</si>
  <si>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</si>
  <si>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</si>
  <si>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</si>
  <si>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</si>
  <si>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</si>
  <si>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</si>
  <si>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</si>
  <si>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</si>
  <si>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</si>
  <si>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</si>
  <si>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</si>
  <si>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</si>
  <si>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</si>
  <si>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</si>
  <si>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</si>
  <si>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</si>
  <si>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</si>
  <si>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</si>
  <si>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</si>
  <si>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</si>
  <si>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</si>
  <si>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</si>
  <si>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</si>
  <si>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</si>
  <si>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</si>
  <si>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</si>
  <si>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</si>
  <si>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</si>
  <si>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</si>
  <si>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</si>
  <si>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</si>
  <si>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</si>
  <si>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</si>
  <si>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</si>
  <si>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</si>
  <si>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</si>
  <si>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</si>
  <si>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</si>
  <si>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</si>
  <si>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</si>
  <si>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</si>
  <si>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</si>
  <si>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</si>
  <si>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</si>
  <si>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</si>
  <si>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</si>
  <si>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</si>
  <si>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</si>
  <si>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</si>
  <si>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</si>
  <si>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</si>
  <si>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</si>
  <si>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</si>
  <si>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</si>
  <si>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</si>
  <si>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</si>
  <si>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</si>
  <si>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</si>
  <si>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</si>
  <si>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</si>
  <si>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</si>
  <si>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</si>
  <si>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</si>
  <si>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</si>
  <si>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</si>
  <si>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</si>
  <si>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</si>
  <si>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</si>
  <si>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</si>
  <si>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</si>
  <si>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</si>
  <si>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</si>
  <si>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</si>
  <si>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</si>
  <si>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</si>
  <si>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</si>
  <si>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</si>
  <si>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</si>
  <si>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</si>
  <si>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</si>
  <si>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</si>
  <si>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</si>
  <si>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</si>
  <si>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</si>
  <si>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</si>
  <si>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</si>
  <si>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</si>
  <si>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</si>
  <si>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</si>
  <si>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</si>
  <si>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</si>
  <si>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</si>
  <si>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</si>
  <si>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</si>
  <si>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</si>
  <si>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</si>
  <si>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</si>
  <si>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</si>
  <si>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</si>
  <si>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</si>
  <si>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</si>
  <si>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</si>
  <si>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</si>
  <si>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</si>
  <si>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</si>
  <si>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</si>
  <si>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</si>
  <si>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</si>
  <si>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</si>
  <si>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</si>
  <si>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</si>
  <si>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</si>
  <si>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</si>
  <si>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</si>
  <si>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</si>
  <si>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</si>
  <si>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</si>
  <si>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</si>
  <si>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</si>
  <si>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</si>
  <si>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</si>
  <si>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</si>
  <si>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</si>
  <si>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</si>
  <si>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</si>
  <si>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</si>
  <si>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</si>
  <si>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</si>
  <si>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</si>
  <si>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</si>
  <si>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</si>
  <si>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</si>
  <si>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</si>
  <si>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</si>
  <si>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</si>
  <si>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</si>
  <si>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</si>
  <si>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</si>
  <si>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</si>
  <si>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</si>
  <si>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</si>
  <si>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</si>
  <si>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</si>
  <si>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</si>
  <si>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</si>
  <si>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</si>
  <si>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</si>
  <si>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</si>
  <si>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</si>
  <si>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</si>
  <si>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</si>
  <si>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</si>
  <si>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</si>
  <si>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</si>
  <si>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</si>
  <si>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</si>
  <si>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</si>
  <si>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</si>
  <si>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</si>
  <si>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</si>
  <si>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</si>
  <si>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</si>
  <si>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</si>
  <si>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</si>
  <si>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</si>
  <si>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</si>
  <si>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</si>
  <si>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</si>
  <si>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</si>
  <si>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</si>
  <si>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</si>
  <si>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</si>
  <si>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</si>
  <si>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</si>
  <si>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</si>
  <si>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</si>
  <si>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</si>
  <si>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</si>
  <si>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</si>
  <si>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</si>
  <si>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</si>
  <si>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</si>
  <si>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</si>
  <si>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</si>
  <si>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</si>
  <si>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</si>
  <si>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</si>
  <si>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</si>
  <si>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</si>
  <si>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</si>
  <si>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</si>
  <si>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</si>
  <si>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</si>
  <si>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</si>
  <si>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</si>
  <si>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</si>
  <si>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</si>
  <si>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</si>
  <si>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</si>
  <si>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</si>
  <si>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</si>
  <si>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</si>
  <si>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</si>
  <si>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</si>
  <si>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</si>
  <si>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</si>
  <si>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</si>
  <si>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</si>
  <si>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</si>
  <si>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</si>
  <si>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</si>
  <si>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</si>
  <si>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</si>
  <si>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</si>
  <si>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</si>
  <si>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</si>
  <si>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</si>
  <si>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</si>
  <si>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</si>
  <si>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</si>
  <si>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</si>
  <si>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</si>
  <si>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</si>
  <si>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</si>
  <si>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</si>
  <si>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</si>
  <si>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</si>
  <si>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</si>
  <si>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</si>
  <si>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</si>
  <si>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</si>
  <si>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</si>
  <si>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</si>
  <si>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</si>
  <si>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</si>
  <si>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</si>
  <si>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</si>
  <si>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</si>
  <si>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</si>
  <si>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</si>
  <si>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</si>
  <si>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</si>
  <si>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</si>
  <si>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</si>
  <si>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</si>
  <si>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</si>
  <si>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</si>
  <si>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</si>
  <si>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</si>
  <si>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</si>
  <si>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</si>
  <si>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</si>
  <si>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</si>
  <si>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</si>
  <si>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</si>
  <si>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</si>
  <si>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</si>
  <si>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</si>
  <si>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</si>
  <si>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</si>
  <si>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</si>
  <si>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</si>
  <si>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</si>
  <si>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</si>
  <si>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</si>
  <si>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</si>
  <si>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</si>
  <si>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</si>
  <si>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</si>
  <si>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</si>
  <si>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</si>
  <si>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</si>
  <si>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</si>
  <si>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</si>
  <si>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</si>
  <si>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</si>
  <si>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</si>
  <si>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</si>
  <si>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</si>
  <si>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</si>
  <si>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</si>
  <si>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</si>
  <si>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</si>
  <si>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</si>
  <si>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</si>
  <si>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</si>
  <si>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</si>
  <si>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</si>
  <si>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</si>
  <si>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</si>
  <si>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</si>
  <si>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</si>
  <si>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</si>
  <si>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</si>
  <si>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</si>
  <si>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</si>
  <si>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</si>
  <si>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</si>
  <si>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</si>
  <si>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</si>
  <si>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</si>
  <si>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</si>
  <si>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</si>
  <si>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</si>
  <si>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</si>
  <si>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</si>
  <si>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</si>
  <si>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</si>
  <si>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</si>
  <si>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</si>
  <si>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</si>
  <si>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</si>
  <si>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</si>
  <si>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</si>
  <si>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</si>
  <si>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</si>
  <si>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</si>
  <si>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</si>
  <si>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</si>
  <si>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</si>
  <si>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</si>
  <si>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</si>
  <si>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</si>
  <si>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</si>
  <si>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</si>
  <si>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</si>
  <si>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</si>
  <si>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</si>
  <si>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</si>
  <si>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</si>
  <si>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</si>
  <si>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</si>
  <si>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</si>
  <si>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</si>
  <si>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</si>
  <si>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</si>
  <si>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</si>
  <si>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</si>
  <si>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</si>
  <si>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</si>
  <si>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</si>
  <si>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</si>
  <si>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</si>
  <si>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</si>
  <si>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</si>
  <si>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</si>
  <si>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</si>
  <si>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</si>
  <si>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</si>
  <si>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</si>
  <si>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</si>
  <si>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</si>
  <si>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</si>
  <si>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</si>
  <si>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</si>
  <si>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</si>
  <si>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</si>
  <si>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</si>
  <si>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</si>
  <si>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</si>
  <si>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</si>
  <si>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</si>
  <si>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</si>
  <si>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</si>
  <si>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</si>
  <si>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</si>
  <si>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</si>
  <si>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</si>
  <si>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</si>
  <si>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</si>
  <si>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</si>
  <si>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</si>
  <si>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</si>
  <si>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</si>
  <si>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</si>
  <si>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</si>
  <si>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</si>
  <si>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</si>
  <si>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</si>
  <si>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</si>
  <si>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</si>
  <si>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</si>
  <si>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</si>
  <si>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</si>
  <si>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</si>
  <si>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</si>
  <si>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</si>
  <si>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</si>
  <si>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</si>
  <si>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</si>
  <si>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</si>
  <si>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</si>
  <si>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</si>
  <si>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</si>
  <si>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</si>
  <si>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</si>
  <si>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</si>
  <si>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</si>
  <si>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</si>
  <si>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</si>
  <si>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</si>
  <si>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</si>
  <si>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</si>
  <si>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</si>
  <si>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</si>
  <si>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</si>
  <si>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</si>
  <si>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</si>
  <si>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</si>
  <si>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</si>
  <si>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</si>
  <si>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</si>
  <si>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</si>
  <si>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</si>
  <si>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</si>
  <si>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</si>
  <si>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</si>
  <si>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</si>
  <si>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</si>
  <si>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</si>
  <si>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</si>
  <si>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</si>
  <si>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</si>
  <si>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</si>
  <si>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</si>
  <si>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</si>
  <si>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</si>
  <si>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</si>
  <si>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</si>
  <si>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</si>
  <si>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</si>
  <si>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</si>
  <si>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</si>
  <si>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</si>
  <si>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</si>
  <si>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</si>
  <si>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</si>
  <si>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</si>
  <si>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</si>
  <si>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</si>
  <si>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</si>
  <si>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</si>
  <si>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</si>
  <si>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</si>
  <si>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</si>
  <si>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</si>
  <si>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</si>
  <si>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</si>
  <si>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</si>
  <si>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</si>
  <si>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</si>
  <si>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</si>
  <si>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</si>
  <si>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</si>
  <si>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</si>
  <si>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</si>
  <si>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</si>
  <si>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</si>
  <si>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</si>
  <si>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</si>
  <si>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</si>
  <si>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</si>
  <si>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</si>
  <si>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</si>
  <si>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</si>
  <si>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</si>
  <si>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</si>
  <si>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</si>
  <si>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</si>
  <si>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</si>
  <si>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</si>
  <si>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</si>
  <si>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</si>
  <si>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</si>
  <si>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</si>
  <si>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</si>
  <si>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</si>
  <si>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</si>
  <si>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</si>
  <si>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</si>
  <si>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</si>
  <si>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</si>
  <si>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</si>
  <si>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</si>
  <si>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</si>
  <si>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</si>
  <si>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</si>
  <si>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</si>
  <si>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</si>
  <si>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</si>
  <si>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</si>
  <si>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</si>
  <si>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</si>
  <si>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</si>
  <si>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</si>
  <si>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</si>
  <si>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</si>
  <si>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</si>
  <si>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</si>
  <si>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</si>
  <si>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</si>
  <si>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</si>
  <si>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</si>
  <si>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</si>
  <si>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</si>
  <si>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</si>
  <si>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</si>
  <si>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</si>
  <si>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</si>
  <si>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</si>
  <si>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</si>
  <si>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</si>
  <si>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</si>
  <si>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</si>
  <si>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</si>
  <si>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</si>
  <si>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</si>
  <si>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</si>
  <si>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</si>
  <si>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</si>
  <si>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</si>
  <si>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</si>
  <si>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</si>
  <si>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</si>
  <si>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</si>
  <si>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</si>
  <si>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</si>
  <si>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</si>
  <si>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</si>
  <si>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</si>
  <si>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</si>
  <si>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</si>
  <si>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</si>
  <si>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</si>
  <si>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</si>
  <si>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</si>
  <si>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</si>
  <si>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</si>
  <si>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</si>
  <si>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</si>
  <si>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</si>
  <si>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</si>
  <si>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</si>
  <si>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</si>
  <si>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</si>
  <si>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</si>
  <si>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</si>
  <si>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</si>
  <si>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</si>
  <si>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</si>
  <si>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</si>
  <si>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</si>
  <si>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</si>
  <si>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</si>
  <si>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</si>
  <si>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</si>
  <si>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</si>
  <si>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</si>
  <si>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</si>
  <si>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</si>
  <si>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</si>
  <si>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</si>
  <si>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</si>
  <si>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</si>
  <si>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</si>
  <si>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</si>
  <si>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</si>
  <si>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</si>
  <si>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</si>
  <si>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</si>
  <si>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</si>
  <si>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</si>
  <si>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</si>
  <si>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</si>
  <si>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</si>
  <si>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</si>
  <si>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</si>
  <si>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</si>
  <si>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</si>
  <si>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</si>
  <si>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</si>
  <si>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</si>
  <si>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</si>
  <si>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</si>
  <si>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</si>
  <si>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</si>
  <si>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</si>
  <si>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</si>
  <si>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</si>
  <si>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</si>
  <si>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</si>
  <si>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</si>
  <si>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</si>
  <si>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</si>
  <si>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</si>
  <si>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</si>
  <si>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</si>
  <si>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</si>
  <si>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</si>
  <si>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</si>
  <si>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</si>
  <si>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</si>
  <si>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</si>
  <si>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</si>
  <si>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</si>
  <si>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</si>
  <si>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</si>
  <si>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</si>
  <si>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</si>
  <si>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</si>
  <si>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</si>
  <si>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</si>
  <si>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</si>
  <si>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</si>
  <si>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</si>
  <si>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</si>
  <si>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</si>
  <si>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</si>
  <si>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</si>
  <si>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</si>
  <si>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</si>
  <si>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</si>
  <si>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</si>
  <si>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</si>
  <si>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</si>
  <si>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</si>
  <si>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</si>
  <si>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</si>
  <si>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</si>
  <si>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</si>
  <si>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</si>
  <si>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</si>
  <si>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</si>
  <si>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</si>
  <si>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</si>
  <si>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</si>
  <si>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</si>
  <si>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</si>
  <si>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</si>
  <si>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</si>
  <si>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</si>
  <si>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</si>
  <si>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</si>
  <si>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</si>
  <si>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</si>
  <si>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</si>
  <si>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</si>
  <si>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</si>
  <si>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</si>
  <si>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</si>
  <si>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</si>
  <si>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</si>
  <si>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</si>
  <si>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</si>
  <si>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</si>
  <si>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</si>
  <si>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</si>
  <si>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</si>
  <si>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</si>
  <si>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</si>
  <si>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</si>
  <si>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</si>
  <si>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</si>
  <si>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</si>
  <si>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</si>
  <si>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</si>
  <si>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</si>
  <si>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</si>
  <si>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</si>
  <si>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</si>
  <si>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</si>
  <si>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</si>
  <si>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</si>
  <si>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</si>
  <si>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</si>
  <si>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</si>
  <si>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</si>
  <si>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</si>
  <si>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</si>
  <si>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</si>
  <si>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</si>
  <si>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</si>
  <si>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</si>
  <si>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</si>
  <si>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</si>
  <si>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</si>
  <si>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</si>
  <si>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</si>
  <si>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</si>
  <si>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</si>
  <si>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</si>
  <si>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</si>
  <si>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</si>
  <si>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</si>
  <si>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</si>
  <si>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</si>
  <si>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</si>
  <si>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</si>
  <si>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</si>
  <si>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</si>
  <si>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</si>
  <si>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</si>
  <si>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</si>
  <si>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</si>
  <si>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</si>
  <si>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</si>
  <si>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</si>
  <si>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</si>
  <si>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</si>
  <si>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</si>
  <si>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</si>
  <si>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</si>
  <si>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</si>
  <si>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</si>
  <si>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</si>
  <si>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</si>
  <si>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</si>
  <si>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</si>
  <si>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</si>
  <si>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</si>
  <si>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</si>
  <si>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</si>
  <si>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</si>
  <si>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</si>
  <si>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</si>
  <si>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</si>
  <si>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</si>
  <si>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</si>
  <si>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</si>
  <si>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</si>
  <si>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</si>
  <si>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</si>
  <si>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</si>
  <si>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</si>
  <si>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</si>
  <si>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</si>
  <si>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</si>
  <si>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</si>
  <si>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</si>
  <si>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</si>
  <si>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</si>
  <si>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</si>
  <si>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</si>
  <si>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</si>
  <si>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</si>
  <si>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</si>
  <si>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</si>
  <si>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</si>
  <si>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</si>
  <si>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</si>
  <si>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</si>
  <si>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</si>
  <si>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</si>
  <si>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</si>
  <si>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</si>
  <si>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</si>
  <si>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</si>
  <si>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</si>
  <si>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</si>
  <si>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</si>
  <si>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3052</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</si>
  <si>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</si>
  <si>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</si>
  <si>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</si>
  <si>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</si>
  <si>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</si>
  <si>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</si>
  <si>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</si>
  <si>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</si>
  <si>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</si>
  <si>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</si>
  <si>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</si>
  <si>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</si>
  <si>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</si>
  <si>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</si>
  <si>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</si>
  <si>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</si>
  <si>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</si>
  <si>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</si>
  <si>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</si>
  <si>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</si>
  <si>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</si>
  <si>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</si>
  <si>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</si>
  <si>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</si>
  <si>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</si>
  <si>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</si>
  <si>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</si>
  <si>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</si>
  <si>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</si>
  <si>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</si>
  <si>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</si>
  <si>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</si>
  <si>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</si>
  <si>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</si>
  <si>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</si>
  <si>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</si>
  <si>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</si>
  <si>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</si>
  <si>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</si>
  <si>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</si>
  <si>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</si>
  <si>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</si>
  <si>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</si>
  <si>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</si>
  <si>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</si>
  <si>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</si>
  <si>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</si>
  <si>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</si>
  <si>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</si>
  <si>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</si>
  <si>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</si>
  <si>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</si>
  <si>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</si>
  <si>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</si>
  <si>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</si>
  <si>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</si>
  <si>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</si>
  <si>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</si>
  <si>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</si>
  <si>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</si>
  <si>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</si>
  <si>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</si>
  <si>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</si>
  <si>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</si>
  <si>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</si>
  <si>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</si>
  <si>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</si>
  <si>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</si>
  <si>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</si>
  <si>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</si>
  <si>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</si>
  <si>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</si>
  <si>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</si>
  <si>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</si>
  <si>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</si>
  <si>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</si>
  <si>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</si>
  <si>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</si>
  <si>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</si>
  <si>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</si>
  <si>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</si>
  <si>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</si>
  <si>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</si>
  <si>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</si>
  <si>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</si>
  <si>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</si>
  <si>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</si>
  <si>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</si>
  <si>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</si>
  <si>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</si>
  <si>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</si>
  <si>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</si>
  <si>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</si>
  <si>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</si>
  <si>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</si>
  <si>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</si>
  <si>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</si>
  <si>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</si>
  <si>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</si>
  <si>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</si>
  <si>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</si>
  <si>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</si>
  <si>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</si>
  <si>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</si>
  <si>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</si>
  <si>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</si>
  <si>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</si>
  <si>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</si>
  <si>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</si>
  <si>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</si>
  <si>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</si>
  <si>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</si>
  <si>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</si>
  <si>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</si>
  <si>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</si>
  <si>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</si>
  <si>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</si>
  <si>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</si>
  <si>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</si>
  <si>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</si>
  <si>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</si>
  <si>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</si>
  <si>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</si>
  <si>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</si>
  <si>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</si>
  <si>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</si>
  <si>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</si>
  <si>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</si>
  <si>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</si>
  <si>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</si>
  <si>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</si>
  <si>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</si>
  <si>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</si>
  <si>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</si>
  <si>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</si>
  <si>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</si>
  <si>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</si>
  <si>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</si>
  <si>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</si>
  <si>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</si>
  <si>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</si>
  <si>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</si>
  <si>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</si>
  <si>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</si>
  <si>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</si>
  <si>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</si>
  <si>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</si>
  <si>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</si>
  <si>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</si>
  <si>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</si>
  <si>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</si>
  <si>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</si>
  <si>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</si>
  <si>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</si>
  <si>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</si>
  <si>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</si>
  <si>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</si>
  <si>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</si>
  <si>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</si>
  <si>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</si>
  <si>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</si>
  <si>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</si>
  <si>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</si>
  <si>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</si>
  <si>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</si>
  <si>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</si>
  <si>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</si>
  <si>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</si>
  <si>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</si>
  <si>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</si>
  <si>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</si>
  <si>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</si>
  <si>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</si>
  <si>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</si>
  <si>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</si>
  <si>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</si>
  <si>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</si>
  <si>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</si>
  <si>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</si>
  <si>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</si>
  <si>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</si>
  <si>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</si>
  <si>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</si>
  <si>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</si>
  <si>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</si>
  <si>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</si>
  <si>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</si>
  <si>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</si>
  <si>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</si>
  <si>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</si>
  <si>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</si>
  <si>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</si>
  <si>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</si>
  <si>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</si>
  <si>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</si>
  <si>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</si>
  <si>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</si>
  <si>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</si>
  <si>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</si>
  <si>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</si>
  <si>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</si>
  <si>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</si>
  <si>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</si>
  <si>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</si>
  <si>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</si>
  <si>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</si>
  <si>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</si>
  <si>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</si>
  <si>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</si>
  <si>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</si>
  <si>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</si>
  <si>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</si>
  <si>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</si>
  <si>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</si>
  <si>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</si>
  <si>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</si>
  <si>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</si>
  <si>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</si>
  <si>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</si>
  <si>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</si>
  <si>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</si>
  <si>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</si>
  <si>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</si>
  <si>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</si>
  <si>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</si>
  <si>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</si>
  <si>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</si>
  <si>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</si>
  <si>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</si>
  <si>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</si>
  <si>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</si>
  <si>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</si>
  <si>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</si>
  <si>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</si>
  <si>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</si>
  <si>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</si>
  <si>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</si>
  <si>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</si>
  <si>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</si>
  <si>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</si>
  <si>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</si>
  <si>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</si>
  <si>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</si>
  <si>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</si>
  <si>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</si>
  <si>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</si>
  <si>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</si>
  <si>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</si>
  <si>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</si>
  <si>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</si>
  <si>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</si>
  <si>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</si>
  <si>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</si>
  <si>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</si>
  <si>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</si>
  <si>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</si>
  <si>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</si>
  <si>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</si>
  <si>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</si>
  <si>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</si>
  <si>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</si>
  <si>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</si>
  <si>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</si>
  <si>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</si>
  <si>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</si>
  <si>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</si>
  <si>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</si>
  <si>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</si>
  <si>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</si>
  <si>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</si>
  <si>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</si>
  <si>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</si>
  <si>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</si>
  <si>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</si>
  <si>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</si>
  <si>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</si>
  <si>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</si>
  <si>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</si>
  <si>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</si>
  <si>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</si>
  <si>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</si>
  <si>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</si>
  <si>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</si>
  <si>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</si>
  <si>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</si>
  <si>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</si>
  <si>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</si>
  <si>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</si>
  <si>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</si>
  <si>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</si>
  <si>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</si>
  <si>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</si>
  <si>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</si>
  <si>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</si>
  <si>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</si>
  <si>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</si>
  <si>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</si>
  <si>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</si>
  <si>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</si>
  <si>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</si>
  <si>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</si>
  <si>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</si>
  <si>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</si>
  <si>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</si>
  <si>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</si>
  <si>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</si>
  <si>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</si>
  <si>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</si>
  <si>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</si>
  <si>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</si>
  <si>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</si>
  <si>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</si>
  <si>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</si>
  <si>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</si>
  <si>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</si>
  <si>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</si>
  <si>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</si>
  <si>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</si>
  <si>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</si>
  <si>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</si>
  <si>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</si>
  <si>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</si>
  <si>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</si>
  <si>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</si>
  <si>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</si>
  <si>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</si>
  <si>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</si>
  <si>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</si>
  <si>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</si>
  <si>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</si>
  <si>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</si>
  <si>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</si>
  <si>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</si>
  <si>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</si>
  <si>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</si>
  <si>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</si>
  <si>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</si>
  <si>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</si>
  <si>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</si>
  <si>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</si>
  <si>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</si>
  <si>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</si>
  <si>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</si>
  <si>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</si>
  <si>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</si>
  <si>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</si>
  <si>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</si>
  <si>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</si>
  <si>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</si>
  <si>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</si>
  <si>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</si>
  <si>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</si>
  <si>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</si>
  <si>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</si>
  <si>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</si>
  <si>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</si>
  <si>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</si>
  <si>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</si>
  <si>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</si>
  <si>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</si>
  <si>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</si>
  <si>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</si>
  <si>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</si>
  <si>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</si>
  <si>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</si>
  <si>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</si>
  <si>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</si>
  <si>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</si>
  <si>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</si>
  <si>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</si>
  <si>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</si>
  <si>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</si>
  <si>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</si>
  <si>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</si>
  <si>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</si>
  <si>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</si>
  <si>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</si>
  <si>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</si>
  <si>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</si>
  <si>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</si>
  <si>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</si>
  <si>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</si>
  <si>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</si>
  <si>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</si>
  <si>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</si>
  <si>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</si>
  <si>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</si>
  <si>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</si>
  <si>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</si>
  <si>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</si>
  <si>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</si>
  <si>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</si>
  <si>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</si>
  <si>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</si>
  <si>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</si>
  <si>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</si>
  <si>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</si>
  <si>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</si>
  <si>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</si>
  <si>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</si>
  <si>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</si>
  <si>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</si>
  <si>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</si>
  <si>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</si>
  <si>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</si>
  <si>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</si>
  <si>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</si>
  <si>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</si>
  <si>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</si>
  <si>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</si>
  <si>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</si>
  <si>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</si>
  <si>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</si>
  <si>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</si>
  <si>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</si>
  <si>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</si>
  <si>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</si>
  <si>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</si>
  <si>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</si>
  <si>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</si>
  <si>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</si>
  <si>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</si>
  <si>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</si>
  <si>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</si>
  <si>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</si>
  <si>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</si>
  <si>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</si>
  <si>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</si>
  <si>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</si>
  <si>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</si>
  <si>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</si>
  <si>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</si>
  <si>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</si>
  <si>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</si>
  <si>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</si>
  <si>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</si>
  <si>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</si>
  <si>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</si>
  <si>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</si>
  <si>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</si>
  <si>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</si>
  <si>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</si>
  <si>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</si>
  <si>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</si>
  <si>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</si>
  <si>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</si>
  <si>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</si>
  <si>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</si>
  <si>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</si>
  <si>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</si>
  <si>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</si>
  <si>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</si>
  <si>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</si>
  <si>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</si>
  <si>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</si>
  <si>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</si>
  <si>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</si>
  <si>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</si>
  <si>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</si>
  <si>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</si>
  <si>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</si>
  <si>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</si>
  <si>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</si>
  <si>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</si>
  <si>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</si>
  <si>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</si>
  <si>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</si>
  <si>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</si>
  <si>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</si>
  <si>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</si>
  <si>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</si>
  <si>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</si>
  <si>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</si>
  <si>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</si>
  <si>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</si>
  <si>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</si>
  <si>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</si>
  <si>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</si>
  <si>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</si>
  <si>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</si>
  <si>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</si>
  <si>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</si>
  <si>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</si>
  <si>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</si>
  <si>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</si>
  <si>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</si>
  <si>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</si>
  <si>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</si>
  <si>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</si>
  <si>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</si>
  <si>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</si>
  <si>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</si>
  <si>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</si>
  <si>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</si>
  <si>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</si>
  <si>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</si>
  <si>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</si>
  <si>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</si>
  <si>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</si>
  <si>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</si>
  <si>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</si>
  <si>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</si>
  <si>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</si>
  <si>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</si>
  <si>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</si>
  <si>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</si>
  <si>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</si>
  <si>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</si>
  <si>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</si>
  <si>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</si>
  <si>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</si>
  <si>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</si>
  <si>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</si>
  <si>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</si>
  <si>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</si>
  <si>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</si>
  <si>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</si>
  <si>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</si>
  <si>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</si>
  <si>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</si>
  <si>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</si>
  <si>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</si>
  <si>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</si>
  <si>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</si>
  <si>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</si>
  <si>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</si>
  <si>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</si>
  <si>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</si>
  <si>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</si>
  <si>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</si>
  <si>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</si>
  <si>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</si>
  <si>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</si>
  <si>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</si>
  <si>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</si>
  <si>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</si>
  <si>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</si>
  <si>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</si>
  <si>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</si>
  <si>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</si>
  <si>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</si>
  <si>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</si>
  <si>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</si>
  <si>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</si>
  <si>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</si>
  <si>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</si>
  <si>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</si>
  <si>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</si>
  <si>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</si>
  <si>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</si>
  <si>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</si>
  <si>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</si>
  <si>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</si>
  <si>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</si>
  <si>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</si>
  <si>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</si>
  <si>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</si>
  <si>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</si>
  <si>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</si>
  <si>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</si>
  <si>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</si>
  <si>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</si>
  <si>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</si>
  <si>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</si>
  <si>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</si>
  <si>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</si>
  <si>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</si>
  <si>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</si>
  <si>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</si>
  <si>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</si>
  <si>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</si>
  <si>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</si>
  <si>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</si>
  <si>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</si>
  <si>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</si>
  <si>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</si>
  <si>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</si>
  <si>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</si>
  <si>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</si>
  <si>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</si>
  <si>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</si>
  <si>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</si>
  <si>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</si>
  <si>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</si>
  <si>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</si>
  <si>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</si>
  <si>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</si>
  <si>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</si>
  <si>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</si>
  <si>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</si>
  <si>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</si>
  <si>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</si>
  <si>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</si>
  <si>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</si>
  <si>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</si>
  <si>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</si>
  <si>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</si>
  <si>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</si>
  <si>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</si>
  <si>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</si>
  <si>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</si>
  <si>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</si>
  <si>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</si>
  <si>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</si>
  <si>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</si>
  <si>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</si>
  <si>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</si>
  <si>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</si>
  <si>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</si>
  <si>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</si>
  <si>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</si>
  <si>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</si>
  <si>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</si>
  <si>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</si>
  <si>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</si>
  <si>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</si>
  <si>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</si>
  <si>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</si>
  <si>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</si>
  <si>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</si>
  <si>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</si>
  <si>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</si>
  <si>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</si>
  <si>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</si>
  <si>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</si>
  <si>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</si>
  <si>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</si>
  <si>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</si>
  <si>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</si>
  <si>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</si>
  <si>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</si>
  <si>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</si>
  <si>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</si>
  <si>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</si>
  <si>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</si>
  <si>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</si>
  <si>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</si>
  <si>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</si>
  <si>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</si>
  <si>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</si>
  <si>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</si>
  <si>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</si>
  <si>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</si>
  <si>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</si>
  <si>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</si>
  <si>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</si>
  <si>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</si>
  <si>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</si>
  <si>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</si>
  <si>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</si>
  <si>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</si>
  <si>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</si>
  <si>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</si>
  <si>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</si>
  <si>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</si>
  <si>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</si>
  <si>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</si>
  <si>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</si>
  <si>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</si>
  <si>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</si>
  <si>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</si>
  <si>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</si>
  <si>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</si>
  <si>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</si>
  <si>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</si>
  <si>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</si>
  <si>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</si>
  <si>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</si>
  <si>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</si>
  <si>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</si>
  <si>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</si>
  <si>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</si>
  <si>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</si>
  <si>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</si>
  <si>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</si>
  <si>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</si>
  <si>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</si>
  <si>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</si>
  <si>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</si>
  <si>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</si>
  <si>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</si>
  <si>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</si>
  <si>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</si>
  <si>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</si>
  <si>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</si>
  <si>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</si>
  <si>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</si>
  <si>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</si>
  <si>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</si>
  <si>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</si>
  <si>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</si>
  <si>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</si>
  <si>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</si>
  <si>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</si>
  <si>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</si>
  <si>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</si>
  <si>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</si>
  <si>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</si>
  <si>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</si>
  <si>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</si>
  <si>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</si>
  <si>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</si>
  <si>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</si>
  <si>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</si>
  <si>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</si>
  <si>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</si>
  <si>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</si>
  <si>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</si>
  <si>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</si>
  <si>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</si>
  <si>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</si>
  <si>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</si>
  <si>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</si>
  <si>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</si>
  <si>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</si>
  <si>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</si>
  <si>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</si>
  <si>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</si>
  <si>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</si>
  <si>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</si>
  <si>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</si>
  <si>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</si>
  <si>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</si>
  <si>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</si>
  <si>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</si>
  <si>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</si>
  <si>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</si>
  <si>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</si>
  <si>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</si>
  <si>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</si>
  <si>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</si>
  <si>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</si>
  <si>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</si>
  <si>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</si>
  <si>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</si>
  <si>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</si>
  <si>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</si>
  <si>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</si>
  <si>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</si>
  <si>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</si>
  <si>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</si>
  <si>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</si>
  <si>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</si>
  <si>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</si>
  <si>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</si>
  <si>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</si>
  <si>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</si>
  <si>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</si>
  <si>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</si>
  <si>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</si>
  <si>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</si>
  <si>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</si>
  <si>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</si>
  <si>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</si>
  <si>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</si>
  <si>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</si>
  <si>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</si>
  <si>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</si>
  <si>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</si>
  <si>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</si>
  <si>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</si>
  <si>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</si>
  <si>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</si>
  <si>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</si>
  <si>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</si>
  <si>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</si>
  <si>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</si>
  <si>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</si>
  <si>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</si>
  <si>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</si>
  <si>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</si>
  <si>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</si>
  <si>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</si>
  <si>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</si>
  <si>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</si>
  <si>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</si>
  <si>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</si>
  <si>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</si>
  <si>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</si>
  <si>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</si>
  <si>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</si>
  <si>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</si>
  <si>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</si>
  <si>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</si>
  <si>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</si>
  <si>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</si>
  <si>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</si>
  <si>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</si>
  <si>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</si>
  <si>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</si>
  <si>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</si>
  <si>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</si>
  <si>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</si>
  <si>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</si>
  <si>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</si>
  <si>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</si>
  <si>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</si>
  <si>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</si>
  <si>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</si>
  <si>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</si>
  <si>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</si>
  <si>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</si>
  <si>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</si>
  <si>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</si>
  <si>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</si>
  <si>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</si>
  <si>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</si>
  <si>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</si>
  <si>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</si>
  <si>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</si>
  <si>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</si>
  <si>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</si>
  <si>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</si>
  <si>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</si>
  <si>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</si>
  <si>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</si>
  <si>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</si>
  <si>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</si>
  <si>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</si>
  <si>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</si>
  <si>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</si>
  <si>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</si>
  <si>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</si>
  <si>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</si>
  <si>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</si>
  <si>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</si>
  <si>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</si>
  <si>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</si>
  <si>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</si>
  <si>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</si>
  <si>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</si>
  <si>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</si>
  <si>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</si>
  <si>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</si>
  <si>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</si>
  <si>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</si>
  <si>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</si>
  <si>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</si>
  <si>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</si>
  <si>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</si>
  <si>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</si>
  <si>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</si>
  <si>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</si>
  <si>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</si>
  <si>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</si>
  <si>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</si>
  <si>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</si>
  <si>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</si>
  <si>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</si>
  <si>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</si>
  <si>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</si>
  <si>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</si>
  <si>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</si>
  <si>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</si>
  <si>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</si>
  <si>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</si>
  <si>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</si>
  <si>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</si>
  <si>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</si>
  <si>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</si>
  <si>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</si>
  <si>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</si>
  <si>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</si>
  <si>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</si>
  <si>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</si>
  <si>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</si>
  <si>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</si>
  <si>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</si>
  <si>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</si>
  <si>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</si>
  <si>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</si>
  <si>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</si>
  <si>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</si>
  <si>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</si>
  <si>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</si>
  <si>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</si>
  <si>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</si>
  <si>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</si>
  <si>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</si>
  <si>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</si>
  <si>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</si>
  <si>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</si>
  <si>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</si>
  <si>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</si>
  <si>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</si>
  <si>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</si>
  <si>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</si>
  <si>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</si>
  <si>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</si>
  <si>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</si>
  <si>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</si>
  <si>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</si>
  <si>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</si>
  <si>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</si>
  <si>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</si>
  <si>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</si>
  <si>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</si>
  <si>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</si>
  <si>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</si>
  <si>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</si>
  <si>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</si>
  <si>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</si>
  <si>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</si>
  <si>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</si>
  <si>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</si>
  <si>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</si>
  <si>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</si>
  <si>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</si>
  <si>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</si>
  <si>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</si>
  <si>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</si>
  <si>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</si>
  <si>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</si>
  <si>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</si>
  <si>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</si>
  <si>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</si>
  <si>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</si>
  <si>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</si>
  <si>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</si>
  <si>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</si>
  <si>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</si>
  <si>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</si>
  <si>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</si>
  <si>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</si>
  <si>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</si>
  <si>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</si>
  <si>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</si>
  <si>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</si>
  <si>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</si>
  <si>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</si>
  <si>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</si>
  <si>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</si>
  <si>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</si>
  <si>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</si>
  <si>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</si>
  <si>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</si>
  <si>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</si>
  <si>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</si>
  <si>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</si>
  <si>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</si>
  <si>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</si>
  <si>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</si>
  <si>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</si>
  <si>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</si>
  <si>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</si>
  <si>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</si>
  <si>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</si>
  <si>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</si>
  <si>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</si>
  <si>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</si>
  <si>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</si>
  <si>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</si>
  <si>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</si>
  <si>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</si>
  <si>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</si>
  <si>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</si>
  <si>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</si>
  <si>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</si>
  <si>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</si>
  <si>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</si>
  <si>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</si>
  <si>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</si>
  <si>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</si>
  <si>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</si>
  <si>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</si>
  <si>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</si>
  <si>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</si>
  <si>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</si>
  <si>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</si>
  <si>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</si>
  <si>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</si>
  <si>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</si>
  <si>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</si>
  <si>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</si>
  <si>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</si>
  <si>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</si>
  <si>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</si>
  <si>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</si>
  <si>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</si>
  <si>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</si>
  <si>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</si>
  <si>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</si>
  <si>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</si>
  <si>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</si>
  <si>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</si>
  <si>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</si>
  <si>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</si>
  <si>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</si>
  <si>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</si>
  <si>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</si>
  <si>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</si>
  <si>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</si>
  <si>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</si>
  <si>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</si>
  <si>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</si>
  <si>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</si>
  <si>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</si>
  <si>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</si>
  <si>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</si>
  <si>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</si>
  <si>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</si>
  <si>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</si>
  <si>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</si>
  <si>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</si>
  <si>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</si>
  <si>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</si>
  <si>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</si>
  <si>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</si>
  <si>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</si>
  <si>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</si>
  <si>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</si>
  <si>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</si>
  <si>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</si>
  <si>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</si>
  <si>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</si>
  <si>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</si>
  <si>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</si>
  <si>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</si>
  <si>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</si>
  <si>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</si>
  <si>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</si>
  <si>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</si>
  <si>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</si>
  <si>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</si>
  <si>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</si>
  <si>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</si>
  <si>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</si>
  <si>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</si>
  <si>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</si>
  <si>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</si>
  <si>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</si>
  <si>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</si>
  <si>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</si>
  <si>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</si>
  <si>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</si>
  <si>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</si>
  <si>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</si>
  <si>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</si>
  <si>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</si>
  <si>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</si>
  <si>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</si>
  <si>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</si>
  <si>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</si>
  <si>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</si>
  <si>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</si>
  <si>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</si>
  <si>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</si>
  <si>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</si>
  <si>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</si>
  <si>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</si>
  <si>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</si>
  <si>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</si>
  <si>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</si>
  <si>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</si>
  <si>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</si>
  <si>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</si>
  <si>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</si>
  <si>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</si>
  <si>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</si>
  <si>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</si>
  <si>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</si>
  <si>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</si>
  <si>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</si>
  <si>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</si>
  <si>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</si>
  <si>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</si>
  <si>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</si>
  <si>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</si>
  <si>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</si>
  <si>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</si>
  <si>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</si>
  <si>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</si>
  <si>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</si>
  <si>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</si>
  <si>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</si>
  <si>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</si>
  <si>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</si>
  <si>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</si>
  <si>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</si>
  <si>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</si>
  <si>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</si>
  <si>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</si>
  <si>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</si>
  <si>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</si>
  <si>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</si>
  <si>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</si>
  <si>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</si>
  <si>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</si>
  <si>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</si>
  <si>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</si>
  <si>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</si>
  <si>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</si>
  <si>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</si>
  <si>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</si>
  <si>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</si>
  <si>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</si>
  <si>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</si>
  <si>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</si>
  <si>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</si>
  <si>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</si>
  <si>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</si>
  <si>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</si>
  <si>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</si>
  <si>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</si>
  <si>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</si>
  <si>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</si>
  <si>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</si>
  <si>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</si>
  <si>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</si>
  <si>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</si>
  <si>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</si>
  <si>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</si>
  <si>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</si>
  <si>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</si>
  <si>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</si>
  <si>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</si>
  <si>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</si>
  <si>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</si>
  <si>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</si>
  <si>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</si>
  <si>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</si>
  <si>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</si>
  <si>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</si>
  <si>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</si>
  <si>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</si>
  <si>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</si>
  <si>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</si>
  <si>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</si>
  <si>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</si>
  <si>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</si>
  <si>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</si>
  <si>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</si>
  <si>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</si>
  <si>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</si>
  <si>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</si>
  <si>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</si>
  <si>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</si>
  <si>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</si>
  <si>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</si>
  <si>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</si>
  <si>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</si>
  <si>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</si>
  <si>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</si>
  <si>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</si>
  <si>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</si>
  <si>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</si>
  <si>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</si>
  <si>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</si>
  <si>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</si>
  <si>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</si>
  <si>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</si>
  <si>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</si>
  <si>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</si>
  <si>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</si>
  <si>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</si>
  <si>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</si>
  <si>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</si>
  <si>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</si>
  <si>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</si>
  <si>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</si>
  <si>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</si>
  <si>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</si>
  <si>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</si>
  <si>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</si>
  <si>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</si>
  <si>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</si>
  <si>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</si>
  <si>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</si>
  <si>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</si>
  <si>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</si>
  <si>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</si>
  <si>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</si>
  <si>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</si>
  <si>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</si>
  <si>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</si>
  <si>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</si>
  <si>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</si>
  <si>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</si>
  <si>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</si>
  <si>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</si>
  <si>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</si>
  <si>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</si>
  <si>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</si>
  <si>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</si>
  <si>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</si>
  <si>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</si>
  <si>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</si>
  <si>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</si>
  <si>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</si>
  <si>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</si>
  <si>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</si>
  <si>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</si>
  <si>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</si>
  <si>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</si>
  <si>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</si>
  <si>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</si>
  <si>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</si>
  <si>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</si>
  <si>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</si>
  <si>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</si>
  <si>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</si>
  <si>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</si>
  <si>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</si>
  <si>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</si>
  <si>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</si>
  <si>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</si>
  <si>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</si>
  <si>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</si>
  <si>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</si>
  <si>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</si>
  <si>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</si>
  <si>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</si>
  <si>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</si>
  <si>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</si>
  <si>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</si>
  <si>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</si>
  <si>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</si>
  <si>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</si>
  <si>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</si>
  <si>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</si>
  <si>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</si>
  <si>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</si>
  <si>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</si>
  <si>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</si>
  <si>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</si>
  <si>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</si>
  <si>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</si>
  <si>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</si>
  <si>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</si>
  <si>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</si>
  <si>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</si>
  <si>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</si>
  <si>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</si>
  <si>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</si>
  <si>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</si>
  <si>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</si>
  <si>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</si>
  <si>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</si>
  <si>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</si>
  <si>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</si>
  <si>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</si>
  <si>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</si>
  <si>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</si>
  <si>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</si>
  <si>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</si>
  <si>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</si>
  <si>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</si>
  <si>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</si>
  <si>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</si>
  <si>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</si>
  <si>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</si>
  <si>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</si>
  <si>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</si>
  <si>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</si>
  <si>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</si>
  <si>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</si>
  <si>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</si>
  <si>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</si>
  <si>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</si>
  <si>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</si>
  <si>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</si>
  <si>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</si>
  <si>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</si>
  <si>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</si>
  <si>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</si>
  <si>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</si>
  <si>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</si>
  <si>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</si>
  <si>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</si>
  <si>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</si>
  <si>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</si>
  <si>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</si>
  <si>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</si>
  <si>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</si>
  <si>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</si>
  <si>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</si>
  <si>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</si>
  <si>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</si>
  <si>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</si>
  <si>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</si>
  <si>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</si>
  <si>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</si>
  <si>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</si>
  <si>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</si>
  <si>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</si>
  <si>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</si>
  <si>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</si>
  <si>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</si>
  <si>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</si>
  <si>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</si>
  <si>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</si>
  <si>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</si>
  <si>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</si>
  <si>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</si>
  <si>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</si>
  <si>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</si>
  <si>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</si>
  <si>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</si>
  <si>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</si>
  <si>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</si>
  <si>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</si>
  <si>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</si>
  <si>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</si>
  <si>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</si>
  <si>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</si>
  <si>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</si>
  <si>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</si>
  <si>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</si>
  <si>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</si>
  <si>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</si>
  <si>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</si>
  <si>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</si>
  <si>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</si>
  <si>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</si>
  <si>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</si>
  <si>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</si>
  <si>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</si>
  <si>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</si>
  <si>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</si>
  <si>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</si>
  <si>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</si>
  <si>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</si>
  <si>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</si>
  <si>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</si>
  <si>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</si>
  <si>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</si>
  <si>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</si>
  <si>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</si>
  <si>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</si>
  <si>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</si>
  <si>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</si>
  <si>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</si>
  <si>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</si>
  <si>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</si>
  <si>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</si>
  <si>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</si>
  <si>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</si>
  <si>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</si>
  <si>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</si>
  <si>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</si>
  <si>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</si>
  <si>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</si>
  <si>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</si>
  <si>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</si>
  <si>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</si>
  <si>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</si>
  <si>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</si>
  <si>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</si>
  <si>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</si>
  <si>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</si>
  <si>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</si>
  <si>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</si>
  <si>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</si>
  <si>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</si>
  <si>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</si>
  <si>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</si>
  <si>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</si>
  <si>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</si>
  <si>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</si>
  <si>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</si>
  <si>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</si>
  <si>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</si>
  <si>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</si>
  <si>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</si>
  <si>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</si>
  <si>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</si>
  <si>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</si>
  <si>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</si>
  <si>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</si>
  <si>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</si>
  <si>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</si>
  <si>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</si>
  <si>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</si>
  <si>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</si>
  <si>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</si>
  <si>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</si>
  <si>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</si>
  <si>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</si>
  <si>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</si>
  <si>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</si>
  <si>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</si>
  <si>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</si>
  <si>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</si>
  <si>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</si>
  <si>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</si>
  <si>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</si>
  <si>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</si>
  <si>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</si>
  <si>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</si>
  <si>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</si>
  <si>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</si>
  <si>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</si>
  <si>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</si>
  <si>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</si>
  <si>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</si>
  <si>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</si>
  <si>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</si>
  <si>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</si>
  <si>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</si>
  <si>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</si>
  <si>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</si>
  <si>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</si>
  <si>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</si>
  <si>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</si>
  <si>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</si>
  <si>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</si>
  <si>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</si>
  <si>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</si>
  <si>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</si>
  <si>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</si>
  <si>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</si>
  <si>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</si>
  <si>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</si>
  <si>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</si>
  <si>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</si>
  <si>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</si>
  <si>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</si>
  <si>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</si>
  <si>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</si>
  <si>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</si>
  <si>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</si>
  <si>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</si>
  <si>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</si>
  <si>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</si>
  <si>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</si>
  <si>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</si>
  <si>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</si>
  <si>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</si>
  <si>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</si>
  <si>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</si>
  <si>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</si>
  <si>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</si>
  <si>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</si>
  <si>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</si>
  <si>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</si>
  <si>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</si>
  <si>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</si>
  <si>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</si>
  <si>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</si>
  <si>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</si>
  <si>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</si>
  <si>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</si>
  <si>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</si>
  <si>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</si>
  <si>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</si>
  <si>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</si>
  <si>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</si>
  <si>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</si>
  <si>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</si>
  <si>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</si>
  <si>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</si>
  <si>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</si>
  <si>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</si>
  <si>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</si>
  <si>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</si>
  <si>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</si>
  <si>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</si>
  <si>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</si>
  <si>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</si>
  <si>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</si>
  <si>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</si>
  <si>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</si>
  <si>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</si>
  <si>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</si>
  <si>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</si>
  <si>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</si>
  <si>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</si>
  <si>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</si>
  <si>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</si>
  <si>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</si>
  <si>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</si>
  <si>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</si>
  <si>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</si>
  <si>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</si>
  <si>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</si>
  <si>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</si>
  <si>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</si>
  <si>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</si>
  <si>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</si>
  <si>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</si>
  <si>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</si>
  <si>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</si>
  <si>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</si>
  <si>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</si>
  <si>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</si>
  <si>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</si>
  <si>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</si>
  <si>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</si>
  <si>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</si>
  <si>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</si>
  <si>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</si>
  <si>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</si>
  <si>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</si>
  <si>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</si>
  <si>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</si>
  <si>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</si>
  <si>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</si>
  <si>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</si>
  <si>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</si>
  <si>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</si>
  <si>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</si>
  <si>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</si>
  <si>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</si>
  <si>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</si>
  <si>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</si>
  <si>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</si>
  <si>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</si>
  <si>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</si>
  <si>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</si>
  <si>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</si>
  <si>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</si>
  <si>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</si>
  <si>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</si>
  <si>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</si>
  <si>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</si>
  <si>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</si>
  <si>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</si>
  <si>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</si>
  <si>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</si>
  <si>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</si>
  <si>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</si>
  <si>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</si>
  <si>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</si>
  <si>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</si>
  <si>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</si>
  <si>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</si>
  <si>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</si>
  <si>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</si>
  <si>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</si>
  <si>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</si>
  <si>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</si>
  <si>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</si>
  <si>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</si>
  <si>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</si>
  <si>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</si>
  <si>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</si>
  <si>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</si>
  <si>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</si>
  <si>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</si>
  <si>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</si>
  <si>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</si>
  <si>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</si>
  <si>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</si>
  <si>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</si>
  <si>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</si>
  <si>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</si>
  <si>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</si>
  <si>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</si>
  <si>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</si>
  <si>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</si>
  <si>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</si>
  <si>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</si>
  <si>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</si>
  <si>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</si>
  <si>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</si>
  <si>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</si>
  <si>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</si>
  <si>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</si>
  <si>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</si>
  <si>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</si>
  <si>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</si>
  <si>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</si>
  <si>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</si>
  <si>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</si>
  <si>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</si>
  <si>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</si>
  <si>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</si>
  <si>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</si>
  <si>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</si>
  <si>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</si>
  <si>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</si>
  <si>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</si>
  <si>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</si>
  <si>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</si>
  <si>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</si>
  <si>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</si>
  <si>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</si>
  <si>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</si>
  <si>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</si>
  <si>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</si>
  <si>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</si>
  <si>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</si>
  <si>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</si>
  <si>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</si>
  <si>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</si>
  <si>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</si>
  <si>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</si>
  <si>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</si>
  <si>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</si>
  <si>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</si>
  <si>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</si>
  <si>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</si>
  <si>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</si>
  <si>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</si>
  <si>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</si>
  <si>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</si>
  <si>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</si>
  <si>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</si>
  <si>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</si>
  <si>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</si>
  <si>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</si>
  <si>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</si>
  <si>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</si>
  <si>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</si>
  <si>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</si>
  <si>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</si>
  <si>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</si>
  <si>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</si>
  <si>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</si>
  <si>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</si>
  <si>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</si>
  <si>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</si>
  <si>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</si>
  <si>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</si>
  <si>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</si>
  <si>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</si>
  <si>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</si>
  <si>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</si>
  <si>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</si>
  <si>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</si>
  <si>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</si>
  <si>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</si>
  <si>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</si>
  <si>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</si>
  <si>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</si>
  <si>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</si>
  <si>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</si>
  <si>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</si>
  <si>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</si>
  <si>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</si>
  <si>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</si>
  <si>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</si>
  <si>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</si>
  <si>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</si>
  <si>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</si>
  <si>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</si>
  <si>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</si>
  <si>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</si>
  <si>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</si>
  <si>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</si>
  <si>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</si>
  <si>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</si>
  <si>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</si>
  <si>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</si>
  <si>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</si>
  <si>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</si>
  <si>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</si>
  <si>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</si>
  <si>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</si>
  <si>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</si>
  <si>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</si>
  <si>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</si>
  <si>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</si>
  <si>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</si>
  <si>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</si>
  <si>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</si>
  <si>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</si>
  <si>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</si>
  <si>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</si>
  <si>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</si>
  <si>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</si>
  <si>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</si>
  <si>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</si>
  <si>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</si>
  <si>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</si>
  <si>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</si>
  <si>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</si>
  <si>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</si>
  <si>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</si>
  <si>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</si>
  <si>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</si>
  <si>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</si>
  <si>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</si>
  <si>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</si>
  <si>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</si>
  <si>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</si>
  <si>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</si>
  <si>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</si>
  <si>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</si>
  <si>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</si>
  <si>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</si>
  <si>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</si>
  <si>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</si>
  <si>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</si>
  <si>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</si>
  <si>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</si>
  <si>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</si>
  <si>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</si>
  <si>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</si>
  <si>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</si>
  <si>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</si>
  <si>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</si>
  <si>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</si>
  <si>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</si>
  <si>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</si>
  <si>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</si>
  <si>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</si>
  <si>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</si>
  <si>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</si>
  <si>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</si>
  <si>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</si>
  <si>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</si>
  <si>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</si>
  <si>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</si>
  <si>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</si>
  <si>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</si>
  <si>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</si>
  <si>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</si>
  <si>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</si>
  <si>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</si>
  <si>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</si>
  <si>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</si>
  <si>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</si>
  <si>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</si>
  <si>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</si>
  <si>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</si>
  <si>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</si>
  <si>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</si>
  <si>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</si>
  <si>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</si>
  <si>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</si>
  <si>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</si>
  <si>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</si>
  <si>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</si>
  <si>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</si>
  <si>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</si>
  <si>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</si>
  <si>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</si>
  <si>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</si>
  <si>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</si>
  <si>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</si>
  <si>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</si>
  <si>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</si>
  <si>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</si>
  <si>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</si>
  <si>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</si>
  <si>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</si>
  <si>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</si>
  <si>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</si>
  <si>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</si>
  <si>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369</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</si>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</sst>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_gaming/status/137435906139158119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5036836762816515"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2006974032273409"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MagnificentSavageLionResidentSleeper-iqxh7JjaEGn-6K9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x.com/iusu_966/status/198277863791829006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x.com/iusu_966/status/197768172720534346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x.com/iusu_966/status/201940964416333041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x.com/iusu_966/status/202121542883651211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x.com/iusu_966/status/1983822186575266131"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x.com/iusu_966/status/197876291032832431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84925204333382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46890245917782034"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98169031677337226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265624499544490" TargetMode="External"/><Relationship Id="rId3524" Type="http://schemas.openxmlformats.org/officeDocument/2006/relationships/hyperlink" Target="https://twitter.com/HiyokoVideo/status/1447109177495621635" TargetMode="External"/><Relationship Id="rId3523" Type="http://schemas.openxmlformats.org/officeDocument/2006/relationships/hyperlink" Target="https://twitter.com/HiyokoVideo/status/1460578448959623177" TargetMode="External"/><Relationship Id="rId3526" Type="http://schemas.openxmlformats.org/officeDocument/2006/relationships/hyperlink" Target="https://twitter.com/HiyokoVideo/status/1386655995112288256" TargetMode="External"/><Relationship Id="rId3525" Type="http://schemas.openxmlformats.org/officeDocument/2006/relationships/hyperlink" Target="https://twitter.com/HiyokoVideo/status/1385998782345613317"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500345171943432"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incereFrailKiwiMcaT-cll-Z5LVUleWSJQj"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1205368603033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1804453924455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73273538799091723" TargetMode="External"/><Relationship Id="rId3521" Type="http://schemas.openxmlformats.org/officeDocument/2006/relationships/hyperlink" Target="https://twitter.com/HiyokoVideo/status/138849609218294170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61ZIILT3BzY"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45_DhuJsqOI"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zwKYh5fIKiE"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6dC2qWCsfig"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twitch.tv/videos/1082902080" TargetMode="External"/><Relationship Id="rId3558" Type="http://schemas.openxmlformats.org/officeDocument/2006/relationships/hyperlink" Target="https://youtu.be/PYAakrWfQx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yzAIJNz9yeQ"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K1nCKnWMVR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BRbu8H2UIhE"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hI8M3QDI7Ys"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NMknFeDydc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78361669"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wt9CAUQPahc" TargetMode="External"/><Relationship Id="rId3540" Type="http://schemas.openxmlformats.org/officeDocument/2006/relationships/hyperlink" Target="https://x.com/iusu_966/status/195851176678826818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x.com/iusu_966/status/189770173752983167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x.com/iusu_966/status/19961764619932389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www.twitch.tv/videos/2154404870?t=00h13m35s"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www.twitch.tv/redsmsr/clip/AttractiveMoistRatNinjaGrumpy-sP4pU83HUQTBuIh8"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lIdj4uOQerg?t=11699"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6-6Nekn-z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8I7D7nA__e4"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NNPXltghmL4"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8BDWIz596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Yt0zyR9tMF0"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Q5xt1Y5DP1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314rWkYHf6A" TargetMode="External"/><Relationship Id="rId4042" Type="http://schemas.openxmlformats.org/officeDocument/2006/relationships/hyperlink" Target="https://youtu.be/1xe-zs2KVf0" TargetMode="External"/><Relationship Id="rId4041" Type="http://schemas.openxmlformats.org/officeDocument/2006/relationships/hyperlink" Target="https://youtu.be/kySJxVHeP0U" TargetMode="External"/><Relationship Id="rId4044" Type="http://schemas.openxmlformats.org/officeDocument/2006/relationships/hyperlink" Target="https://youtu.be/A8KjkBjUfOk" TargetMode="External"/><Relationship Id="rId4043" Type="http://schemas.openxmlformats.org/officeDocument/2006/relationships/hyperlink" Target="https://youtu.be/3TQw0AW_aJU" TargetMode="External"/><Relationship Id="rId4046" Type="http://schemas.openxmlformats.org/officeDocument/2006/relationships/hyperlink" Target="https://www.youtube.com/watch?v=nFAborGQoIQ" TargetMode="External"/><Relationship Id="rId4045" Type="http://schemas.openxmlformats.org/officeDocument/2006/relationships/hyperlink" Target="https://youtu.be/vRD_ott4DpA"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uKJi0DIKtBY" TargetMode="External"/><Relationship Id="rId4030" Type="http://schemas.openxmlformats.org/officeDocument/2006/relationships/hyperlink" Target="https://youtu.be/e5e1Gop828s" TargetMode="External"/><Relationship Id="rId297" Type="http://schemas.openxmlformats.org/officeDocument/2006/relationships/hyperlink" Target="https://youtu.be/hOhXb3Gq06o" TargetMode="External"/><Relationship Id="rId4033" Type="http://schemas.openxmlformats.org/officeDocument/2006/relationships/hyperlink" Target="https://youtu.be/nTGmFqWJRyw" TargetMode="External"/><Relationship Id="rId296" Type="http://schemas.openxmlformats.org/officeDocument/2006/relationships/hyperlink" Target="https://youtu.be/pOcnQTxpOhg" TargetMode="External"/><Relationship Id="rId4032" Type="http://schemas.openxmlformats.org/officeDocument/2006/relationships/hyperlink" Target="https://youtu.be/cSFHM05liOE" TargetMode="External"/><Relationship Id="rId295" Type="http://schemas.openxmlformats.org/officeDocument/2006/relationships/hyperlink" Target="https://youtu.be/VcY4LWDnG0k" TargetMode="External"/><Relationship Id="rId4035" Type="http://schemas.openxmlformats.org/officeDocument/2006/relationships/hyperlink" Target="https://youtu.be/bIGrU1syHDY" TargetMode="External"/><Relationship Id="rId294" Type="http://schemas.openxmlformats.org/officeDocument/2006/relationships/hyperlink" Target="https://youtu.be/4V34DqQsuxs" TargetMode="External"/><Relationship Id="rId4034" Type="http://schemas.openxmlformats.org/officeDocument/2006/relationships/hyperlink" Target="https://youtu.be/MRWKcNQGTvM" TargetMode="External"/><Relationship Id="rId4037" Type="http://schemas.openxmlformats.org/officeDocument/2006/relationships/hyperlink" Target="https://youtu.be/V5dg32r_sOg" TargetMode="External"/><Relationship Id="rId4036" Type="http://schemas.openxmlformats.org/officeDocument/2006/relationships/hyperlink" Target="https://youtu.be/FYglbuzFuu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ZYcDtlRvM8" TargetMode="External"/><Relationship Id="rId298" Type="http://schemas.openxmlformats.org/officeDocument/2006/relationships/hyperlink" Target="https://youtu.be/4AJ2L7lXY6Q" TargetMode="External"/><Relationship Id="rId4038" Type="http://schemas.openxmlformats.org/officeDocument/2006/relationships/hyperlink" Target="https://youtu.be/RYYp3oKODso" TargetMode="External"/><Relationship Id="rId4060" Type="http://schemas.openxmlformats.org/officeDocument/2006/relationships/hyperlink" Target="https://www.youtube.com/watch?v=ABGOgReoYkg" TargetMode="External"/><Relationship Id="rId4062" Type="http://schemas.openxmlformats.org/officeDocument/2006/relationships/hyperlink" Target="https://www.youtube.com/watch?v=LvIg-evunV8" TargetMode="External"/><Relationship Id="rId4061" Type="http://schemas.openxmlformats.org/officeDocument/2006/relationships/hyperlink" Target="https://www.youtube.com/watch?v=gzUXXtTt4nU" TargetMode="External"/><Relationship Id="rId4064" Type="http://schemas.openxmlformats.org/officeDocument/2006/relationships/hyperlink" Target="https://www.youtube.com/watch?v=qXYDyZM1szs" TargetMode="External"/><Relationship Id="rId4063" Type="http://schemas.openxmlformats.org/officeDocument/2006/relationships/hyperlink" Target="https://www.youtube.com/watch?v=djpYdinwdWs" TargetMode="External"/><Relationship Id="rId4066" Type="http://schemas.openxmlformats.org/officeDocument/2006/relationships/hyperlink" Target="https://www.twitch.tv/videos/856216849" TargetMode="External"/><Relationship Id="rId4065" Type="http://schemas.openxmlformats.org/officeDocument/2006/relationships/hyperlink" Target="https://www.twitch.tv/videos/924471122" TargetMode="External"/><Relationship Id="rId4068" Type="http://schemas.openxmlformats.org/officeDocument/2006/relationships/hyperlink" Target="https://www.twitch.tv/videos/1623676612" TargetMode="External"/><Relationship Id="rId4067" Type="http://schemas.openxmlformats.org/officeDocument/2006/relationships/hyperlink" Target="https://youtu.be/_m4RGK97kEg" TargetMode="External"/><Relationship Id="rId4069" Type="http://schemas.openxmlformats.org/officeDocument/2006/relationships/hyperlink" Target="https://youtu.be/KgBMbyOExTE" TargetMode="External"/><Relationship Id="rId4051" Type="http://schemas.openxmlformats.org/officeDocument/2006/relationships/hyperlink" Target="https://youtu.be/yZc7PHqxROY"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zXqDdDpJsaY" TargetMode="External"/><Relationship Id="rId4052" Type="http://schemas.openxmlformats.org/officeDocument/2006/relationships/hyperlink" Target="https://www.youtube.com/watch?v=Yd8E5eorTcc&amp;feature=youtu.be" TargetMode="External"/><Relationship Id="rId4055" Type="http://schemas.openxmlformats.org/officeDocument/2006/relationships/hyperlink" Target="https://youtu.be/LR7-pLYq8ms" TargetMode="External"/><Relationship Id="rId4054" Type="http://schemas.openxmlformats.org/officeDocument/2006/relationships/hyperlink" Target="https://youtu.be/iZi92oX7OFc" TargetMode="External"/><Relationship Id="rId4057" Type="http://schemas.openxmlformats.org/officeDocument/2006/relationships/hyperlink" Target="https://www.youtube.com/watch?v=-VZeV5aR2Gc" TargetMode="External"/><Relationship Id="rId4056" Type="http://schemas.openxmlformats.org/officeDocument/2006/relationships/hyperlink" Target="https://www.youtube.com/watch?v=4txGCrw2IKU&amp;feature=youtu.be" TargetMode="External"/><Relationship Id="rId4059" Type="http://schemas.openxmlformats.org/officeDocument/2006/relationships/hyperlink" Target="https://www.youtube.com/watch?v=f17gzDXlYEI" TargetMode="External"/><Relationship Id="rId4058" Type="http://schemas.openxmlformats.org/officeDocument/2006/relationships/hyperlink" Target="https://www.youtube.com/watch?v=k-c9j9gTfWI" TargetMode="External"/><Relationship Id="rId4008" Type="http://schemas.openxmlformats.org/officeDocument/2006/relationships/hyperlink" Target="https://youtu.be/XhH95jrBA9Y" TargetMode="External"/><Relationship Id="rId4007" Type="http://schemas.openxmlformats.org/officeDocument/2006/relationships/hyperlink" Target="https://youtu.be/pWR1aBoKX_k" TargetMode="External"/><Relationship Id="rId4009" Type="http://schemas.openxmlformats.org/officeDocument/2006/relationships/hyperlink" Target="https://youtu.be/-fI8sHQdy1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JuhZoiiATI"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qhwA36z0Tg" TargetMode="External"/><Relationship Id="rId267" Type="http://schemas.openxmlformats.org/officeDocument/2006/relationships/hyperlink" Target="https://youtu.be/FF63DIA_80g" TargetMode="External"/><Relationship Id="rId4003" Type="http://schemas.openxmlformats.org/officeDocument/2006/relationships/hyperlink" Target="https://youtu.be/htKV7SAmVTg" TargetMode="External"/><Relationship Id="rId266" Type="http://schemas.openxmlformats.org/officeDocument/2006/relationships/hyperlink" Target="https://youtu.be/616RKFgz2l8" TargetMode="External"/><Relationship Id="rId4006" Type="http://schemas.openxmlformats.org/officeDocument/2006/relationships/hyperlink" Target="https://youtu.be/SJLwy4WdsQw" TargetMode="External"/><Relationship Id="rId265" Type="http://schemas.openxmlformats.org/officeDocument/2006/relationships/hyperlink" Target="https://youtu.be/-8gR58RJ30E" TargetMode="External"/><Relationship Id="rId4005" Type="http://schemas.openxmlformats.org/officeDocument/2006/relationships/hyperlink" Target="https://youtu.be/3irK5q5_xD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fEDbHEzpo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0R6LxUQfWiE" TargetMode="External"/><Relationship Id="rId286" Type="http://schemas.openxmlformats.org/officeDocument/2006/relationships/hyperlink" Target="https://youtu.be/wRQnzQfCIL8" TargetMode="External"/><Relationship Id="rId4022" Type="http://schemas.openxmlformats.org/officeDocument/2006/relationships/hyperlink" Target="https://youtu.be/98SGO8vM21Y" TargetMode="External"/><Relationship Id="rId285" Type="http://schemas.openxmlformats.org/officeDocument/2006/relationships/hyperlink" Target="https://youtu.be/ZYySXtt1Uf4" TargetMode="External"/><Relationship Id="rId4021" Type="http://schemas.openxmlformats.org/officeDocument/2006/relationships/hyperlink" Target="https://youtu.be/nNwMb86Q1ZU" TargetMode="External"/><Relationship Id="rId284" Type="http://schemas.openxmlformats.org/officeDocument/2006/relationships/hyperlink" Target="https://youtu.be/REatB2dScPA" TargetMode="External"/><Relationship Id="rId4024" Type="http://schemas.openxmlformats.org/officeDocument/2006/relationships/hyperlink" Target="https://youtu.be/tYqUmqW3sac" TargetMode="External"/><Relationship Id="rId283" Type="http://schemas.openxmlformats.org/officeDocument/2006/relationships/hyperlink" Target="https://youtu.be/a46h4NnnmFE" TargetMode="External"/><Relationship Id="rId4023" Type="http://schemas.openxmlformats.org/officeDocument/2006/relationships/hyperlink" Target="https://youtu.be/31NvcqsVwNs" TargetMode="External"/><Relationship Id="rId4026" Type="http://schemas.openxmlformats.org/officeDocument/2006/relationships/hyperlink" Target="https://youtu.be/xEAVWZHWu9I" TargetMode="External"/><Relationship Id="rId289" Type="http://schemas.openxmlformats.org/officeDocument/2006/relationships/hyperlink" Target="https://youtu.be/7LBh_C4J5iY" TargetMode="External"/><Relationship Id="rId4025" Type="http://schemas.openxmlformats.org/officeDocument/2006/relationships/hyperlink" Target="https://youtu.be/_nkkxtlbZKM" TargetMode="External"/><Relationship Id="rId288" Type="http://schemas.openxmlformats.org/officeDocument/2006/relationships/hyperlink" Target="https://youtu.be/qK3aFC51SKo" TargetMode="External"/><Relationship Id="rId4028" Type="http://schemas.openxmlformats.org/officeDocument/2006/relationships/hyperlink" Target="https://youtu.be/2TWqv26IzoI" TargetMode="External"/><Relationship Id="rId287" Type="http://schemas.openxmlformats.org/officeDocument/2006/relationships/hyperlink" Target="https://youtu.be/diJARAvgurA" TargetMode="External"/><Relationship Id="rId4027" Type="http://schemas.openxmlformats.org/officeDocument/2006/relationships/hyperlink" Target="https://youtu.be/m5m6TRv0iY0" TargetMode="External"/><Relationship Id="rId4019" Type="http://schemas.openxmlformats.org/officeDocument/2006/relationships/hyperlink" Target="https://youtu.be/JIDZVaiH1Zw" TargetMode="External"/><Relationship Id="rId4018" Type="http://schemas.openxmlformats.org/officeDocument/2006/relationships/hyperlink" Target="https://youtu.be/rOU7bKPl8e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h_-mWwvac" TargetMode="External"/><Relationship Id="rId274" Type="http://schemas.openxmlformats.org/officeDocument/2006/relationships/hyperlink" Target="https://youtu.be/KEPDHGq7JW4" TargetMode="External"/><Relationship Id="rId4010" Type="http://schemas.openxmlformats.org/officeDocument/2006/relationships/hyperlink" Target="https://youtu.be/2cNmPluoiBc" TargetMode="External"/><Relationship Id="rId273" Type="http://schemas.openxmlformats.org/officeDocument/2006/relationships/hyperlink" Target="https://youtu.be/gnK5yFupTaI" TargetMode="External"/><Relationship Id="rId4013" Type="http://schemas.openxmlformats.org/officeDocument/2006/relationships/hyperlink" Target="https://youtu.be/q-a2kRPjabE" TargetMode="External"/><Relationship Id="rId272" Type="http://schemas.openxmlformats.org/officeDocument/2006/relationships/hyperlink" Target="https://youtu.be/Oe-Tt9IwsYM" TargetMode="External"/><Relationship Id="rId4012" Type="http://schemas.openxmlformats.org/officeDocument/2006/relationships/hyperlink" Target="https://youtu.be/P5TEGCkaQoo" TargetMode="External"/><Relationship Id="rId279" Type="http://schemas.openxmlformats.org/officeDocument/2006/relationships/hyperlink" Target="https://youtu.be/qZzAKqi_Pa8" TargetMode="External"/><Relationship Id="rId4015" Type="http://schemas.openxmlformats.org/officeDocument/2006/relationships/hyperlink" Target="https://youtu.be/XAu3Fm_KLtA" TargetMode="External"/><Relationship Id="rId278" Type="http://schemas.openxmlformats.org/officeDocument/2006/relationships/hyperlink" Target="https://youtu.be/Vmgl-339amU" TargetMode="External"/><Relationship Id="rId4014" Type="http://schemas.openxmlformats.org/officeDocument/2006/relationships/hyperlink" Target="https://youtu.be/c5ivIu3KTNc" TargetMode="External"/><Relationship Id="rId277" Type="http://schemas.openxmlformats.org/officeDocument/2006/relationships/hyperlink" Target="https://youtu.be/Fzsesuu4JWs" TargetMode="External"/><Relationship Id="rId4017" Type="http://schemas.openxmlformats.org/officeDocument/2006/relationships/hyperlink" Target="https://youtu.be/jGlEU5DpyVo" TargetMode="External"/><Relationship Id="rId276" Type="http://schemas.openxmlformats.org/officeDocument/2006/relationships/hyperlink" Target="https://youtu.be/vUHRRCpQoEw" TargetMode="External"/><Relationship Id="rId4016" Type="http://schemas.openxmlformats.org/officeDocument/2006/relationships/hyperlink" Target="https://youtu.be/103Y3OMf0aQ"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m-e9xTt4F-I" TargetMode="External"/><Relationship Id="rId4082" Type="http://schemas.openxmlformats.org/officeDocument/2006/relationships/hyperlink" Target="https://www.youtube.com/watch?v=R4IxK2k5dl0&amp;" TargetMode="External"/><Relationship Id="rId4081" Type="http://schemas.openxmlformats.org/officeDocument/2006/relationships/hyperlink" Target="https://www.youtube.com/watch?v=HPXO9760duU&amp;" TargetMode="External"/><Relationship Id="rId4084" Type="http://schemas.openxmlformats.org/officeDocument/2006/relationships/hyperlink" Target="https://www.youtube.com/watch?v=xWCGegw2YqQ" TargetMode="External"/><Relationship Id="rId4083" Type="http://schemas.openxmlformats.org/officeDocument/2006/relationships/hyperlink" Target="https://www.youtube.com/watch?v=PCcI6CIPGqk" TargetMode="External"/><Relationship Id="rId4086" Type="http://schemas.openxmlformats.org/officeDocument/2006/relationships/hyperlink" Target="https://www.twitch.tv/fluddkoopa64/clip/NurturingCallousWalrusAMPEnergy-pvOLvjvgfM16H-f1" TargetMode="External"/><Relationship Id="rId4085" Type="http://schemas.openxmlformats.org/officeDocument/2006/relationships/hyperlink" Target="https://www.youtube.com/watch?v=oO5-I1f_Syo" TargetMode="External"/><Relationship Id="rId4088" Type="http://schemas.openxmlformats.org/officeDocument/2006/relationships/hyperlink" Target="https://youtu.be/FlN2_O7DfD0" TargetMode="External"/><Relationship Id="rId4087" Type="http://schemas.openxmlformats.org/officeDocument/2006/relationships/hyperlink" Target="https://youtu.be/o5dbUxuaK9U?si=o7oJd5VtsmvnHXhI" TargetMode="External"/><Relationship Id="rId4089" Type="http://schemas.openxmlformats.org/officeDocument/2006/relationships/hyperlink" Target="https://youtu.be/2EOO7jxsV5U"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gcVpECSav8" TargetMode="External"/><Relationship Id="rId4070" Type="http://schemas.openxmlformats.org/officeDocument/2006/relationships/hyperlink" Target="https://youtu.be/bGDn8Xgn3_4" TargetMode="External"/><Relationship Id="rId4073" Type="http://schemas.openxmlformats.org/officeDocument/2006/relationships/hyperlink" Target="https://www.youtube.com/watch?v=DFSFi_y42_4" TargetMode="External"/><Relationship Id="rId4072" Type="http://schemas.openxmlformats.org/officeDocument/2006/relationships/hyperlink" Target="https://youtu.be/Jnv7ihiQs6o?si=p089VCWihnt2eD8h" TargetMode="External"/><Relationship Id="rId4075" Type="http://schemas.openxmlformats.org/officeDocument/2006/relationships/hyperlink" Target="https://www.twitch.tv/weird__th/clip/TacitCheerfulApeANELE-du21r-ixc_DVvlUi" TargetMode="External"/><Relationship Id="rId4074" Type="http://schemas.openxmlformats.org/officeDocument/2006/relationships/hyperlink" Target="https://youtu.be/m3di6ACAgl4" TargetMode="External"/><Relationship Id="rId4077" Type="http://schemas.openxmlformats.org/officeDocument/2006/relationships/hyperlink" Target="https://www.youtube.com/watch?v=JVJuFsqyJ7Q" TargetMode="External"/><Relationship Id="rId4076" Type="http://schemas.openxmlformats.org/officeDocument/2006/relationships/hyperlink" Target="https://clips.twitch.tv/BoredGrossSageResidentSleeper-RoadRockbjIdqeRh" TargetMode="External"/><Relationship Id="rId4079" Type="http://schemas.openxmlformats.org/officeDocument/2006/relationships/hyperlink" Target="https://youtu.be/7o-futAzycw" TargetMode="External"/><Relationship Id="rId4078" Type="http://schemas.openxmlformats.org/officeDocument/2006/relationships/hyperlink" Target="https://youtu.be/hOM8hYJojH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rbfx7hopa4Y" TargetMode="External"/><Relationship Id="rId4090" Type="http://schemas.openxmlformats.org/officeDocument/2006/relationships/hyperlink" Target="https://youtu.be/HDQ8D9h8cmU" TargetMode="External"/><Relationship Id="rId4093" Type="http://schemas.openxmlformats.org/officeDocument/2006/relationships/hyperlink" Target="https://youtu.be/LDbyaU-StcA" TargetMode="External"/><Relationship Id="rId4092" Type="http://schemas.openxmlformats.org/officeDocument/2006/relationships/hyperlink" Target="https://youtu.be/ODe_uhQOVmw" TargetMode="External"/><Relationship Id="rId4095" Type="http://schemas.openxmlformats.org/officeDocument/2006/relationships/hyperlink" Target="https://youtu.be/1HDBaMUS5Dw" TargetMode="External"/><Relationship Id="rId4094" Type="http://schemas.openxmlformats.org/officeDocument/2006/relationships/hyperlink" Target="https://youtu.be/DbYuwmBoZ5A" TargetMode="External"/><Relationship Id="rId4097" Type="http://schemas.openxmlformats.org/officeDocument/2006/relationships/hyperlink" Target="https://twitter.com/zelpikukirby/status/1295234878305271808" TargetMode="External"/><Relationship Id="rId4096" Type="http://schemas.openxmlformats.org/officeDocument/2006/relationships/hyperlink" Target="https://youtu.be/Bg5NdxwizTY" TargetMode="External"/><Relationship Id="rId4099" Type="http://schemas.openxmlformats.org/officeDocument/2006/relationships/hyperlink" Target="https://clips.twitch.tv/FantasticHumbleNuggetsAMPTropPunch-8vOucFusTrXlS3mn" TargetMode="External"/><Relationship Id="rId4098" Type="http://schemas.openxmlformats.org/officeDocument/2006/relationships/hyperlink" Target="https://youtu.be/7fwDH3Vvugs"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OEN9ux8xfE4" TargetMode="External"/><Relationship Id="rId4106" Type="http://schemas.openxmlformats.org/officeDocument/2006/relationships/hyperlink" Target="https://www.youtube.com/watch?v=bLwqganoodE" TargetMode="External"/><Relationship Id="rId4109" Type="http://schemas.openxmlformats.org/officeDocument/2006/relationships/hyperlink" Target="https://www.youtube.com/watch?v=zuhk9lBcLvg" TargetMode="External"/><Relationship Id="rId4108" Type="http://schemas.openxmlformats.org/officeDocument/2006/relationships/hyperlink" Target="https://www.twitch.tv/videos/184125173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romeozhere/clip/FrigidOutstandingZucchiniRaccAttack-SxFnBd2P3vNnzc3S"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MqUb5dUiZ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VdsKTXs-U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SrUwkGFzCE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4jVt_16yU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6Nt3IRc9yT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JsuKK_e0gN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hxqKuvCqz6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OKO9wIkM7as"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www.youtube.com/watch?v=b-wHqbQ15Z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clips.twitch.tv/CoweringAffluentGazelleMVGame-2lym0QMvFNPpiY4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cvY3gE6o3eU"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zo70nuD-XL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clips.twitch.tv/TameFaintBottleYee-IEkbSrtMvnFQwhHW"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LxCr_8S1PC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1.xm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3.xml"/><Relationship Id="rId4124" Type="http://schemas.openxmlformats.org/officeDocument/2006/relationships/table" Target="../tables/table2.xml"/><Relationship Id="rId4118" Type="http://schemas.openxmlformats.org/officeDocument/2006/relationships/drawing" Target="../drawings/drawing2.xml"/><Relationship Id="rId4117" Type="http://schemas.openxmlformats.org/officeDocument/2006/relationships/hyperlink" Target="https://www.youtube.com/watch?v=YxaJDqTfNGk" TargetMode="External"/><Relationship Id="rId4119" Type="http://schemas.openxmlformats.org/officeDocument/2006/relationships/vmlDrawing" Target="../drawings/vmlDrawing1.v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DxeBCVnAtNQ"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caU8VP9BHr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aCHqyWs984"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34"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18" TargetMode="External"/><Relationship Id="rId4116" Type="http://schemas.openxmlformats.org/officeDocument/2006/relationships/hyperlink" Target="https://youtu.be/Qmg_xLCSSbA" TargetMode="External"/><Relationship Id="rId4115" Type="http://schemas.openxmlformats.org/officeDocument/2006/relationships/hyperlink" Target="https://www.youtube.com/watch?v=gRryQt-bhA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EaYD0fWcsg"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qN34iZMymLw"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www.youtube.com/watch?v=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KYZNySrslfk"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trYi0VCJE54"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ioQ_htK8yrE"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uDn0dR839pg"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DuVyWFjd-2A"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RivQW7e81Io"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www.twitch.tv/videos/681678115"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TallDistinctAniseFrankerZ-3S4o-2k1o4GqXMhX"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97534"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9858"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LCSY9YY_piU"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youtu.be/WTSwJDjIKMg"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aTWt7MaiD2c" TargetMode="External"/><Relationship Id="rId3740" Type="http://schemas.openxmlformats.org/officeDocument/2006/relationships/hyperlink" Target="https://clips.twitch.tv/SaltyCrispyIcecreamWoofer"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MoldyRelatedTrollBatChest-WcJP5jR_ykR-S_WD"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HomelyPlausibleFloofBCWarrior-sSytr9fCDheZ_hD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Tha7_fjkWIU"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I7pAJQ_6f3w"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qCLfhQAaJoM%5C"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YCBN8O8dVJ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n7ID9ScAkc"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fd6_7meeF5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SnliE5bQ-n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0Hwip54es7g"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e7lz1Qg2qTA"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uaFcvYbESH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7PeU1iWA2ro"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JJ_VC6uEsx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TAwydb697hQ"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q8XoC6L5V3Y"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l-J95YPF38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BZnsD_7Mz8"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bb7FpVYgK9M"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qZ1Z4KmwZG0"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5zXuiTlBoU0"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ptAIiXvgE8E" TargetMode="External"/><Relationship Id="rId3711" Type="http://schemas.openxmlformats.org/officeDocument/2006/relationships/hyperlink" Target="https://clips.twitch.tv/FilthyTalentedQuailStinkyCheese" TargetMode="External"/><Relationship Id="rId3710" Type="http://schemas.openxmlformats.org/officeDocument/2006/relationships/hyperlink" Target="https://clips.twitch.tv/RichSpineyBubbleteaM4xHeh-fIFup2DAWZcRVyHK" TargetMode="External"/><Relationship Id="rId3713" Type="http://schemas.openxmlformats.org/officeDocument/2006/relationships/hyperlink" Target="https://clips.twitch.tv/SassyBeautifulShrewSMOrc" TargetMode="External"/><Relationship Id="rId3712" Type="http://schemas.openxmlformats.org/officeDocument/2006/relationships/hyperlink" Target="https://clips.twitch.tv/WealthyIcyNeanderthalFreakinStinkin" TargetMode="External"/><Relationship Id="rId3715" Type="http://schemas.openxmlformats.org/officeDocument/2006/relationships/hyperlink" Target="https://youtu.be/MHz8svxTCuM" TargetMode="External"/><Relationship Id="rId3714" Type="http://schemas.openxmlformats.org/officeDocument/2006/relationships/hyperlink" Target="https://clips.twitch.tv/RefinedSmallBobaOhMyDog" TargetMode="External"/><Relationship Id="rId3717" Type="http://schemas.openxmlformats.org/officeDocument/2006/relationships/hyperlink" Target="https://youtu.be/DNEOspNb5ak" TargetMode="External"/><Relationship Id="rId3716" Type="http://schemas.openxmlformats.org/officeDocument/2006/relationships/hyperlink" Target="https://youtu.be/PXAYZ7142aY" TargetMode="External"/><Relationship Id="rId3719" Type="http://schemas.openxmlformats.org/officeDocument/2006/relationships/hyperlink" Target="https://youtu.be/cdfP2AK7VPI" TargetMode="External"/><Relationship Id="rId3718" Type="http://schemas.openxmlformats.org/officeDocument/2006/relationships/hyperlink" Target="https://youtu.be/25AeESPcxzg"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www.youtube.com/watch?v=Kmsg5bdlTP0"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www.youtube.com/watch?v=Sm6zF3jKCd8" TargetMode="External"/><Relationship Id="rId3703" Type="http://schemas.openxmlformats.org/officeDocument/2006/relationships/hyperlink" Target="https://www.youtube.com/watch?v=IkLea14rpLY" TargetMode="External"/><Relationship Id="rId3706" Type="http://schemas.openxmlformats.org/officeDocument/2006/relationships/hyperlink" Target="https://www.youtube.com/watch?v=-1GMC0eWiwM" TargetMode="External"/><Relationship Id="rId3705" Type="http://schemas.openxmlformats.org/officeDocument/2006/relationships/hyperlink" Target="https://www.youtube.com/watch?v=cy0EVsg_YNQ" TargetMode="External"/><Relationship Id="rId3708" Type="http://schemas.openxmlformats.org/officeDocument/2006/relationships/hyperlink" Target="https://www.youtube.com/watch?v=SjGJSNNiG7c" TargetMode="External"/><Relationship Id="rId3707" Type="http://schemas.openxmlformats.org/officeDocument/2006/relationships/hyperlink" Target="https://clips.twitch.tv/BoldDaintyHamburgerDoggo-HwljQ6lnz6OyXn3N" TargetMode="External"/><Relationship Id="rId3709" Type="http://schemas.openxmlformats.org/officeDocument/2006/relationships/hyperlink" Target="https://www.youtube.com/watch?v=Ha1CEnqV7r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ViscousRepleteGoldfishPanicBasket-YqdRyFXSK23tLcD3"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EncouragingSecretiveLlamaDoggo-bwQ_C8eP-5aDg2tv"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FriendlyAffluentTofuYouWHY-UP1xCokl0WqaQm4g"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957409450"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ClumsyCrepuscularPlumageNerfBlueBlaster-heP3VC5LrNVyumjo"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ViscousBloodyCheeseSpicyBoy"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SnappyPoorZebraTwitchRaid"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TrustworthyBoldFishGivePLZ-Po2fD7at-sek261_" TargetMode="External"/><Relationship Id="rId2409" Type="http://schemas.openxmlformats.org/officeDocument/2006/relationships/hyperlink" Target="https://www.twitch.tv/videos/2247616068" TargetMode="External"/><Relationship Id="rId3731" Type="http://schemas.openxmlformats.org/officeDocument/2006/relationships/hyperlink" Target="https://www.twitch.tv/videos/885940624"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TenderUninterestedBisonEleGiggle-mdGTz9P-vvJ_SomS"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youtu.be/U69TxGBhuZk" TargetMode="External"/><Relationship Id="rId3723" Type="http://schemas.openxmlformats.org/officeDocument/2006/relationships/hyperlink" Target="https://youtu.be/z6Uwjc_hKd4?si=7NzvT-tHwIvdinS5"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qleQ6WuOGHQ"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clips.twitch.tv/HyperDaintyShallotCoolCat-ndROv_i6E4CKkm7N"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g46wtxXYhtM"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5XoJ7OWgZcY"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_kZDP23puk" TargetMode="External"/><Relationship Id="rId2460" Type="http://schemas.openxmlformats.org/officeDocument/2006/relationships/hyperlink" Target="https://youtu.be/yIz9wnY5hAg" TargetMode="External"/><Relationship Id="rId3790" Type="http://schemas.openxmlformats.org/officeDocument/2006/relationships/hyperlink" Target="https://youtu.be/3pAUOrxc8XE"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Xkor6JcyZu0"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rGwUTVf4_e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9hqIgI8Ib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4YT0gKWYQ7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8bbcpUEnYm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PriW-YP0H10"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wrP9euGtus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CLlr_Dz3qIU"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UJzBV8reGT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nbpapEQqI" TargetMode="External"/><Relationship Id="rId2450" Type="http://schemas.openxmlformats.org/officeDocument/2006/relationships/hyperlink" Target="https://youtu.be/gSWUegi2i44" TargetMode="External"/><Relationship Id="rId3782" Type="http://schemas.openxmlformats.org/officeDocument/2006/relationships/hyperlink" Target="https://youtu.be/j5XqeKoIu_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2qSsPg1K_i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lwHw8i-g_P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9s0LXHFNAp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7ZJG2yy5hf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Kq6ei9mgLgA"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W54mM9GIV0" TargetMode="External"/><Relationship Id="rId3812" Type="http://schemas.openxmlformats.org/officeDocument/2006/relationships/hyperlink" Target="https://clips.twitch.tv/ClearTangibleOryxOMGScoots-RUJeu6MdrRyS8XMp" TargetMode="External"/><Relationship Id="rId3811" Type="http://schemas.openxmlformats.org/officeDocument/2006/relationships/hyperlink" Target="https://youtu.be/aI2boBx2egA" TargetMode="External"/><Relationship Id="rId3814" Type="http://schemas.openxmlformats.org/officeDocument/2006/relationships/hyperlink" Target="https://youtu.be/S2yDCubR2o4" TargetMode="External"/><Relationship Id="rId3813" Type="http://schemas.openxmlformats.org/officeDocument/2006/relationships/hyperlink" Target="https://youtu.be/Df8m_IV4vrA" TargetMode="External"/><Relationship Id="rId3816" Type="http://schemas.openxmlformats.org/officeDocument/2006/relationships/hyperlink" Target="https://www.youtube.com/watch?v=5NFV4JlVEhg" TargetMode="External"/><Relationship Id="rId3815" Type="http://schemas.openxmlformats.org/officeDocument/2006/relationships/hyperlink" Target="https://youtu.be/fNVSKf4AXPg" TargetMode="External"/><Relationship Id="rId3818" Type="http://schemas.openxmlformats.org/officeDocument/2006/relationships/hyperlink" Target="https://youtu.be/zlsxUCl28VA" TargetMode="External"/><Relationship Id="rId3817" Type="http://schemas.openxmlformats.org/officeDocument/2006/relationships/hyperlink" Target="https://www.youtube.com/watch?v=RjXUBXs_PiQ" TargetMode="External"/><Relationship Id="rId3819" Type="http://schemas.openxmlformats.org/officeDocument/2006/relationships/hyperlink" Target="https://youtu.be/NqCh1AR43cg" TargetMode="External"/><Relationship Id="rId3801" Type="http://schemas.openxmlformats.org/officeDocument/2006/relationships/hyperlink" Target="https://youtu.be/Eb9BhmGD1ss" TargetMode="External"/><Relationship Id="rId3800" Type="http://schemas.openxmlformats.org/officeDocument/2006/relationships/hyperlink" Target="https://youtu.be/HF3rMsvgnpU" TargetMode="External"/><Relationship Id="rId3803" Type="http://schemas.openxmlformats.org/officeDocument/2006/relationships/hyperlink" Target="https://www.youtube.com/watch?v=BlTsOFlPgME" TargetMode="External"/><Relationship Id="rId3802" Type="http://schemas.openxmlformats.org/officeDocument/2006/relationships/hyperlink" Target="https://youtu.be/Y2uUOIFXt-k" TargetMode="External"/><Relationship Id="rId3805" Type="http://schemas.openxmlformats.org/officeDocument/2006/relationships/hyperlink" Target="https://www.youtube.com/watch?v=LLV-ujq1ytc" TargetMode="External"/><Relationship Id="rId3804" Type="http://schemas.openxmlformats.org/officeDocument/2006/relationships/hyperlink" Target="https://www.twitch.tv/videos/923267417" TargetMode="External"/><Relationship Id="rId3807" Type="http://schemas.openxmlformats.org/officeDocument/2006/relationships/hyperlink" Target="https://clips.twitch.tv/DependableWimpyPlumberNerfRedBlaster-l0N1ltNqN24DfqO-" TargetMode="External"/><Relationship Id="rId3806" Type="http://schemas.openxmlformats.org/officeDocument/2006/relationships/hyperlink" Target="https://clips.twitch.tv/EmpathicBlitheMouseCclamChamp-vw9pV9yJ-0wMcIEx" TargetMode="External"/><Relationship Id="rId3809" Type="http://schemas.openxmlformats.org/officeDocument/2006/relationships/hyperlink" Target="https://youtu.be/oDxj7CTWpxg" TargetMode="External"/><Relationship Id="rId3808" Type="http://schemas.openxmlformats.org/officeDocument/2006/relationships/hyperlink" Target="https://clips.twitch.tv/BlindingWittySquidArsonNoSexy-an14cMVazpBQ8zTL"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ewGQiYOg6F4"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BzPxFP5PIps"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hfxXpN4iAks"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x4wUe8VzFL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_BiWC77BP3o" TargetMode="External"/><Relationship Id="rId1219" Type="http://schemas.openxmlformats.org/officeDocument/2006/relationships/hyperlink" Target="https://youtu.be/tAAvzoOfUkg" TargetMode="External"/><Relationship Id="rId3870" Type="http://schemas.openxmlformats.org/officeDocument/2006/relationships/hyperlink" Target="https://youtu.be/J8p3S2OGWbY" TargetMode="External"/><Relationship Id="rId2540" Type="http://schemas.openxmlformats.org/officeDocument/2006/relationships/hyperlink" Target="https://youtu.be/GdLrIFLMKmE" TargetMode="External"/><Relationship Id="rId3872" Type="http://schemas.openxmlformats.org/officeDocument/2006/relationships/hyperlink" Target="https://youtu.be/YQQ0q65ToQQ"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OSNXTmoonnM"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Mo3ZBMPIrU"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mEmDaTtNmiw"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WYCGplnVh4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_5EE7piEfdA"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youtu.be/IA9rZ_hatPE"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clips.twitch.tv/IgnorantInexpensiveWhaleAMPEnergyCherry-0_APFnMlwRxp93Up"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3Ovu89Qc6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npPbGmcpwTg"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vc2vKpA4W0o" TargetMode="External"/><Relationship Id="rId2530" Type="http://schemas.openxmlformats.org/officeDocument/2006/relationships/hyperlink" Target="https://youtu.be/a4ItpBSNA8Q" TargetMode="External"/><Relationship Id="rId3860" Type="http://schemas.openxmlformats.org/officeDocument/2006/relationships/hyperlink" Target="https://www.youtube.com/watch?v=w5Gjm0FOXn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www.youtube.com/watch?v=xILNN4X1Sug"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gl9c1qhsTT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2443207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www.twitch.tv/videos/1230321696"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UnsightlyObservantCrabsKappaClaus-1ZkgEyeYp8b3WKgQ"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Fv2JXpwzPA"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H3JDwX7khMg"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APN1OdPY8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clips.twitch.tv/OpenSwissHorseradishPlanking-F6U4Rdie9N3lGJTB"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lDJUqcUgN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mericanTardyDugongSpicyBoy-u5HRN4Pv98XlV4QZ"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AdorableAuspiciousPonyOMGScoots-cOHUPAy5-HX8cTlY"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dRTrvAdi71A"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CgWCSuJ5jn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5ezTSko_BOU"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X-8cgwjxb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YAMDglE01Tg" TargetMode="External"/><Relationship Id="rId2550" Type="http://schemas.openxmlformats.org/officeDocument/2006/relationships/hyperlink" Target="https://youtu.be/z_N0nSOqbO0" TargetMode="External"/><Relationship Id="rId3880" Type="http://schemas.openxmlformats.org/officeDocument/2006/relationships/hyperlink" Target="https://youtu.be/PW3RefbTtj8"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www.youtube.com/watch?v=NBnUp-T3fhc"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djpRgtYWDDw"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gsTC2weC5Ok"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odXAa6vbdas" TargetMode="External"/><Relationship Id="rId2500" Type="http://schemas.openxmlformats.org/officeDocument/2006/relationships/hyperlink" Target="https://youtu.be/TZ-9-A8DC3o" TargetMode="External"/><Relationship Id="rId3832" Type="http://schemas.openxmlformats.org/officeDocument/2006/relationships/hyperlink" Target="https://youtu.be/L3JP_GvYE7c" TargetMode="External"/><Relationship Id="rId2501" Type="http://schemas.openxmlformats.org/officeDocument/2006/relationships/hyperlink" Target="https://youtu.be/1qw4AWxMhrE" TargetMode="External"/><Relationship Id="rId3831" Type="http://schemas.openxmlformats.org/officeDocument/2006/relationships/hyperlink" Target="https://youtu.be/is_vY-GrcvA" TargetMode="External"/><Relationship Id="rId2502" Type="http://schemas.openxmlformats.org/officeDocument/2006/relationships/hyperlink" Target="https://youtu.be/RUgqny8h0sQ" TargetMode="External"/><Relationship Id="rId3834" Type="http://schemas.openxmlformats.org/officeDocument/2006/relationships/hyperlink" Target="https://youtu.be/S2-pKof3drs" TargetMode="External"/><Relationship Id="rId2503" Type="http://schemas.openxmlformats.org/officeDocument/2006/relationships/hyperlink" Target="https://youtu.be/9-4Sx88Rrlk" TargetMode="External"/><Relationship Id="rId3833" Type="http://schemas.openxmlformats.org/officeDocument/2006/relationships/hyperlink" Target="https://youtu.be/69ic33AvIaQ" TargetMode="External"/><Relationship Id="rId2504" Type="http://schemas.openxmlformats.org/officeDocument/2006/relationships/hyperlink" Target="https://youtu.be/qFyGDuNYB1Y" TargetMode="External"/><Relationship Id="rId3836" Type="http://schemas.openxmlformats.org/officeDocument/2006/relationships/hyperlink" Target="https://youtu.be/gs6T_sN1V7s" TargetMode="External"/><Relationship Id="rId2505" Type="http://schemas.openxmlformats.org/officeDocument/2006/relationships/hyperlink" Target="https://youtu.be/VOb_HIsYMEk" TargetMode="External"/><Relationship Id="rId3835" Type="http://schemas.openxmlformats.org/officeDocument/2006/relationships/hyperlink" Target="https://youtu.be/UbE6nG94rbc" TargetMode="External"/><Relationship Id="rId2506" Type="http://schemas.openxmlformats.org/officeDocument/2006/relationships/hyperlink" Target="https://youtu.be/NOWSgC9zUaw" TargetMode="External"/><Relationship Id="rId3838" Type="http://schemas.openxmlformats.org/officeDocument/2006/relationships/hyperlink" Target="https://youtu.be/Oc0mzisGZgM" TargetMode="External"/><Relationship Id="rId2507" Type="http://schemas.openxmlformats.org/officeDocument/2006/relationships/hyperlink" Target="https://youtu.be/WVo87yYidJ4" TargetMode="External"/><Relationship Id="rId3837" Type="http://schemas.openxmlformats.org/officeDocument/2006/relationships/hyperlink" Target="https://youtu.be/qKz5kBAucjo"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5awgm4vADLQ" TargetMode="External"/><Relationship Id="rId3830" Type="http://schemas.openxmlformats.org/officeDocument/2006/relationships/hyperlink" Target="https://youtu.be/I7ZgVTZnK5E" TargetMode="External"/><Relationship Id="rId3821" Type="http://schemas.openxmlformats.org/officeDocument/2006/relationships/hyperlink" Target="https://youtu.be/ixBwATUne_8" TargetMode="External"/><Relationship Id="rId3820" Type="http://schemas.openxmlformats.org/officeDocument/2006/relationships/hyperlink" Target="https://youtu.be/74H20Y0ruuk" TargetMode="External"/><Relationship Id="rId3823" Type="http://schemas.openxmlformats.org/officeDocument/2006/relationships/hyperlink" Target="https://youtu.be/Fwi1P8hhbEM" TargetMode="External"/><Relationship Id="rId3822" Type="http://schemas.openxmlformats.org/officeDocument/2006/relationships/hyperlink" Target="https://youtu.be/Cr_xP8bgJec" TargetMode="External"/><Relationship Id="rId3825" Type="http://schemas.openxmlformats.org/officeDocument/2006/relationships/hyperlink" Target="https://youtu.be/79vpdi3lud8" TargetMode="External"/><Relationship Id="rId3824" Type="http://schemas.openxmlformats.org/officeDocument/2006/relationships/hyperlink" Target="https://youtu.be/u-0TbF-x-ys" TargetMode="External"/><Relationship Id="rId3827" Type="http://schemas.openxmlformats.org/officeDocument/2006/relationships/hyperlink" Target="https://youtu.be/0cqSvG8RrCo" TargetMode="External"/><Relationship Id="rId3826" Type="http://schemas.openxmlformats.org/officeDocument/2006/relationships/hyperlink" Target="https://youtu.be/q-qecF2b-PI" TargetMode="External"/><Relationship Id="rId3829" Type="http://schemas.openxmlformats.org/officeDocument/2006/relationships/hyperlink" Target="https://youtu.be/nggxOuqniqE" TargetMode="External"/><Relationship Id="rId3828" Type="http://schemas.openxmlformats.org/officeDocument/2006/relationships/hyperlink" Target="https://youtu.be/P1zYoS5W0-o" TargetMode="External"/><Relationship Id="rId2522" Type="http://schemas.openxmlformats.org/officeDocument/2006/relationships/hyperlink" Target="https://youtu.be/Q4m0sL4iBh0" TargetMode="External"/><Relationship Id="rId3854" Type="http://schemas.openxmlformats.org/officeDocument/2006/relationships/hyperlink" Target="https://youtu.be/L1J8ZYanHK4" TargetMode="External"/><Relationship Id="rId2523" Type="http://schemas.openxmlformats.org/officeDocument/2006/relationships/hyperlink" Target="https://youtu.be/tUVOVRxFAm4" TargetMode="External"/><Relationship Id="rId3853" Type="http://schemas.openxmlformats.org/officeDocument/2006/relationships/hyperlink" Target="https://youtu.be/Abytid8Ky78"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hv7cmfuaj-s" TargetMode="External"/><Relationship Id="rId2525" Type="http://schemas.openxmlformats.org/officeDocument/2006/relationships/hyperlink" Target="https://youtu.be/7BFRkUtZva4" TargetMode="External"/><Relationship Id="rId3855" Type="http://schemas.openxmlformats.org/officeDocument/2006/relationships/hyperlink" Target="https://youtu.be/wEm0hI8D0Es" TargetMode="External"/><Relationship Id="rId2526" Type="http://schemas.openxmlformats.org/officeDocument/2006/relationships/hyperlink" Target="https://youtu.be/pr-HbxWOWKM" TargetMode="External"/><Relationship Id="rId3858" Type="http://schemas.openxmlformats.org/officeDocument/2006/relationships/hyperlink" Target="https://youtu.be/MWIaeCpCjRg" TargetMode="External"/><Relationship Id="rId2527" Type="http://schemas.openxmlformats.org/officeDocument/2006/relationships/hyperlink" Target="https://youtu.be/uzlELasL6rs" TargetMode="External"/><Relationship Id="rId3857" Type="http://schemas.openxmlformats.org/officeDocument/2006/relationships/hyperlink" Target="https://youtu.be/TC6szU0KMQ0"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YzH9npRkfKQ" TargetMode="External"/><Relationship Id="rId3850" Type="http://schemas.openxmlformats.org/officeDocument/2006/relationships/hyperlink" Target="https://www.youtube.com/watch?v=9xGu21pNIU0&amp;ab_channel=PKTDistinct"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_84gOBWcVZE&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ucABuxm95co" TargetMode="External"/><Relationship Id="rId2511" Type="http://schemas.openxmlformats.org/officeDocument/2006/relationships/hyperlink" Target="https://youtu.be/I_ca5My7vuk" TargetMode="External"/><Relationship Id="rId3843" Type="http://schemas.openxmlformats.org/officeDocument/2006/relationships/hyperlink" Target="https://youtu.be/oJ7uiss0Fac" TargetMode="External"/><Relationship Id="rId2512" Type="http://schemas.openxmlformats.org/officeDocument/2006/relationships/hyperlink" Target="https://youtu.be/wjtk5aQl9rA" TargetMode="External"/><Relationship Id="rId3842" Type="http://schemas.openxmlformats.org/officeDocument/2006/relationships/hyperlink" Target="https://youtu.be/6in2eMbJ0ow" TargetMode="External"/><Relationship Id="rId2513" Type="http://schemas.openxmlformats.org/officeDocument/2006/relationships/hyperlink" Target="https://youtu.be/3tyzNFoalX8" TargetMode="External"/><Relationship Id="rId3845" Type="http://schemas.openxmlformats.org/officeDocument/2006/relationships/hyperlink" Target="https://youtu.be/HhrXXa3_6QQ" TargetMode="External"/><Relationship Id="rId2514" Type="http://schemas.openxmlformats.org/officeDocument/2006/relationships/hyperlink" Target="https://youtu.be/OVLOMgv4lHM" TargetMode="External"/><Relationship Id="rId3844" Type="http://schemas.openxmlformats.org/officeDocument/2006/relationships/hyperlink" Target="https://youtu.be/cMWcL3kLKVs" TargetMode="External"/><Relationship Id="rId2515" Type="http://schemas.openxmlformats.org/officeDocument/2006/relationships/hyperlink" Target="https://youtu.be/S8E5TXAF_Fg" TargetMode="External"/><Relationship Id="rId3847" Type="http://schemas.openxmlformats.org/officeDocument/2006/relationships/hyperlink" Target="https://youtu.be/7104U-nv8CU" TargetMode="External"/><Relationship Id="rId2516" Type="http://schemas.openxmlformats.org/officeDocument/2006/relationships/hyperlink" Target="https://youtu.be/vCWp4nv7kPM" TargetMode="External"/><Relationship Id="rId3846" Type="http://schemas.openxmlformats.org/officeDocument/2006/relationships/hyperlink" Target="https://youtu.be/pTOrGSUJHWI"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PRFI0H1qM1A" TargetMode="External"/><Relationship Id="rId2518" Type="http://schemas.openxmlformats.org/officeDocument/2006/relationships/hyperlink" Target="https://youtu.be/qWe0hRuACd4" TargetMode="External"/><Relationship Id="rId3848" Type="http://schemas.openxmlformats.org/officeDocument/2006/relationships/hyperlink" Target="https://www.youtube.com/watch?v=dUnqokYc_xE" TargetMode="External"/><Relationship Id="rId2519" Type="http://schemas.openxmlformats.org/officeDocument/2006/relationships/hyperlink" Target="https://youtu.be/XCuw2OQP0gA" TargetMode="External"/><Relationship Id="rId3841" Type="http://schemas.openxmlformats.org/officeDocument/2006/relationships/hyperlink" Target="https://youtu.be/K9g9bFufOgE" TargetMode="External"/><Relationship Id="rId2510" Type="http://schemas.openxmlformats.org/officeDocument/2006/relationships/hyperlink" Target="https://youtu.be/_HULD2HMJ-o" TargetMode="External"/><Relationship Id="rId3840" Type="http://schemas.openxmlformats.org/officeDocument/2006/relationships/hyperlink" Target="https://youtu.be/_yyE2bJP2B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www.youtube.com/watch?v=traHO3RCMFc" TargetMode="External"/><Relationship Id="rId3910" Type="http://schemas.openxmlformats.org/officeDocument/2006/relationships/hyperlink" Target="https://youtu.be/FxAyf0hf3S4" TargetMode="External"/><Relationship Id="rId3913" Type="http://schemas.openxmlformats.org/officeDocument/2006/relationships/hyperlink" Target="https://youtu.be/qgluFqR_tLI" TargetMode="External"/><Relationship Id="rId3912" Type="http://schemas.openxmlformats.org/officeDocument/2006/relationships/hyperlink" Target="https://youtu.be/PAuCtRTeOZQ" TargetMode="External"/><Relationship Id="rId3915" Type="http://schemas.openxmlformats.org/officeDocument/2006/relationships/hyperlink" Target="https://youtu.be/YB9LQDhmWDY" TargetMode="External"/><Relationship Id="rId3914" Type="http://schemas.openxmlformats.org/officeDocument/2006/relationships/hyperlink" Target="https://youtu.be/2fhIenEkLlY" TargetMode="External"/><Relationship Id="rId3917" Type="http://schemas.openxmlformats.org/officeDocument/2006/relationships/hyperlink" Target="https://youtu.be/ADxHxNj6HV0" TargetMode="External"/><Relationship Id="rId3916" Type="http://schemas.openxmlformats.org/officeDocument/2006/relationships/hyperlink" Target="https://youtu.be/0XUpJc8IzRk" TargetMode="External"/><Relationship Id="rId3919" Type="http://schemas.openxmlformats.org/officeDocument/2006/relationships/hyperlink" Target="https://youtu.be/_iXBKQwq-Ys" TargetMode="External"/><Relationship Id="rId3918" Type="http://schemas.openxmlformats.org/officeDocument/2006/relationships/hyperlink" Target="https://youtu.be/HLtLqTHqXYA" TargetMode="External"/><Relationship Id="rId3900" Type="http://schemas.openxmlformats.org/officeDocument/2006/relationships/hyperlink" Target="https://clips.twitch.tv/SarcasticJoyousMacaroniSaltBae-7jY8PhjdTlVbfUri" TargetMode="External"/><Relationship Id="rId3902" Type="http://schemas.openxmlformats.org/officeDocument/2006/relationships/hyperlink" Target="https://www.twitch.tv/videos/1252488021" TargetMode="External"/><Relationship Id="rId3901" Type="http://schemas.openxmlformats.org/officeDocument/2006/relationships/hyperlink" Target="https://www.twitch.tv/videos/1264996095" TargetMode="External"/><Relationship Id="rId3904" Type="http://schemas.openxmlformats.org/officeDocument/2006/relationships/hyperlink" Target="https://youtu.be/lURSmO_AyEw" TargetMode="External"/><Relationship Id="rId3903" Type="http://schemas.openxmlformats.org/officeDocument/2006/relationships/hyperlink" Target="https://youtu.be/zwrAxg51_j8"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EuPHAugnvU" TargetMode="External"/><Relationship Id="rId3908" Type="http://schemas.openxmlformats.org/officeDocument/2006/relationships/hyperlink" Target="https://youtu.be/MpHdG2rZYIU"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youtu.be/3VT120o91Mg" TargetMode="External"/><Relationship Id="rId3931" Type="http://schemas.openxmlformats.org/officeDocument/2006/relationships/hyperlink" Target="https://youtu.be/2pdrTGGpy2s" TargetMode="External"/><Relationship Id="rId2600" Type="http://schemas.openxmlformats.org/officeDocument/2006/relationships/hyperlink" Target="https://youtu.be/TLVlIuyOwrI" TargetMode="External"/><Relationship Id="rId3930" Type="http://schemas.openxmlformats.org/officeDocument/2006/relationships/hyperlink" Target="https://youtu.be/M0zcfBzYqS0" TargetMode="External"/><Relationship Id="rId2601" Type="http://schemas.openxmlformats.org/officeDocument/2006/relationships/hyperlink" Target="https://youtu.be/0Ad-hocDWwg" TargetMode="External"/><Relationship Id="rId3933" Type="http://schemas.openxmlformats.org/officeDocument/2006/relationships/hyperlink" Target="https://youtu.be/7DKS_xqCH8A" TargetMode="External"/><Relationship Id="rId2602" Type="http://schemas.openxmlformats.org/officeDocument/2006/relationships/hyperlink" Target="https://youtu.be/aoIG8OwyKNU" TargetMode="External"/><Relationship Id="rId3932" Type="http://schemas.openxmlformats.org/officeDocument/2006/relationships/hyperlink" Target="https://youtu.be/XECoTk_c05M" TargetMode="External"/><Relationship Id="rId2603" Type="http://schemas.openxmlformats.org/officeDocument/2006/relationships/hyperlink" Target="https://youtu.be/okwGTTwcW4w" TargetMode="External"/><Relationship Id="rId3935" Type="http://schemas.openxmlformats.org/officeDocument/2006/relationships/hyperlink" Target="https://youtu.be/IH-4uKm6isI" TargetMode="External"/><Relationship Id="rId2604" Type="http://schemas.openxmlformats.org/officeDocument/2006/relationships/hyperlink" Target="https://youtu.be/F5NfRzs9WmY" TargetMode="External"/><Relationship Id="rId3934" Type="http://schemas.openxmlformats.org/officeDocument/2006/relationships/hyperlink" Target="https://youtu.be/umgWlwQvLlg" TargetMode="External"/><Relationship Id="rId2605" Type="http://schemas.openxmlformats.org/officeDocument/2006/relationships/hyperlink" Target="https://youtu.be/zZ4xsh3x0VA" TargetMode="External"/><Relationship Id="rId3937" Type="http://schemas.openxmlformats.org/officeDocument/2006/relationships/hyperlink" Target="https://youtu.be/HZezdHtroIM" TargetMode="External"/><Relationship Id="rId2606" Type="http://schemas.openxmlformats.org/officeDocument/2006/relationships/hyperlink" Target="https://youtu.be/m_ZBiqY_Nho" TargetMode="External"/><Relationship Id="rId3936" Type="http://schemas.openxmlformats.org/officeDocument/2006/relationships/hyperlink" Target="https://www.twitch.tv/videos/1562978554"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www.twitch.tv/videos/163863695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3UNx_t8T6E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_H6xRBJa_g" TargetMode="External"/><Relationship Id="rId3922" Type="http://schemas.openxmlformats.org/officeDocument/2006/relationships/hyperlink" Target="https://clips.twitch.tv/ProtectiveSpookyDogCharlietheUnicorn-JXqs21stCUVSayku" TargetMode="External"/><Relationship Id="rId3921" Type="http://schemas.openxmlformats.org/officeDocument/2006/relationships/hyperlink" Target="https://youtu.be/qo_9Tt8brsI" TargetMode="External"/><Relationship Id="rId3924" Type="http://schemas.openxmlformats.org/officeDocument/2006/relationships/hyperlink" Target="https://youtu.be/qhvHHeJ6c_8" TargetMode="External"/><Relationship Id="rId3923" Type="http://schemas.openxmlformats.org/officeDocument/2006/relationships/hyperlink" Target="https://www.twitch.tv/cysse64/clip/PuzzledGentleSashimiDxAbomb-mCZpxdNoZNSHDAyO" TargetMode="External"/><Relationship Id="rId3926" Type="http://schemas.openxmlformats.org/officeDocument/2006/relationships/hyperlink" Target="https://youtu.be/WEi5En16ras" TargetMode="External"/><Relationship Id="rId3925" Type="http://schemas.openxmlformats.org/officeDocument/2006/relationships/hyperlink" Target="https://youtu.be/1dW06SPmkiU" TargetMode="External"/><Relationship Id="rId3928" Type="http://schemas.openxmlformats.org/officeDocument/2006/relationships/hyperlink" Target="https://youtu.be/P9VWSfZRdZ8" TargetMode="External"/><Relationship Id="rId3927" Type="http://schemas.openxmlformats.org/officeDocument/2006/relationships/hyperlink" Target="https://youtu.be/aROk5J96rU0" TargetMode="External"/><Relationship Id="rId3929" Type="http://schemas.openxmlformats.org/officeDocument/2006/relationships/hyperlink" Target="https://youtu.be/zLRiS54kML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SlWniPyjlmc" TargetMode="External"/><Relationship Id="rId2622" Type="http://schemas.openxmlformats.org/officeDocument/2006/relationships/hyperlink" Target="https://youtu.be/aNy503NUaaA" TargetMode="External"/><Relationship Id="rId3952" Type="http://schemas.openxmlformats.org/officeDocument/2006/relationships/hyperlink" Target="https://youtu.be/5-gF0Swsi3g" TargetMode="External"/><Relationship Id="rId2623" Type="http://schemas.openxmlformats.org/officeDocument/2006/relationships/hyperlink" Target="https://youtu.be/mUlsoL1veGc" TargetMode="External"/><Relationship Id="rId3955" Type="http://schemas.openxmlformats.org/officeDocument/2006/relationships/hyperlink" Target="https://youtu.be/4rPxyleozvM" TargetMode="External"/><Relationship Id="rId2624" Type="http://schemas.openxmlformats.org/officeDocument/2006/relationships/hyperlink" Target="https://youtu.be/-Y-wPWqxIEI" TargetMode="External"/><Relationship Id="rId3954" Type="http://schemas.openxmlformats.org/officeDocument/2006/relationships/hyperlink" Target="https://youtu.be/4MSMADxISLE" TargetMode="External"/><Relationship Id="rId2625" Type="http://schemas.openxmlformats.org/officeDocument/2006/relationships/hyperlink" Target="https://youtu.be/hktn9dkT3hE" TargetMode="External"/><Relationship Id="rId3957" Type="http://schemas.openxmlformats.org/officeDocument/2006/relationships/hyperlink" Target="https://youtu.be/Qym3rnWucfc" TargetMode="External"/><Relationship Id="rId2626" Type="http://schemas.openxmlformats.org/officeDocument/2006/relationships/hyperlink" Target="https://youtu.be/mWq4iiECe0I" TargetMode="External"/><Relationship Id="rId3956" Type="http://schemas.openxmlformats.org/officeDocument/2006/relationships/hyperlink" Target="https://youtu.be/HtBNhb-7Um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www.youtube.com/watch?v=HDY6lt3F9Uo" TargetMode="External"/><Relationship Id="rId2628" Type="http://schemas.openxmlformats.org/officeDocument/2006/relationships/hyperlink" Target="https://youtu.be/zp2dCbaFloM" TargetMode="External"/><Relationship Id="rId3958" Type="http://schemas.openxmlformats.org/officeDocument/2006/relationships/hyperlink" Target="https://youtu.be/HZnBxf4JU_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DZ8BfAN4cI" TargetMode="External"/><Relationship Id="rId2620" Type="http://schemas.openxmlformats.org/officeDocument/2006/relationships/hyperlink" Target="https://youtu.be/lTLV2YNvtk0" TargetMode="External"/><Relationship Id="rId3950" Type="http://schemas.openxmlformats.org/officeDocument/2006/relationships/hyperlink" Target="https://youtu.be/wrHqU3R3n8s" TargetMode="External"/><Relationship Id="rId2610" Type="http://schemas.openxmlformats.org/officeDocument/2006/relationships/hyperlink" Target="https://youtu.be/xzSnHTv-h9M" TargetMode="External"/><Relationship Id="rId3942" Type="http://schemas.openxmlformats.org/officeDocument/2006/relationships/hyperlink" Target="https://youtu.be/X-ta1hc2wpQ" TargetMode="External"/><Relationship Id="rId2611" Type="http://schemas.openxmlformats.org/officeDocument/2006/relationships/hyperlink" Target="https://youtu.be/GuinuQXuAeE" TargetMode="External"/><Relationship Id="rId3941" Type="http://schemas.openxmlformats.org/officeDocument/2006/relationships/hyperlink" Target="https://youtu.be/BZgjhNOo-go" TargetMode="External"/><Relationship Id="rId2612" Type="http://schemas.openxmlformats.org/officeDocument/2006/relationships/hyperlink" Target="https://youtu.be/734zia0C1oc" TargetMode="External"/><Relationship Id="rId3944" Type="http://schemas.openxmlformats.org/officeDocument/2006/relationships/hyperlink" Target="https://youtu.be/CfDEkDG5HFI" TargetMode="External"/><Relationship Id="rId2613" Type="http://schemas.openxmlformats.org/officeDocument/2006/relationships/hyperlink" Target="https://youtu.be/cpjM9d2bBow" TargetMode="External"/><Relationship Id="rId3943" Type="http://schemas.openxmlformats.org/officeDocument/2006/relationships/hyperlink" Target="https://youtu.be/dOp5piQQYqg" TargetMode="External"/><Relationship Id="rId2614" Type="http://schemas.openxmlformats.org/officeDocument/2006/relationships/hyperlink" Target="https://youtu.be/77Bxvngg3oY" TargetMode="External"/><Relationship Id="rId3946" Type="http://schemas.openxmlformats.org/officeDocument/2006/relationships/hyperlink" Target="https://youtu.be/RqUNHa6gnVg" TargetMode="External"/><Relationship Id="rId2615" Type="http://schemas.openxmlformats.org/officeDocument/2006/relationships/hyperlink" Target="https://youtu.be/U-Y7rFlhjrs" TargetMode="External"/><Relationship Id="rId3945" Type="http://schemas.openxmlformats.org/officeDocument/2006/relationships/hyperlink" Target="https://youtu.be/YkHffV7svTc" TargetMode="External"/><Relationship Id="rId2616" Type="http://schemas.openxmlformats.org/officeDocument/2006/relationships/hyperlink" Target="https://youtu.be/xHwGHlDLeVQ" TargetMode="External"/><Relationship Id="rId3948" Type="http://schemas.openxmlformats.org/officeDocument/2006/relationships/hyperlink" Target="https://youtu.be/v8KAMn60AmI" TargetMode="External"/><Relationship Id="rId2617" Type="http://schemas.openxmlformats.org/officeDocument/2006/relationships/hyperlink" Target="https://youtu.be/_JtFC5kdmvA" TargetMode="External"/><Relationship Id="rId3947" Type="http://schemas.openxmlformats.org/officeDocument/2006/relationships/hyperlink" Target="https://youtu.be/JNGeEHSpy7M"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0NuMK8xHqg" TargetMode="External"/><Relationship Id="rId3940" Type="http://schemas.openxmlformats.org/officeDocument/2006/relationships/hyperlink" Target="https://youtu.be/D0Oc-Q4O40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lLGhaW70TY"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vhL6kN-JE8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_JChUmIMzx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GQMa4hZZBy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o57m9Wl80T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ztk8dAiWw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hNY2YLYWw0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sY5sBSU2oX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SIiCoZ2Xvr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U6dEEcEm8K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Di70vEjIig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r_HuXdZOnmI"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6EsFfnuEY4Q"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LUwqtTI4T1k"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626582749569220610?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61701099186839563?s=20"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8303549504333005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5pEbV8f4Ey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08213958393864196?s=20&amp;t=fUoqnObXxhQMpD_DZ9ralg"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460882274895892481?s=20"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youtu.be/CBwzmfxQE4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36661052997660674?s=20&amp;t=-dcuuq0VImjvNMwrHMH92A"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509747073658527752?s=20&amp;t=sne1R5zpDkF10cvOG-ggDw"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09641709160136704?s=20&amp;t=DXf-pGT_AC639nNzoJmlrg" TargetMode="External"/><Relationship Id="rId2901" Type="http://schemas.openxmlformats.org/officeDocument/2006/relationships/hyperlink" Target="https://youtu.be/m8uNFFWGXs8" TargetMode="External"/><Relationship Id="rId2902" Type="http://schemas.openxmlformats.org/officeDocument/2006/relationships/hyperlink" Target="https://twitter.com/otqkesan_/status/1551150171639398400?s=20&amp;t=qLYbjo7WrfpUk3VFC4nJ5A" TargetMode="External"/><Relationship Id="rId2903" Type="http://schemas.openxmlformats.org/officeDocument/2006/relationships/hyperlink" Target="https://twitter.com/otqkesan_/status/1512355205823623170?s=20&amp;t=AXb5wxjeegJAML4SiMsGIA" TargetMode="External"/><Relationship Id="rId2904" Type="http://schemas.openxmlformats.org/officeDocument/2006/relationships/hyperlink" Target="https://twitter.com/otqkesan_/status/1448256394625384451?s=20" TargetMode="External"/><Relationship Id="rId2905" Type="http://schemas.openxmlformats.org/officeDocument/2006/relationships/hyperlink" Target="https://twitter.com/otqkesan_/status/1552342730357243904?s=20&amp;t=owHOkeaQ3QOpBMLEP9ivGw" TargetMode="External"/><Relationship Id="rId2906" Type="http://schemas.openxmlformats.org/officeDocument/2006/relationships/hyperlink" Target="https://www.youtube.com/watch?v=wozEi1FdQNY" TargetMode="External"/><Relationship Id="rId2907" Type="http://schemas.openxmlformats.org/officeDocument/2006/relationships/hyperlink" Target="https://twitter.com/froidtofu/status/1385946074615926788" TargetMode="External"/><Relationship Id="rId2908" Type="http://schemas.openxmlformats.org/officeDocument/2006/relationships/hyperlink" Target="https://twitter.com/froidtofu/status/1447607796015382529" TargetMode="External"/><Relationship Id="rId2909" Type="http://schemas.openxmlformats.org/officeDocument/2006/relationships/hyperlink" Target="https://www.youtube.com/watch?v=IA2OoXn2Kv8"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froidtofu/status/1447963036619214848" TargetMode="External"/><Relationship Id="rId2911" Type="http://schemas.openxmlformats.org/officeDocument/2006/relationships/hyperlink" Target="https://www.twitch.tv/videos/1176327079"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VxyH4FsaNww"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1978</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1927</v>
      </c>
      <c r="AN58" s="168" t="s">
        <v>3548</v>
      </c>
      <c r="AO58" s="245"/>
      <c r="AP58" s="245"/>
      <c r="AQ58" s="245"/>
      <c r="AR58" s="245"/>
      <c r="AS58" s="245"/>
      <c r="AT58" s="245"/>
      <c r="AU58" s="168" t="s">
        <v>2602</v>
      </c>
      <c r="AV58" s="168" t="s">
        <v>3161</v>
      </c>
      <c r="AW58" s="245"/>
      <c r="AX58" s="245"/>
      <c r="AY58" s="168" t="s">
        <v>752</v>
      </c>
      <c r="AZ58" s="245"/>
      <c r="BA58" s="245"/>
      <c r="BB58" s="174" t="s">
        <v>3549</v>
      </c>
      <c r="BC58" s="174" t="s">
        <v>2160</v>
      </c>
      <c r="BD58" s="174" t="s">
        <v>3161</v>
      </c>
      <c r="BE58" s="174" t="s">
        <v>3550</v>
      </c>
      <c r="BF58" s="174" t="s">
        <v>3551</v>
      </c>
      <c r="BG58" s="246" t="s">
        <v>2394</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1998</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3563</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7"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3517</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3545</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8"/>
      <c r="X62" s="197" t="s">
        <v>3177</v>
      </c>
      <c r="Y62" s="197"/>
      <c r="Z62" s="197" t="s">
        <v>1117</v>
      </c>
      <c r="AA62" s="197" t="s">
        <v>3760</v>
      </c>
      <c r="AB62" s="197" t="s">
        <v>3761</v>
      </c>
      <c r="AC62" s="344" t="s">
        <v>3762</v>
      </c>
      <c r="AD62" s="197" t="s">
        <v>3763</v>
      </c>
      <c r="AE62" s="197" t="s">
        <v>3764</v>
      </c>
      <c r="AF62" s="197" t="s">
        <v>2843</v>
      </c>
      <c r="AG62" s="197" t="s">
        <v>3765</v>
      </c>
      <c r="AH62" s="197" t="s">
        <v>3766</v>
      </c>
      <c r="AI62" s="439"/>
      <c r="AJ62" s="439"/>
      <c r="AK62" s="197" t="s">
        <v>3767</v>
      </c>
      <c r="AL62" s="440"/>
      <c r="AM62" s="199" t="s">
        <v>2663</v>
      </c>
      <c r="AN62" s="199" t="s">
        <v>3036</v>
      </c>
      <c r="AO62" s="199" t="s">
        <v>3768</v>
      </c>
      <c r="AP62" s="199" t="s">
        <v>3769</v>
      </c>
      <c r="AQ62" s="199" t="s">
        <v>3770</v>
      </c>
      <c r="AR62" s="199" t="s">
        <v>3771</v>
      </c>
      <c r="AS62" s="199" t="s">
        <v>3337</v>
      </c>
      <c r="AT62" s="441"/>
      <c r="AU62" s="199" t="s">
        <v>3772</v>
      </c>
      <c r="AV62" s="199" t="s">
        <v>1450</v>
      </c>
      <c r="AW62" s="199" t="s">
        <v>3773</v>
      </c>
      <c r="AX62" s="441"/>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2"/>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3"/>
      <c r="CQ62" s="443"/>
      <c r="CR62" s="443"/>
      <c r="CS62" s="300" t="s">
        <v>3798</v>
      </c>
      <c r="CT62" s="300" t="s">
        <v>250</v>
      </c>
      <c r="CU62" s="438"/>
      <c r="CV62" s="444" t="s">
        <v>1016</v>
      </c>
      <c r="CW62" s="444" t="s">
        <v>2549</v>
      </c>
      <c r="CX62" s="444" t="s">
        <v>534</v>
      </c>
      <c r="CY62" s="444" t="s">
        <v>3799</v>
      </c>
      <c r="CZ62" s="444" t="s">
        <v>3800</v>
      </c>
      <c r="DA62" s="444" t="s">
        <v>2561</v>
      </c>
      <c r="DB62" s="444" t="s">
        <v>3801</v>
      </c>
      <c r="DC62" s="444" t="s">
        <v>3376</v>
      </c>
      <c r="DD62" s="444" t="s">
        <v>3802</v>
      </c>
      <c r="DE62" s="444" t="s">
        <v>3273</v>
      </c>
      <c r="DF62" s="444" t="s">
        <v>3803</v>
      </c>
      <c r="DG62" s="444" t="s">
        <v>3804</v>
      </c>
      <c r="DH62" s="444"/>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3856</v>
      </c>
      <c r="BC64" s="174" t="s">
        <v>928</v>
      </c>
      <c r="BD64" s="174" t="s">
        <v>2223</v>
      </c>
      <c r="BE64" s="174" t="s">
        <v>3857</v>
      </c>
      <c r="BF64" s="442"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7" t="s">
        <v>3181</v>
      </c>
      <c r="DZ66" s="205" t="s">
        <v>3968</v>
      </c>
      <c r="EA66" s="205" t="s">
        <v>3969</v>
      </c>
      <c r="EB66" s="205" t="s">
        <v>1847</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3566</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4"/>
      <c r="CL67" s="454"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3505</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3496</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3510</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3543</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5" t="s">
        <v>4116</v>
      </c>
      <c r="C70" s="456" t="s">
        <v>1260</v>
      </c>
      <c r="D70" s="457" t="s">
        <v>547</v>
      </c>
      <c r="E70" s="458" t="s">
        <v>547</v>
      </c>
      <c r="F70" s="459" t="s">
        <v>4117</v>
      </c>
      <c r="G70" s="455" t="s">
        <v>1499</v>
      </c>
      <c r="H70" s="460" t="s">
        <v>4118</v>
      </c>
      <c r="I70" s="460" t="s">
        <v>3062</v>
      </c>
      <c r="J70" s="460" t="s">
        <v>4119</v>
      </c>
      <c r="K70" s="460" t="s">
        <v>1639</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1876</v>
      </c>
      <c r="AO70" s="468"/>
      <c r="AP70" s="468"/>
      <c r="AQ70" s="468"/>
      <c r="AR70" s="468"/>
      <c r="AS70" s="468" t="s">
        <v>4127</v>
      </c>
      <c r="AT70" s="468"/>
      <c r="AU70" s="467" t="s">
        <v>3210</v>
      </c>
      <c r="AV70" s="467" t="s">
        <v>4128</v>
      </c>
      <c r="AW70" s="468"/>
      <c r="AX70" s="468"/>
      <c r="AY70" s="468"/>
      <c r="AZ70" s="468"/>
      <c r="BA70" s="468"/>
      <c r="BB70" s="469" t="s">
        <v>4129</v>
      </c>
      <c r="BC70" s="469" t="s">
        <v>1294</v>
      </c>
      <c r="BD70" s="470" t="s">
        <v>2327</v>
      </c>
      <c r="BE70" s="470" t="s">
        <v>586</v>
      </c>
      <c r="BF70" s="469" t="s">
        <v>3766</v>
      </c>
      <c r="BG70" s="470"/>
      <c r="BH70" s="470"/>
      <c r="BI70" s="470" t="s">
        <v>2338</v>
      </c>
      <c r="BJ70" s="470"/>
      <c r="BK70" s="470" t="s">
        <v>4130</v>
      </c>
      <c r="BL70" s="470" t="s">
        <v>1430</v>
      </c>
      <c r="BM70" s="470"/>
      <c r="BN70" s="470"/>
      <c r="BO70" s="470"/>
      <c r="BP70" s="470"/>
      <c r="BQ70" s="470"/>
      <c r="BR70" s="471"/>
      <c r="BS70" s="471" t="s">
        <v>4131</v>
      </c>
      <c r="BT70" s="472" t="s">
        <v>2701</v>
      </c>
      <c r="BU70" s="471"/>
      <c r="BV70" s="471"/>
      <c r="BW70" s="471" t="s">
        <v>2084</v>
      </c>
      <c r="BX70" s="471"/>
      <c r="BY70" s="471"/>
      <c r="BZ70" s="471"/>
      <c r="CA70" s="471"/>
      <c r="CB70" s="471"/>
      <c r="CC70" s="471"/>
      <c r="CD70" s="471"/>
      <c r="CE70" s="471"/>
      <c r="CF70" s="249"/>
      <c r="CG70" s="473" t="s">
        <v>4132</v>
      </c>
      <c r="CH70" s="132" t="s">
        <v>1518</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1"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5"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3561</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3571</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6"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3540</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7"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3516</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3524</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2546</v>
      </c>
      <c r="H82" s="293"/>
      <c r="I82" s="325"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1913</v>
      </c>
      <c r="Y82" s="296"/>
      <c r="Z82" s="296" t="s">
        <v>3072</v>
      </c>
      <c r="AA82" s="296" t="s">
        <v>2204</v>
      </c>
      <c r="AB82" s="296" t="s">
        <v>3899</v>
      </c>
      <c r="AC82" s="296" t="s">
        <v>1695</v>
      </c>
      <c r="AD82" s="296" t="s">
        <v>3069</v>
      </c>
      <c r="AE82" s="496"/>
      <c r="AF82" s="296" t="s">
        <v>2361</v>
      </c>
      <c r="AG82" s="296" t="s">
        <v>2759</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5" t="s">
        <v>2737</v>
      </c>
      <c r="BC82" s="305" t="s">
        <v>4528</v>
      </c>
      <c r="BD82" s="305" t="s">
        <v>296</v>
      </c>
      <c r="BE82" s="305" t="s">
        <v>4529</v>
      </c>
      <c r="BF82" s="305" t="s">
        <v>4530</v>
      </c>
      <c r="BG82" s="305"/>
      <c r="BH82" s="500"/>
      <c r="BI82" s="305" t="s">
        <v>1371</v>
      </c>
      <c r="BJ82" s="500"/>
      <c r="BK82" s="305" t="s">
        <v>4531</v>
      </c>
      <c r="BL82" s="305" t="s">
        <v>3592</v>
      </c>
      <c r="BM82" s="500"/>
      <c r="BN82" s="500"/>
      <c r="BO82" s="305"/>
      <c r="BP82" s="500"/>
      <c r="BQ82" s="501"/>
      <c r="BR82" s="307" t="s">
        <v>4532</v>
      </c>
      <c r="BS82" s="307" t="s">
        <v>4533</v>
      </c>
      <c r="BT82" s="307" t="s">
        <v>4534</v>
      </c>
      <c r="BU82" s="307" t="s">
        <v>4535</v>
      </c>
      <c r="BV82" s="307" t="s">
        <v>4536</v>
      </c>
      <c r="BW82" s="307" t="s">
        <v>822</v>
      </c>
      <c r="BX82" s="129" t="s">
        <v>4537</v>
      </c>
      <c r="BY82" s="307"/>
      <c r="BZ82" s="307" t="s">
        <v>4538</v>
      </c>
      <c r="CA82" s="307" t="s">
        <v>4539</v>
      </c>
      <c r="CB82" s="502"/>
      <c r="CC82" s="502"/>
      <c r="CD82" s="502"/>
      <c r="CE82" s="502"/>
      <c r="CF82" s="503"/>
      <c r="CG82" s="414" t="s">
        <v>4540</v>
      </c>
      <c r="CH82" s="414" t="s">
        <v>188</v>
      </c>
      <c r="CI82" s="414" t="s">
        <v>3648</v>
      </c>
      <c r="CJ82" s="414" t="s">
        <v>4541</v>
      </c>
      <c r="CK82" s="414"/>
      <c r="CL82" s="414" t="s">
        <v>4542</v>
      </c>
      <c r="CM82" s="414" t="s">
        <v>4543</v>
      </c>
      <c r="CN82" s="414" t="s">
        <v>4544</v>
      </c>
      <c r="CO82" s="414" t="s">
        <v>4545</v>
      </c>
      <c r="CP82" s="504"/>
      <c r="CQ82" s="505"/>
      <c r="CR82" s="505"/>
      <c r="CS82" s="505"/>
      <c r="CT82" s="505"/>
      <c r="CU82" s="495"/>
      <c r="CV82" s="301" t="s">
        <v>4546</v>
      </c>
      <c r="CW82" s="301" t="s">
        <v>4547</v>
      </c>
      <c r="CX82" s="301" t="s">
        <v>1041</v>
      </c>
      <c r="CY82" s="301" t="s">
        <v>3761</v>
      </c>
      <c r="CZ82" s="301" t="s">
        <v>2198</v>
      </c>
      <c r="DA82" s="301" t="s">
        <v>3865</v>
      </c>
      <c r="DB82" s="301" t="s">
        <v>4548</v>
      </c>
      <c r="DC82" s="301" t="s">
        <v>4342</v>
      </c>
      <c r="DD82" s="506"/>
      <c r="DE82" s="506"/>
      <c r="DF82" s="506"/>
      <c r="DG82" s="506"/>
      <c r="DH82" s="507"/>
      <c r="DI82" s="422" t="s">
        <v>4549</v>
      </c>
      <c r="DJ82" s="508"/>
      <c r="DK82" s="508"/>
      <c r="DL82" s="422"/>
      <c r="DM82" s="422"/>
      <c r="DN82" s="422"/>
      <c r="DO82" s="508"/>
      <c r="DP82" s="508"/>
      <c r="DQ82" s="508"/>
      <c r="DR82" s="422" t="s">
        <v>4550</v>
      </c>
      <c r="DS82" s="422" t="s">
        <v>914</v>
      </c>
      <c r="DT82" s="508"/>
      <c r="DU82" s="422"/>
      <c r="DV82" s="508"/>
      <c r="DW82" s="508"/>
      <c r="DX82" s="508"/>
      <c r="DY82" s="508"/>
      <c r="DZ82" s="508"/>
      <c r="EA82" s="422"/>
      <c r="EB82" s="508"/>
      <c r="EC82" s="508"/>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3528</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3513</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0"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3496</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2165</v>
      </c>
      <c r="L90" s="522" t="s">
        <v>2942</v>
      </c>
      <c r="M90" s="522" t="s">
        <v>4741</v>
      </c>
      <c r="N90" s="523" t="s">
        <v>4742</v>
      </c>
      <c r="O90" s="522" t="s">
        <v>371</v>
      </c>
      <c r="P90" s="524" t="s">
        <v>4743</v>
      </c>
      <c r="Q90" s="524" t="s">
        <v>4744</v>
      </c>
      <c r="R90" s="524" t="s">
        <v>2524</v>
      </c>
      <c r="S90" s="524" t="s">
        <v>3612</v>
      </c>
      <c r="T90" s="524" t="s">
        <v>1269</v>
      </c>
      <c r="U90" s="524" t="s">
        <v>4745</v>
      </c>
      <c r="V90" s="522" t="s">
        <v>4746</v>
      </c>
      <c r="W90" s="525"/>
      <c r="X90" s="526" t="s">
        <v>2967</v>
      </c>
      <c r="Y90" s="526"/>
      <c r="Z90" s="526" t="s">
        <v>4747</v>
      </c>
      <c r="AA90" s="527" t="s">
        <v>511</v>
      </c>
      <c r="AB90" s="527" t="s">
        <v>631</v>
      </c>
      <c r="AC90" s="526" t="s">
        <v>2299</v>
      </c>
      <c r="AD90" s="527" t="s">
        <v>4748</v>
      </c>
      <c r="AE90" s="526"/>
      <c r="AF90" s="526" t="s">
        <v>4749</v>
      </c>
      <c r="AG90" s="528" t="s">
        <v>4750</v>
      </c>
      <c r="AH90" s="526" t="s">
        <v>3628</v>
      </c>
      <c r="AI90" s="529" t="s">
        <v>1402</v>
      </c>
      <c r="AJ90" s="116" t="s">
        <v>2210</v>
      </c>
      <c r="AK90" s="529" t="s">
        <v>4751</v>
      </c>
      <c r="AL90" s="530"/>
      <c r="AM90" s="531" t="s">
        <v>3438</v>
      </c>
      <c r="AN90" s="531" t="s">
        <v>1307</v>
      </c>
      <c r="AO90" s="531" t="s">
        <v>4752</v>
      </c>
      <c r="AP90" s="532" t="s">
        <v>2998</v>
      </c>
      <c r="AQ90" s="532" t="s">
        <v>134</v>
      </c>
      <c r="AR90" s="532" t="s">
        <v>1930</v>
      </c>
      <c r="AS90" s="531" t="s">
        <v>4753</v>
      </c>
      <c r="AT90" s="532" t="s">
        <v>4754</v>
      </c>
      <c r="AU90" s="532" t="s">
        <v>3156</v>
      </c>
      <c r="AV90" s="533" t="s">
        <v>2537</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2473</v>
      </c>
      <c r="BJ90" s="535" t="s">
        <v>4760</v>
      </c>
      <c r="BK90" s="174"/>
      <c r="BL90" s="537" t="s">
        <v>2500</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2579</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2144</v>
      </c>
      <c r="CX90" s="552" t="s">
        <v>4771</v>
      </c>
      <c r="CY90" s="551" t="s">
        <v>4772</v>
      </c>
      <c r="CZ90" s="552" t="s">
        <v>4773</v>
      </c>
      <c r="DA90" s="550" t="s">
        <v>2133</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2015</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3523</v>
      </c>
      <c r="CO91" s="88" t="s">
        <v>2675</v>
      </c>
      <c r="CP91" s="99"/>
      <c r="CQ91" s="99"/>
      <c r="CR91" s="99"/>
      <c r="CS91" s="99"/>
      <c r="CT91" s="99"/>
      <c r="CU91" s="92"/>
      <c r="CV91" s="88" t="s">
        <v>4800</v>
      </c>
      <c r="CW91" s="423" t="str">
        <f>HYPERLINK("https://youtu.be/E3G9EWGMU-8?t=986", "14.55")</f>
        <v>14.55</v>
      </c>
      <c r="CX91" s="88" t="s">
        <v>3571</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2773</v>
      </c>
      <c r="G93" s="82" t="s">
        <v>2345</v>
      </c>
      <c r="H93" s="99"/>
      <c r="I93" s="99"/>
      <c r="J93" s="94" t="s">
        <v>4848</v>
      </c>
      <c r="K93" s="94" t="s">
        <v>1068</v>
      </c>
      <c r="L93" s="94" t="s">
        <v>4849</v>
      </c>
      <c r="M93" s="94" t="s">
        <v>4850</v>
      </c>
      <c r="N93" s="94" t="s">
        <v>4851</v>
      </c>
      <c r="O93" s="94" t="s">
        <v>2798</v>
      </c>
      <c r="P93" s="88" t="s">
        <v>3105</v>
      </c>
      <c r="Q93" s="99"/>
      <c r="R93" s="99"/>
      <c r="S93" s="99"/>
      <c r="T93" s="99"/>
      <c r="U93" s="99"/>
      <c r="V93" s="94" t="s">
        <v>4852</v>
      </c>
      <c r="W93" s="92"/>
      <c r="X93" s="266" t="s">
        <v>4853</v>
      </c>
      <c r="Y93" s="94"/>
      <c r="Z93" s="94" t="s">
        <v>1077</v>
      </c>
      <c r="AA93" s="88" t="s">
        <v>4456</v>
      </c>
      <c r="AB93" s="88" t="s">
        <v>4854</v>
      </c>
      <c r="AC93" s="88" t="s">
        <v>2337</v>
      </c>
      <c r="AD93" s="266" t="s">
        <v>4343</v>
      </c>
      <c r="AE93" s="94"/>
      <c r="AF93" s="162" t="s">
        <v>3546</v>
      </c>
      <c r="AG93" s="88" t="s">
        <v>1826</v>
      </c>
      <c r="AH93" s="99"/>
      <c r="AI93" s="99"/>
      <c r="AJ93" s="94" t="s">
        <v>1893</v>
      </c>
      <c r="AK93" s="94" t="s">
        <v>4855</v>
      </c>
      <c r="AL93" s="97"/>
      <c r="AM93" s="99"/>
      <c r="AN93" s="99"/>
      <c r="AO93" s="99"/>
      <c r="AP93" s="99"/>
      <c r="AQ93" s="94" t="s">
        <v>236</v>
      </c>
      <c r="AR93" s="94"/>
      <c r="AS93" s="99"/>
      <c r="AT93" s="99"/>
      <c r="AU93" s="94" t="s">
        <v>978</v>
      </c>
      <c r="AV93" s="266" t="s">
        <v>4856</v>
      </c>
      <c r="AW93" s="99"/>
      <c r="AX93" s="99"/>
      <c r="AY93" s="88" t="s">
        <v>342</v>
      </c>
      <c r="AZ93" s="94" t="s">
        <v>4857</v>
      </c>
      <c r="BA93" s="94"/>
      <c r="BB93" s="94" t="s">
        <v>4483</v>
      </c>
      <c r="BC93" s="94" t="s">
        <v>2014</v>
      </c>
      <c r="BD93" s="94" t="s">
        <v>2218</v>
      </c>
      <c r="BE93" s="88" t="s">
        <v>378</v>
      </c>
      <c r="BF93" s="94" t="s">
        <v>1231</v>
      </c>
      <c r="BG93" s="99"/>
      <c r="BH93" s="99"/>
      <c r="BI93" s="266" t="s">
        <v>2696</v>
      </c>
      <c r="BJ93" s="99"/>
      <c r="BK93" s="94" t="s">
        <v>4858</v>
      </c>
      <c r="BL93" s="99"/>
      <c r="BM93" s="94"/>
      <c r="BN93" s="94" t="s">
        <v>3278</v>
      </c>
      <c r="BO93" s="94" t="s">
        <v>4496</v>
      </c>
      <c r="BP93" s="99"/>
      <c r="BQ93" s="237"/>
      <c r="BR93" s="99"/>
      <c r="BS93" s="94" t="s">
        <v>2238</v>
      </c>
      <c r="BT93" s="98" t="s">
        <v>3691</v>
      </c>
      <c r="BU93" s="94" t="s">
        <v>2085</v>
      </c>
      <c r="BV93" s="94" t="s">
        <v>4859</v>
      </c>
      <c r="BW93" s="94" t="s">
        <v>2991</v>
      </c>
      <c r="BX93" s="99"/>
      <c r="BY93" s="99"/>
      <c r="BZ93" s="99"/>
      <c r="CA93" s="88" t="s">
        <v>4766</v>
      </c>
      <c r="CB93" s="88" t="s">
        <v>4860</v>
      </c>
      <c r="CC93" s="99"/>
      <c r="CD93" s="88" t="s">
        <v>3173</v>
      </c>
      <c r="CE93" s="94" t="s">
        <v>4861</v>
      </c>
      <c r="CF93" s="94"/>
      <c r="CG93" s="94" t="s">
        <v>4862</v>
      </c>
      <c r="CH93" s="88" t="s">
        <v>296</v>
      </c>
      <c r="CI93" s="94" t="s">
        <v>1667</v>
      </c>
      <c r="CJ93" s="94" t="s">
        <v>4863</v>
      </c>
      <c r="CK93" s="94"/>
      <c r="CL93" s="94"/>
      <c r="CM93" s="99"/>
      <c r="CN93" s="94" t="s">
        <v>4687</v>
      </c>
      <c r="CO93" s="88" t="s">
        <v>2675</v>
      </c>
      <c r="CP93" s="99"/>
      <c r="CQ93" s="94"/>
      <c r="CR93" s="99"/>
      <c r="CS93" s="99"/>
      <c r="CT93" s="94" t="s">
        <v>4864</v>
      </c>
      <c r="CU93" s="92"/>
      <c r="CV93" s="94" t="s">
        <v>4745</v>
      </c>
      <c r="CW93" s="99"/>
      <c r="CX93" s="266" t="s">
        <v>1603</v>
      </c>
      <c r="CY93" s="94" t="s">
        <v>4436</v>
      </c>
      <c r="CZ93" s="94" t="s">
        <v>4865</v>
      </c>
      <c r="DA93" s="94" t="s">
        <v>4866</v>
      </c>
      <c r="DB93" s="266" t="s">
        <v>4679</v>
      </c>
      <c r="DC93" s="94" t="s">
        <v>4105</v>
      </c>
      <c r="DD93" s="266" t="s">
        <v>4867</v>
      </c>
      <c r="DE93" s="99"/>
      <c r="DF93" s="99"/>
      <c r="DG93" s="88" t="s">
        <v>4868</v>
      </c>
      <c r="DH93" s="88"/>
      <c r="DI93" s="99"/>
      <c r="DJ93" s="99"/>
      <c r="DK93" s="99"/>
      <c r="DL93" s="94"/>
      <c r="DM93" s="99"/>
      <c r="DN93" s="94" t="s">
        <v>4869</v>
      </c>
      <c r="DO93" s="99"/>
      <c r="DP93" s="99"/>
      <c r="DQ93" s="99"/>
      <c r="DR93" s="94" t="s">
        <v>4870</v>
      </c>
      <c r="DS93" s="99"/>
      <c r="DT93" s="94" t="s">
        <v>4871</v>
      </c>
      <c r="DU93" s="99"/>
      <c r="DV93" s="99"/>
      <c r="DW93" s="99"/>
      <c r="DX93" s="99"/>
      <c r="DY93" s="99"/>
      <c r="DZ93" s="99"/>
      <c r="EA93" s="94" t="s">
        <v>389</v>
      </c>
      <c r="EB93" s="99"/>
      <c r="EC93" s="99"/>
      <c r="ED93" s="258" t="s">
        <v>4872</v>
      </c>
    </row>
    <row r="94">
      <c r="A94" s="445" t="s">
        <v>4873</v>
      </c>
      <c r="B94" s="104" t="s">
        <v>4874</v>
      </c>
      <c r="C94" s="105" t="s">
        <v>1260</v>
      </c>
      <c r="D94" s="106" t="s">
        <v>1260</v>
      </c>
      <c r="E94" s="107" t="s">
        <v>1260</v>
      </c>
      <c r="F94" s="108" t="s">
        <v>221</v>
      </c>
      <c r="G94" s="104" t="s">
        <v>4875</v>
      </c>
      <c r="H94" s="421" t="s">
        <v>4132</v>
      </c>
      <c r="I94" s="429" t="s">
        <v>4876</v>
      </c>
      <c r="J94" s="112" t="s">
        <v>4877</v>
      </c>
      <c r="K94" s="112" t="s">
        <v>2877</v>
      </c>
      <c r="L94" s="421" t="s">
        <v>280</v>
      </c>
      <c r="M94" s="421"/>
      <c r="N94" s="421"/>
      <c r="O94" s="421" t="s">
        <v>3228</v>
      </c>
      <c r="P94" s="421" t="s">
        <v>993</v>
      </c>
      <c r="Q94" s="242"/>
      <c r="R94" s="242"/>
      <c r="S94" s="242"/>
      <c r="T94" s="242"/>
      <c r="U94" s="242"/>
      <c r="V94" s="242"/>
      <c r="W94" s="92"/>
      <c r="X94" s="296" t="s">
        <v>830</v>
      </c>
      <c r="Y94" s="117"/>
      <c r="Z94" s="117" t="s">
        <v>3851</v>
      </c>
      <c r="AA94" s="117" t="s">
        <v>3634</v>
      </c>
      <c r="AB94" s="296"/>
      <c r="AC94" s="117"/>
      <c r="AD94" s="117"/>
      <c r="AE94" s="244"/>
      <c r="AF94" s="117" t="s">
        <v>4878</v>
      </c>
      <c r="AG94" s="117" t="s">
        <v>3001</v>
      </c>
      <c r="AH94" s="244"/>
      <c r="AI94" s="244"/>
      <c r="AJ94" s="117"/>
      <c r="AK94" s="244"/>
      <c r="AL94" s="97"/>
      <c r="AM94" s="124"/>
      <c r="AN94" s="121" t="s">
        <v>1899</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2896</v>
      </c>
      <c r="BO94" s="355"/>
      <c r="BP94" s="173"/>
      <c r="BQ94" s="247"/>
      <c r="BR94" s="129" t="s">
        <v>156</v>
      </c>
      <c r="BS94" s="129" t="s">
        <v>373</v>
      </c>
      <c r="BT94" s="129" t="s">
        <v>2628</v>
      </c>
      <c r="BU94" s="129" t="s">
        <v>4879</v>
      </c>
      <c r="BV94" s="129" t="s">
        <v>4880</v>
      </c>
      <c r="BW94" s="129" t="s">
        <v>313</v>
      </c>
      <c r="BX94" s="129" t="s">
        <v>163</v>
      </c>
      <c r="BY94" s="131" t="s">
        <v>4881</v>
      </c>
      <c r="BZ94" s="564" t="s">
        <v>4882</v>
      </c>
      <c r="CA94" s="129" t="s">
        <v>1686</v>
      </c>
      <c r="CB94" s="129" t="s">
        <v>4883</v>
      </c>
      <c r="CC94" s="129" t="s">
        <v>4884</v>
      </c>
      <c r="CD94" s="307" t="s">
        <v>4885</v>
      </c>
      <c r="CE94" s="249"/>
      <c r="CF94" s="251"/>
      <c r="CG94" s="136" t="s">
        <v>4886</v>
      </c>
      <c r="CH94" s="136"/>
      <c r="CI94" s="136"/>
      <c r="CJ94" s="136"/>
      <c r="CK94" s="136" t="s">
        <v>197</v>
      </c>
      <c r="CL94" s="136"/>
      <c r="CM94" s="136"/>
      <c r="CN94" s="136" t="s">
        <v>2357</v>
      </c>
      <c r="CO94" s="136" t="s">
        <v>4887</v>
      </c>
      <c r="CP94" s="431"/>
      <c r="CQ94" s="252"/>
      <c r="CR94" s="252"/>
      <c r="CS94" s="252"/>
      <c r="CT94" s="252"/>
      <c r="CU94" s="92"/>
      <c r="CV94" s="285" t="s">
        <v>699</v>
      </c>
      <c r="CW94" s="285"/>
      <c r="CX94" s="565" t="s">
        <v>3771</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4888</v>
      </c>
      <c r="DS94" s="206" t="s">
        <v>3116</v>
      </c>
      <c r="DT94" s="255"/>
      <c r="DU94" s="206"/>
      <c r="DV94" s="205" t="s">
        <v>1391</v>
      </c>
      <c r="DW94" s="255"/>
      <c r="DX94" s="255"/>
      <c r="DY94" s="255"/>
      <c r="DZ94" s="255"/>
      <c r="EA94" s="206"/>
      <c r="EB94" s="255"/>
      <c r="EC94" s="255"/>
      <c r="ED94" s="287"/>
    </row>
    <row r="95">
      <c r="A95" s="81" t="s">
        <v>4889</v>
      </c>
      <c r="B95" s="82" t="s">
        <v>4890</v>
      </c>
      <c r="C95" s="83" t="s">
        <v>1260</v>
      </c>
      <c r="D95" s="84" t="s">
        <v>1260</v>
      </c>
      <c r="E95" s="85" t="s">
        <v>1260</v>
      </c>
      <c r="F95" s="86" t="s">
        <v>3873</v>
      </c>
      <c r="G95" s="82" t="s">
        <v>1810</v>
      </c>
      <c r="H95" s="99"/>
      <c r="I95" s="99"/>
      <c r="J95" s="99"/>
      <c r="K95" s="88" t="s">
        <v>2877</v>
      </c>
      <c r="L95" s="94" t="s">
        <v>4650</v>
      </c>
      <c r="M95" s="88" t="s">
        <v>4891</v>
      </c>
      <c r="N95" s="99"/>
      <c r="O95" s="94" t="s">
        <v>928</v>
      </c>
      <c r="P95" s="94" t="s">
        <v>2553</v>
      </c>
      <c r="Q95" s="99"/>
      <c r="R95" s="99"/>
      <c r="S95" s="99"/>
      <c r="T95" s="99"/>
      <c r="U95" s="99"/>
      <c r="V95" s="99"/>
      <c r="W95" s="92"/>
      <c r="X95" s="94" t="s">
        <v>4892</v>
      </c>
      <c r="Y95" s="94"/>
      <c r="Z95" s="94" t="s">
        <v>2815</v>
      </c>
      <c r="AA95" s="99"/>
      <c r="AB95" s="94" t="s">
        <v>3089</v>
      </c>
      <c r="AC95" s="94" t="s">
        <v>4781</v>
      </c>
      <c r="AD95" s="99"/>
      <c r="AE95" s="99"/>
      <c r="AF95" s="99"/>
      <c r="AG95" s="88" t="s">
        <v>125</v>
      </c>
      <c r="AH95" s="99"/>
      <c r="AI95" s="99"/>
      <c r="AJ95" s="99"/>
      <c r="AK95" s="99"/>
      <c r="AL95" s="97"/>
      <c r="AM95" s="99"/>
      <c r="AN95" s="99"/>
      <c r="AO95" s="99"/>
      <c r="AP95" s="99"/>
      <c r="AQ95" s="99"/>
      <c r="AR95" s="99"/>
      <c r="AS95" s="99"/>
      <c r="AT95" s="99"/>
      <c r="AU95" s="266" t="s">
        <v>4893</v>
      </c>
      <c r="AV95" s="94" t="s">
        <v>1378</v>
      </c>
      <c r="AW95" s="99"/>
      <c r="AX95" s="99"/>
      <c r="AY95" s="99"/>
      <c r="AZ95" s="99"/>
      <c r="BA95" s="99"/>
      <c r="BB95" s="94" t="s">
        <v>4894</v>
      </c>
      <c r="BC95" s="94" t="s">
        <v>660</v>
      </c>
      <c r="BD95" s="94" t="s">
        <v>188</v>
      </c>
      <c r="BE95" s="94" t="s">
        <v>4180</v>
      </c>
      <c r="BF95" s="99"/>
      <c r="BG95" s="99"/>
      <c r="BH95" s="99"/>
      <c r="BI95" s="99"/>
      <c r="BJ95" s="99"/>
      <c r="BK95" s="94" t="s">
        <v>4895</v>
      </c>
      <c r="BL95" s="94" t="s">
        <v>187</v>
      </c>
      <c r="BM95" s="99"/>
      <c r="BN95" s="99"/>
      <c r="BO95" s="99"/>
      <c r="BP95" s="99"/>
      <c r="BQ95" s="237"/>
      <c r="BR95" s="88" t="s">
        <v>4896</v>
      </c>
      <c r="BS95" s="99"/>
      <c r="BT95" s="99"/>
      <c r="BU95" s="99"/>
      <c r="BV95" s="99"/>
      <c r="BW95" s="94" t="s">
        <v>1343</v>
      </c>
      <c r="BX95" s="99"/>
      <c r="BY95" s="94" t="s">
        <v>3331</v>
      </c>
      <c r="BZ95" s="94" t="s">
        <v>4897</v>
      </c>
      <c r="CA95" s="94" t="s">
        <v>4898</v>
      </c>
      <c r="CB95" s="99"/>
      <c r="CC95" s="99"/>
      <c r="CD95" s="99"/>
      <c r="CE95" s="99"/>
      <c r="CF95" s="237"/>
      <c r="CG95" s="88" t="s">
        <v>171</v>
      </c>
      <c r="CH95" s="94" t="s">
        <v>891</v>
      </c>
      <c r="CI95" s="99"/>
      <c r="CJ95" s="88" t="s">
        <v>4899</v>
      </c>
      <c r="CK95" s="93"/>
      <c r="CL95" s="93"/>
      <c r="CM95" s="94" t="s">
        <v>3713</v>
      </c>
      <c r="CN95" s="94" t="s">
        <v>1125</v>
      </c>
      <c r="CO95" s="99"/>
      <c r="CP95" s="88" t="s">
        <v>4900</v>
      </c>
      <c r="CQ95" s="99"/>
      <c r="CR95" s="99"/>
      <c r="CS95" s="99"/>
      <c r="CT95" s="99"/>
      <c r="CU95" s="92"/>
      <c r="CV95" s="94" t="s">
        <v>1786</v>
      </c>
      <c r="CW95" s="99"/>
      <c r="CX95" s="94" t="s">
        <v>2175</v>
      </c>
      <c r="CY95" s="99"/>
      <c r="CZ95" s="94" t="s">
        <v>4901</v>
      </c>
      <c r="DA95" s="94" t="s">
        <v>1910</v>
      </c>
      <c r="DB95" s="94" t="s">
        <v>2251</v>
      </c>
      <c r="DC95" s="94" t="s">
        <v>1512</v>
      </c>
      <c r="DD95" s="99"/>
      <c r="DE95" s="99"/>
      <c r="DF95" s="99"/>
      <c r="DG95" s="99"/>
      <c r="DH95" s="237"/>
      <c r="DI95" s="94"/>
      <c r="DJ95" s="99"/>
      <c r="DK95" s="99"/>
      <c r="DL95" s="99"/>
      <c r="DM95" s="94" t="s">
        <v>530</v>
      </c>
      <c r="DN95" s="99"/>
      <c r="DO95" s="99"/>
      <c r="DP95" s="99"/>
      <c r="DQ95" s="99"/>
      <c r="DR95" s="94" t="s">
        <v>4902</v>
      </c>
      <c r="DS95" s="99"/>
      <c r="DT95" s="99"/>
      <c r="DU95" s="99"/>
      <c r="DV95" s="99"/>
      <c r="DW95" s="99"/>
      <c r="DX95" s="99"/>
      <c r="DY95" s="99"/>
      <c r="DZ95" s="99"/>
      <c r="EA95" s="99"/>
      <c r="EB95" s="99"/>
      <c r="EC95" s="99"/>
      <c r="ED95" s="341"/>
    </row>
    <row r="96">
      <c r="A96" s="566" t="s">
        <v>4903</v>
      </c>
      <c r="B96" s="104" t="s">
        <v>4904</v>
      </c>
      <c r="C96" s="105" t="s">
        <v>1260</v>
      </c>
      <c r="D96" s="106" t="s">
        <v>547</v>
      </c>
      <c r="E96" s="107" t="s">
        <v>1260</v>
      </c>
      <c r="F96" s="108" t="s">
        <v>4905</v>
      </c>
      <c r="G96" s="104" t="s">
        <v>2090</v>
      </c>
      <c r="H96" s="167" t="s">
        <v>793</v>
      </c>
      <c r="I96" s="112" t="s">
        <v>4906</v>
      </c>
      <c r="J96" s="112" t="s">
        <v>4907</v>
      </c>
      <c r="K96" s="112" t="s">
        <v>3909</v>
      </c>
      <c r="L96" s="112" t="s">
        <v>2950</v>
      </c>
      <c r="M96" s="112" t="s">
        <v>3446</v>
      </c>
      <c r="N96" s="112" t="s">
        <v>4908</v>
      </c>
      <c r="O96" s="112" t="s">
        <v>4268</v>
      </c>
      <c r="P96" s="112" t="s">
        <v>4909</v>
      </c>
      <c r="Q96" s="112" t="s">
        <v>4910</v>
      </c>
      <c r="R96" s="242"/>
      <c r="S96" s="112" t="s">
        <v>3075</v>
      </c>
      <c r="T96" s="112" t="s">
        <v>4911</v>
      </c>
      <c r="U96" s="242"/>
      <c r="V96" s="167" t="s">
        <v>4912</v>
      </c>
      <c r="W96" s="92"/>
      <c r="X96" s="116" t="s">
        <v>1660</v>
      </c>
      <c r="Y96" s="244"/>
      <c r="Z96" s="244"/>
      <c r="AA96" s="116" t="s">
        <v>993</v>
      </c>
      <c r="AB96" s="197" t="s">
        <v>4913</v>
      </c>
      <c r="AC96" s="116" t="s">
        <v>1482</v>
      </c>
      <c r="AD96" s="198" t="s">
        <v>2882</v>
      </c>
      <c r="AE96" s="244"/>
      <c r="AF96" s="116" t="s">
        <v>3546</v>
      </c>
      <c r="AG96" s="116" t="s">
        <v>4914</v>
      </c>
      <c r="AH96" s="244"/>
      <c r="AI96" s="198" t="s">
        <v>2929</v>
      </c>
      <c r="AJ96" s="198" t="s">
        <v>758</v>
      </c>
      <c r="AK96" s="244"/>
      <c r="AL96" s="97"/>
      <c r="AM96" s="168" t="s">
        <v>4915</v>
      </c>
      <c r="AN96" s="168" t="s">
        <v>4916</v>
      </c>
      <c r="AO96" s="245"/>
      <c r="AP96" s="168" t="s">
        <v>4917</v>
      </c>
      <c r="AQ96" s="245"/>
      <c r="AR96" s="245"/>
      <c r="AS96" s="245"/>
      <c r="AT96" s="168" t="s">
        <v>3227</v>
      </c>
      <c r="AU96" s="121" t="s">
        <v>3482</v>
      </c>
      <c r="AV96" s="121" t="s">
        <v>3181</v>
      </c>
      <c r="AW96" s="121" t="s">
        <v>4918</v>
      </c>
      <c r="AX96" s="245"/>
      <c r="AY96" s="121" t="s">
        <v>4297</v>
      </c>
      <c r="AZ96" s="245"/>
      <c r="BA96" s="245"/>
      <c r="BB96" s="174" t="s">
        <v>2091</v>
      </c>
      <c r="BC96" s="174" t="s">
        <v>2828</v>
      </c>
      <c r="BD96" s="174" t="s">
        <v>1904</v>
      </c>
      <c r="BE96" s="126" t="s">
        <v>2423</v>
      </c>
      <c r="BF96" s="126" t="s">
        <v>4645</v>
      </c>
      <c r="BG96" s="173"/>
      <c r="BH96" s="173"/>
      <c r="BI96" s="126" t="s">
        <v>2931</v>
      </c>
      <c r="BJ96" s="173"/>
      <c r="BK96" s="126" t="s">
        <v>4919</v>
      </c>
      <c r="BL96" s="126" t="s">
        <v>2769</v>
      </c>
      <c r="BM96" s="173"/>
      <c r="BN96" s="126" t="s">
        <v>2490</v>
      </c>
      <c r="BO96" s="173"/>
      <c r="BP96" s="173"/>
      <c r="BQ96" s="247"/>
      <c r="BR96" s="129" t="s">
        <v>4920</v>
      </c>
      <c r="BS96" s="249"/>
      <c r="BT96" s="175" t="s">
        <v>4921</v>
      </c>
      <c r="BU96" s="129" t="s">
        <v>4539</v>
      </c>
      <c r="BV96" s="249"/>
      <c r="BW96" s="249"/>
      <c r="BX96" s="249"/>
      <c r="BY96" s="175" t="s">
        <v>4922</v>
      </c>
      <c r="BZ96" s="280" t="s">
        <v>804</v>
      </c>
      <c r="CA96" s="129" t="s">
        <v>4923</v>
      </c>
      <c r="CB96" s="129" t="s">
        <v>4924</v>
      </c>
      <c r="CC96" s="175" t="s">
        <v>4706</v>
      </c>
      <c r="CD96" s="129" t="s">
        <v>4075</v>
      </c>
      <c r="CE96" s="249"/>
      <c r="CF96" s="251"/>
      <c r="CG96" s="135" t="s">
        <v>4925</v>
      </c>
      <c r="CH96" s="135" t="s">
        <v>1396</v>
      </c>
      <c r="CI96" s="177" t="s">
        <v>4926</v>
      </c>
      <c r="CJ96" s="135" t="s">
        <v>4927</v>
      </c>
      <c r="CK96" s="136"/>
      <c r="CL96" s="135" t="s">
        <v>4928</v>
      </c>
      <c r="CM96" s="135" t="s">
        <v>4515</v>
      </c>
      <c r="CN96" s="177" t="s">
        <v>4929</v>
      </c>
      <c r="CO96" s="135" t="s">
        <v>233</v>
      </c>
      <c r="CP96" s="252"/>
      <c r="CQ96" s="252"/>
      <c r="CR96" s="136"/>
      <c r="CS96" s="135" t="s">
        <v>1269</v>
      </c>
      <c r="CT96" s="252"/>
      <c r="CU96" s="92"/>
      <c r="CV96" s="444" t="s">
        <v>1862</v>
      </c>
      <c r="CW96" s="253"/>
      <c r="CX96" s="204" t="s">
        <v>1603</v>
      </c>
      <c r="CY96" s="140" t="s">
        <v>4930</v>
      </c>
      <c r="CZ96" s="253"/>
      <c r="DA96" s="204" t="s">
        <v>4931</v>
      </c>
      <c r="DB96" s="204" t="s">
        <v>4932</v>
      </c>
      <c r="DC96" s="140" t="s">
        <v>2328</v>
      </c>
      <c r="DD96" s="253"/>
      <c r="DE96" s="204" t="s">
        <v>4933</v>
      </c>
      <c r="DF96" s="140" t="s">
        <v>4934</v>
      </c>
      <c r="DG96" s="253"/>
      <c r="DH96" s="263"/>
      <c r="DI96" s="255"/>
      <c r="DJ96" s="255"/>
      <c r="DK96" s="255"/>
      <c r="DL96" s="255"/>
      <c r="DM96" s="255"/>
      <c r="DN96" s="255"/>
      <c r="DO96" s="145" t="s">
        <v>1192</v>
      </c>
      <c r="DP96" s="205" t="s">
        <v>3379</v>
      </c>
      <c r="DQ96" s="205" t="s">
        <v>4887</v>
      </c>
      <c r="DR96" s="255"/>
      <c r="DS96" s="255"/>
      <c r="DT96" s="205" t="s">
        <v>2926</v>
      </c>
      <c r="DU96" s="205" t="s">
        <v>4935</v>
      </c>
      <c r="DV96" s="255"/>
      <c r="DW96" s="205" t="s">
        <v>4843</v>
      </c>
      <c r="DX96" s="255"/>
      <c r="DY96" s="255"/>
      <c r="DZ96" s="255"/>
      <c r="EA96" s="179" t="s">
        <v>4936</v>
      </c>
      <c r="EB96" s="255"/>
      <c r="EC96" s="255"/>
      <c r="ED96" s="287"/>
    </row>
    <row r="97">
      <c r="A97" s="567"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4879</v>
      </c>
      <c r="DQ97" s="88" t="s">
        <v>4957</v>
      </c>
      <c r="DR97" s="99"/>
      <c r="DS97" s="99"/>
      <c r="DT97" s="99"/>
      <c r="DU97" s="94" t="s">
        <v>4474</v>
      </c>
      <c r="DV97" s="99"/>
      <c r="DW97" s="94" t="s">
        <v>1873</v>
      </c>
      <c r="DX97" s="99"/>
      <c r="DY97" s="99"/>
      <c r="DZ97" s="99"/>
      <c r="EA97" s="99"/>
      <c r="EB97" s="99"/>
      <c r="EC97" s="99"/>
      <c r="ED97" s="258"/>
    </row>
    <row r="98">
      <c r="A98" s="568" t="s">
        <v>4958</v>
      </c>
      <c r="B98" s="104" t="s">
        <v>4959</v>
      </c>
      <c r="C98" s="105" t="s">
        <v>1260</v>
      </c>
      <c r="D98" s="106" t="s">
        <v>547</v>
      </c>
      <c r="E98" s="107" t="s">
        <v>1260</v>
      </c>
      <c r="F98" s="108" t="s">
        <v>4875</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69"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0" t="s">
        <v>4997</v>
      </c>
      <c r="B99" s="449" t="s">
        <v>4998</v>
      </c>
      <c r="C99" s="450" t="s">
        <v>1260</v>
      </c>
      <c r="D99" s="451" t="s">
        <v>1260</v>
      </c>
      <c r="E99" s="452" t="s">
        <v>1260</v>
      </c>
      <c r="F99" s="453" t="s">
        <v>3873</v>
      </c>
      <c r="G99" s="449" t="s">
        <v>3383</v>
      </c>
      <c r="H99" s="318"/>
      <c r="I99" s="318"/>
      <c r="J99" s="318"/>
      <c r="K99" s="454" t="s">
        <v>1639</v>
      </c>
      <c r="L99" s="320"/>
      <c r="M99" s="318"/>
      <c r="N99" s="571"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2" t="s">
        <v>5002</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2" t="s">
        <v>3279</v>
      </c>
      <c r="BG99" s="318"/>
      <c r="BH99" s="318"/>
      <c r="BI99" s="572"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5019</v>
      </c>
      <c r="B101" s="82" t="s">
        <v>5020</v>
      </c>
      <c r="C101" s="83" t="s">
        <v>1260</v>
      </c>
      <c r="D101" s="84" t="s">
        <v>1260</v>
      </c>
      <c r="E101" s="85" t="s">
        <v>1260</v>
      </c>
      <c r="F101" s="86" t="s">
        <v>547</v>
      </c>
      <c r="G101" s="82" t="s">
        <v>1634</v>
      </c>
      <c r="H101" s="258"/>
      <c r="I101" s="258" t="s">
        <v>1299</v>
      </c>
      <c r="J101" s="258" t="s">
        <v>2219</v>
      </c>
      <c r="K101" s="258" t="s">
        <v>3495</v>
      </c>
      <c r="L101" s="258" t="s">
        <v>5021</v>
      </c>
      <c r="M101" s="258"/>
      <c r="N101" s="258" t="s">
        <v>2918</v>
      </c>
      <c r="O101" s="258" t="s">
        <v>1449</v>
      </c>
      <c r="P101" s="258" t="s">
        <v>2926</v>
      </c>
      <c r="Q101" s="574"/>
      <c r="R101" s="574"/>
      <c r="S101" s="574"/>
      <c r="T101" s="574"/>
      <c r="U101" s="574"/>
      <c r="V101" s="574"/>
      <c r="W101" s="92"/>
      <c r="X101" s="258" t="s">
        <v>3985</v>
      </c>
      <c r="Y101" s="258"/>
      <c r="Z101" s="258" t="s">
        <v>362</v>
      </c>
      <c r="AA101" s="258" t="s">
        <v>2243</v>
      </c>
      <c r="AB101" s="258" t="s">
        <v>992</v>
      </c>
      <c r="AC101" s="258" t="s">
        <v>4454</v>
      </c>
      <c r="AD101" s="258" t="s">
        <v>5022</v>
      </c>
      <c r="AE101" s="574"/>
      <c r="AF101" s="258" t="s">
        <v>5023</v>
      </c>
      <c r="AG101" s="258" t="s">
        <v>5024</v>
      </c>
      <c r="AH101" s="574"/>
      <c r="AI101" s="574"/>
      <c r="AJ101" s="258"/>
      <c r="AK101" s="574"/>
      <c r="AL101" s="575"/>
      <c r="AM101" s="258"/>
      <c r="AN101" s="258"/>
      <c r="AO101" s="574"/>
      <c r="AP101" s="574"/>
      <c r="AQ101" s="576"/>
      <c r="AR101" s="576"/>
      <c r="AS101" s="574"/>
      <c r="AT101" s="574"/>
      <c r="AU101" s="258" t="s">
        <v>3361</v>
      </c>
      <c r="AV101" s="258" t="s">
        <v>5025</v>
      </c>
      <c r="AW101" s="258"/>
      <c r="AX101" s="574"/>
      <c r="AY101" s="574"/>
      <c r="AZ101" s="574"/>
      <c r="BA101" s="574"/>
      <c r="BB101" s="258" t="s">
        <v>4058</v>
      </c>
      <c r="BC101" s="258" t="s">
        <v>5026</v>
      </c>
      <c r="BD101" s="258" t="s">
        <v>618</v>
      </c>
      <c r="BE101" s="258" t="s">
        <v>4975</v>
      </c>
      <c r="BF101" s="258"/>
      <c r="BG101" s="258"/>
      <c r="BH101" s="574"/>
      <c r="BI101" s="577" t="s">
        <v>847</v>
      </c>
      <c r="BJ101" s="576" t="s">
        <v>1793</v>
      </c>
      <c r="BK101" s="258"/>
      <c r="BL101" s="258"/>
      <c r="BM101" s="574"/>
      <c r="BN101" s="574"/>
      <c r="BO101" s="258"/>
      <c r="BP101" s="574"/>
      <c r="BQ101" s="578"/>
      <c r="BR101" s="258" t="s">
        <v>5027</v>
      </c>
      <c r="BS101" s="258" t="s">
        <v>5028</v>
      </c>
      <c r="BT101" s="258" t="s">
        <v>5011</v>
      </c>
      <c r="BU101" s="258" t="s">
        <v>4869</v>
      </c>
      <c r="BV101" s="258" t="s">
        <v>3426</v>
      </c>
      <c r="BW101" s="258" t="s">
        <v>5029</v>
      </c>
      <c r="BX101" s="574"/>
      <c r="BY101" s="258" t="s">
        <v>5030</v>
      </c>
      <c r="BZ101" s="258"/>
      <c r="CA101" s="258" t="s">
        <v>5031</v>
      </c>
      <c r="CB101" s="574"/>
      <c r="CC101" s="574"/>
      <c r="CD101" s="574"/>
      <c r="CE101" s="574"/>
      <c r="CF101" s="578"/>
      <c r="CG101" s="258" t="s">
        <v>5032</v>
      </c>
      <c r="CH101" s="258" t="s">
        <v>5033</v>
      </c>
      <c r="CI101" s="258"/>
      <c r="CJ101" s="98" t="s">
        <v>5034</v>
      </c>
      <c r="CK101" s="579"/>
      <c r="CL101" s="258"/>
      <c r="CM101" s="258"/>
      <c r="CN101" s="258" t="s">
        <v>2832</v>
      </c>
      <c r="CO101" s="258" t="s">
        <v>3827</v>
      </c>
      <c r="CP101" s="580"/>
      <c r="CQ101" s="574"/>
      <c r="CR101" s="574"/>
      <c r="CS101" s="574"/>
      <c r="CT101" s="574"/>
      <c r="CU101" s="581"/>
      <c r="CV101" s="258" t="s">
        <v>3953</v>
      </c>
      <c r="CW101" s="258" t="s">
        <v>241</v>
      </c>
      <c r="CX101" s="258" t="s">
        <v>1625</v>
      </c>
      <c r="CY101" s="258" t="s">
        <v>1066</v>
      </c>
      <c r="CZ101" s="258" t="s">
        <v>3832</v>
      </c>
      <c r="DA101" s="258" t="s">
        <v>4340</v>
      </c>
      <c r="DB101" s="258" t="s">
        <v>5035</v>
      </c>
      <c r="DC101" s="258" t="s">
        <v>4406</v>
      </c>
      <c r="DD101" s="574"/>
      <c r="DE101" s="574"/>
      <c r="DF101" s="574"/>
      <c r="DG101" s="574"/>
      <c r="DH101" s="578"/>
      <c r="DI101" s="258"/>
      <c r="DJ101" s="574"/>
      <c r="DK101" s="574"/>
      <c r="DL101" s="258"/>
      <c r="DM101" s="258"/>
      <c r="DN101" s="258"/>
      <c r="DO101" s="574"/>
      <c r="DP101" s="574"/>
      <c r="DQ101" s="574"/>
      <c r="DR101" s="258" t="s">
        <v>3252</v>
      </c>
      <c r="DS101" s="258" t="s">
        <v>4501</v>
      </c>
      <c r="DT101" s="574"/>
      <c r="DU101" s="258"/>
      <c r="DV101" s="574"/>
      <c r="DW101" s="574"/>
      <c r="DX101" s="574"/>
      <c r="DY101" s="574"/>
      <c r="DZ101" s="574"/>
      <c r="EA101" s="258"/>
      <c r="EB101" s="574"/>
      <c r="EC101" s="574"/>
      <c r="ED101" s="258"/>
    </row>
    <row r="102">
      <c r="A102" s="582" t="s">
        <v>5036</v>
      </c>
      <c r="B102" s="104" t="s">
        <v>5037</v>
      </c>
      <c r="C102" s="105" t="s">
        <v>1260</v>
      </c>
      <c r="D102" s="106" t="s">
        <v>1260</v>
      </c>
      <c r="E102" s="107" t="s">
        <v>1260</v>
      </c>
      <c r="F102" s="108" t="s">
        <v>547</v>
      </c>
      <c r="G102" s="104" t="s">
        <v>2345</v>
      </c>
      <c r="H102" s="167" t="s">
        <v>685</v>
      </c>
      <c r="I102" s="167" t="s">
        <v>5038</v>
      </c>
      <c r="J102" s="167" t="s">
        <v>5039</v>
      </c>
      <c r="K102" s="167" t="s">
        <v>5040</v>
      </c>
      <c r="L102" s="167" t="s">
        <v>2950</v>
      </c>
      <c r="M102" s="167" t="s">
        <v>5041</v>
      </c>
      <c r="N102" s="167" t="s">
        <v>5042</v>
      </c>
      <c r="O102" s="167" t="s">
        <v>1966</v>
      </c>
      <c r="P102" s="167" t="s">
        <v>5043</v>
      </c>
      <c r="Q102" s="242"/>
      <c r="R102" s="242"/>
      <c r="S102" s="167" t="s">
        <v>3203</v>
      </c>
      <c r="T102" s="242"/>
      <c r="U102" s="167" t="s">
        <v>639</v>
      </c>
      <c r="V102" s="242"/>
      <c r="W102" s="92"/>
      <c r="X102" s="198" t="s">
        <v>2072</v>
      </c>
      <c r="Y102" s="198"/>
      <c r="Z102" s="198" t="s">
        <v>1967</v>
      </c>
      <c r="AA102" s="198" t="s">
        <v>5044</v>
      </c>
      <c r="AB102" s="198" t="s">
        <v>3693</v>
      </c>
      <c r="AC102" s="583" t="s">
        <v>4239</v>
      </c>
      <c r="AD102" s="198" t="s">
        <v>4480</v>
      </c>
      <c r="AE102" s="244"/>
      <c r="AF102" s="244"/>
      <c r="AG102" s="198" t="s">
        <v>5045</v>
      </c>
      <c r="AH102" s="244"/>
      <c r="AI102" s="244"/>
      <c r="AJ102" s="244"/>
      <c r="AK102" s="244"/>
      <c r="AL102" s="97"/>
      <c r="AM102" s="168" t="s">
        <v>2400</v>
      </c>
      <c r="AN102" s="168" t="s">
        <v>5046</v>
      </c>
      <c r="AO102" s="245"/>
      <c r="AP102" s="245"/>
      <c r="AQ102" s="245"/>
      <c r="AR102" s="245"/>
      <c r="AS102" s="168" t="s">
        <v>1142</v>
      </c>
      <c r="AT102" s="245"/>
      <c r="AU102" s="168" t="s">
        <v>2602</v>
      </c>
      <c r="AV102" s="168" t="s">
        <v>146</v>
      </c>
      <c r="AW102" s="168" t="s">
        <v>4214</v>
      </c>
      <c r="AX102" s="245"/>
      <c r="AY102" s="168" t="s">
        <v>5047</v>
      </c>
      <c r="AZ102" s="168" t="s">
        <v>5048</v>
      </c>
      <c r="BA102" s="168"/>
      <c r="BB102" s="174" t="s">
        <v>5049</v>
      </c>
      <c r="BC102" s="174" t="s">
        <v>5050</v>
      </c>
      <c r="BD102" s="174" t="s">
        <v>1112</v>
      </c>
      <c r="BE102" s="174" t="s">
        <v>1091</v>
      </c>
      <c r="BF102" s="174" t="s">
        <v>3042</v>
      </c>
      <c r="BG102" s="174" t="s">
        <v>2841</v>
      </c>
      <c r="BH102" s="174" t="s">
        <v>5051</v>
      </c>
      <c r="BI102" s="174" t="s">
        <v>5052</v>
      </c>
      <c r="BJ102" s="173"/>
      <c r="BK102" s="174" t="s">
        <v>5053</v>
      </c>
      <c r="BL102" s="174" t="s">
        <v>2857</v>
      </c>
      <c r="BM102" s="173"/>
      <c r="BN102" s="173"/>
      <c r="BO102" s="174"/>
      <c r="BP102" s="173"/>
      <c r="BQ102" s="247"/>
      <c r="BR102" s="249"/>
      <c r="BS102" s="249"/>
      <c r="BT102" s="175" t="s">
        <v>5054</v>
      </c>
      <c r="BU102" s="175" t="s">
        <v>2239</v>
      </c>
      <c r="BV102" s="249"/>
      <c r="BW102" s="175" t="s">
        <v>3558</v>
      </c>
      <c r="BX102" s="249"/>
      <c r="BY102" s="249"/>
      <c r="BZ102" s="249"/>
      <c r="CA102" s="175" t="s">
        <v>2647</v>
      </c>
      <c r="CB102" s="249"/>
      <c r="CC102" s="175" t="s">
        <v>5055</v>
      </c>
      <c r="CD102" s="249"/>
      <c r="CE102" s="249"/>
      <c r="CF102" s="251"/>
      <c r="CG102" s="177" t="s">
        <v>5056</v>
      </c>
      <c r="CH102" s="177" t="s">
        <v>5057</v>
      </c>
      <c r="CI102" s="177" t="s">
        <v>4942</v>
      </c>
      <c r="CJ102" s="177"/>
      <c r="CK102" s="177"/>
      <c r="CL102" s="177" t="s">
        <v>5058</v>
      </c>
      <c r="CM102" s="177" t="s">
        <v>4634</v>
      </c>
      <c r="CN102" s="584" t="s">
        <v>1407</v>
      </c>
      <c r="CO102" s="177" t="s">
        <v>3152</v>
      </c>
      <c r="CP102" s="252"/>
      <c r="CQ102" s="252"/>
      <c r="CR102" s="177"/>
      <c r="CS102" s="177" t="s">
        <v>5059</v>
      </c>
      <c r="CT102" s="252"/>
      <c r="CU102" s="92"/>
      <c r="CV102" s="204" t="s">
        <v>5060</v>
      </c>
      <c r="CW102" s="204" t="s">
        <v>2549</v>
      </c>
      <c r="CX102" s="204" t="s">
        <v>5061</v>
      </c>
      <c r="CY102" s="204" t="s">
        <v>4419</v>
      </c>
      <c r="CZ102" s="253"/>
      <c r="DA102" s="204" t="s">
        <v>389</v>
      </c>
      <c r="DB102" s="204" t="s">
        <v>5062</v>
      </c>
      <c r="DC102" s="204" t="s">
        <v>4274</v>
      </c>
      <c r="DD102" s="253"/>
      <c r="DE102" s="253"/>
      <c r="DF102" s="204" t="s">
        <v>3532</v>
      </c>
      <c r="DG102" s="204" t="s">
        <v>1539</v>
      </c>
      <c r="DH102" s="310"/>
      <c r="DI102" s="255"/>
      <c r="DJ102" s="255"/>
      <c r="DK102" s="255"/>
      <c r="DL102" s="205"/>
      <c r="DM102" s="205" t="s">
        <v>5063</v>
      </c>
      <c r="DN102" s="205" t="s">
        <v>5064</v>
      </c>
      <c r="DO102" s="255"/>
      <c r="DP102" s="255"/>
      <c r="DQ102" s="255"/>
      <c r="DR102" s="255"/>
      <c r="DS102" s="255"/>
      <c r="DT102" s="205" t="s">
        <v>4490</v>
      </c>
      <c r="DU102" s="205" t="s">
        <v>5065</v>
      </c>
      <c r="DV102" s="255"/>
      <c r="DW102" s="255"/>
      <c r="DX102" s="255"/>
      <c r="DY102" s="255"/>
      <c r="DZ102" s="255"/>
      <c r="EA102" s="255"/>
      <c r="EB102" s="255"/>
      <c r="EC102" s="255"/>
      <c r="ED102" s="287"/>
    </row>
    <row r="103">
      <c r="A103" s="265" t="s">
        <v>5066</v>
      </c>
      <c r="B103" s="82" t="s">
        <v>5067</v>
      </c>
      <c r="C103" s="83" t="s">
        <v>1260</v>
      </c>
      <c r="D103" s="84" t="s">
        <v>547</v>
      </c>
      <c r="E103" s="85" t="s">
        <v>1260</v>
      </c>
      <c r="F103" s="86" t="s">
        <v>332</v>
      </c>
      <c r="G103" s="82" t="s">
        <v>1634</v>
      </c>
      <c r="H103" s="102" t="s">
        <v>171</v>
      </c>
      <c r="I103" s="95" t="s">
        <v>5068</v>
      </c>
      <c r="J103" s="266" t="s">
        <v>2782</v>
      </c>
      <c r="K103" s="266" t="s">
        <v>5069</v>
      </c>
      <c r="L103" s="266" t="s">
        <v>5070</v>
      </c>
      <c r="M103" s="102"/>
      <c r="N103" s="102" t="s">
        <v>4413</v>
      </c>
      <c r="O103" s="102" t="s">
        <v>418</v>
      </c>
      <c r="P103" s="266" t="s">
        <v>3105</v>
      </c>
      <c r="Q103" s="99"/>
      <c r="R103" s="99"/>
      <c r="S103" s="99"/>
      <c r="T103" s="99"/>
      <c r="U103" s="99"/>
      <c r="V103" s="99"/>
      <c r="W103" s="92"/>
      <c r="X103" s="102" t="s">
        <v>3836</v>
      </c>
      <c r="Y103" s="102"/>
      <c r="Z103" s="88" t="s">
        <v>1566</v>
      </c>
      <c r="AA103" s="102" t="s">
        <v>5071</v>
      </c>
      <c r="AB103" s="266" t="s">
        <v>5072</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2706</v>
      </c>
      <c r="BE103" s="102" t="s">
        <v>5074</v>
      </c>
      <c r="BF103" s="102"/>
      <c r="BG103" s="102" t="s">
        <v>2351</v>
      </c>
      <c r="BH103" s="99"/>
      <c r="BI103" s="102" t="s">
        <v>612</v>
      </c>
      <c r="BJ103" s="99"/>
      <c r="BK103" s="102"/>
      <c r="BL103" s="102" t="s">
        <v>5075</v>
      </c>
      <c r="BM103" s="99"/>
      <c r="BN103" s="99"/>
      <c r="BO103" s="102"/>
      <c r="BP103" s="99"/>
      <c r="BQ103" s="237"/>
      <c r="BR103" s="102" t="s">
        <v>5076</v>
      </c>
      <c r="BS103" s="102" t="s">
        <v>3726</v>
      </c>
      <c r="BT103" s="102" t="s">
        <v>3776</v>
      </c>
      <c r="BU103" s="102"/>
      <c r="BV103" s="102"/>
      <c r="BW103" s="102" t="s">
        <v>4986</v>
      </c>
      <c r="BX103" s="99"/>
      <c r="BY103" s="102" t="s">
        <v>5077</v>
      </c>
      <c r="BZ103" s="102"/>
      <c r="CA103" s="102"/>
      <c r="CB103" s="99"/>
      <c r="CC103" s="99"/>
      <c r="CD103" s="94" t="s">
        <v>5078</v>
      </c>
      <c r="CE103" s="99"/>
      <c r="CF103" s="237"/>
      <c r="CG103" s="102" t="s">
        <v>5079</v>
      </c>
      <c r="CH103" s="102" t="s">
        <v>1547</v>
      </c>
      <c r="CI103" s="102" t="s">
        <v>5080</v>
      </c>
      <c r="CJ103" s="102"/>
      <c r="CK103" s="102"/>
      <c r="CL103" s="102" t="s">
        <v>5081</v>
      </c>
      <c r="CM103" s="102" t="s">
        <v>5082</v>
      </c>
      <c r="CN103" s="88" t="s">
        <v>2416</v>
      </c>
      <c r="CO103" s="102" t="s">
        <v>3156</v>
      </c>
      <c r="CP103" s="585" t="s">
        <v>5083</v>
      </c>
      <c r="CQ103" s="99"/>
      <c r="CR103" s="99"/>
      <c r="CS103" s="99"/>
      <c r="CT103" s="99"/>
      <c r="CU103" s="92"/>
      <c r="CV103" s="102" t="s">
        <v>5084</v>
      </c>
      <c r="CW103" s="102" t="s">
        <v>4216</v>
      </c>
      <c r="CX103" s="102" t="s">
        <v>4832</v>
      </c>
      <c r="CY103" s="102" t="s">
        <v>5085</v>
      </c>
      <c r="CZ103" s="102"/>
      <c r="DA103" s="102" t="s">
        <v>5086</v>
      </c>
      <c r="DB103" s="102" t="s">
        <v>4548</v>
      </c>
      <c r="DC103" s="102" t="s">
        <v>896</v>
      </c>
      <c r="DD103" s="99"/>
      <c r="DE103" s="99"/>
      <c r="DF103" s="99"/>
      <c r="DG103" s="99"/>
      <c r="DH103" s="237"/>
      <c r="DI103" s="102"/>
      <c r="DJ103" s="99"/>
      <c r="DK103" s="99"/>
      <c r="DL103" s="102"/>
      <c r="DM103" s="90" t="s">
        <v>179</v>
      </c>
      <c r="DN103" s="102"/>
      <c r="DO103" s="99"/>
      <c r="DP103" s="99"/>
      <c r="DQ103" s="99"/>
      <c r="DR103" s="102" t="s">
        <v>5087</v>
      </c>
      <c r="DS103" s="102" t="s">
        <v>3274</v>
      </c>
      <c r="DT103" s="99"/>
      <c r="DU103" s="102"/>
      <c r="DV103" s="99"/>
      <c r="DW103" s="99"/>
      <c r="DX103" s="99"/>
      <c r="DY103" s="99"/>
      <c r="DZ103" s="99"/>
      <c r="EA103" s="102"/>
      <c r="EB103" s="99"/>
      <c r="EC103" s="99"/>
      <c r="ED103" s="258"/>
    </row>
    <row r="104">
      <c r="A104" s="586"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5071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5040</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5082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3545</v>
      </c>
      <c r="Y106" s="198"/>
      <c r="Z106" s="198" t="s">
        <v>3505</v>
      </c>
      <c r="AA106" s="198" t="s">
        <v>4914</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3571</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4913</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3571</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4892</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5072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3547</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5224</v>
      </c>
      <c r="B110" s="104" t="s">
        <v>5225</v>
      </c>
      <c r="C110" s="105" t="s">
        <v>1260</v>
      </c>
      <c r="D110" s="106" t="s">
        <v>1260</v>
      </c>
      <c r="E110" s="107" t="s">
        <v>1260</v>
      </c>
      <c r="F110" s="108" t="s">
        <v>1810</v>
      </c>
      <c r="G110" s="104" t="s">
        <v>5171</v>
      </c>
      <c r="H110" s="242"/>
      <c r="I110" s="196" t="s">
        <v>3444</v>
      </c>
      <c r="J110" s="196" t="s">
        <v>5078</v>
      </c>
      <c r="K110" s="196" t="s">
        <v>665</v>
      </c>
      <c r="L110" s="196" t="s">
        <v>5154</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4186</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5226</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5227</v>
      </c>
      <c r="B111" s="82" t="s">
        <v>5228</v>
      </c>
      <c r="C111" s="83" t="s">
        <v>1260</v>
      </c>
      <c r="D111" s="84" t="s">
        <v>1260</v>
      </c>
      <c r="E111" s="85" t="s">
        <v>1260</v>
      </c>
      <c r="F111" s="86" t="s">
        <v>3974</v>
      </c>
      <c r="G111" s="82" t="s">
        <v>984</v>
      </c>
      <c r="H111" s="88" t="s">
        <v>5229</v>
      </c>
      <c r="I111" s="88" t="s">
        <v>5230</v>
      </c>
      <c r="J111" s="88" t="s">
        <v>4940</v>
      </c>
      <c r="K111" s="88" t="s">
        <v>4059</v>
      </c>
      <c r="L111" s="88" t="s">
        <v>4118</v>
      </c>
      <c r="M111" s="94" t="s">
        <v>866</v>
      </c>
      <c r="N111" s="94" t="s">
        <v>5231</v>
      </c>
      <c r="O111" s="266" t="s">
        <v>155</v>
      </c>
      <c r="P111" s="88" t="s">
        <v>2781</v>
      </c>
      <c r="Q111" s="99"/>
      <c r="R111" s="99"/>
      <c r="S111" s="94" t="s">
        <v>3290</v>
      </c>
      <c r="T111" s="99"/>
      <c r="U111" s="88" t="s">
        <v>5232</v>
      </c>
      <c r="V111" s="99"/>
      <c r="W111" s="92"/>
      <c r="X111" s="266" t="s">
        <v>4814</v>
      </c>
      <c r="Y111" s="266"/>
      <c r="Z111" s="266" t="s">
        <v>3916</v>
      </c>
      <c r="AA111" s="88" t="s">
        <v>5233</v>
      </c>
      <c r="AB111" s="94" t="s">
        <v>5234</v>
      </c>
      <c r="AC111" s="88" t="s">
        <v>2628</v>
      </c>
      <c r="AD111" s="266" t="s">
        <v>5235</v>
      </c>
      <c r="AE111" s="99"/>
      <c r="AF111" s="94" t="s">
        <v>5236</v>
      </c>
      <c r="AG111" s="266" t="s">
        <v>5195</v>
      </c>
      <c r="AH111" s="94" t="s">
        <v>1696</v>
      </c>
      <c r="AI111" s="99"/>
      <c r="AJ111" s="88" t="s">
        <v>3724</v>
      </c>
      <c r="AK111" s="99"/>
      <c r="AL111" s="97"/>
      <c r="AM111" s="94" t="s">
        <v>4465</v>
      </c>
      <c r="AN111" s="94" t="s">
        <v>1121</v>
      </c>
      <c r="AO111" s="99"/>
      <c r="AP111" s="94" t="s">
        <v>5237</v>
      </c>
      <c r="AQ111" s="94" t="s">
        <v>5238</v>
      </c>
      <c r="AR111" s="94" t="s">
        <v>2548</v>
      </c>
      <c r="AS111" s="88" t="s">
        <v>1748</v>
      </c>
      <c r="AT111" s="99"/>
      <c r="AU111" s="258" t="s">
        <v>3709</v>
      </c>
      <c r="AV111" s="266" t="s">
        <v>4714</v>
      </c>
      <c r="AW111" s="88" t="s">
        <v>4064</v>
      </c>
      <c r="AX111" s="99"/>
      <c r="AY111" s="94" t="s">
        <v>5239</v>
      </c>
      <c r="AZ111" s="99"/>
      <c r="BA111" s="99"/>
      <c r="BB111" s="94" t="s">
        <v>4372</v>
      </c>
      <c r="BC111" s="94" t="s">
        <v>1189</v>
      </c>
      <c r="BD111" s="88" t="s">
        <v>4683</v>
      </c>
      <c r="BE111" s="94" t="s">
        <v>3114</v>
      </c>
      <c r="BF111" s="94" t="s">
        <v>4360</v>
      </c>
      <c r="BG111" s="94" t="s">
        <v>2538</v>
      </c>
      <c r="BH111" s="94" t="s">
        <v>5240</v>
      </c>
      <c r="BI111" s="94" t="s">
        <v>3523</v>
      </c>
      <c r="BJ111" s="94" t="s">
        <v>5241</v>
      </c>
      <c r="BK111" s="99"/>
      <c r="BL111" s="94" t="s">
        <v>3351</v>
      </c>
      <c r="BM111" s="99"/>
      <c r="BN111" s="88" t="s">
        <v>3556</v>
      </c>
      <c r="BO111" s="88" t="s">
        <v>5242</v>
      </c>
      <c r="BP111" s="94" t="s">
        <v>5243</v>
      </c>
      <c r="BQ111" s="237"/>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7"/>
      <c r="CG111" s="94" t="s">
        <v>5252</v>
      </c>
      <c r="CH111" s="94" t="s">
        <v>5253</v>
      </c>
      <c r="CI111" s="94" t="s">
        <v>5254</v>
      </c>
      <c r="CJ111" s="94" t="s">
        <v>5255</v>
      </c>
      <c r="CK111" s="94"/>
      <c r="CL111" s="94"/>
      <c r="CM111" s="99"/>
      <c r="CN111" s="94" t="s">
        <v>1456</v>
      </c>
      <c r="CO111" s="94" t="s">
        <v>3419</v>
      </c>
      <c r="CP111" s="99"/>
      <c r="CQ111" s="99"/>
      <c r="CR111" s="99"/>
      <c r="CS111" s="88" t="s">
        <v>672</v>
      </c>
      <c r="CT111" s="99"/>
      <c r="CU111" s="92"/>
      <c r="CV111" s="266" t="s">
        <v>1410</v>
      </c>
      <c r="CW111" s="88" t="s">
        <v>5256</v>
      </c>
      <c r="CX111" s="94" t="s">
        <v>5257</v>
      </c>
      <c r="CY111" s="99"/>
      <c r="CZ111" s="99"/>
      <c r="DA111" s="99"/>
      <c r="DB111" s="266" t="s">
        <v>5258</v>
      </c>
      <c r="DC111" s="94" t="s">
        <v>5259</v>
      </c>
      <c r="DD111" s="99"/>
      <c r="DE111" s="88" t="s">
        <v>4821</v>
      </c>
      <c r="DF111" s="99"/>
      <c r="DG111" s="99"/>
      <c r="DH111" s="237"/>
      <c r="DI111" s="94" t="s">
        <v>5260</v>
      </c>
      <c r="DJ111" s="99"/>
      <c r="DK111" s="99"/>
      <c r="DL111" s="99"/>
      <c r="DM111" s="94" t="s">
        <v>3947</v>
      </c>
      <c r="DN111" s="99"/>
      <c r="DO111" s="99"/>
      <c r="DP111" s="88" t="s">
        <v>5261</v>
      </c>
      <c r="DQ111" s="99"/>
      <c r="DR111" s="94" t="s">
        <v>5262</v>
      </c>
      <c r="DS111" s="94" t="s">
        <v>5253</v>
      </c>
      <c r="DT111" s="94" t="s">
        <v>5263</v>
      </c>
      <c r="DU111" s="99"/>
      <c r="DV111" s="94" t="s">
        <v>3270</v>
      </c>
      <c r="DW111" s="88" t="s">
        <v>3371</v>
      </c>
      <c r="DX111" s="99"/>
      <c r="DY111" s="99"/>
      <c r="DZ111" s="99"/>
      <c r="EA111" s="99"/>
      <c r="EB111" s="99"/>
      <c r="EC111" s="99"/>
      <c r="ED111" s="258"/>
    </row>
    <row r="112">
      <c r="A112" s="166" t="s">
        <v>5264</v>
      </c>
      <c r="B112" s="104" t="s">
        <v>5265</v>
      </c>
      <c r="C112" s="105" t="s">
        <v>1260</v>
      </c>
      <c r="D112" s="106" t="s">
        <v>1260</v>
      </c>
      <c r="E112" s="107" t="s">
        <v>1260</v>
      </c>
      <c r="F112" s="108" t="s">
        <v>547</v>
      </c>
      <c r="G112" s="104" t="s">
        <v>3347</v>
      </c>
      <c r="H112" s="242"/>
      <c r="I112" s="167" t="s">
        <v>5266</v>
      </c>
      <c r="J112" s="112" t="s">
        <v>5267</v>
      </c>
      <c r="K112" s="167" t="s">
        <v>4509</v>
      </c>
      <c r="L112" s="293" t="s">
        <v>566</v>
      </c>
      <c r="M112" s="242"/>
      <c r="N112" s="167" t="s">
        <v>5268</v>
      </c>
      <c r="O112" s="167" t="s">
        <v>1091</v>
      </c>
      <c r="P112" s="167" t="s">
        <v>3634</v>
      </c>
      <c r="Q112" s="242"/>
      <c r="R112" s="242"/>
      <c r="S112" s="242"/>
      <c r="T112" s="242"/>
      <c r="U112" s="242"/>
      <c r="V112" s="242"/>
      <c r="W112" s="92"/>
      <c r="X112" s="198" t="s">
        <v>2640</v>
      </c>
      <c r="Y112" s="198"/>
      <c r="Z112" s="198" t="s">
        <v>1077</v>
      </c>
      <c r="AA112" s="198" t="s">
        <v>3266</v>
      </c>
      <c r="AB112" s="198" t="s">
        <v>5269</v>
      </c>
      <c r="AC112" s="198" t="s">
        <v>426</v>
      </c>
      <c r="AD112" s="198" t="s">
        <v>5270</v>
      </c>
      <c r="AE112" s="244"/>
      <c r="AF112" s="244"/>
      <c r="AG112" s="198" t="s">
        <v>4909</v>
      </c>
      <c r="AH112" s="244"/>
      <c r="AI112" s="244"/>
      <c r="AJ112" s="244"/>
      <c r="AK112" s="244"/>
      <c r="AL112" s="97"/>
      <c r="AM112" s="245"/>
      <c r="AN112" s="245"/>
      <c r="AO112" s="245"/>
      <c r="AP112" s="245"/>
      <c r="AQ112" s="245"/>
      <c r="AR112" s="245"/>
      <c r="AS112" s="245"/>
      <c r="AT112" s="245"/>
      <c r="AU112" s="168" t="s">
        <v>3419</v>
      </c>
      <c r="AV112" s="168" t="s">
        <v>5271</v>
      </c>
      <c r="AW112" s="245"/>
      <c r="AX112" s="245"/>
      <c r="AY112" s="245"/>
      <c r="AZ112" s="245"/>
      <c r="BA112" s="245"/>
      <c r="BB112" s="174" t="s">
        <v>1202</v>
      </c>
      <c r="BC112" s="174" t="s">
        <v>371</v>
      </c>
      <c r="BD112" s="174" t="s">
        <v>4683</v>
      </c>
      <c r="BE112" s="174" t="s">
        <v>2423</v>
      </c>
      <c r="BF112" s="174" t="s">
        <v>1654</v>
      </c>
      <c r="BG112" s="173"/>
      <c r="BH112" s="173"/>
      <c r="BI112" s="174" t="s">
        <v>2050</v>
      </c>
      <c r="BJ112" s="174" t="s">
        <v>5272</v>
      </c>
      <c r="BK112" s="174" t="s">
        <v>693</v>
      </c>
      <c r="BL112" s="174" t="s">
        <v>4579</v>
      </c>
      <c r="BM112" s="173"/>
      <c r="BN112" s="173"/>
      <c r="BO112" s="173"/>
      <c r="BP112" s="173"/>
      <c r="BQ112" s="247"/>
      <c r="BR112" s="249"/>
      <c r="BS112" s="249"/>
      <c r="BT112" s="175" t="s">
        <v>5273</v>
      </c>
      <c r="BU112" s="175" t="s">
        <v>5274</v>
      </c>
      <c r="BV112" s="249"/>
      <c r="BW112" s="175" t="s">
        <v>5275</v>
      </c>
      <c r="BX112" s="249"/>
      <c r="BY112" s="249"/>
      <c r="BZ112" s="249"/>
      <c r="CA112" s="249"/>
      <c r="CB112" s="249"/>
      <c r="CC112" s="249"/>
      <c r="CD112" s="249"/>
      <c r="CE112" s="249"/>
      <c r="CF112" s="251"/>
      <c r="CG112" s="177" t="s">
        <v>5276</v>
      </c>
      <c r="CH112" s="177" t="s">
        <v>2912</v>
      </c>
      <c r="CI112" s="252"/>
      <c r="CJ112" s="252"/>
      <c r="CK112" s="252"/>
      <c r="CL112" s="252"/>
      <c r="CM112" s="177" t="s">
        <v>5277</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5278</v>
      </c>
      <c r="B113" s="82" t="s">
        <v>5279</v>
      </c>
      <c r="C113" s="83" t="s">
        <v>1260</v>
      </c>
      <c r="D113" s="84" t="s">
        <v>1260</v>
      </c>
      <c r="E113" s="85" t="s">
        <v>1260</v>
      </c>
      <c r="F113" s="86" t="s">
        <v>547</v>
      </c>
      <c r="G113" s="82" t="s">
        <v>4875</v>
      </c>
      <c r="H113" s="94"/>
      <c r="I113" s="94" t="s">
        <v>5280</v>
      </c>
      <c r="J113" s="94" t="s">
        <v>5281</v>
      </c>
      <c r="K113" s="94" t="s">
        <v>3563</v>
      </c>
      <c r="L113" s="94" t="s">
        <v>5282</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5283</v>
      </c>
      <c r="AA113" s="94" t="s">
        <v>511</v>
      </c>
      <c r="AB113" s="94" t="s">
        <v>5072</v>
      </c>
      <c r="AC113" s="94" t="s">
        <v>4331</v>
      </c>
      <c r="AD113" s="94" t="s">
        <v>5284</v>
      </c>
      <c r="AE113" s="94"/>
      <c r="AF113" s="94" t="s">
        <v>5285</v>
      </c>
      <c r="AG113" s="94" t="s">
        <v>4914</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4911</v>
      </c>
      <c r="BC113" s="94" t="s">
        <v>3322</v>
      </c>
      <c r="BD113" s="94" t="s">
        <v>2184</v>
      </c>
      <c r="BE113" s="94" t="s">
        <v>4511</v>
      </c>
      <c r="BF113" s="94" t="s">
        <v>4423</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1139</v>
      </c>
      <c r="CA113" s="94" t="s">
        <v>1584</v>
      </c>
      <c r="CB113" s="94"/>
      <c r="CC113" s="94"/>
      <c r="CD113" s="94"/>
      <c r="CE113" s="94"/>
      <c r="CF113" s="100"/>
      <c r="CG113" s="94" t="s">
        <v>2012</v>
      </c>
      <c r="CH113" s="94" t="s">
        <v>1714</v>
      </c>
      <c r="CI113" s="94"/>
      <c r="CJ113" s="94"/>
      <c r="CK113" s="94"/>
      <c r="CL113" s="94"/>
      <c r="CM113" s="94" t="s">
        <v>1790</v>
      </c>
      <c r="CN113" s="94" t="s">
        <v>208</v>
      </c>
      <c r="CO113" s="94" t="s">
        <v>3709</v>
      </c>
      <c r="CP113" s="94"/>
      <c r="CQ113" s="94"/>
      <c r="CR113" s="94"/>
      <c r="CS113" s="94"/>
      <c r="CT113" s="94"/>
      <c r="CU113" s="92"/>
      <c r="CV113" s="94" t="s">
        <v>5290</v>
      </c>
      <c r="CW113" s="94" t="s">
        <v>3001</v>
      </c>
      <c r="CX113" s="94" t="s">
        <v>5025</v>
      </c>
      <c r="CY113" s="94" t="s">
        <v>1147</v>
      </c>
      <c r="CZ113" s="94" t="s">
        <v>5291</v>
      </c>
      <c r="DA113" s="94"/>
      <c r="DB113" s="94" t="s">
        <v>5292</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5293</v>
      </c>
      <c r="B114" s="104" t="s">
        <v>5294</v>
      </c>
      <c r="C114" s="105" t="s">
        <v>1260</v>
      </c>
      <c r="D114" s="106" t="s">
        <v>1260</v>
      </c>
      <c r="E114" s="107" t="s">
        <v>1260</v>
      </c>
      <c r="F114" s="108" t="s">
        <v>332</v>
      </c>
      <c r="G114" s="104" t="s">
        <v>3574</v>
      </c>
      <c r="H114" s="167" t="s">
        <v>779</v>
      </c>
      <c r="I114" s="196" t="s">
        <v>3608</v>
      </c>
      <c r="J114" s="167" t="s">
        <v>5295</v>
      </c>
      <c r="K114" s="112" t="s">
        <v>2877</v>
      </c>
      <c r="L114" s="167" t="s">
        <v>4885</v>
      </c>
      <c r="M114" s="242"/>
      <c r="N114" s="242"/>
      <c r="O114" s="167" t="s">
        <v>261</v>
      </c>
      <c r="P114" s="167" t="s">
        <v>109</v>
      </c>
      <c r="Q114" s="242"/>
      <c r="R114" s="242"/>
      <c r="S114" s="167" t="s">
        <v>2644</v>
      </c>
      <c r="T114" s="242"/>
      <c r="U114" s="242"/>
      <c r="V114" s="242"/>
      <c r="W114" s="92"/>
      <c r="X114" s="116" t="s">
        <v>3085</v>
      </c>
      <c r="Y114" s="270"/>
      <c r="Z114" s="270" t="s">
        <v>2578</v>
      </c>
      <c r="AA114" s="270" t="s">
        <v>4100</v>
      </c>
      <c r="AB114" s="270" t="s">
        <v>2096</v>
      </c>
      <c r="AC114" s="198" t="s">
        <v>5296</v>
      </c>
      <c r="AD114" s="198" t="s">
        <v>5297</v>
      </c>
      <c r="AE114" s="244"/>
      <c r="AF114" s="198" t="s">
        <v>5298</v>
      </c>
      <c r="AG114" s="198" t="s">
        <v>5299</v>
      </c>
      <c r="AH114" s="244"/>
      <c r="AI114" s="244"/>
      <c r="AJ114" s="244"/>
      <c r="AK114" s="244"/>
      <c r="AL114" s="97"/>
      <c r="AM114" s="245"/>
      <c r="AN114" s="245"/>
      <c r="AO114" s="245"/>
      <c r="AP114" s="245"/>
      <c r="AQ114" s="245"/>
      <c r="AR114" s="245"/>
      <c r="AS114" s="245"/>
      <c r="AT114" s="245"/>
      <c r="AU114" s="168" t="s">
        <v>5300</v>
      </c>
      <c r="AV114" s="120" t="str">
        <f>HYPERLINK("https://clips.twitch.tv/RepleteObedientChickenPicoMause","29.05")</f>
        <v>29.05</v>
      </c>
      <c r="AW114" s="245"/>
      <c r="AX114" s="245"/>
      <c r="AY114" s="245"/>
      <c r="AZ114" s="245"/>
      <c r="BA114" s="245"/>
      <c r="BB114" s="173"/>
      <c r="BC114" s="173"/>
      <c r="BD114" s="174" t="s">
        <v>1666</v>
      </c>
      <c r="BE114" s="174" t="s">
        <v>761</v>
      </c>
      <c r="BF114" s="174" t="s">
        <v>5277</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5301</v>
      </c>
      <c r="CD114" s="175"/>
      <c r="CE114" s="249"/>
      <c r="CF114" s="251"/>
      <c r="CG114" s="177" t="s">
        <v>5302</v>
      </c>
      <c r="CH114" s="252"/>
      <c r="CI114" s="252"/>
      <c r="CJ114" s="252"/>
      <c r="CK114" s="252"/>
      <c r="CL114" s="252"/>
      <c r="CM114" s="252"/>
      <c r="CN114" s="300" t="s">
        <v>1007</v>
      </c>
      <c r="CO114" s="177"/>
      <c r="CP114" s="252"/>
      <c r="CQ114" s="252"/>
      <c r="CR114" s="252"/>
      <c r="CS114" s="252"/>
      <c r="CT114" s="252"/>
      <c r="CU114" s="92"/>
      <c r="CV114" s="204" t="s">
        <v>3858</v>
      </c>
      <c r="CW114" s="204" t="s">
        <v>4399</v>
      </c>
      <c r="CX114" s="233" t="s">
        <v>3492</v>
      </c>
      <c r="CY114" s="204" t="s">
        <v>1005</v>
      </c>
      <c r="CZ114" s="204" t="s">
        <v>2875</v>
      </c>
      <c r="DA114" s="253"/>
      <c r="DB114" s="204" t="s">
        <v>3939</v>
      </c>
      <c r="DC114" s="204" t="s">
        <v>5303</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5304</v>
      </c>
      <c r="B115" s="591" t="s">
        <v>5305</v>
      </c>
      <c r="C115" s="592" t="s">
        <v>1260</v>
      </c>
      <c r="D115" s="593" t="s">
        <v>1260</v>
      </c>
      <c r="E115" s="594" t="s">
        <v>1260</v>
      </c>
      <c r="F115" s="595" t="s">
        <v>334</v>
      </c>
      <c r="G115" s="591" t="s">
        <v>2546</v>
      </c>
      <c r="H115" s="258" t="s">
        <v>951</v>
      </c>
      <c r="I115" s="258" t="s">
        <v>4888</v>
      </c>
      <c r="J115" s="98" t="s">
        <v>5306</v>
      </c>
      <c r="K115" s="258" t="s">
        <v>4954</v>
      </c>
      <c r="L115" s="258" t="s">
        <v>5307</v>
      </c>
      <c r="M115" s="258" t="s">
        <v>5308</v>
      </c>
      <c r="N115" s="258" t="s">
        <v>5309</v>
      </c>
      <c r="O115" s="258" t="s">
        <v>5310</v>
      </c>
      <c r="P115" s="258" t="s">
        <v>5311</v>
      </c>
      <c r="Q115" s="574"/>
      <c r="R115" s="574"/>
      <c r="S115" s="98" t="s">
        <v>5312</v>
      </c>
      <c r="T115" s="574"/>
      <c r="U115" s="576" t="s">
        <v>5313</v>
      </c>
      <c r="V115" s="574"/>
      <c r="W115" s="581"/>
      <c r="X115" s="258" t="s">
        <v>5314</v>
      </c>
      <c r="Y115" s="258"/>
      <c r="Z115" s="258"/>
      <c r="AA115" s="258" t="s">
        <v>5148</v>
      </c>
      <c r="AB115" s="258"/>
      <c r="AC115" s="258" t="s">
        <v>5315</v>
      </c>
      <c r="AD115" s="258" t="s">
        <v>5316</v>
      </c>
      <c r="AE115" s="574"/>
      <c r="AF115" s="258"/>
      <c r="AG115" s="258"/>
      <c r="AH115" s="574"/>
      <c r="AI115" s="574"/>
      <c r="AJ115" s="258" t="s">
        <v>5317</v>
      </c>
      <c r="AK115" s="574"/>
      <c r="AL115" s="575"/>
      <c r="AM115" s="258"/>
      <c r="AN115" s="258"/>
      <c r="AO115" s="576" t="s">
        <v>5318</v>
      </c>
      <c r="AP115" s="576"/>
      <c r="AQ115" s="576"/>
      <c r="AR115" s="576"/>
      <c r="AS115" s="574"/>
      <c r="AT115" s="574"/>
      <c r="AU115" s="258"/>
      <c r="AV115" s="258" t="s">
        <v>5319</v>
      </c>
      <c r="AW115" s="258"/>
      <c r="AX115" s="574"/>
      <c r="AY115" s="576" t="s">
        <v>836</v>
      </c>
      <c r="AZ115" s="574"/>
      <c r="BA115" s="574"/>
      <c r="BB115" s="258"/>
      <c r="BC115" s="258" t="s">
        <v>3870</v>
      </c>
      <c r="BD115" s="258"/>
      <c r="BE115" s="258" t="s">
        <v>5320</v>
      </c>
      <c r="BF115" s="258" t="s">
        <v>5321</v>
      </c>
      <c r="BG115" s="258"/>
      <c r="BH115" s="574"/>
      <c r="BI115" s="258" t="s">
        <v>5322</v>
      </c>
      <c r="BJ115" s="574"/>
      <c r="BK115" s="258" t="s">
        <v>5323</v>
      </c>
      <c r="BL115" s="258"/>
      <c r="BM115" s="574"/>
      <c r="BN115" s="576" t="s">
        <v>3657</v>
      </c>
      <c r="BO115" s="258" t="s">
        <v>2965</v>
      </c>
      <c r="BP115" s="574"/>
      <c r="BQ115" s="578"/>
      <c r="BR115" s="258"/>
      <c r="BS115" s="258" t="s">
        <v>5324</v>
      </c>
      <c r="BT115" s="258" t="s">
        <v>3949</v>
      </c>
      <c r="BU115" s="258" t="s">
        <v>1495</v>
      </c>
      <c r="BV115" s="98" t="s">
        <v>5325</v>
      </c>
      <c r="BW115" s="258" t="s">
        <v>5326</v>
      </c>
      <c r="BX115" s="574"/>
      <c r="BY115" s="258"/>
      <c r="BZ115" s="258"/>
      <c r="CA115" s="258"/>
      <c r="CB115" s="576" t="s">
        <v>5327</v>
      </c>
      <c r="CC115" s="576" t="s">
        <v>5328</v>
      </c>
      <c r="CD115" s="576" t="s">
        <v>2317</v>
      </c>
      <c r="CE115" s="574"/>
      <c r="CF115" s="578"/>
      <c r="CG115" s="258" t="s">
        <v>5329</v>
      </c>
      <c r="CH115" s="258" t="s">
        <v>5330</v>
      </c>
      <c r="CI115" s="258" t="s">
        <v>5331</v>
      </c>
      <c r="CJ115" s="98" t="s">
        <v>5332</v>
      </c>
      <c r="CK115" s="258" t="s">
        <v>5333</v>
      </c>
      <c r="CL115" s="258"/>
      <c r="CM115" s="258"/>
      <c r="CN115" s="258" t="s">
        <v>5334</v>
      </c>
      <c r="CO115" s="596">
        <v>19.7</v>
      </c>
      <c r="CP115" s="580"/>
      <c r="CQ115" s="576" t="s">
        <v>5335</v>
      </c>
      <c r="CR115" s="574"/>
      <c r="CS115" s="576" t="s">
        <v>5336</v>
      </c>
      <c r="CT115" s="574"/>
      <c r="CU115" s="581"/>
      <c r="CV115" s="98" t="s">
        <v>5337</v>
      </c>
      <c r="CW115" s="258" t="s">
        <v>4555</v>
      </c>
      <c r="CX115" s="258" t="s">
        <v>5338</v>
      </c>
      <c r="CY115" s="258" t="s">
        <v>5339</v>
      </c>
      <c r="CZ115" s="258"/>
      <c r="DA115" s="258"/>
      <c r="DB115" s="258"/>
      <c r="DC115" s="258"/>
      <c r="DD115" s="574"/>
      <c r="DE115" s="576" t="s">
        <v>4149</v>
      </c>
      <c r="DF115" s="576" t="s">
        <v>1134</v>
      </c>
      <c r="DG115" s="574"/>
      <c r="DH115" s="578"/>
      <c r="DI115" s="258" t="s">
        <v>5340</v>
      </c>
      <c r="DJ115" s="574"/>
      <c r="DK115" s="574"/>
      <c r="DL115" s="258"/>
      <c r="DM115" s="258"/>
      <c r="DN115" s="258"/>
      <c r="DO115" s="574"/>
      <c r="DP115" s="574"/>
      <c r="DQ115" s="574"/>
      <c r="DR115" s="258" t="s">
        <v>5341</v>
      </c>
      <c r="DS115" s="258" t="s">
        <v>5342</v>
      </c>
      <c r="DT115" s="574"/>
      <c r="DU115" s="258"/>
      <c r="DV115" s="576" t="s">
        <v>5343</v>
      </c>
      <c r="DW115" s="574"/>
      <c r="DX115" s="574"/>
      <c r="DY115" s="574"/>
      <c r="DZ115" s="574"/>
      <c r="EA115" s="258" t="s">
        <v>5344</v>
      </c>
      <c r="EB115" s="574"/>
      <c r="EC115" s="576" t="s">
        <v>5345</v>
      </c>
      <c r="ED115" s="258"/>
    </row>
    <row r="116">
      <c r="A116" s="166" t="s">
        <v>5346</v>
      </c>
      <c r="B116" s="104" t="s">
        <v>5347</v>
      </c>
      <c r="C116" s="597" t="s">
        <v>1260</v>
      </c>
      <c r="D116" s="598" t="s">
        <v>1260</v>
      </c>
      <c r="E116" s="599" t="s">
        <v>1260</v>
      </c>
      <c r="F116" s="108" t="s">
        <v>1054</v>
      </c>
      <c r="G116" s="600" t="s">
        <v>5348</v>
      </c>
      <c r="H116" s="242"/>
      <c r="I116" s="601" t="s">
        <v>5349</v>
      </c>
      <c r="J116" s="167" t="s">
        <v>5350</v>
      </c>
      <c r="K116" s="602" t="s">
        <v>5351</v>
      </c>
      <c r="L116" s="601" t="s">
        <v>5352</v>
      </c>
      <c r="M116" s="167" t="s">
        <v>1921</v>
      </c>
      <c r="N116" s="167" t="s">
        <v>4697</v>
      </c>
      <c r="O116" s="603" t="s">
        <v>3115</v>
      </c>
      <c r="P116" s="603" t="s">
        <v>4887</v>
      </c>
      <c r="Q116" s="242"/>
      <c r="R116" s="242"/>
      <c r="S116" s="603" t="s">
        <v>5353</v>
      </c>
      <c r="T116" s="242"/>
      <c r="U116" s="242"/>
      <c r="V116" s="242"/>
      <c r="W116" s="92"/>
      <c r="X116" s="604" t="s">
        <v>1978</v>
      </c>
      <c r="Y116" s="270"/>
      <c r="Z116" s="605" t="s">
        <v>2747</v>
      </c>
      <c r="AA116" s="198" t="s">
        <v>456</v>
      </c>
      <c r="AB116" s="606" t="s">
        <v>3315</v>
      </c>
      <c r="AC116" s="604" t="s">
        <v>5354</v>
      </c>
      <c r="AD116" s="198" t="s">
        <v>5355</v>
      </c>
      <c r="AE116" s="244"/>
      <c r="AF116" s="244"/>
      <c r="AG116" s="606" t="s">
        <v>5356</v>
      </c>
      <c r="AH116" s="244"/>
      <c r="AI116" s="244"/>
      <c r="AJ116" s="198" t="s">
        <v>4670</v>
      </c>
      <c r="AK116" s="606" t="s">
        <v>5357</v>
      </c>
      <c r="AL116" s="97"/>
      <c r="AM116" s="245"/>
      <c r="AN116" s="607" t="s">
        <v>531</v>
      </c>
      <c r="AO116" s="607" t="s">
        <v>5358</v>
      </c>
      <c r="AP116" s="245"/>
      <c r="AQ116" s="607" t="s">
        <v>2254</v>
      </c>
      <c r="AR116" s="168"/>
      <c r="AS116" s="245"/>
      <c r="AT116" s="245"/>
      <c r="AU116" s="607" t="s">
        <v>5217</v>
      </c>
      <c r="AV116" s="607" t="s">
        <v>5359</v>
      </c>
      <c r="AW116" s="245"/>
      <c r="AX116" s="245"/>
      <c r="AY116" s="607" t="s">
        <v>5360</v>
      </c>
      <c r="AZ116" s="245"/>
      <c r="BA116" s="245"/>
      <c r="BB116" s="297" t="s">
        <v>5361</v>
      </c>
      <c r="BC116" s="297" t="s">
        <v>2127</v>
      </c>
      <c r="BD116" s="297" t="s">
        <v>4683</v>
      </c>
      <c r="BE116" s="608" t="s">
        <v>2145</v>
      </c>
      <c r="BF116" s="174" t="s">
        <v>4299</v>
      </c>
      <c r="BG116" s="173"/>
      <c r="BH116" s="173"/>
      <c r="BI116" s="297" t="s">
        <v>1963</v>
      </c>
      <c r="BJ116" s="609"/>
      <c r="BK116" s="297" t="s">
        <v>5362</v>
      </c>
      <c r="BL116" s="297" t="s">
        <v>5363</v>
      </c>
      <c r="BM116" s="174"/>
      <c r="BN116" s="126" t="s">
        <v>3278</v>
      </c>
      <c r="BO116" s="173"/>
      <c r="BP116" s="173"/>
      <c r="BQ116" s="247"/>
      <c r="BR116" s="299" t="s">
        <v>5364</v>
      </c>
      <c r="BS116" s="175" t="s">
        <v>5365</v>
      </c>
      <c r="BT116" s="299" t="s">
        <v>1063</v>
      </c>
      <c r="BU116" s="249"/>
      <c r="BV116" s="175" t="s">
        <v>4575</v>
      </c>
      <c r="BW116" s="610" t="s">
        <v>5366</v>
      </c>
      <c r="BX116" s="299" t="s">
        <v>5367</v>
      </c>
      <c r="BY116" s="611" t="s">
        <v>446</v>
      </c>
      <c r="BZ116" s="611" t="s">
        <v>5368</v>
      </c>
      <c r="CA116" s="129" t="s">
        <v>3371</v>
      </c>
      <c r="CB116" s="249"/>
      <c r="CC116" s="249"/>
      <c r="CD116" s="299" t="s">
        <v>2689</v>
      </c>
      <c r="CE116" s="249"/>
      <c r="CF116" s="251"/>
      <c r="CG116" s="612" t="s">
        <v>5369</v>
      </c>
      <c r="CH116" s="612" t="s">
        <v>5370</v>
      </c>
      <c r="CI116" s="252"/>
      <c r="CJ116" s="252"/>
      <c r="CK116" s="252"/>
      <c r="CL116" s="252"/>
      <c r="CM116" s="252"/>
      <c r="CN116" s="612" t="s">
        <v>417</v>
      </c>
      <c r="CO116" s="612" t="s">
        <v>4348</v>
      </c>
      <c r="CP116" s="252"/>
      <c r="CQ116" s="252"/>
      <c r="CR116" s="252"/>
      <c r="CS116" s="252"/>
      <c r="CT116" s="252"/>
      <c r="CU116" s="92"/>
      <c r="CV116" s="613" t="s">
        <v>639</v>
      </c>
      <c r="CW116" s="253"/>
      <c r="CX116" s="137" t="s">
        <v>5371</v>
      </c>
      <c r="CY116" s="204"/>
      <c r="CZ116" s="310" t="s">
        <v>5372</v>
      </c>
      <c r="DA116" s="253"/>
      <c r="DB116" s="614" t="s">
        <v>5373</v>
      </c>
      <c r="DC116" s="310" t="s">
        <v>5374</v>
      </c>
      <c r="DD116" s="253"/>
      <c r="DE116" s="253"/>
      <c r="DF116" s="204"/>
      <c r="DG116" s="253"/>
      <c r="DH116" s="263"/>
      <c r="DI116" s="255"/>
      <c r="DJ116" s="255"/>
      <c r="DK116" s="255"/>
      <c r="DL116" s="205"/>
      <c r="DM116" s="145" t="s">
        <v>530</v>
      </c>
      <c r="DN116" s="615" t="s">
        <v>5375</v>
      </c>
      <c r="DO116" s="615" t="s">
        <v>1192</v>
      </c>
      <c r="DP116" s="615" t="s">
        <v>5376</v>
      </c>
      <c r="DQ116" s="255"/>
      <c r="DR116" s="255"/>
      <c r="DS116" s="255"/>
      <c r="DT116" s="255"/>
      <c r="DU116" s="255"/>
      <c r="DV116" s="255"/>
      <c r="DW116" s="255"/>
      <c r="DX116" s="255"/>
      <c r="DY116" s="255"/>
      <c r="DZ116" s="616" t="s">
        <v>3513</v>
      </c>
      <c r="EA116" s="615" t="s">
        <v>3116</v>
      </c>
      <c r="EB116" s="255"/>
      <c r="EC116" s="255"/>
      <c r="ED116" s="287"/>
    </row>
    <row r="117">
      <c r="A117" s="617"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3544</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3517</v>
      </c>
      <c r="CU117" s="92"/>
      <c r="CV117" s="94" t="s">
        <v>2619</v>
      </c>
      <c r="CW117" s="94" t="s">
        <v>4730</v>
      </c>
      <c r="CX117" s="94" t="s">
        <v>3327</v>
      </c>
      <c r="CY117" s="94" t="s">
        <v>662</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3543</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4862</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5252</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5300</v>
      </c>
      <c r="CP119" s="99"/>
      <c r="CQ119" s="99"/>
      <c r="CR119" s="99"/>
      <c r="CS119" s="99"/>
      <c r="CT119" s="99"/>
      <c r="CU119" s="92"/>
      <c r="CV119" s="94" t="s">
        <v>5123</v>
      </c>
      <c r="CW119" s="94" t="s">
        <v>3034</v>
      </c>
      <c r="CX119" s="94" t="s">
        <v>4228</v>
      </c>
      <c r="CY119" s="94" t="s">
        <v>5282</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3545</v>
      </c>
      <c r="CZ120" s="204" t="s">
        <v>5515</v>
      </c>
      <c r="DA120" s="204" t="s">
        <v>1979</v>
      </c>
      <c r="DB120" s="204" t="s">
        <v>5516</v>
      </c>
      <c r="DC120" s="204" t="s">
        <v>5517</v>
      </c>
      <c r="DD120" s="253"/>
      <c r="DE120" s="253"/>
      <c r="DF120" s="204" t="s">
        <v>355</v>
      </c>
      <c r="DG120" s="253"/>
      <c r="DH120" s="263"/>
      <c r="DI120" s="205" t="s">
        <v>2495</v>
      </c>
      <c r="DJ120" s="255"/>
      <c r="DK120" s="205" t="s">
        <v>4870</v>
      </c>
      <c r="DL120" s="205"/>
      <c r="DM120" s="205" t="s">
        <v>511</v>
      </c>
      <c r="DN120" s="205" t="s">
        <v>5518</v>
      </c>
      <c r="DO120" s="205" t="s">
        <v>5519</v>
      </c>
      <c r="DP120" s="205" t="s">
        <v>5520</v>
      </c>
      <c r="DQ120" s="205" t="s">
        <v>5521</v>
      </c>
      <c r="DR120" s="205" t="s">
        <v>5522</v>
      </c>
      <c r="DS120" s="205" t="s">
        <v>988</v>
      </c>
      <c r="DT120" s="205" t="s">
        <v>5300</v>
      </c>
      <c r="DU120" s="255"/>
      <c r="DV120" s="255"/>
      <c r="DW120" s="205" t="s">
        <v>269</v>
      </c>
      <c r="DX120" s="255"/>
      <c r="DY120" s="205" t="s">
        <v>5523</v>
      </c>
      <c r="DZ120" s="205" t="s">
        <v>692</v>
      </c>
      <c r="EA120" s="205" t="s">
        <v>5524</v>
      </c>
      <c r="EB120" s="255"/>
      <c r="EC120" s="205" t="s">
        <v>5525</v>
      </c>
      <c r="ED120" s="619"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3507</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4865</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5"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5051</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5600</v>
      </c>
      <c r="B124" s="104" t="s">
        <v>5601</v>
      </c>
      <c r="C124" s="105" t="s">
        <v>1260</v>
      </c>
      <c r="D124" s="106" t="s">
        <v>1260</v>
      </c>
      <c r="E124" s="107" t="s">
        <v>1260</v>
      </c>
      <c r="F124" s="108" t="s">
        <v>650</v>
      </c>
      <c r="G124" s="104" t="s">
        <v>2107</v>
      </c>
      <c r="H124" s="167"/>
      <c r="I124" s="167" t="s">
        <v>5602</v>
      </c>
      <c r="J124" s="112" t="s">
        <v>656</v>
      </c>
      <c r="K124" s="112" t="s">
        <v>5444</v>
      </c>
      <c r="L124" s="167" t="s">
        <v>5084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21"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5325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4921</v>
      </c>
      <c r="BU124" s="175" t="s">
        <v>5245</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22" t="s">
        <v>5627</v>
      </c>
      <c r="B125" s="82" t="s">
        <v>5628</v>
      </c>
      <c r="C125" s="83" t="s">
        <v>1260</v>
      </c>
      <c r="D125" s="84" t="s">
        <v>1260</v>
      </c>
      <c r="E125" s="85" t="s">
        <v>1260</v>
      </c>
      <c r="F125" s="86" t="s">
        <v>1260</v>
      </c>
      <c r="G125" s="82" t="s">
        <v>4608</v>
      </c>
      <c r="H125" s="94" t="s">
        <v>4738</v>
      </c>
      <c r="I125" s="94" t="s">
        <v>5629</v>
      </c>
      <c r="J125" s="94" t="s">
        <v>5295</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4921</v>
      </c>
      <c r="CO125" s="94" t="s">
        <v>5634</v>
      </c>
      <c r="CP125" s="99"/>
      <c r="CQ125" s="99"/>
      <c r="CR125" s="99"/>
      <c r="CS125" s="99"/>
      <c r="CT125" s="99"/>
      <c r="CU125" s="92"/>
      <c r="CV125" s="94" t="s">
        <v>1080</v>
      </c>
      <c r="CW125" s="94" t="s">
        <v>5044</v>
      </c>
      <c r="CX125" s="94" t="s">
        <v>3256</v>
      </c>
      <c r="CY125" s="94" t="s">
        <v>4560</v>
      </c>
      <c r="CZ125" s="94" t="s">
        <v>5272</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5298</v>
      </c>
      <c r="DS125" s="94" t="s">
        <v>670</v>
      </c>
      <c r="DT125" s="99"/>
      <c r="DU125" s="99"/>
      <c r="DV125" s="99"/>
      <c r="DW125" s="99"/>
      <c r="DX125" s="99"/>
      <c r="DY125" s="99"/>
      <c r="DZ125" s="99"/>
      <c r="EA125" s="99"/>
      <c r="EB125" s="99"/>
      <c r="EC125" s="99"/>
      <c r="ED125" s="341"/>
    </row>
    <row r="126">
      <c r="A126" s="566" t="s">
        <v>5654</v>
      </c>
      <c r="B126" s="104" t="s">
        <v>5655</v>
      </c>
      <c r="C126" s="105" t="s">
        <v>1260</v>
      </c>
      <c r="D126" s="106" t="s">
        <v>1260</v>
      </c>
      <c r="E126" s="107" t="s">
        <v>1260</v>
      </c>
      <c r="F126" s="108" t="s">
        <v>332</v>
      </c>
      <c r="G126" s="104" t="s">
        <v>2377</v>
      </c>
      <c r="H126" s="167"/>
      <c r="I126" s="167" t="s">
        <v>5656</v>
      </c>
      <c r="J126" s="167" t="s">
        <v>5273</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3562</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23"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24"/>
      <c r="BI127" s="94" t="s">
        <v>757</v>
      </c>
      <c r="BJ127" s="94" t="s">
        <v>5690</v>
      </c>
      <c r="BK127" s="99"/>
      <c r="BL127" s="94" t="s">
        <v>4542</v>
      </c>
      <c r="BM127" s="99"/>
      <c r="BN127" s="99"/>
      <c r="BO127" s="99"/>
      <c r="BP127" s="99"/>
      <c r="BQ127" s="237"/>
      <c r="BR127" s="94" t="s">
        <v>5499</v>
      </c>
      <c r="BS127" s="94" t="s">
        <v>4451</v>
      </c>
      <c r="BT127" s="94" t="s">
        <v>4907</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25"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5043</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626"/>
    </row>
    <row r="129">
      <c r="A129" s="627"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5313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5043</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28"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5765</v>
      </c>
      <c r="B131" s="82" t="s">
        <v>5766</v>
      </c>
      <c r="C131" s="83" t="s">
        <v>1260</v>
      </c>
      <c r="D131" s="84" t="s">
        <v>1260</v>
      </c>
      <c r="E131" s="85" t="s">
        <v>1260</v>
      </c>
      <c r="F131" s="86" t="s">
        <v>1200</v>
      </c>
      <c r="G131" s="82" t="s">
        <v>2872</v>
      </c>
      <c r="H131" s="102"/>
      <c r="I131" s="95"/>
      <c r="J131" s="102"/>
      <c r="K131" s="88" t="s">
        <v>2165</v>
      </c>
      <c r="L131" s="102" t="s">
        <v>562</v>
      </c>
      <c r="M131" s="102"/>
      <c r="N131" s="102"/>
      <c r="O131" s="88" t="s">
        <v>5767</v>
      </c>
      <c r="P131" s="88" t="s">
        <v>109</v>
      </c>
      <c r="Q131" s="99"/>
      <c r="R131" s="99"/>
      <c r="S131" s="99"/>
      <c r="T131" s="99"/>
      <c r="U131" s="99"/>
      <c r="V131" s="99"/>
      <c r="W131" s="92"/>
      <c r="X131" s="102" t="s">
        <v>5768</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4427</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5769</v>
      </c>
      <c r="BX131" s="99"/>
      <c r="BY131" s="102"/>
      <c r="BZ131" s="102"/>
      <c r="CA131" s="102"/>
      <c r="CB131" s="99"/>
      <c r="CC131" s="99"/>
      <c r="CD131" s="99"/>
      <c r="CE131" s="99"/>
      <c r="CF131" s="237"/>
      <c r="CG131" s="102"/>
      <c r="CH131" s="102" t="s">
        <v>5770</v>
      </c>
      <c r="CI131" s="102"/>
      <c r="CJ131" s="102"/>
      <c r="CK131" s="102"/>
      <c r="CL131" s="102"/>
      <c r="CM131" s="102"/>
      <c r="CN131" s="258" t="s">
        <v>1283</v>
      </c>
      <c r="CO131" s="88" t="s">
        <v>1249</v>
      </c>
      <c r="CP131" s="222"/>
      <c r="CQ131" s="99"/>
      <c r="CR131" s="99"/>
      <c r="CS131" s="99"/>
      <c r="CT131" s="99"/>
      <c r="CU131" s="92"/>
      <c r="CV131" s="102"/>
      <c r="CW131" s="102"/>
      <c r="CX131" s="88" t="s">
        <v>2001</v>
      </c>
      <c r="CY131" s="102"/>
      <c r="CZ131" s="102"/>
      <c r="DA131" s="102"/>
      <c r="DB131" s="88" t="s">
        <v>5771</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5772</v>
      </c>
      <c r="B132" s="104" t="s">
        <v>5773</v>
      </c>
      <c r="C132" s="105" t="s">
        <v>1260</v>
      </c>
      <c r="D132" s="106" t="s">
        <v>1260</v>
      </c>
      <c r="E132" s="107" t="s">
        <v>1260</v>
      </c>
      <c r="F132" s="108" t="s">
        <v>1260</v>
      </c>
      <c r="G132" s="104" t="s">
        <v>4056</v>
      </c>
      <c r="H132" s="242"/>
      <c r="I132" s="167" t="s">
        <v>5774</v>
      </c>
      <c r="J132" s="242"/>
      <c r="K132" s="242"/>
      <c r="L132" s="167" t="s">
        <v>3527</v>
      </c>
      <c r="M132" s="242"/>
      <c r="N132" s="167" t="s">
        <v>5455</v>
      </c>
      <c r="O132" s="167" t="s">
        <v>853</v>
      </c>
      <c r="P132" s="167" t="s">
        <v>3266</v>
      </c>
      <c r="Q132" s="242"/>
      <c r="R132" s="242"/>
      <c r="S132" s="242"/>
      <c r="T132" s="242"/>
      <c r="U132" s="167" t="s">
        <v>3216</v>
      </c>
      <c r="V132" s="242"/>
      <c r="W132" s="92"/>
      <c r="X132" s="244"/>
      <c r="Y132" s="198"/>
      <c r="Z132" s="198" t="s">
        <v>580</v>
      </c>
      <c r="AA132" s="198" t="s">
        <v>1532</v>
      </c>
      <c r="AB132" s="244"/>
      <c r="AC132" s="198" t="s">
        <v>4918</v>
      </c>
      <c r="AD132" s="244"/>
      <c r="AE132" s="244"/>
      <c r="AF132" s="198" t="s">
        <v>2131</v>
      </c>
      <c r="AG132" s="244"/>
      <c r="AH132" s="244"/>
      <c r="AI132" s="244"/>
      <c r="AJ132" s="244"/>
      <c r="AK132" s="244"/>
      <c r="AL132" s="97"/>
      <c r="AM132" s="168"/>
      <c r="AN132" s="168" t="s">
        <v>5775</v>
      </c>
      <c r="AO132" s="245"/>
      <c r="AP132" s="245"/>
      <c r="AQ132" s="245"/>
      <c r="AR132" s="245"/>
      <c r="AS132" s="245"/>
      <c r="AT132" s="245"/>
      <c r="AU132" s="168" t="s">
        <v>3188</v>
      </c>
      <c r="AV132" s="245"/>
      <c r="AW132" s="245"/>
      <c r="AX132" s="245"/>
      <c r="AY132" s="168" t="s">
        <v>5462</v>
      </c>
      <c r="AZ132" s="245"/>
      <c r="BA132" s="245"/>
      <c r="BB132" s="173"/>
      <c r="BC132" s="173"/>
      <c r="BD132" s="173"/>
      <c r="BE132" s="174" t="s">
        <v>5095</v>
      </c>
      <c r="BF132" s="174" t="s">
        <v>5776</v>
      </c>
      <c r="BG132" s="173"/>
      <c r="BH132" s="173"/>
      <c r="BI132" s="174" t="s">
        <v>5496</v>
      </c>
      <c r="BJ132" s="173"/>
      <c r="BK132" s="173"/>
      <c r="BL132" s="173"/>
      <c r="BM132" s="173"/>
      <c r="BN132" s="173"/>
      <c r="BO132" s="173"/>
      <c r="BP132" s="173"/>
      <c r="BQ132" s="247"/>
      <c r="BR132" s="249"/>
      <c r="BS132" s="175" t="s">
        <v>5777</v>
      </c>
      <c r="BT132" s="175" t="s">
        <v>1727</v>
      </c>
      <c r="BU132" s="249"/>
      <c r="BV132" s="249"/>
      <c r="BW132" s="175" t="s">
        <v>1807</v>
      </c>
      <c r="BX132" s="249"/>
      <c r="BY132" s="175" t="s">
        <v>5778</v>
      </c>
      <c r="BZ132" s="249"/>
      <c r="CA132" s="249"/>
      <c r="CB132" s="249"/>
      <c r="CC132" s="249"/>
      <c r="CD132" s="249"/>
      <c r="CE132" s="249"/>
      <c r="CF132" s="251"/>
      <c r="CG132" s="252"/>
      <c r="CH132" s="252"/>
      <c r="CI132" s="252"/>
      <c r="CJ132" s="177" t="s">
        <v>5779</v>
      </c>
      <c r="CK132" s="177"/>
      <c r="CL132" s="177"/>
      <c r="CM132" s="252"/>
      <c r="CN132" s="252"/>
      <c r="CO132" s="252"/>
      <c r="CP132" s="252"/>
      <c r="CQ132" s="252"/>
      <c r="CR132" s="252"/>
      <c r="CS132" s="252"/>
      <c r="CT132" s="252"/>
      <c r="CU132" s="92"/>
      <c r="CV132" s="204" t="s">
        <v>4801</v>
      </c>
      <c r="CW132" s="253"/>
      <c r="CX132" s="204" t="s">
        <v>2562</v>
      </c>
      <c r="CY132" s="253"/>
      <c r="CZ132" s="253"/>
      <c r="DA132" s="253"/>
      <c r="DB132" s="204" t="s">
        <v>5780</v>
      </c>
      <c r="DC132" s="204" t="s">
        <v>4362</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5781</v>
      </c>
      <c r="B133" s="82" t="s">
        <v>5782</v>
      </c>
      <c r="C133" s="83" t="s">
        <v>1260</v>
      </c>
      <c r="D133" s="84" t="s">
        <v>1260</v>
      </c>
      <c r="E133" s="85" t="s">
        <v>1260</v>
      </c>
      <c r="F133" s="86" t="s">
        <v>1260</v>
      </c>
      <c r="G133" s="82" t="s">
        <v>1056</v>
      </c>
      <c r="H133" s="631" t="s">
        <v>4583</v>
      </c>
      <c r="I133" s="258" t="s">
        <v>5783</v>
      </c>
      <c r="J133" s="258" t="s">
        <v>5784</v>
      </c>
      <c r="K133" s="258" t="s">
        <v>2658</v>
      </c>
      <c r="L133" s="258" t="s">
        <v>2099</v>
      </c>
      <c r="M133" s="258" t="s">
        <v>5785</v>
      </c>
      <c r="N133" s="258" t="s">
        <v>5786</v>
      </c>
      <c r="O133" s="258" t="s">
        <v>3959</v>
      </c>
      <c r="P133" s="258" t="s">
        <v>4967</v>
      </c>
      <c r="Q133" s="94" t="s">
        <v>5787</v>
      </c>
      <c r="R133" s="99"/>
      <c r="S133" s="94" t="s">
        <v>3812</v>
      </c>
      <c r="T133" s="99"/>
      <c r="U133" s="94" t="s">
        <v>1268</v>
      </c>
      <c r="V133" s="94" t="s">
        <v>5788</v>
      </c>
      <c r="W133" s="92"/>
      <c r="X133" s="258" t="s">
        <v>5017</v>
      </c>
      <c r="Y133" s="258"/>
      <c r="Z133" s="258" t="s">
        <v>3598</v>
      </c>
      <c r="AA133" s="258" t="s">
        <v>1443</v>
      </c>
      <c r="AB133" s="266" t="s">
        <v>5789</v>
      </c>
      <c r="AC133" s="258" t="s">
        <v>1846</v>
      </c>
      <c r="AD133" s="258" t="s">
        <v>4990</v>
      </c>
      <c r="AE133" s="99"/>
      <c r="AF133" s="258" t="s">
        <v>2424</v>
      </c>
      <c r="AG133" s="258" t="s">
        <v>5461</v>
      </c>
      <c r="AH133" s="94" t="s">
        <v>1746</v>
      </c>
      <c r="AI133" s="99"/>
      <c r="AJ133" s="258" t="s">
        <v>2438</v>
      </c>
      <c r="AK133" s="94" t="s">
        <v>5790</v>
      </c>
      <c r="AL133" s="97"/>
      <c r="AM133" s="258" t="s">
        <v>1373</v>
      </c>
      <c r="AN133" s="258" t="s">
        <v>1082</v>
      </c>
      <c r="AO133" s="99"/>
      <c r="AP133" s="99"/>
      <c r="AQ133" s="94" t="s">
        <v>5791</v>
      </c>
      <c r="AR133" s="94" t="s">
        <v>1097</v>
      </c>
      <c r="AS133" s="94" t="s">
        <v>1142</v>
      </c>
      <c r="AT133" s="99"/>
      <c r="AU133" s="258" t="s">
        <v>5579</v>
      </c>
      <c r="AV133" s="258" t="s">
        <v>4734</v>
      </c>
      <c r="AW133" s="102"/>
      <c r="AX133" s="99"/>
      <c r="AY133" s="94" t="s">
        <v>952</v>
      </c>
      <c r="AZ133" s="94" t="s">
        <v>5792</v>
      </c>
      <c r="BA133" s="99"/>
      <c r="BB133" s="258" t="s">
        <v>5793</v>
      </c>
      <c r="BC133" s="258" t="s">
        <v>5794</v>
      </c>
      <c r="BD133" s="258" t="s">
        <v>5795</v>
      </c>
      <c r="BE133" s="258" t="s">
        <v>2438</v>
      </c>
      <c r="BF133" s="258" t="s">
        <v>5796</v>
      </c>
      <c r="BG133" s="258" t="s">
        <v>4343</v>
      </c>
      <c r="BH133" s="94" t="s">
        <v>5797</v>
      </c>
      <c r="BI133" s="258" t="s">
        <v>4441</v>
      </c>
      <c r="BJ133" s="99"/>
      <c r="BK133" s="258" t="s">
        <v>5798</v>
      </c>
      <c r="BL133" s="258" t="s">
        <v>2857</v>
      </c>
      <c r="BM133" s="99"/>
      <c r="BN133" s="99"/>
      <c r="BO133" s="102"/>
      <c r="BP133" s="99"/>
      <c r="BQ133" s="237"/>
      <c r="BR133" s="258" t="s">
        <v>5799</v>
      </c>
      <c r="BS133" s="258" t="s">
        <v>5800</v>
      </c>
      <c r="BT133" s="258" t="s">
        <v>5801</v>
      </c>
      <c r="BU133" s="258" t="s">
        <v>5802</v>
      </c>
      <c r="BV133" s="258" t="s">
        <v>5463</v>
      </c>
      <c r="BW133" s="258" t="s">
        <v>328</v>
      </c>
      <c r="BX133" s="94" t="s">
        <v>5803</v>
      </c>
      <c r="BY133" s="102"/>
      <c r="BZ133" s="258" t="s">
        <v>5804</v>
      </c>
      <c r="CA133" s="258" t="s">
        <v>5805</v>
      </c>
      <c r="CB133" s="94" t="s">
        <v>5806</v>
      </c>
      <c r="CC133" s="99"/>
      <c r="CD133" s="99"/>
      <c r="CE133" s="94" t="s">
        <v>5807</v>
      </c>
      <c r="CF133" s="237"/>
      <c r="CG133" s="258" t="s">
        <v>3447</v>
      </c>
      <c r="CH133" s="258" t="s">
        <v>5342</v>
      </c>
      <c r="CI133" s="258" t="s">
        <v>1120</v>
      </c>
      <c r="CJ133" s="258" t="s">
        <v>5808</v>
      </c>
      <c r="CK133" s="258" t="s">
        <v>5809</v>
      </c>
      <c r="CL133" s="258" t="s">
        <v>5810</v>
      </c>
      <c r="CM133" s="258" t="s">
        <v>5811</v>
      </c>
      <c r="CN133" s="258" t="s">
        <v>1085</v>
      </c>
      <c r="CO133" s="258" t="s">
        <v>1413</v>
      </c>
      <c r="CP133" s="222"/>
      <c r="CQ133" s="99"/>
      <c r="CR133" s="99"/>
      <c r="CS133" s="99"/>
      <c r="CT133" s="94" t="s">
        <v>5812</v>
      </c>
      <c r="CU133" s="92"/>
      <c r="CV133" s="258" t="s">
        <v>2619</v>
      </c>
      <c r="CW133" s="258" t="s">
        <v>5813</v>
      </c>
      <c r="CX133" s="577" t="s">
        <v>5814</v>
      </c>
      <c r="CY133" s="258" t="s">
        <v>3329</v>
      </c>
      <c r="CZ133" s="258" t="s">
        <v>5815</v>
      </c>
      <c r="DA133" s="258" t="s">
        <v>4058</v>
      </c>
      <c r="DB133" s="258" t="s">
        <v>5816</v>
      </c>
      <c r="DC133" s="258" t="s">
        <v>5817</v>
      </c>
      <c r="DD133" s="94" t="s">
        <v>5818</v>
      </c>
      <c r="DE133" s="99"/>
      <c r="DF133" s="99"/>
      <c r="DG133" s="94" t="s">
        <v>5819</v>
      </c>
      <c r="DH133" s="237"/>
      <c r="DI133" s="258" t="s">
        <v>570</v>
      </c>
      <c r="DJ133" s="99"/>
      <c r="DK133" s="94" t="s">
        <v>4027</v>
      </c>
      <c r="DL133" s="258" t="s">
        <v>5820</v>
      </c>
      <c r="DM133" s="258" t="s">
        <v>3986</v>
      </c>
      <c r="DN133" s="258" t="s">
        <v>3161</v>
      </c>
      <c r="DO133" s="94" t="s">
        <v>5821</v>
      </c>
      <c r="DP133" s="94" t="s">
        <v>5822</v>
      </c>
      <c r="DQ133" s="94" t="s">
        <v>5823</v>
      </c>
      <c r="DR133" s="258" t="s">
        <v>5824</v>
      </c>
      <c r="DS133" s="102"/>
      <c r="DT133" s="99"/>
      <c r="DU133" s="258" t="s">
        <v>5825</v>
      </c>
      <c r="DV133" s="99"/>
      <c r="DW133" s="99"/>
      <c r="DX133" s="99"/>
      <c r="DY133" s="99"/>
      <c r="DZ133" s="94" t="s">
        <v>5826</v>
      </c>
      <c r="EA133" s="258" t="s">
        <v>5827</v>
      </c>
      <c r="EB133" s="99"/>
      <c r="EC133" s="94" t="s">
        <v>3953</v>
      </c>
      <c r="ED133" s="258" t="s">
        <v>5828</v>
      </c>
    </row>
    <row r="134">
      <c r="A134" s="632" t="s">
        <v>5829</v>
      </c>
      <c r="B134" s="104" t="s">
        <v>5830</v>
      </c>
      <c r="C134" s="105" t="s">
        <v>1260</v>
      </c>
      <c r="D134" s="106" t="s">
        <v>1260</v>
      </c>
      <c r="E134" s="107" t="s">
        <v>1260</v>
      </c>
      <c r="F134" s="108" t="s">
        <v>3974</v>
      </c>
      <c r="G134" s="104" t="s">
        <v>3974</v>
      </c>
      <c r="H134" s="112" t="s">
        <v>5831</v>
      </c>
      <c r="I134" s="112" t="s">
        <v>5832</v>
      </c>
      <c r="J134" s="112" t="s">
        <v>4669</v>
      </c>
      <c r="K134" s="242"/>
      <c r="L134" s="112" t="s">
        <v>5833</v>
      </c>
      <c r="M134" s="112" t="s">
        <v>5834</v>
      </c>
      <c r="N134" s="242"/>
      <c r="O134" s="242"/>
      <c r="P134" s="112" t="s">
        <v>3634</v>
      </c>
      <c r="Q134" s="242"/>
      <c r="R134" s="242"/>
      <c r="S134" s="242"/>
      <c r="T134" s="242"/>
      <c r="U134" s="242"/>
      <c r="V134" s="242"/>
      <c r="W134" s="92"/>
      <c r="X134" s="116" t="s">
        <v>2302</v>
      </c>
      <c r="Y134" s="270"/>
      <c r="Z134" s="116" t="s">
        <v>5835</v>
      </c>
      <c r="AA134" s="116" t="s">
        <v>664</v>
      </c>
      <c r="AB134" s="244"/>
      <c r="AC134" s="244"/>
      <c r="AD134" s="244"/>
      <c r="AE134" s="244"/>
      <c r="AF134" s="116" t="s">
        <v>5836</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5837</v>
      </c>
      <c r="BS134" s="249"/>
      <c r="BT134" s="129" t="s">
        <v>4064</v>
      </c>
      <c r="BU134" s="249"/>
      <c r="BV134" s="249"/>
      <c r="BW134" s="249"/>
      <c r="BX134" s="249"/>
      <c r="BY134" s="249"/>
      <c r="BZ134" s="249"/>
      <c r="CA134" s="129" t="s">
        <v>5838</v>
      </c>
      <c r="CB134" s="249"/>
      <c r="CC134" s="249"/>
      <c r="CD134" s="249"/>
      <c r="CE134" s="249"/>
      <c r="CF134" s="251"/>
      <c r="CG134" s="135" t="s">
        <v>5839</v>
      </c>
      <c r="CH134" s="135" t="s">
        <v>2372</v>
      </c>
      <c r="CI134" s="252"/>
      <c r="CJ134" s="135" t="s">
        <v>4675</v>
      </c>
      <c r="CK134" s="262"/>
      <c r="CL134" s="262"/>
      <c r="CM134" s="135" t="s">
        <v>5316</v>
      </c>
      <c r="CN134" s="135" t="s">
        <v>1624</v>
      </c>
      <c r="CO134" s="252"/>
      <c r="CP134" s="252"/>
      <c r="CQ134" s="252"/>
      <c r="CR134" s="252"/>
      <c r="CS134" s="252"/>
      <c r="CT134" s="252"/>
      <c r="CU134" s="92"/>
      <c r="CV134" s="253"/>
      <c r="CW134" s="253"/>
      <c r="CX134" s="253"/>
      <c r="CY134" s="253"/>
      <c r="CZ134" s="253"/>
      <c r="DA134" s="253"/>
      <c r="DB134" s="140" t="s">
        <v>5840</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5841</v>
      </c>
      <c r="B135" s="82" t="s">
        <v>5842</v>
      </c>
      <c r="C135" s="83" t="s">
        <v>1260</v>
      </c>
      <c r="D135" s="84" t="s">
        <v>1260</v>
      </c>
      <c r="E135" s="85" t="s">
        <v>1260</v>
      </c>
      <c r="F135" s="86" t="s">
        <v>1260</v>
      </c>
      <c r="G135" s="82" t="s">
        <v>2994</v>
      </c>
      <c r="H135" s="94" t="s">
        <v>5843</v>
      </c>
      <c r="I135" s="94" t="s">
        <v>5844</v>
      </c>
      <c r="J135" s="94" t="s">
        <v>918</v>
      </c>
      <c r="K135" s="94" t="s">
        <v>3909</v>
      </c>
      <c r="L135" s="94" t="s">
        <v>5845</v>
      </c>
      <c r="M135" s="94" t="s">
        <v>5846</v>
      </c>
      <c r="N135" s="94" t="s">
        <v>5847</v>
      </c>
      <c r="O135" s="94" t="s">
        <v>5848</v>
      </c>
      <c r="P135" s="99"/>
      <c r="Q135" s="99"/>
      <c r="R135" s="99"/>
      <c r="S135" s="99"/>
      <c r="T135" s="99"/>
      <c r="U135" s="99"/>
      <c r="V135" s="99"/>
      <c r="W135" s="92"/>
      <c r="X135" s="94" t="s">
        <v>5849</v>
      </c>
      <c r="Y135" s="94"/>
      <c r="Z135" s="94" t="s">
        <v>5850</v>
      </c>
      <c r="AA135" s="94" t="s">
        <v>5607</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3162</v>
      </c>
      <c r="BC135" s="94" t="s">
        <v>5851</v>
      </c>
      <c r="BD135" s="94" t="s">
        <v>4160</v>
      </c>
      <c r="BE135" s="99"/>
      <c r="BF135" s="99"/>
      <c r="BG135" s="99"/>
      <c r="BH135" s="99"/>
      <c r="BI135" s="94" t="s">
        <v>913</v>
      </c>
      <c r="BJ135" s="99"/>
      <c r="BK135" s="99"/>
      <c r="BL135" s="99"/>
      <c r="BM135" s="99"/>
      <c r="BN135" s="99"/>
      <c r="BO135" s="99"/>
      <c r="BP135" s="99"/>
      <c r="BQ135" s="237"/>
      <c r="BR135" s="94"/>
      <c r="BS135" s="94" t="s">
        <v>3273</v>
      </c>
      <c r="BT135" s="94" t="s">
        <v>4826</v>
      </c>
      <c r="BU135" s="94" t="s">
        <v>1910</v>
      </c>
      <c r="BV135" s="94" t="s">
        <v>5675</v>
      </c>
      <c r="BW135" s="94" t="s">
        <v>5667</v>
      </c>
      <c r="BX135" s="99"/>
      <c r="BY135" s="99"/>
      <c r="BZ135" s="99"/>
      <c r="CA135" s="99"/>
      <c r="CB135" s="99"/>
      <c r="CC135" s="99"/>
      <c r="CD135" s="99"/>
      <c r="CE135" s="99"/>
      <c r="CF135" s="237"/>
      <c r="CG135" s="94" t="s">
        <v>5852</v>
      </c>
      <c r="CH135" s="94" t="s">
        <v>3919</v>
      </c>
      <c r="CI135" s="99"/>
      <c r="CJ135" s="99"/>
      <c r="CK135" s="99"/>
      <c r="CL135" s="99"/>
      <c r="CM135" s="99"/>
      <c r="CN135" s="99"/>
      <c r="CO135" s="99"/>
      <c r="CP135" s="99"/>
      <c r="CQ135" s="99"/>
      <c r="CR135" s="99"/>
      <c r="CS135" s="99"/>
      <c r="CT135" s="99"/>
      <c r="CU135" s="92"/>
      <c r="CV135" s="94" t="s">
        <v>4676</v>
      </c>
      <c r="CW135" s="94" t="s">
        <v>5853</v>
      </c>
      <c r="CX135" s="94" t="s">
        <v>2646</v>
      </c>
      <c r="CY135" s="99"/>
      <c r="CZ135" s="99"/>
      <c r="DA135" s="99"/>
      <c r="DB135" s="94" t="s">
        <v>5854</v>
      </c>
      <c r="DC135" s="99"/>
      <c r="DD135" s="99"/>
      <c r="DE135" s="99"/>
      <c r="DF135" s="99"/>
      <c r="DG135" s="99"/>
      <c r="DH135" s="237"/>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58"/>
    </row>
    <row r="136">
      <c r="A136" s="586" t="s">
        <v>5856</v>
      </c>
      <c r="B136" s="104" t="s">
        <v>5857</v>
      </c>
      <c r="C136" s="105" t="s">
        <v>1260</v>
      </c>
      <c r="D136" s="106" t="s">
        <v>1260</v>
      </c>
      <c r="E136" s="107" t="s">
        <v>1260</v>
      </c>
      <c r="F136" s="108" t="s">
        <v>438</v>
      </c>
      <c r="G136" s="104" t="s">
        <v>5858</v>
      </c>
      <c r="H136" s="167" t="s">
        <v>3837</v>
      </c>
      <c r="I136" s="167" t="s">
        <v>5859</v>
      </c>
      <c r="J136" s="167" t="s">
        <v>1268</v>
      </c>
      <c r="K136" s="167" t="s">
        <v>3977</v>
      </c>
      <c r="L136" s="226" t="s">
        <v>5860</v>
      </c>
      <c r="M136" s="242"/>
      <c r="N136" s="242"/>
      <c r="O136" s="226" t="s">
        <v>1372</v>
      </c>
      <c r="P136" s="633" t="s">
        <v>5861</v>
      </c>
      <c r="Q136" s="242"/>
      <c r="R136" s="167"/>
      <c r="S136" s="167"/>
      <c r="T136" s="242"/>
      <c r="U136" s="242"/>
      <c r="V136" s="242"/>
      <c r="W136" s="92"/>
      <c r="X136" s="198" t="s">
        <v>3162</v>
      </c>
      <c r="Y136" s="244"/>
      <c r="Z136" s="244"/>
      <c r="AA136" s="198" t="s">
        <v>5862</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5863</v>
      </c>
      <c r="BK136" s="174"/>
      <c r="BL136" s="173"/>
      <c r="BM136" s="173"/>
      <c r="BN136" s="173"/>
      <c r="BO136" s="173"/>
      <c r="BP136" s="173"/>
      <c r="BQ136" s="247"/>
      <c r="BR136" s="249"/>
      <c r="BS136" s="176" t="s">
        <v>3920</v>
      </c>
      <c r="BT136" s="175" t="s">
        <v>5353</v>
      </c>
      <c r="BU136" s="249"/>
      <c r="BV136" s="249"/>
      <c r="BW136" s="175" t="s">
        <v>5864</v>
      </c>
      <c r="BX136" s="249"/>
      <c r="BY136" s="249"/>
      <c r="BZ136" s="249"/>
      <c r="CA136" s="249"/>
      <c r="CB136" s="249"/>
      <c r="CC136" s="249"/>
      <c r="CD136" s="249"/>
      <c r="CE136" s="249"/>
      <c r="CF136" s="251"/>
      <c r="CG136" s="177" t="s">
        <v>2206</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5865</v>
      </c>
      <c r="B137" s="82" t="s">
        <v>5866</v>
      </c>
      <c r="C137" s="83" t="s">
        <v>1260</v>
      </c>
      <c r="D137" s="84" t="s">
        <v>1260</v>
      </c>
      <c r="E137" s="85" t="s">
        <v>1260</v>
      </c>
      <c r="F137" s="86" t="s">
        <v>547</v>
      </c>
      <c r="G137" s="82" t="s">
        <v>3099</v>
      </c>
      <c r="H137" s="94" t="s">
        <v>4209</v>
      </c>
      <c r="I137" s="94" t="s">
        <v>5867</v>
      </c>
      <c r="J137" s="94" t="s">
        <v>3362</v>
      </c>
      <c r="K137" s="94" t="s">
        <v>2279</v>
      </c>
      <c r="L137" s="94" t="s">
        <v>5313</v>
      </c>
      <c r="M137" s="94" t="s">
        <v>5868</v>
      </c>
      <c r="N137" s="94" t="s">
        <v>5869</v>
      </c>
      <c r="O137" s="94" t="s">
        <v>5870</v>
      </c>
      <c r="P137" s="94" t="s">
        <v>1211</v>
      </c>
      <c r="Q137" s="94"/>
      <c r="R137" s="99"/>
      <c r="S137" s="99"/>
      <c r="T137" s="99"/>
      <c r="U137" s="99"/>
      <c r="V137" s="99"/>
      <c r="W137" s="92"/>
      <c r="X137" s="94" t="s">
        <v>5871</v>
      </c>
      <c r="Y137" s="94"/>
      <c r="Z137" s="94" t="s">
        <v>5872</v>
      </c>
      <c r="AA137" s="94" t="s">
        <v>2068</v>
      </c>
      <c r="AB137" s="94" t="s">
        <v>5873</v>
      </c>
      <c r="AC137" s="94" t="s">
        <v>3889</v>
      </c>
      <c r="AD137" s="94" t="s">
        <v>5874</v>
      </c>
      <c r="AE137" s="99"/>
      <c r="AF137" s="94" t="s">
        <v>5786</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5875</v>
      </c>
      <c r="BX137" s="99"/>
      <c r="BY137" s="99"/>
      <c r="BZ137" s="99"/>
      <c r="CA137" s="94" t="s">
        <v>824</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1838</v>
      </c>
      <c r="CY137" s="94" t="s">
        <v>5060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5881</v>
      </c>
    </row>
    <row r="138">
      <c r="A138" s="634" t="s">
        <v>5882</v>
      </c>
      <c r="B138" s="455" t="s">
        <v>5883</v>
      </c>
      <c r="C138" s="456" t="s">
        <v>1260</v>
      </c>
      <c r="D138" s="457" t="s">
        <v>1260</v>
      </c>
      <c r="E138" s="458" t="s">
        <v>1260</v>
      </c>
      <c r="F138" s="459" t="s">
        <v>1054</v>
      </c>
      <c r="G138" s="455" t="s">
        <v>5884</v>
      </c>
      <c r="H138" s="461"/>
      <c r="I138" s="461" t="s">
        <v>5885</v>
      </c>
      <c r="J138" s="461"/>
      <c r="K138" s="461" t="s">
        <v>3108</v>
      </c>
      <c r="L138" s="460" t="s">
        <v>5218</v>
      </c>
      <c r="M138" s="461"/>
      <c r="N138" s="412" t="s">
        <v>5886</v>
      </c>
      <c r="O138" s="412" t="s">
        <v>5767</v>
      </c>
      <c r="P138" s="460" t="s">
        <v>3266</v>
      </c>
      <c r="Q138" s="461"/>
      <c r="R138" s="461"/>
      <c r="S138" s="461" t="s">
        <v>4103</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5477</v>
      </c>
      <c r="AX138" s="468"/>
      <c r="AY138" s="468" t="s">
        <v>4504</v>
      </c>
      <c r="AZ138" s="468"/>
      <c r="BA138" s="468"/>
      <c r="BB138" s="470" t="s">
        <v>5887</v>
      </c>
      <c r="BC138" s="470"/>
      <c r="BD138" s="470"/>
      <c r="BE138" s="470" t="s">
        <v>5888</v>
      </c>
      <c r="BF138" s="470" t="s">
        <v>5889</v>
      </c>
      <c r="BG138" s="470"/>
      <c r="BH138" s="470"/>
      <c r="BI138" s="126" t="s">
        <v>5890</v>
      </c>
      <c r="BJ138" s="470"/>
      <c r="BK138" s="469" t="s">
        <v>5891</v>
      </c>
      <c r="BL138" s="470"/>
      <c r="BM138" s="470"/>
      <c r="BN138" s="470"/>
      <c r="BO138" s="470"/>
      <c r="BP138" s="470"/>
      <c r="BQ138" s="637"/>
      <c r="BR138" s="471"/>
      <c r="BS138" s="471"/>
      <c r="BT138" s="471" t="s">
        <v>5892</v>
      </c>
      <c r="BU138" s="471"/>
      <c r="BV138" s="129" t="s">
        <v>2600</v>
      </c>
      <c r="BW138" s="129" t="s">
        <v>5505</v>
      </c>
      <c r="BX138" s="471"/>
      <c r="BY138" s="471"/>
      <c r="BZ138" s="471"/>
      <c r="CA138" s="129" t="s">
        <v>3741</v>
      </c>
      <c r="CB138" s="471" t="s">
        <v>5893</v>
      </c>
      <c r="CC138" s="471"/>
      <c r="CD138" s="471"/>
      <c r="CE138" s="471"/>
      <c r="CF138" s="638"/>
      <c r="CG138" s="474" t="s">
        <v>769</v>
      </c>
      <c r="CH138" s="474"/>
      <c r="CI138" s="474"/>
      <c r="CJ138" s="474" t="s">
        <v>5894</v>
      </c>
      <c r="CK138" s="474"/>
      <c r="CL138" s="474"/>
      <c r="CM138" s="639" t="s">
        <v>5895</v>
      </c>
      <c r="CN138" s="177" t="s">
        <v>5251</v>
      </c>
      <c r="CO138" s="474"/>
      <c r="CP138" s="474"/>
      <c r="CQ138" s="474"/>
      <c r="CR138" s="474"/>
      <c r="CS138" s="474"/>
      <c r="CT138" s="474" t="s">
        <v>5896</v>
      </c>
      <c r="CU138" s="462"/>
      <c r="CV138" s="475"/>
      <c r="CW138" s="475"/>
      <c r="CX138" s="640" t="s">
        <v>3421</v>
      </c>
      <c r="CY138" s="475" t="s">
        <v>5897</v>
      </c>
      <c r="CZ138" s="640" t="s">
        <v>5898</v>
      </c>
      <c r="DA138" s="476" t="s">
        <v>1923</v>
      </c>
      <c r="DB138" s="476" t="s">
        <v>5899</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5900</v>
      </c>
      <c r="EB138" s="478"/>
      <c r="EC138" s="478"/>
      <c r="ED138" s="478"/>
    </row>
    <row r="139">
      <c r="A139" s="627" t="s">
        <v>5901</v>
      </c>
      <c r="B139" s="82" t="s">
        <v>5902</v>
      </c>
      <c r="C139" s="83" t="s">
        <v>1260</v>
      </c>
      <c r="D139" s="84" t="s">
        <v>1260</v>
      </c>
      <c r="E139" s="85" t="s">
        <v>1260</v>
      </c>
      <c r="F139" s="86" t="s">
        <v>650</v>
      </c>
      <c r="G139" s="82" t="s">
        <v>5903</v>
      </c>
      <c r="H139" s="258" t="s">
        <v>3786</v>
      </c>
      <c r="I139" s="266" t="s">
        <v>5904</v>
      </c>
      <c r="J139" s="266" t="s">
        <v>1731</v>
      </c>
      <c r="K139" s="258" t="s">
        <v>352</v>
      </c>
      <c r="L139" s="258" t="s">
        <v>611</v>
      </c>
      <c r="M139" s="258" t="s">
        <v>5905</v>
      </c>
      <c r="N139" s="258" t="s">
        <v>5906</v>
      </c>
      <c r="O139" s="93" t="s">
        <v>242</v>
      </c>
      <c r="P139" s="258" t="s">
        <v>4887</v>
      </c>
      <c r="Q139" s="94" t="s">
        <v>5907</v>
      </c>
      <c r="R139" s="99"/>
      <c r="S139" s="94" t="s">
        <v>4103</v>
      </c>
      <c r="T139" s="99"/>
      <c r="U139" s="94" t="s">
        <v>2097</v>
      </c>
      <c r="V139" s="94" t="s">
        <v>5908</v>
      </c>
      <c r="W139" s="92"/>
      <c r="X139" s="435" t="s">
        <v>5014</v>
      </c>
      <c r="Y139" s="162"/>
      <c r="Z139" s="162" t="s">
        <v>5517</v>
      </c>
      <c r="AA139" s="88" t="s">
        <v>415</v>
      </c>
      <c r="AB139" s="266" t="s">
        <v>2731</v>
      </c>
      <c r="AC139" s="266" t="s">
        <v>3885</v>
      </c>
      <c r="AD139" s="258" t="s">
        <v>1572</v>
      </c>
      <c r="AE139" s="99"/>
      <c r="AF139" s="93" t="s">
        <v>5909</v>
      </c>
      <c r="AG139" s="258" t="s">
        <v>5910</v>
      </c>
      <c r="AH139" s="99"/>
      <c r="AI139" s="99"/>
      <c r="AJ139" s="102"/>
      <c r="AK139" s="99"/>
      <c r="AL139" s="97"/>
      <c r="AM139" s="258" t="s">
        <v>3528</v>
      </c>
      <c r="AN139" s="258" t="s">
        <v>5911</v>
      </c>
      <c r="AO139" s="94" t="s">
        <v>5912</v>
      </c>
      <c r="AP139" s="94" t="s">
        <v>102</v>
      </c>
      <c r="AQ139" s="94" t="s">
        <v>5913</v>
      </c>
      <c r="AR139" s="94" t="s">
        <v>5138</v>
      </c>
      <c r="AS139" s="94" t="s">
        <v>5914</v>
      </c>
      <c r="AT139" s="94" t="s">
        <v>5915</v>
      </c>
      <c r="AU139" s="258" t="s">
        <v>4308</v>
      </c>
      <c r="AV139" s="258" t="s">
        <v>3543</v>
      </c>
      <c r="AW139" s="258" t="s">
        <v>4192</v>
      </c>
      <c r="AX139" s="99"/>
      <c r="AY139" s="99"/>
      <c r="AZ139" s="99"/>
      <c r="BA139" s="99"/>
      <c r="BB139" s="258" t="s">
        <v>5916</v>
      </c>
      <c r="BC139" s="258" t="s">
        <v>2062</v>
      </c>
      <c r="BD139" s="258" t="s">
        <v>998</v>
      </c>
      <c r="BE139" s="258" t="s">
        <v>5917</v>
      </c>
      <c r="BF139" s="102"/>
      <c r="BG139" s="258" t="s">
        <v>5918</v>
      </c>
      <c r="BH139" s="99"/>
      <c r="BI139" s="258" t="s">
        <v>1007</v>
      </c>
      <c r="BJ139" s="99"/>
      <c r="BK139" s="102"/>
      <c r="BL139" s="258" t="s">
        <v>5919</v>
      </c>
      <c r="BM139" s="99"/>
      <c r="BN139" s="99"/>
      <c r="BO139" s="102"/>
      <c r="BP139" s="99"/>
      <c r="BQ139" s="237"/>
      <c r="BR139" s="258" t="s">
        <v>5920</v>
      </c>
      <c r="BS139" s="258" t="s">
        <v>5921</v>
      </c>
      <c r="BT139" s="258" t="s">
        <v>3870</v>
      </c>
      <c r="BU139" s="258" t="s">
        <v>5795</v>
      </c>
      <c r="BV139" s="258" t="s">
        <v>5922</v>
      </c>
      <c r="BW139" s="258" t="s">
        <v>4601</v>
      </c>
      <c r="BX139" s="99"/>
      <c r="BY139" s="258" t="s">
        <v>5923</v>
      </c>
      <c r="BZ139" s="102"/>
      <c r="CA139" s="258" t="s">
        <v>976</v>
      </c>
      <c r="CB139" s="99"/>
      <c r="CC139" s="99"/>
      <c r="CD139" s="99"/>
      <c r="CE139" s="99"/>
      <c r="CF139" s="237"/>
      <c r="CG139" s="258" t="s">
        <v>5924</v>
      </c>
      <c r="CH139" s="258" t="s">
        <v>5925</v>
      </c>
      <c r="CI139" s="258" t="s">
        <v>4422</v>
      </c>
      <c r="CJ139" s="102"/>
      <c r="CK139" s="102"/>
      <c r="CL139" s="258" t="s">
        <v>2143</v>
      </c>
      <c r="CM139" s="102"/>
      <c r="CN139" s="102"/>
      <c r="CO139" s="102"/>
      <c r="CP139" s="222"/>
      <c r="CQ139" s="99"/>
      <c r="CR139" s="99"/>
      <c r="CS139" s="99"/>
      <c r="CT139" s="99"/>
      <c r="CU139" s="92"/>
      <c r="CV139" s="258" t="s">
        <v>5926</v>
      </c>
      <c r="CW139" s="258" t="s">
        <v>5927</v>
      </c>
      <c r="CX139" s="435" t="s">
        <v>5928</v>
      </c>
      <c r="CY139" s="88" t="s">
        <v>4515</v>
      </c>
      <c r="CZ139" s="258" t="s">
        <v>3404</v>
      </c>
      <c r="DA139" s="258" t="s">
        <v>4034</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5932</v>
      </c>
      <c r="B140" s="104" t="s">
        <v>5933</v>
      </c>
      <c r="C140" s="105" t="s">
        <v>1260</v>
      </c>
      <c r="D140" s="106" t="s">
        <v>1260</v>
      </c>
      <c r="E140" s="107" t="s">
        <v>1260</v>
      </c>
      <c r="F140" s="108" t="s">
        <v>1260</v>
      </c>
      <c r="G140" s="104" t="s">
        <v>221</v>
      </c>
      <c r="H140" s="226" t="s">
        <v>5934</v>
      </c>
      <c r="I140" s="343" t="s">
        <v>5935</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5936</v>
      </c>
      <c r="B141" s="82" t="s">
        <v>5937</v>
      </c>
      <c r="C141" s="83" t="s">
        <v>1260</v>
      </c>
      <c r="D141" s="84" t="s">
        <v>1260</v>
      </c>
      <c r="E141" s="85" t="s">
        <v>1260</v>
      </c>
      <c r="F141" s="86" t="s">
        <v>438</v>
      </c>
      <c r="G141" s="82" t="s">
        <v>4786</v>
      </c>
      <c r="H141" s="94"/>
      <c r="I141" s="94" t="s">
        <v>5938</v>
      </c>
      <c r="J141" s="94" t="s">
        <v>4148</v>
      </c>
      <c r="K141" s="88" t="s">
        <v>2279</v>
      </c>
      <c r="L141" s="94" t="s">
        <v>2477</v>
      </c>
      <c r="M141" s="94" t="s">
        <v>5939</v>
      </c>
      <c r="N141" s="94" t="s">
        <v>5940</v>
      </c>
      <c r="O141" s="94" t="s">
        <v>5159</v>
      </c>
      <c r="P141" s="94" t="s">
        <v>564</v>
      </c>
      <c r="Q141" s="99"/>
      <c r="R141" s="99"/>
      <c r="S141" s="99"/>
      <c r="T141" s="99"/>
      <c r="U141" s="99"/>
      <c r="V141" s="99"/>
      <c r="W141" s="92"/>
      <c r="X141" s="94" t="s">
        <v>4627</v>
      </c>
      <c r="Y141" s="94"/>
      <c r="Z141" s="94" t="s">
        <v>5850</v>
      </c>
      <c r="AA141" s="94" t="s">
        <v>2243</v>
      </c>
      <c r="AB141" s="94" t="s">
        <v>5941</v>
      </c>
      <c r="AC141" s="94" t="s">
        <v>4972</v>
      </c>
      <c r="AD141" s="94" t="s">
        <v>5942</v>
      </c>
      <c r="AE141" s="99"/>
      <c r="AF141" s="94" t="s">
        <v>5943</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5944</v>
      </c>
      <c r="BF141" s="99"/>
      <c r="BG141" s="94" t="s">
        <v>2920</v>
      </c>
      <c r="BH141" s="99"/>
      <c r="BI141" s="94" t="s">
        <v>902</v>
      </c>
      <c r="BJ141" s="99"/>
      <c r="BK141" s="99"/>
      <c r="BL141" s="99"/>
      <c r="BM141" s="99"/>
      <c r="BN141" s="99"/>
      <c r="BO141" s="99"/>
      <c r="BP141" s="99"/>
      <c r="BQ141" s="237"/>
      <c r="BR141" s="94" t="s">
        <v>5945</v>
      </c>
      <c r="BS141" s="94" t="s">
        <v>5946</v>
      </c>
      <c r="BT141" s="94" t="s">
        <v>496</v>
      </c>
      <c r="BU141" s="266" t="s">
        <v>3094</v>
      </c>
      <c r="BV141" s="94" t="s">
        <v>4016</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2387</v>
      </c>
      <c r="CM141" s="94" t="s">
        <v>5955</v>
      </c>
      <c r="CN141" s="94" t="s">
        <v>2530</v>
      </c>
      <c r="CO141" s="94" t="s">
        <v>3709</v>
      </c>
      <c r="CP141" s="99"/>
      <c r="CQ141" s="99"/>
      <c r="CR141" s="99"/>
      <c r="CS141" s="99"/>
      <c r="CT141" s="99"/>
      <c r="CU141" s="92"/>
      <c r="CV141" s="94" t="s">
        <v>2915</v>
      </c>
      <c r="CW141" s="94" t="s">
        <v>3672</v>
      </c>
      <c r="CX141" s="94" t="s">
        <v>2807</v>
      </c>
      <c r="CY141" s="94" t="s">
        <v>5956</v>
      </c>
      <c r="CZ141" s="94" t="s">
        <v>3729</v>
      </c>
      <c r="DA141" s="94" t="s">
        <v>1814</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41"/>
    </row>
    <row r="142">
      <c r="A142" s="434" t="s">
        <v>5959</v>
      </c>
      <c r="B142" s="104" t="s">
        <v>5937</v>
      </c>
      <c r="C142" s="105" t="s">
        <v>1260</v>
      </c>
      <c r="D142" s="106" t="s">
        <v>1260</v>
      </c>
      <c r="E142" s="107" t="s">
        <v>1260</v>
      </c>
      <c r="F142" s="108" t="s">
        <v>438</v>
      </c>
      <c r="G142" s="104" t="s">
        <v>2683</v>
      </c>
      <c r="H142" s="167" t="s">
        <v>5960</v>
      </c>
      <c r="I142" s="293" t="s">
        <v>1590</v>
      </c>
      <c r="J142" s="167" t="s">
        <v>5961</v>
      </c>
      <c r="K142" s="167" t="s">
        <v>5962</v>
      </c>
      <c r="L142" s="167" t="s">
        <v>5963</v>
      </c>
      <c r="M142" s="242"/>
      <c r="N142" s="167" t="s">
        <v>5964</v>
      </c>
      <c r="O142" s="167" t="s">
        <v>3589</v>
      </c>
      <c r="P142" s="167" t="s">
        <v>1000</v>
      </c>
      <c r="Q142" s="242"/>
      <c r="R142" s="167" t="s">
        <v>324</v>
      </c>
      <c r="S142" s="167" t="s">
        <v>2218</v>
      </c>
      <c r="T142" s="242"/>
      <c r="U142" s="167" t="s">
        <v>3228</v>
      </c>
      <c r="V142" s="242"/>
      <c r="W142" s="92"/>
      <c r="X142" s="198" t="s">
        <v>5965</v>
      </c>
      <c r="Y142" s="117"/>
      <c r="Z142" s="116" t="s">
        <v>2395</v>
      </c>
      <c r="AA142" s="198" t="s">
        <v>4527</v>
      </c>
      <c r="AB142" s="198" t="s">
        <v>1679</v>
      </c>
      <c r="AC142" s="198" t="s">
        <v>3887</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1959</v>
      </c>
      <c r="BD142" s="174" t="s">
        <v>5968</v>
      </c>
      <c r="BE142" s="174" t="s">
        <v>3579</v>
      </c>
      <c r="BF142" s="174" t="s">
        <v>5777</v>
      </c>
      <c r="BG142" s="173"/>
      <c r="BH142" s="173"/>
      <c r="BI142" s="174" t="s">
        <v>4023</v>
      </c>
      <c r="BJ142" s="174" t="s">
        <v>5969</v>
      </c>
      <c r="BK142" s="174"/>
      <c r="BL142" s="174" t="s">
        <v>2627</v>
      </c>
      <c r="BM142" s="173"/>
      <c r="BN142" s="174" t="s">
        <v>4230</v>
      </c>
      <c r="BO142" s="173"/>
      <c r="BP142" s="173"/>
      <c r="BQ142" s="247"/>
      <c r="BR142" s="175" t="s">
        <v>5970</v>
      </c>
      <c r="BS142" s="175" t="s">
        <v>4249</v>
      </c>
      <c r="BT142" s="175" t="s">
        <v>3409</v>
      </c>
      <c r="BU142" s="175" t="s">
        <v>5971</v>
      </c>
      <c r="BV142" s="175" t="s">
        <v>5972</v>
      </c>
      <c r="BW142" s="175" t="s">
        <v>5211</v>
      </c>
      <c r="BX142" s="249"/>
      <c r="BY142" s="175" t="s">
        <v>2879</v>
      </c>
      <c r="BZ142" s="249"/>
      <c r="CA142" s="175" t="s">
        <v>5973</v>
      </c>
      <c r="CB142" s="249"/>
      <c r="CC142" s="249"/>
      <c r="CD142" s="249"/>
      <c r="CE142" s="249"/>
      <c r="CF142" s="251"/>
      <c r="CG142" s="177" t="s">
        <v>5974</v>
      </c>
      <c r="CH142" s="177" t="s">
        <v>4487</v>
      </c>
      <c r="CI142" s="177" t="s">
        <v>2220</v>
      </c>
      <c r="CJ142" s="177" t="s">
        <v>5975</v>
      </c>
      <c r="CK142" s="177"/>
      <c r="CL142" s="177" t="s">
        <v>5976</v>
      </c>
      <c r="CM142" s="177" t="s">
        <v>5977</v>
      </c>
      <c r="CN142" s="177" t="s">
        <v>1731</v>
      </c>
      <c r="CO142" s="177" t="s">
        <v>4308</v>
      </c>
      <c r="CP142" s="252"/>
      <c r="CQ142" s="252"/>
      <c r="CR142" s="252"/>
      <c r="CS142" s="252"/>
      <c r="CT142" s="252"/>
      <c r="CU142" s="92"/>
      <c r="CV142" s="204" t="s">
        <v>5978</v>
      </c>
      <c r="CW142" s="204" t="s">
        <v>2836</v>
      </c>
      <c r="CX142" s="204" t="s">
        <v>3757</v>
      </c>
      <c r="CY142" s="204" t="s">
        <v>5979</v>
      </c>
      <c r="CZ142" s="253"/>
      <c r="DA142" s="204" t="s">
        <v>5980</v>
      </c>
      <c r="DB142" s="140" t="s">
        <v>5981</v>
      </c>
      <c r="DC142" s="204" t="s">
        <v>4485</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206</v>
      </c>
      <c r="DZ142" s="205" t="s">
        <v>5985</v>
      </c>
      <c r="EA142" s="205" t="s">
        <v>3445</v>
      </c>
      <c r="EB142" s="255"/>
      <c r="EC142" s="255"/>
      <c r="ED142" s="287" t="s">
        <v>5986</v>
      </c>
    </row>
    <row r="143">
      <c r="A143" s="645" t="s">
        <v>5987</v>
      </c>
      <c r="B143" s="82" t="s">
        <v>5988</v>
      </c>
      <c r="C143" s="83" t="s">
        <v>1260</v>
      </c>
      <c r="D143" s="84" t="s">
        <v>1260</v>
      </c>
      <c r="E143" s="85" t="s">
        <v>1260</v>
      </c>
      <c r="F143" s="86" t="s">
        <v>547</v>
      </c>
      <c r="G143" s="82" t="s">
        <v>222</v>
      </c>
      <c r="H143" s="94"/>
      <c r="I143" s="94" t="s">
        <v>5989</v>
      </c>
      <c r="J143" s="94"/>
      <c r="K143" s="94"/>
      <c r="L143" s="94" t="s">
        <v>1832</v>
      </c>
      <c r="M143" s="94"/>
      <c r="N143" s="94" t="s">
        <v>5990</v>
      </c>
      <c r="O143" s="94" t="s">
        <v>5991</v>
      </c>
      <c r="P143" s="99"/>
      <c r="Q143" s="99"/>
      <c r="R143" s="99"/>
      <c r="S143" s="99"/>
      <c r="T143" s="99"/>
      <c r="U143" s="99"/>
      <c r="V143" s="99"/>
      <c r="W143" s="92"/>
      <c r="X143" s="93"/>
      <c r="Y143" s="94"/>
      <c r="Z143" s="94"/>
      <c r="AA143" s="94" t="s">
        <v>2926</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2122</v>
      </c>
      <c r="DO143" s="99"/>
      <c r="DP143" s="99"/>
      <c r="DQ143" s="99"/>
      <c r="DR143" s="94" t="s">
        <v>5996</v>
      </c>
      <c r="DS143" s="94"/>
      <c r="DT143" s="99"/>
      <c r="DU143" s="99"/>
      <c r="DV143" s="99"/>
      <c r="DW143" s="99"/>
      <c r="DX143" s="99"/>
      <c r="DY143" s="99"/>
      <c r="DZ143" s="99"/>
      <c r="EA143" s="99"/>
      <c r="EB143" s="99"/>
      <c r="EC143" s="99"/>
      <c r="ED143" s="258"/>
    </row>
    <row r="144">
      <c r="A144" s="428" t="s">
        <v>5997</v>
      </c>
      <c r="B144" s="104" t="s">
        <v>5998</v>
      </c>
      <c r="C144" s="105" t="s">
        <v>1260</v>
      </c>
      <c r="D144" s="106" t="s">
        <v>1260</v>
      </c>
      <c r="E144" s="107" t="s">
        <v>1260</v>
      </c>
      <c r="F144" s="108" t="s">
        <v>1260</v>
      </c>
      <c r="G144" s="104" t="s">
        <v>2651</v>
      </c>
      <c r="H144" s="325" t="s">
        <v>5999</v>
      </c>
      <c r="I144" s="325" t="s">
        <v>6000</v>
      </c>
      <c r="J144" s="325" t="s">
        <v>6001</v>
      </c>
      <c r="K144" s="325" t="s">
        <v>1952</v>
      </c>
      <c r="L144" s="523" t="s">
        <v>3686</v>
      </c>
      <c r="M144" s="325" t="s">
        <v>6002</v>
      </c>
      <c r="N144" s="325" t="s">
        <v>6003</v>
      </c>
      <c r="O144" s="325" t="s">
        <v>3140</v>
      </c>
      <c r="P144" s="325" t="s">
        <v>251</v>
      </c>
      <c r="Q144" s="646"/>
      <c r="R144" s="646"/>
      <c r="S144" s="647">
        <v>37.85</v>
      </c>
      <c r="T144" s="646"/>
      <c r="U144" s="167" t="s">
        <v>1838</v>
      </c>
      <c r="V144" s="647" t="s">
        <v>6004</v>
      </c>
      <c r="W144" s="648"/>
      <c r="X144" s="649"/>
      <c r="Y144" s="649"/>
      <c r="Z144" s="649"/>
      <c r="AA144" s="117" t="s">
        <v>3036</v>
      </c>
      <c r="AB144" s="650"/>
      <c r="AC144" s="303" t="s">
        <v>3523</v>
      </c>
      <c r="AD144" s="649"/>
      <c r="AE144" s="651"/>
      <c r="AF144" s="649"/>
      <c r="AG144" s="649"/>
      <c r="AH144" s="651"/>
      <c r="AI144" s="651"/>
      <c r="AJ144" s="117" t="s">
        <v>2300</v>
      </c>
      <c r="AK144" s="651"/>
      <c r="AL144" s="652"/>
      <c r="AM144" s="653"/>
      <c r="AN144" s="124" t="s">
        <v>2506</v>
      </c>
      <c r="AO144" s="654"/>
      <c r="AP144" s="654"/>
      <c r="AQ144" s="655"/>
      <c r="AR144" s="655"/>
      <c r="AS144" s="654"/>
      <c r="AT144" s="654"/>
      <c r="AU144" s="656" t="s">
        <v>5850</v>
      </c>
      <c r="AV144" s="656" t="s">
        <v>5958</v>
      </c>
      <c r="AW144" s="656" t="s">
        <v>482</v>
      </c>
      <c r="AX144" s="654"/>
      <c r="AY144" s="654"/>
      <c r="AZ144" s="654"/>
      <c r="BA144" s="654"/>
      <c r="BB144" s="657"/>
      <c r="BC144" s="657"/>
      <c r="BD144" s="355" t="s">
        <v>1650</v>
      </c>
      <c r="BE144" s="201" t="s">
        <v>371</v>
      </c>
      <c r="BF144" s="657"/>
      <c r="BG144" s="657"/>
      <c r="BH144" s="658"/>
      <c r="BI144" s="201" t="s">
        <v>3068</v>
      </c>
      <c r="BJ144" s="658"/>
      <c r="BK144" s="355" t="s">
        <v>6005</v>
      </c>
      <c r="BL144" s="201" t="s">
        <v>3782</v>
      </c>
      <c r="BM144" s="658"/>
      <c r="BN144" s="659">
        <v>35.32</v>
      </c>
      <c r="BO144" s="657"/>
      <c r="BP144" s="658"/>
      <c r="BQ144" s="660"/>
      <c r="BR144" s="661"/>
      <c r="BS144" s="661"/>
      <c r="BT144" s="346" t="s">
        <v>2776</v>
      </c>
      <c r="BU144" s="346" t="s">
        <v>6006</v>
      </c>
      <c r="BV144" s="661"/>
      <c r="BW144" s="346" t="s">
        <v>3117</v>
      </c>
      <c r="BX144" s="662"/>
      <c r="BY144" s="661"/>
      <c r="BZ144" s="661"/>
      <c r="CA144" s="131" t="s">
        <v>5565</v>
      </c>
      <c r="CB144" s="663" t="s">
        <v>6007</v>
      </c>
      <c r="CC144" s="662"/>
      <c r="CD144" s="663">
        <v>37.19</v>
      </c>
      <c r="CE144" s="663" t="s">
        <v>6008</v>
      </c>
      <c r="CF144" s="664"/>
      <c r="CG144" s="665"/>
      <c r="CH144" s="665"/>
      <c r="CI144" s="665"/>
      <c r="CJ144" s="665"/>
      <c r="CK144" s="665"/>
      <c r="CL144" s="665"/>
      <c r="CM144" s="339" t="s">
        <v>6009</v>
      </c>
      <c r="CN144" s="339" t="s">
        <v>914</v>
      </c>
      <c r="CO144" s="665"/>
      <c r="CP144" s="666"/>
      <c r="CQ144" s="667"/>
      <c r="CR144" s="667"/>
      <c r="CS144" s="668">
        <v>52.7</v>
      </c>
      <c r="CT144" s="667"/>
      <c r="CU144" s="648"/>
      <c r="CV144" s="669"/>
      <c r="CW144" s="284" t="s">
        <v>3308</v>
      </c>
      <c r="CX144" s="285" t="s">
        <v>2989</v>
      </c>
      <c r="CY144" s="669"/>
      <c r="CZ144" s="669"/>
      <c r="DA144" s="284" t="s">
        <v>2368</v>
      </c>
      <c r="DB144" s="670" t="s">
        <v>6010</v>
      </c>
      <c r="DC144" s="669"/>
      <c r="DD144" s="671"/>
      <c r="DE144" s="671"/>
      <c r="DF144" s="671"/>
      <c r="DG144" s="671"/>
      <c r="DH144" s="672"/>
      <c r="DI144" s="673"/>
      <c r="DJ144" s="674"/>
      <c r="DK144" s="674"/>
      <c r="DL144" s="673"/>
      <c r="DM144" s="673"/>
      <c r="DN144" s="287" t="s">
        <v>3919</v>
      </c>
      <c r="DO144" s="674"/>
      <c r="DP144" s="674"/>
      <c r="DQ144" s="674"/>
      <c r="DR144" s="287" t="s">
        <v>6011</v>
      </c>
      <c r="DS144" s="287" t="s">
        <v>4549</v>
      </c>
      <c r="DT144" s="674"/>
      <c r="DU144" s="673"/>
      <c r="DV144" s="674"/>
      <c r="DW144" s="674"/>
      <c r="DX144" s="674"/>
      <c r="DY144" s="674"/>
      <c r="DZ144" s="674"/>
      <c r="EA144" s="673"/>
      <c r="EB144" s="674"/>
      <c r="EC144" s="674"/>
      <c r="ED144" s="675"/>
    </row>
    <row r="145">
      <c r="A145" s="617" t="s">
        <v>6012</v>
      </c>
      <c r="B145" s="82" t="s">
        <v>6013</v>
      </c>
      <c r="C145" s="83" t="s">
        <v>1260</v>
      </c>
      <c r="D145" s="84" t="s">
        <v>1260</v>
      </c>
      <c r="E145" s="85" t="s">
        <v>1260</v>
      </c>
      <c r="F145" s="86" t="s">
        <v>1260</v>
      </c>
      <c r="G145" s="82" t="s">
        <v>5884</v>
      </c>
      <c r="H145" s="94" t="s">
        <v>1920</v>
      </c>
      <c r="I145" s="94" t="s">
        <v>3717</v>
      </c>
      <c r="J145" s="94" t="s">
        <v>574</v>
      </c>
      <c r="K145" s="94" t="s">
        <v>2658</v>
      </c>
      <c r="L145" s="94" t="s">
        <v>4118</v>
      </c>
      <c r="M145" s="94" t="s">
        <v>6014</v>
      </c>
      <c r="N145" s="94" t="s">
        <v>6015</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5039</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6019</v>
      </c>
      <c r="DC145" s="99"/>
      <c r="DD145" s="99"/>
      <c r="DE145" s="99"/>
      <c r="DF145" s="94" t="s">
        <v>2145</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3885</v>
      </c>
      <c r="EB145" s="99"/>
      <c r="EC145" s="99"/>
      <c r="ED145" s="258"/>
    </row>
    <row r="146">
      <c r="A146" s="166" t="s">
        <v>6021</v>
      </c>
      <c r="B146" s="104" t="s">
        <v>6022</v>
      </c>
      <c r="C146" s="105" t="s">
        <v>1260</v>
      </c>
      <c r="D146" s="106" t="s">
        <v>1260</v>
      </c>
      <c r="E146" s="107" t="s">
        <v>1260</v>
      </c>
      <c r="F146" s="108" t="s">
        <v>333</v>
      </c>
      <c r="G146" s="104" t="s">
        <v>221</v>
      </c>
      <c r="H146" s="242"/>
      <c r="I146" s="242"/>
      <c r="J146" s="242"/>
      <c r="K146" s="242"/>
      <c r="L146" s="112" t="s">
        <v>6023</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5802</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6030</v>
      </c>
      <c r="B147" s="82" t="s">
        <v>6031</v>
      </c>
      <c r="C147" s="83" t="s">
        <v>1260</v>
      </c>
      <c r="D147" s="84" t="s">
        <v>1260</v>
      </c>
      <c r="E147" s="85" t="s">
        <v>1260</v>
      </c>
      <c r="F147" s="86" t="s">
        <v>438</v>
      </c>
      <c r="G147" s="82" t="s">
        <v>220</v>
      </c>
      <c r="H147" s="677"/>
      <c r="I147" s="94" t="s">
        <v>5732</v>
      </c>
      <c r="J147" s="94" t="s">
        <v>6032</v>
      </c>
      <c r="K147" s="94" t="s">
        <v>5927</v>
      </c>
      <c r="L147" s="94" t="s">
        <v>2956</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5890</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3934</v>
      </c>
      <c r="I149" s="94" t="s">
        <v>4083</v>
      </c>
      <c r="J149" s="94" t="s">
        <v>680</v>
      </c>
      <c r="K149" s="94" t="s">
        <v>6034</v>
      </c>
      <c r="L149" s="94" t="s">
        <v>6050</v>
      </c>
      <c r="M149" s="94" t="s">
        <v>6051</v>
      </c>
      <c r="N149" s="94" t="s">
        <v>6052</v>
      </c>
      <c r="O149" s="94" t="s">
        <v>3135</v>
      </c>
      <c r="P149" s="94" t="s">
        <v>4162</v>
      </c>
      <c r="Q149" s="94" t="s">
        <v>6053</v>
      </c>
      <c r="R149" s="99"/>
      <c r="S149" s="94" t="s">
        <v>974</v>
      </c>
      <c r="T149" s="99"/>
      <c r="U149" s="94" t="s">
        <v>6054</v>
      </c>
      <c r="V149" s="94" t="s">
        <v>6055</v>
      </c>
      <c r="W149" s="92"/>
      <c r="X149" s="94" t="s">
        <v>6056</v>
      </c>
      <c r="Y149" s="94"/>
      <c r="Z149" s="94" t="s">
        <v>2086</v>
      </c>
      <c r="AA149" s="94" t="s">
        <v>3638</v>
      </c>
      <c r="AB149" s="94" t="s">
        <v>3686</v>
      </c>
      <c r="AC149" s="94" t="s">
        <v>5952</v>
      </c>
      <c r="AD149" s="94" t="s">
        <v>6057</v>
      </c>
      <c r="AE149" s="94"/>
      <c r="AF149" s="94" t="s">
        <v>6058</v>
      </c>
      <c r="AG149" s="94" t="s">
        <v>6059</v>
      </c>
      <c r="AH149" s="94" t="s">
        <v>6060</v>
      </c>
      <c r="AI149" s="99"/>
      <c r="AJ149" s="94" t="s">
        <v>4719</v>
      </c>
      <c r="AK149" s="94" t="s">
        <v>6061</v>
      </c>
      <c r="AL149" s="97"/>
      <c r="AM149" s="94" t="s">
        <v>6062</v>
      </c>
      <c r="AN149" s="94" t="s">
        <v>5031</v>
      </c>
      <c r="AO149" s="94" t="s">
        <v>6063</v>
      </c>
      <c r="AP149" s="94" t="s">
        <v>2057</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3766</v>
      </c>
      <c r="BF149" s="94" t="s">
        <v>6073</v>
      </c>
      <c r="BG149" s="94" t="s">
        <v>6074</v>
      </c>
      <c r="BH149" s="94" t="s">
        <v>6075</v>
      </c>
      <c r="BI149" s="94" t="s">
        <v>6076</v>
      </c>
      <c r="BJ149" s="99"/>
      <c r="BK149" s="99"/>
      <c r="BL149" s="94" t="s">
        <v>457</v>
      </c>
      <c r="BM149" s="94" t="s">
        <v>6077</v>
      </c>
      <c r="BN149" s="94" t="s">
        <v>4285</v>
      </c>
      <c r="BO149" s="94" t="s">
        <v>561</v>
      </c>
      <c r="BP149" s="94" t="s">
        <v>6078</v>
      </c>
      <c r="BQ149" s="237"/>
      <c r="BR149" s="94" t="s">
        <v>6079</v>
      </c>
      <c r="BS149" s="94" t="s">
        <v>1160</v>
      </c>
      <c r="BT149" s="94" t="s">
        <v>951</v>
      </c>
      <c r="BU149" s="94" t="s">
        <v>2356</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5044</v>
      </c>
      <c r="CM149" s="94" t="s">
        <v>6087</v>
      </c>
      <c r="CN149" s="94" t="s">
        <v>3813</v>
      </c>
      <c r="CO149" s="94" t="s">
        <v>2122</v>
      </c>
      <c r="CP149" s="94" t="s">
        <v>6088</v>
      </c>
      <c r="CQ149" s="94" t="s">
        <v>6089</v>
      </c>
      <c r="CR149" s="99"/>
      <c r="CS149" s="94" t="s">
        <v>5070</v>
      </c>
      <c r="CT149" s="94" t="s">
        <v>6090</v>
      </c>
      <c r="CU149" s="92"/>
      <c r="CV149" s="94" t="s">
        <v>2899</v>
      </c>
      <c r="CW149" s="94" t="s">
        <v>6091</v>
      </c>
      <c r="CX149" s="94" t="s">
        <v>2442</v>
      </c>
      <c r="CY149" s="94" t="s">
        <v>6092</v>
      </c>
      <c r="CZ149" s="94" t="s">
        <v>1432</v>
      </c>
      <c r="DA149" s="94" t="s">
        <v>4218</v>
      </c>
      <c r="DB149" s="94" t="s">
        <v>6093</v>
      </c>
      <c r="DC149" s="94" t="s">
        <v>6094</v>
      </c>
      <c r="DD149" s="94" t="s">
        <v>6095</v>
      </c>
      <c r="DE149" s="94" t="s">
        <v>4180</v>
      </c>
      <c r="DF149" s="94" t="s">
        <v>1821</v>
      </c>
      <c r="DG149" s="94" t="s">
        <v>6096</v>
      </c>
      <c r="DH149" s="237"/>
      <c r="DI149" s="94" t="s">
        <v>4047</v>
      </c>
      <c r="DJ149" s="99"/>
      <c r="DK149" s="94" t="s">
        <v>2797</v>
      </c>
      <c r="DL149" s="94" t="s">
        <v>2113</v>
      </c>
      <c r="DM149" s="94" t="s">
        <v>3702</v>
      </c>
      <c r="DN149" s="94" t="s">
        <v>2418</v>
      </c>
      <c r="DO149" s="94" t="s">
        <v>4133</v>
      </c>
      <c r="DP149" s="94" t="s">
        <v>6097</v>
      </c>
      <c r="DQ149" s="94" t="s">
        <v>179</v>
      </c>
      <c r="DR149" s="94" t="s">
        <v>6098</v>
      </c>
      <c r="DS149" s="94" t="s">
        <v>3136</v>
      </c>
      <c r="DT149" s="94" t="s">
        <v>4836</v>
      </c>
      <c r="DU149" s="94" t="s">
        <v>6099</v>
      </c>
      <c r="DV149" s="94" t="s">
        <v>6100</v>
      </c>
      <c r="DW149" s="94" t="s">
        <v>1048</v>
      </c>
      <c r="DX149" s="94" t="s">
        <v>3887</v>
      </c>
      <c r="DY149" s="94" t="s">
        <v>6101</v>
      </c>
      <c r="DZ149" s="94" t="s">
        <v>4465</v>
      </c>
      <c r="EA149" s="94" t="s">
        <v>2585</v>
      </c>
      <c r="EB149" s="94" t="s">
        <v>5025</v>
      </c>
      <c r="EC149" s="94" t="s">
        <v>2320</v>
      </c>
      <c r="ED149" s="576" t="s">
        <v>4443</v>
      </c>
    </row>
    <row r="150">
      <c r="A150" s="679" t="s">
        <v>6102</v>
      </c>
      <c r="B150" s="104" t="s">
        <v>6103</v>
      </c>
      <c r="C150" s="105" t="s">
        <v>1260</v>
      </c>
      <c r="D150" s="106" t="s">
        <v>547</v>
      </c>
      <c r="E150" s="107" t="s">
        <v>1260</v>
      </c>
      <c r="F150" s="108" t="s">
        <v>1055</v>
      </c>
      <c r="G150" s="104" t="s">
        <v>983</v>
      </c>
      <c r="H150" s="242"/>
      <c r="I150" s="167" t="s">
        <v>6104</v>
      </c>
      <c r="J150" s="167" t="s">
        <v>4359</v>
      </c>
      <c r="K150" s="112" t="s">
        <v>665</v>
      </c>
      <c r="L150" s="112" t="s">
        <v>6105</v>
      </c>
      <c r="M150" s="242"/>
      <c r="N150" s="242"/>
      <c r="O150" s="112" t="s">
        <v>560</v>
      </c>
      <c r="P150" s="112" t="s">
        <v>240</v>
      </c>
      <c r="Q150" s="242"/>
      <c r="R150" s="242"/>
      <c r="S150" s="242"/>
      <c r="T150" s="242"/>
      <c r="U150" s="242"/>
      <c r="V150" s="242"/>
      <c r="W150" s="92"/>
      <c r="X150" s="244"/>
      <c r="Y150" s="244"/>
      <c r="Z150" s="244"/>
      <c r="AA150" s="116" t="s">
        <v>5300</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5884</v>
      </c>
      <c r="H151" s="93"/>
      <c r="I151" s="98" t="s">
        <v>6112</v>
      </c>
      <c r="J151" s="88" t="s">
        <v>4740</v>
      </c>
      <c r="K151" s="88" t="s">
        <v>6113</v>
      </c>
      <c r="L151" s="88" t="s">
        <v>2099</v>
      </c>
      <c r="M151" s="102"/>
      <c r="N151" s="88" t="s">
        <v>715</v>
      </c>
      <c r="O151" s="266" t="s">
        <v>6114</v>
      </c>
      <c r="P151" s="88" t="s">
        <v>1865</v>
      </c>
      <c r="Q151" s="99"/>
      <c r="R151" s="99"/>
      <c r="S151" s="99"/>
      <c r="T151" s="99"/>
      <c r="U151" s="99"/>
      <c r="V151" s="99"/>
      <c r="W151" s="92"/>
      <c r="X151" s="88" t="s">
        <v>5575</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4575</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1934</v>
      </c>
      <c r="CI151" s="102" t="s">
        <v>3504</v>
      </c>
      <c r="CJ151" s="102" t="s">
        <v>6125</v>
      </c>
      <c r="CK151" s="102"/>
      <c r="CL151" s="102"/>
      <c r="CM151" s="102" t="s">
        <v>6126</v>
      </c>
      <c r="CN151" s="88" t="s">
        <v>2655</v>
      </c>
      <c r="CO151" s="102"/>
      <c r="CP151" s="222"/>
      <c r="CQ151" s="99"/>
      <c r="CR151" s="99"/>
      <c r="CS151" s="99"/>
      <c r="CT151" s="99"/>
      <c r="CU151" s="92"/>
      <c r="CV151" s="88" t="s">
        <v>5234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2601</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4149</v>
      </c>
      <c r="M153" s="102" t="s">
        <v>6142</v>
      </c>
      <c r="N153" s="102" t="s">
        <v>5836</v>
      </c>
      <c r="O153" s="102" t="s">
        <v>6143</v>
      </c>
      <c r="P153" s="102" t="s">
        <v>3105</v>
      </c>
      <c r="Q153" s="99"/>
      <c r="R153" s="99"/>
      <c r="S153" s="99"/>
      <c r="T153" s="99"/>
      <c r="U153" s="99"/>
      <c r="V153" s="99"/>
      <c r="W153" s="92"/>
      <c r="X153" s="102"/>
      <c r="Y153" s="93"/>
      <c r="Z153" s="88" t="s">
        <v>2839</v>
      </c>
      <c r="AA153" s="102" t="s">
        <v>5148</v>
      </c>
      <c r="AB153" s="266"/>
      <c r="AC153" s="102" t="s">
        <v>4364</v>
      </c>
      <c r="AD153" s="102"/>
      <c r="AE153" s="99"/>
      <c r="AF153" s="102" t="s">
        <v>6144</v>
      </c>
      <c r="AG153" s="102" t="s">
        <v>5045</v>
      </c>
      <c r="AH153" s="99"/>
      <c r="AI153" s="99"/>
      <c r="AJ153" s="102"/>
      <c r="AK153" s="99"/>
      <c r="AL153" s="97"/>
      <c r="AM153" s="102"/>
      <c r="AN153" s="102"/>
      <c r="AO153" s="99"/>
      <c r="AP153" s="99"/>
      <c r="AQ153" s="94"/>
      <c r="AR153" s="94"/>
      <c r="AS153" s="99"/>
      <c r="AT153" s="94"/>
      <c r="AU153" s="435" t="s">
        <v>5300</v>
      </c>
      <c r="AV153" s="102"/>
      <c r="AW153" s="102"/>
      <c r="AX153" s="99"/>
      <c r="AY153" s="99"/>
      <c r="AZ153" s="99"/>
      <c r="BA153" s="99"/>
      <c r="BB153" s="102" t="s">
        <v>3453</v>
      </c>
      <c r="BC153" s="102"/>
      <c r="BD153" s="102"/>
      <c r="BE153" s="102" t="s">
        <v>4560</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5468</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4686</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3885</v>
      </c>
      <c r="AD154" s="303" t="s">
        <v>6157</v>
      </c>
      <c r="AE154" s="686"/>
      <c r="AF154" s="303" t="s">
        <v>6158</v>
      </c>
      <c r="AG154" s="303" t="s">
        <v>4750</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2425</v>
      </c>
      <c r="BG154" s="201" t="s">
        <v>6161</v>
      </c>
      <c r="BH154" s="690"/>
      <c r="BI154" s="201" t="s">
        <v>2821</v>
      </c>
      <c r="BJ154" s="690"/>
      <c r="BK154" s="201" t="s">
        <v>6162</v>
      </c>
      <c r="BL154" s="201" t="s">
        <v>4216</v>
      </c>
      <c r="BM154" s="690"/>
      <c r="BN154" s="690"/>
      <c r="BO154" s="201"/>
      <c r="BP154" s="690"/>
      <c r="BQ154" s="691"/>
      <c r="BR154" s="346"/>
      <c r="BS154" s="346" t="s">
        <v>6163</v>
      </c>
      <c r="BT154" s="346" t="s">
        <v>4235</v>
      </c>
      <c r="BU154" s="346" t="s">
        <v>6164</v>
      </c>
      <c r="BV154" s="346" t="s">
        <v>6165</v>
      </c>
      <c r="BW154" s="346" t="s">
        <v>1399</v>
      </c>
      <c r="BX154" s="692"/>
      <c r="BY154" s="346"/>
      <c r="BZ154" s="346" t="s">
        <v>6166</v>
      </c>
      <c r="CA154" s="346" t="s">
        <v>6167</v>
      </c>
      <c r="CB154" s="314"/>
      <c r="CC154" s="692"/>
      <c r="CD154" s="692"/>
      <c r="CE154" s="692"/>
      <c r="CF154" s="693"/>
      <c r="CG154" s="339" t="s">
        <v>5983</v>
      </c>
      <c r="CH154" s="339" t="s">
        <v>6168</v>
      </c>
      <c r="CI154" s="339"/>
      <c r="CJ154" s="339"/>
      <c r="CK154" s="339" t="s">
        <v>6169</v>
      </c>
      <c r="CL154" s="339"/>
      <c r="CM154" s="339"/>
      <c r="CN154" s="339" t="s">
        <v>2655</v>
      </c>
      <c r="CO154" s="339" t="s">
        <v>6170</v>
      </c>
      <c r="CP154" s="694"/>
      <c r="CQ154" s="695"/>
      <c r="CR154" s="695"/>
      <c r="CS154" s="695"/>
      <c r="CT154" s="695"/>
      <c r="CU154" s="581"/>
      <c r="CV154" s="284" t="s">
        <v>2076</v>
      </c>
      <c r="CW154" s="284"/>
      <c r="CX154" s="284" t="s">
        <v>3945</v>
      </c>
      <c r="CY154" s="284"/>
      <c r="CZ154" s="284"/>
      <c r="DA154" s="284"/>
      <c r="DB154" s="284" t="s">
        <v>6171</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5182</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4363</v>
      </c>
      <c r="Y155" s="102"/>
      <c r="Z155" s="102" t="s">
        <v>2086</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6073</v>
      </c>
      <c r="BC155" s="102" t="s">
        <v>4970</v>
      </c>
      <c r="BD155" s="102" t="s">
        <v>998</v>
      </c>
      <c r="BE155" s="102" t="s">
        <v>6182</v>
      </c>
      <c r="BF155" s="102" t="s">
        <v>6183</v>
      </c>
      <c r="BG155" s="102"/>
      <c r="BH155" s="99"/>
      <c r="BI155" s="102" t="s">
        <v>6184</v>
      </c>
      <c r="BJ155" s="94" t="s">
        <v>6185</v>
      </c>
      <c r="BK155" s="102"/>
      <c r="BL155" s="102" t="s">
        <v>1952</v>
      </c>
      <c r="BM155" s="99"/>
      <c r="BN155" s="99"/>
      <c r="BO155" s="102"/>
      <c r="BP155" s="99"/>
      <c r="BQ155" s="237"/>
      <c r="BR155" s="699" t="s">
        <v>6186</v>
      </c>
      <c r="BS155" s="102" t="s">
        <v>1356</v>
      </c>
      <c r="BT155" s="102" t="s">
        <v>5638</v>
      </c>
      <c r="BU155" s="102" t="s">
        <v>6187</v>
      </c>
      <c r="BV155" s="102" t="s">
        <v>6188</v>
      </c>
      <c r="BW155" s="102" t="s">
        <v>1518</v>
      </c>
      <c r="BX155" s="94" t="s">
        <v>4207</v>
      </c>
      <c r="BY155" s="102" t="s">
        <v>6189</v>
      </c>
      <c r="BZ155" s="102"/>
      <c r="CA155" s="102" t="s">
        <v>1444</v>
      </c>
      <c r="CB155" s="99"/>
      <c r="CC155" s="99"/>
      <c r="CD155" s="99"/>
      <c r="CE155" s="99"/>
      <c r="CF155" s="237"/>
      <c r="CG155" s="102" t="s">
        <v>6190</v>
      </c>
      <c r="CH155" s="102" t="s">
        <v>2127</v>
      </c>
      <c r="CI155" s="102" t="s">
        <v>2552</v>
      </c>
      <c r="CJ155" s="102"/>
      <c r="CK155" s="102" t="s">
        <v>5859</v>
      </c>
      <c r="CL155" s="102" t="s">
        <v>362</v>
      </c>
      <c r="CM155" s="102" t="s">
        <v>6191</v>
      </c>
      <c r="CN155" s="102" t="s">
        <v>6192</v>
      </c>
      <c r="CO155" s="102" t="s">
        <v>6193</v>
      </c>
      <c r="CP155" s="222"/>
      <c r="CQ155" s="99"/>
      <c r="CR155" s="99"/>
      <c r="CS155" s="99"/>
      <c r="CT155" s="99"/>
      <c r="CU155" s="92"/>
      <c r="CV155" s="102" t="s">
        <v>6194</v>
      </c>
      <c r="CW155" s="102" t="s">
        <v>2657</v>
      </c>
      <c r="CX155" s="102" t="s">
        <v>1791</v>
      </c>
      <c r="CY155" s="102" t="s">
        <v>4227</v>
      </c>
      <c r="CZ155" s="102" t="s">
        <v>6195</v>
      </c>
      <c r="DA155" s="102" t="s">
        <v>5316</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4400</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5884</v>
      </c>
      <c r="H156" s="167"/>
      <c r="I156" s="112" t="s">
        <v>6199</v>
      </c>
      <c r="J156" s="112" t="s">
        <v>1743</v>
      </c>
      <c r="K156" s="112" t="s">
        <v>1826</v>
      </c>
      <c r="L156" s="112" t="s">
        <v>6200</v>
      </c>
      <c r="M156" s="167" t="s">
        <v>6201</v>
      </c>
      <c r="N156" s="167" t="s">
        <v>3744</v>
      </c>
      <c r="O156" s="167" t="s">
        <v>5251</v>
      </c>
      <c r="P156" s="167" t="s">
        <v>3957</v>
      </c>
      <c r="Q156" s="242"/>
      <c r="R156" s="242"/>
      <c r="S156" s="242"/>
      <c r="T156" s="242"/>
      <c r="U156" s="242"/>
      <c r="V156" s="242"/>
      <c r="W156" s="92"/>
      <c r="X156" s="198" t="s">
        <v>6202</v>
      </c>
      <c r="Y156" s="244"/>
      <c r="Z156" s="244"/>
      <c r="AA156" s="198" t="s">
        <v>678</v>
      </c>
      <c r="AB156" s="198" t="s">
        <v>5314</v>
      </c>
      <c r="AC156" s="116" t="s">
        <v>5535</v>
      </c>
      <c r="AD156" s="244"/>
      <c r="AE156" s="244"/>
      <c r="AF156" s="198" t="s">
        <v>6203</v>
      </c>
      <c r="AG156" s="198" t="s">
        <v>305</v>
      </c>
      <c r="AH156" s="244"/>
      <c r="AI156" s="244"/>
      <c r="AJ156" s="244"/>
      <c r="AK156" s="244"/>
      <c r="AL156" s="97"/>
      <c r="AM156" s="168"/>
      <c r="AN156" s="168" t="s">
        <v>5558</v>
      </c>
      <c r="AO156" s="245"/>
      <c r="AP156" s="245"/>
      <c r="AQ156" s="245"/>
      <c r="AR156" s="245"/>
      <c r="AS156" s="245"/>
      <c r="AT156" s="245"/>
      <c r="AU156" s="168" t="s">
        <v>6204</v>
      </c>
      <c r="AV156" s="245"/>
      <c r="AW156" s="168" t="s">
        <v>384</v>
      </c>
      <c r="AX156" s="245"/>
      <c r="AY156" s="245"/>
      <c r="AZ156" s="245"/>
      <c r="BA156" s="245"/>
      <c r="BB156" s="173"/>
      <c r="BC156" s="174" t="s">
        <v>5880</v>
      </c>
      <c r="BD156" s="173"/>
      <c r="BE156" s="174" t="s">
        <v>6205</v>
      </c>
      <c r="BF156" s="174" t="s">
        <v>1458</v>
      </c>
      <c r="BG156" s="174" t="s">
        <v>4770</v>
      </c>
      <c r="BH156" s="173"/>
      <c r="BI156" s="126" t="s">
        <v>6206</v>
      </c>
      <c r="BJ156" s="173"/>
      <c r="BK156" s="173"/>
      <c r="BL156" s="174" t="s">
        <v>104</v>
      </c>
      <c r="BM156" s="173"/>
      <c r="BN156" s="173"/>
      <c r="BO156" s="173"/>
      <c r="BP156" s="173"/>
      <c r="BQ156" s="247"/>
      <c r="BR156" s="175"/>
      <c r="BS156" s="249"/>
      <c r="BT156" s="249"/>
      <c r="BU156" s="175" t="s">
        <v>6207</v>
      </c>
      <c r="BV156" s="249"/>
      <c r="BW156" s="175" t="s">
        <v>1903</v>
      </c>
      <c r="BX156" s="249"/>
      <c r="BY156" s="175" t="s">
        <v>6208</v>
      </c>
      <c r="BZ156" s="249"/>
      <c r="CA156" s="175" t="s">
        <v>6209</v>
      </c>
      <c r="CB156" s="249"/>
      <c r="CC156" s="249"/>
      <c r="CD156" s="249"/>
      <c r="CE156" s="249"/>
      <c r="CF156" s="251"/>
      <c r="CG156" s="252"/>
      <c r="CH156" s="177" t="s">
        <v>6210</v>
      </c>
      <c r="CI156" s="252"/>
      <c r="CJ156" s="262" t="s">
        <v>6211</v>
      </c>
      <c r="CK156" s="262"/>
      <c r="CL156" s="262" t="s">
        <v>5853</v>
      </c>
      <c r="CM156" s="252"/>
      <c r="CN156" s="252"/>
      <c r="CO156" s="252"/>
      <c r="CP156" s="252"/>
      <c r="CQ156" s="252"/>
      <c r="CR156" s="252"/>
      <c r="CS156" s="252"/>
      <c r="CT156" s="252"/>
      <c r="CU156" s="92"/>
      <c r="CV156" s="253"/>
      <c r="CW156" s="204" t="s">
        <v>5721</v>
      </c>
      <c r="CX156" s="204" t="s">
        <v>6212</v>
      </c>
      <c r="CY156" s="253"/>
      <c r="CZ156" s="253"/>
      <c r="DA156" s="204" t="s">
        <v>5503</v>
      </c>
      <c r="DB156" s="233" t="s">
        <v>5646</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5698</v>
      </c>
      <c r="H158" s="242"/>
      <c r="I158" s="167" t="s">
        <v>1981</v>
      </c>
      <c r="J158" s="167" t="s">
        <v>2597</v>
      </c>
      <c r="K158" s="167" t="s">
        <v>3108</v>
      </c>
      <c r="L158" s="167" t="s">
        <v>2563</v>
      </c>
      <c r="M158" s="167" t="s">
        <v>6218</v>
      </c>
      <c r="N158" s="167" t="s">
        <v>6219</v>
      </c>
      <c r="O158" s="167" t="s">
        <v>6220</v>
      </c>
      <c r="P158" s="167" t="s">
        <v>4162</v>
      </c>
      <c r="Q158" s="242"/>
      <c r="R158" s="242"/>
      <c r="S158" s="242"/>
      <c r="T158" s="242"/>
      <c r="U158" s="242"/>
      <c r="V158" s="242"/>
      <c r="W158" s="92"/>
      <c r="X158" s="198" t="s">
        <v>5421</v>
      </c>
      <c r="Y158" s="198"/>
      <c r="Z158" s="198" t="s">
        <v>2134</v>
      </c>
      <c r="AA158" s="198" t="s">
        <v>2252</v>
      </c>
      <c r="AB158" s="198" t="s">
        <v>1922</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6224</v>
      </c>
      <c r="CY158" s="204" t="s">
        <v>4261</v>
      </c>
      <c r="CZ158" s="253"/>
      <c r="DA158" s="253"/>
      <c r="DB158" s="253"/>
      <c r="DC158" s="204" t="s">
        <v>1010</v>
      </c>
      <c r="DD158" s="253"/>
      <c r="DE158" s="253"/>
      <c r="DF158" s="253"/>
      <c r="DG158" s="253"/>
      <c r="DH158" s="263"/>
      <c r="DI158" s="205" t="s">
        <v>6225</v>
      </c>
      <c r="DJ158" s="255"/>
      <c r="DK158" s="255"/>
      <c r="DL158" s="205"/>
      <c r="DM158" s="255"/>
      <c r="DN158" s="205" t="s">
        <v>1914</v>
      </c>
      <c r="DO158" s="205" t="s">
        <v>6226</v>
      </c>
      <c r="DP158" s="255"/>
      <c r="DQ158" s="255"/>
      <c r="DR158" s="255"/>
      <c r="DS158" s="255"/>
      <c r="DT158" s="255"/>
      <c r="DU158" s="255"/>
      <c r="DV158" s="255"/>
      <c r="DW158" s="255"/>
      <c r="DX158" s="255"/>
      <c r="DY158" s="255"/>
      <c r="DZ158" s="205" t="s">
        <v>6227</v>
      </c>
      <c r="EA158" s="255"/>
      <c r="EB158" s="255"/>
      <c r="EC158" s="205" t="s">
        <v>4255</v>
      </c>
      <c r="ED158" s="287"/>
    </row>
    <row r="159">
      <c r="A159" s="81" t="s">
        <v>6228</v>
      </c>
      <c r="B159" s="82" t="s">
        <v>6229</v>
      </c>
      <c r="C159" s="83" t="s">
        <v>1260</v>
      </c>
      <c r="D159" s="84" t="s">
        <v>1260</v>
      </c>
      <c r="E159" s="85" t="s">
        <v>1260</v>
      </c>
      <c r="F159" s="86" t="s">
        <v>1260</v>
      </c>
      <c r="G159" s="82" t="s">
        <v>2937</v>
      </c>
      <c r="H159" s="94" t="s">
        <v>2795</v>
      </c>
      <c r="I159" s="94" t="s">
        <v>6230</v>
      </c>
      <c r="J159" s="94" t="s">
        <v>4848</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4918</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6240</v>
      </c>
      <c r="B160" s="104" t="s">
        <v>6241</v>
      </c>
      <c r="C160" s="105" t="s">
        <v>1260</v>
      </c>
      <c r="D160" s="106" t="s">
        <v>1260</v>
      </c>
      <c r="E160" s="107" t="s">
        <v>1260</v>
      </c>
      <c r="F160" s="108" t="s">
        <v>3873</v>
      </c>
      <c r="G160" s="104" t="s">
        <v>333</v>
      </c>
      <c r="H160" s="242"/>
      <c r="I160" s="242"/>
      <c r="J160" s="167" t="s">
        <v>6242</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4287</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3974</v>
      </c>
      <c r="H161" s="94" t="s">
        <v>6248</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6249</v>
      </c>
      <c r="AA161" s="94" t="s">
        <v>6250</v>
      </c>
      <c r="AB161" s="94" t="s">
        <v>4553</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5858</v>
      </c>
      <c r="H162" s="421"/>
      <c r="I162" s="325" t="s">
        <v>1592</v>
      </c>
      <c r="J162" s="421"/>
      <c r="K162" s="325" t="s">
        <v>4059</v>
      </c>
      <c r="L162" s="421"/>
      <c r="M162" s="421"/>
      <c r="N162" s="421"/>
      <c r="O162" s="421"/>
      <c r="P162" s="325" t="s">
        <v>4909</v>
      </c>
      <c r="Q162" s="242"/>
      <c r="R162" s="242"/>
      <c r="S162" s="242"/>
      <c r="T162" s="242"/>
      <c r="U162" s="242"/>
      <c r="V162" s="242"/>
      <c r="W162" s="92"/>
      <c r="X162" s="303" t="s">
        <v>6257</v>
      </c>
      <c r="Y162" s="117"/>
      <c r="Z162" s="117"/>
      <c r="AA162" s="303" t="s">
        <v>1512</v>
      </c>
      <c r="AB162" s="296"/>
      <c r="AC162" s="114" t="s">
        <v>1695</v>
      </c>
      <c r="AD162" s="117"/>
      <c r="AE162" s="244"/>
      <c r="AF162" s="117"/>
      <c r="AG162" s="303" t="s">
        <v>5910</v>
      </c>
      <c r="AH162" s="244"/>
      <c r="AI162" s="244"/>
      <c r="AJ162" s="117"/>
      <c r="AK162" s="244"/>
      <c r="AL162" s="97"/>
      <c r="AM162" s="124"/>
      <c r="AN162" s="124"/>
      <c r="AO162" s="245"/>
      <c r="AP162" s="245"/>
      <c r="AQ162" s="168"/>
      <c r="AR162" s="168"/>
      <c r="AS162" s="245"/>
      <c r="AT162" s="245"/>
      <c r="AU162" s="656" t="s">
        <v>6258</v>
      </c>
      <c r="AV162" s="656" t="s">
        <v>5342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5254</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5250</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3545</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5042</v>
      </c>
      <c r="BI167" s="102" t="s">
        <v>6298</v>
      </c>
      <c r="BJ167" s="99"/>
      <c r="BK167" s="102"/>
      <c r="BL167" s="102"/>
      <c r="BM167" s="99"/>
      <c r="BN167" s="99"/>
      <c r="BO167" s="102"/>
      <c r="BP167" s="99"/>
      <c r="BQ167" s="237"/>
      <c r="BR167" s="88" t="s">
        <v>6299</v>
      </c>
      <c r="BS167" s="102"/>
      <c r="BT167" s="88" t="s">
        <v>6300</v>
      </c>
      <c r="BU167" s="88" t="s">
        <v>5900</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5858</v>
      </c>
      <c r="H168" s="705"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5603</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3513</v>
      </c>
      <c r="CO168" s="328" t="s">
        <v>6313</v>
      </c>
      <c r="CP168" s="252"/>
      <c r="CQ168" s="262"/>
      <c r="CR168" s="252"/>
      <c r="CS168" s="252"/>
      <c r="CT168" s="252"/>
      <c r="CU168" s="92"/>
      <c r="CV168" s="253"/>
      <c r="CW168" s="253"/>
      <c r="CX168" s="253" t="s">
        <v>5204</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5753</v>
      </c>
      <c r="M170" s="242"/>
      <c r="N170" s="242"/>
      <c r="O170" s="242"/>
      <c r="P170" s="167" t="s">
        <v>2722</v>
      </c>
      <c r="Q170" s="242"/>
      <c r="R170" s="242"/>
      <c r="S170" s="242"/>
      <c r="T170" s="242"/>
      <c r="U170" s="242"/>
      <c r="V170" s="242"/>
      <c r="W170" s="92"/>
      <c r="X170" s="710" t="s">
        <v>1971</v>
      </c>
      <c r="Y170" s="244"/>
      <c r="Z170" s="244"/>
      <c r="AA170" s="198" t="s">
        <v>3206</v>
      </c>
      <c r="AB170" s="114" t="str">
        <f>HYPERLINK("https://clips.twitch.tv/DeliciousHomelyChoughMingLee","53.66")</f>
        <v>53.66</v>
      </c>
      <c r="AC170" s="198" t="s">
        <v>4918</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09" t="s">
        <v>3006</v>
      </c>
      <c r="I175" s="709" t="s">
        <v>6358</v>
      </c>
      <c r="J175" s="709" t="s">
        <v>6359</v>
      </c>
      <c r="K175" s="709" t="s">
        <v>755</v>
      </c>
      <c r="L175" s="709" t="s">
        <v>908</v>
      </c>
      <c r="M175" s="718"/>
      <c r="N175" s="709" t="s">
        <v>6360</v>
      </c>
      <c r="O175" s="709" t="s">
        <v>5827</v>
      </c>
      <c r="P175" s="709" t="s">
        <v>5491</v>
      </c>
      <c r="Q175" s="718"/>
      <c r="R175" s="718"/>
      <c r="S175" s="718"/>
      <c r="T175" s="718"/>
      <c r="U175" s="718"/>
      <c r="V175" s="718"/>
      <c r="W175" s="719"/>
      <c r="X175" s="709" t="s">
        <v>6361</v>
      </c>
      <c r="Y175" s="709"/>
      <c r="Z175" s="720" t="s">
        <v>379</v>
      </c>
      <c r="AA175" s="720" t="s">
        <v>868</v>
      </c>
      <c r="AB175" s="720" t="s">
        <v>3901</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4192</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5301</v>
      </c>
      <c r="CW175" s="709" t="s">
        <v>2472</v>
      </c>
      <c r="CX175" s="709" t="s">
        <v>5205</v>
      </c>
      <c r="CY175" s="718"/>
      <c r="CZ175" s="718"/>
      <c r="DA175" s="718"/>
      <c r="DB175" s="709" t="s">
        <v>6365</v>
      </c>
      <c r="DC175" s="720" t="s">
        <v>5817</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4871</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4875</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5948</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5965</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5303</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2666</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2658</v>
      </c>
      <c r="L184" s="167" t="s">
        <v>2948</v>
      </c>
      <c r="M184" s="167" t="s">
        <v>6422</v>
      </c>
      <c r="N184" s="167" t="s">
        <v>6423</v>
      </c>
      <c r="O184" s="167" t="s">
        <v>849</v>
      </c>
      <c r="P184" s="167" t="s">
        <v>495</v>
      </c>
      <c r="Q184" s="167"/>
      <c r="R184" s="167"/>
      <c r="S184" s="167"/>
      <c r="T184" s="167"/>
      <c r="U184" s="167"/>
      <c r="V184" s="167"/>
      <c r="W184" s="92"/>
      <c r="X184" s="198" t="s">
        <v>6424</v>
      </c>
      <c r="Y184" s="198"/>
      <c r="Z184" s="198" t="s">
        <v>5275</v>
      </c>
      <c r="AA184" s="198" t="s">
        <v>2557</v>
      </c>
      <c r="AB184" s="198" t="s">
        <v>2694</v>
      </c>
      <c r="AC184" s="198" t="s">
        <v>6001</v>
      </c>
      <c r="AD184" s="198" t="s">
        <v>6425</v>
      </c>
      <c r="AE184" s="198" t="s">
        <v>4130</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4263</v>
      </c>
      <c r="BD184" s="174" t="s">
        <v>3773</v>
      </c>
      <c r="BE184" s="174" t="s">
        <v>6429</v>
      </c>
      <c r="BF184" s="174" t="s">
        <v>6430</v>
      </c>
      <c r="BG184" s="174" t="s">
        <v>6431</v>
      </c>
      <c r="BH184" s="174" t="s">
        <v>5194</v>
      </c>
      <c r="BI184" s="174" t="s">
        <v>6432</v>
      </c>
      <c r="BJ184" s="173"/>
      <c r="BK184" s="173"/>
      <c r="BL184" s="173"/>
      <c r="BM184" s="174"/>
      <c r="BN184" s="174"/>
      <c r="BO184" s="174"/>
      <c r="BP184" s="174"/>
      <c r="BQ184" s="297"/>
      <c r="BR184" s="175"/>
      <c r="BS184" s="249"/>
      <c r="BT184" s="727" t="s">
        <v>6433</v>
      </c>
      <c r="BU184" s="175" t="s">
        <v>6434</v>
      </c>
      <c r="BV184" s="727"/>
      <c r="BW184" s="175" t="s">
        <v>5232</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2651</v>
      </c>
      <c r="H185" s="99"/>
      <c r="I185" s="94" t="s">
        <v>6439</v>
      </c>
      <c r="J185" s="94" t="s">
        <v>302</v>
      </c>
      <c r="K185" s="94" t="s">
        <v>125</v>
      </c>
      <c r="L185" s="94" t="s">
        <v>4028</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4105</v>
      </c>
      <c r="AH185" s="99"/>
      <c r="AI185" s="99"/>
      <c r="AJ185" s="99"/>
      <c r="AK185" s="99"/>
      <c r="AL185" s="97"/>
      <c r="AM185" s="99"/>
      <c r="AN185" s="99"/>
      <c r="AO185" s="99"/>
      <c r="AP185" s="99"/>
      <c r="AQ185" s="99"/>
      <c r="AR185" s="99"/>
      <c r="AS185" s="99"/>
      <c r="AT185" s="99"/>
      <c r="AU185" s="94" t="s">
        <v>4308</v>
      </c>
      <c r="AV185" s="94" t="s">
        <v>2939</v>
      </c>
      <c r="AW185" s="99"/>
      <c r="AX185" s="99"/>
      <c r="AY185" s="99"/>
      <c r="AZ185" s="99"/>
      <c r="BA185" s="99"/>
      <c r="BB185" s="94" t="s">
        <v>3831</v>
      </c>
      <c r="BC185" s="94" t="s">
        <v>5051</v>
      </c>
      <c r="BD185" s="99"/>
      <c r="BE185" s="94" t="s">
        <v>5724</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3865</v>
      </c>
      <c r="CB185" s="99"/>
      <c r="CC185" s="99"/>
      <c r="CD185" s="99"/>
      <c r="CE185" s="99"/>
      <c r="CF185" s="237"/>
      <c r="CG185" s="94" t="s">
        <v>1707</v>
      </c>
      <c r="CH185" s="94" t="s">
        <v>3502</v>
      </c>
      <c r="CI185" s="94" t="s">
        <v>756</v>
      </c>
      <c r="CJ185" s="94" t="s">
        <v>6446</v>
      </c>
      <c r="CK185" s="94"/>
      <c r="CL185" s="94"/>
      <c r="CM185" s="99"/>
      <c r="CN185" s="94" t="s">
        <v>3822</v>
      </c>
      <c r="CO185" s="94" t="s">
        <v>6326</v>
      </c>
      <c r="CP185" s="99"/>
      <c r="CQ185" s="99"/>
      <c r="CR185" s="99"/>
      <c r="CS185" s="99"/>
      <c r="CT185" s="99"/>
      <c r="CU185" s="92"/>
      <c r="CV185" s="94" t="s">
        <v>5141</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4237</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5560</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5805</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5300</v>
      </c>
      <c r="CP186" s="252"/>
      <c r="CQ186" s="252"/>
      <c r="CR186" s="252"/>
      <c r="CS186" s="252"/>
      <c r="CT186" s="252"/>
      <c r="CU186" s="92"/>
      <c r="CV186" s="253"/>
      <c r="CW186" s="204" t="s">
        <v>5044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5474</v>
      </c>
      <c r="P187" s="99"/>
      <c r="Q187" s="99"/>
      <c r="R187" s="99"/>
      <c r="S187" s="99"/>
      <c r="T187" s="99"/>
      <c r="U187" s="99"/>
      <c r="V187" s="99"/>
      <c r="W187" s="92"/>
      <c r="X187" s="94" t="s">
        <v>1288</v>
      </c>
      <c r="Y187" s="99"/>
      <c r="Z187" s="99"/>
      <c r="AA187" s="94" t="s">
        <v>4967</v>
      </c>
      <c r="AB187" s="99"/>
      <c r="AC187" s="94" t="s">
        <v>4813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5107</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5147</v>
      </c>
      <c r="Y189" s="102"/>
      <c r="Z189" s="102"/>
      <c r="AA189" s="102" t="s">
        <v>1829</v>
      </c>
      <c r="AB189" s="266" t="s">
        <v>1145</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3933</v>
      </c>
      <c r="BU189" s="102"/>
      <c r="BV189" s="102" t="s">
        <v>6469</v>
      </c>
      <c r="BW189" s="102" t="s">
        <v>5805</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5962</v>
      </c>
      <c r="L192" s="421" t="s">
        <v>4143</v>
      </c>
      <c r="M192" s="421"/>
      <c r="N192" s="421"/>
      <c r="O192" s="421" t="s">
        <v>3160</v>
      </c>
      <c r="P192" s="421" t="s">
        <v>1443</v>
      </c>
      <c r="Q192" s="242"/>
      <c r="R192" s="242"/>
      <c r="S192" s="242"/>
      <c r="T192" s="242"/>
      <c r="U192" s="242"/>
      <c r="V192" s="242"/>
      <c r="W192" s="92"/>
      <c r="X192" s="117" t="s">
        <v>4577</v>
      </c>
      <c r="Y192" s="117"/>
      <c r="Z192" s="117"/>
      <c r="AA192" s="117"/>
      <c r="AB192" s="296" t="s">
        <v>6480</v>
      </c>
      <c r="AC192" s="117" t="s">
        <v>2644</v>
      </c>
      <c r="AD192" s="117"/>
      <c r="AE192" s="244"/>
      <c r="AF192" s="117"/>
      <c r="AG192" s="117" t="s">
        <v>5491</v>
      </c>
      <c r="AH192" s="244"/>
      <c r="AI192" s="244"/>
      <c r="AJ192" s="117"/>
      <c r="AK192" s="244"/>
      <c r="AL192" s="97"/>
      <c r="AM192" s="124"/>
      <c r="AN192" s="124" t="s">
        <v>3255</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3901</v>
      </c>
      <c r="Y194" s="244"/>
      <c r="Z194" s="244"/>
      <c r="AA194" s="198" t="s">
        <v>1702</v>
      </c>
      <c r="AB194" s="244"/>
      <c r="AC194" s="116" t="s">
        <v>4731</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4930</v>
      </c>
      <c r="AW194" s="245"/>
      <c r="AX194" s="245"/>
      <c r="AY194" s="245"/>
      <c r="AZ194" s="245"/>
      <c r="BA194" s="245"/>
      <c r="BB194" s="173"/>
      <c r="BC194" s="173"/>
      <c r="BD194" s="173"/>
      <c r="BE194" s="173"/>
      <c r="BF194" s="173"/>
      <c r="BG194" s="173"/>
      <c r="BH194" s="173"/>
      <c r="BI194" s="174" t="s">
        <v>2082</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4820</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5858</v>
      </c>
      <c r="H195" s="99"/>
      <c r="I195" s="94" t="s">
        <v>6492</v>
      </c>
      <c r="J195" s="94" t="s">
        <v>4252</v>
      </c>
      <c r="K195" s="94" t="s">
        <v>4385</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6494</v>
      </c>
      <c r="BD195" s="162" t="s">
        <v>5420</v>
      </c>
      <c r="BE195" s="99"/>
      <c r="BF195" s="99"/>
      <c r="BG195" s="99"/>
      <c r="BH195" s="99"/>
      <c r="BI195" s="99"/>
      <c r="BJ195" s="99"/>
      <c r="BK195" s="94" t="s">
        <v>2452</v>
      </c>
      <c r="BL195" s="99"/>
      <c r="BM195" s="99"/>
      <c r="BN195" s="99"/>
      <c r="BO195" s="99"/>
      <c r="BP195" s="99"/>
      <c r="BQ195" s="237"/>
      <c r="BR195" s="99"/>
      <c r="BS195" s="99"/>
      <c r="BT195" s="99"/>
      <c r="BU195" s="94" t="s">
        <v>5592</v>
      </c>
      <c r="BV195" s="99"/>
      <c r="BW195" s="94" t="s">
        <v>6495</v>
      </c>
      <c r="BX195" s="99"/>
      <c r="BY195" s="99"/>
      <c r="BZ195" s="99"/>
      <c r="CA195" s="99"/>
      <c r="CB195" s="99"/>
      <c r="CC195" s="99"/>
      <c r="CD195" s="94" t="s">
        <v>1907</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1958</v>
      </c>
      <c r="L196" s="421" t="s">
        <v>5763</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2692</v>
      </c>
      <c r="AF196" s="117" t="s">
        <v>311</v>
      </c>
      <c r="AG196" s="117"/>
      <c r="AH196" s="244"/>
      <c r="AI196" s="244"/>
      <c r="AJ196" s="117"/>
      <c r="AK196" s="244"/>
      <c r="AL196" s="97"/>
      <c r="AM196" s="124"/>
      <c r="AN196" s="124" t="s">
        <v>5132</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4217</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1963</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4608</v>
      </c>
      <c r="H200" s="167" t="s">
        <v>6515</v>
      </c>
      <c r="I200" s="167" t="s">
        <v>2480</v>
      </c>
      <c r="J200" s="167" t="s">
        <v>1210</v>
      </c>
      <c r="K200" s="167" t="s">
        <v>6516</v>
      </c>
      <c r="L200" s="167" t="s">
        <v>6517</v>
      </c>
      <c r="M200" s="167" t="s">
        <v>6518</v>
      </c>
      <c r="N200" s="167" t="s">
        <v>6519</v>
      </c>
      <c r="O200" s="167" t="s">
        <v>5079</v>
      </c>
      <c r="P200" s="167" t="s">
        <v>4147</v>
      </c>
      <c r="Q200" s="242"/>
      <c r="R200" s="242"/>
      <c r="S200" s="242"/>
      <c r="T200" s="242"/>
      <c r="U200" s="242"/>
      <c r="V200" s="242"/>
      <c r="W200" s="92"/>
      <c r="X200" s="198" t="s">
        <v>6520</v>
      </c>
      <c r="Y200" s="198"/>
      <c r="Z200" s="198" t="s">
        <v>6521</v>
      </c>
      <c r="AA200" s="198" t="s">
        <v>6522</v>
      </c>
      <c r="AB200" s="244" t="s">
        <v>6523</v>
      </c>
      <c r="AC200" s="198" t="s">
        <v>6001</v>
      </c>
      <c r="AD200" s="244" t="s">
        <v>6524</v>
      </c>
      <c r="AE200" s="244"/>
      <c r="AF200" s="244" t="s">
        <v>6525</v>
      </c>
      <c r="AG200" s="198" t="s">
        <v>5632</v>
      </c>
      <c r="AH200" s="244"/>
      <c r="AI200" s="244"/>
      <c r="AJ200" s="244"/>
      <c r="AK200" s="244"/>
      <c r="AL200" s="97"/>
      <c r="AM200" s="245"/>
      <c r="AN200" s="245"/>
      <c r="AO200" s="245"/>
      <c r="AP200" s="245"/>
      <c r="AQ200" s="245"/>
      <c r="AR200" s="245"/>
      <c r="AS200" s="245"/>
      <c r="AT200" s="245"/>
      <c r="AU200" s="168" t="s">
        <v>214</v>
      </c>
      <c r="AV200" s="245" t="s">
        <v>4464</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2177</v>
      </c>
      <c r="BT200" s="249" t="s">
        <v>6534</v>
      </c>
      <c r="BU200" s="175" t="s">
        <v>6205</v>
      </c>
      <c r="BV200" s="249" t="s">
        <v>6535</v>
      </c>
      <c r="BW200" s="249" t="s">
        <v>6536</v>
      </c>
      <c r="BX200" s="175" t="s">
        <v>6537</v>
      </c>
      <c r="BY200" s="175" t="s">
        <v>6538</v>
      </c>
      <c r="BZ200" s="249"/>
      <c r="CA200" s="175" t="s">
        <v>4722</v>
      </c>
      <c r="CB200" s="249"/>
      <c r="CC200" s="249"/>
      <c r="CD200" s="249"/>
      <c r="CE200" s="249"/>
      <c r="CF200" s="251"/>
      <c r="CG200" s="177" t="s">
        <v>5710</v>
      </c>
      <c r="CH200" s="177" t="s">
        <v>1560</v>
      </c>
      <c r="CI200" s="177" t="s">
        <v>2479</v>
      </c>
      <c r="CJ200" s="177" t="s">
        <v>3637</v>
      </c>
      <c r="CK200" s="177"/>
      <c r="CL200" s="177" t="s">
        <v>370</v>
      </c>
      <c r="CM200" s="177" t="s">
        <v>6539</v>
      </c>
      <c r="CN200" s="177" t="s">
        <v>6540</v>
      </c>
      <c r="CO200" s="177" t="s">
        <v>3891</v>
      </c>
      <c r="CP200" s="252"/>
      <c r="CQ200" s="252"/>
      <c r="CR200" s="252"/>
      <c r="CS200" s="252"/>
      <c r="CT200" s="252"/>
      <c r="CU200" s="92"/>
      <c r="CV200" s="253" t="s">
        <v>6541</v>
      </c>
      <c r="CW200" s="253" t="s">
        <v>2188</v>
      </c>
      <c r="CX200" s="253" t="s">
        <v>1024</v>
      </c>
      <c r="CY200" s="253" t="s">
        <v>6542</v>
      </c>
      <c r="CZ200" s="253" t="s">
        <v>6543</v>
      </c>
      <c r="DA200" s="253" t="s">
        <v>4526</v>
      </c>
      <c r="DB200" s="253" t="s">
        <v>6544</v>
      </c>
      <c r="DC200" s="204" t="s">
        <v>3339</v>
      </c>
      <c r="DD200" s="253"/>
      <c r="DE200" s="253"/>
      <c r="DF200" s="253"/>
      <c r="DG200" s="253"/>
      <c r="DH200" s="263"/>
      <c r="DI200" s="255"/>
      <c r="DJ200" s="255"/>
      <c r="DK200" s="255"/>
      <c r="DL200" s="255"/>
      <c r="DM200" s="255" t="s">
        <v>5604</v>
      </c>
      <c r="DN200" s="205"/>
      <c r="DO200" s="205" t="s">
        <v>6545</v>
      </c>
      <c r="DP200" s="205" t="s">
        <v>3882</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5956</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2586</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2086</v>
      </c>
      <c r="DU201" s="102"/>
      <c r="DV201" s="99"/>
      <c r="DW201" s="94" t="s">
        <v>278</v>
      </c>
      <c r="DX201" s="99"/>
      <c r="DY201" s="99"/>
      <c r="DZ201" s="99"/>
      <c r="EA201" s="102" t="s">
        <v>5814</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2041</v>
      </c>
      <c r="L202" s="167" t="s">
        <v>6562</v>
      </c>
      <c r="M202" s="167" t="s">
        <v>6563</v>
      </c>
      <c r="N202" s="242"/>
      <c r="O202" s="242"/>
      <c r="P202" s="167" t="s">
        <v>202</v>
      </c>
      <c r="Q202" s="242"/>
      <c r="R202" s="242"/>
      <c r="S202" s="242"/>
      <c r="T202" s="242"/>
      <c r="U202" s="242"/>
      <c r="V202" s="242"/>
      <c r="W202" s="92"/>
      <c r="X202" s="244"/>
      <c r="Y202" s="244"/>
      <c r="Z202" s="244"/>
      <c r="AA202" s="198" t="s">
        <v>5687</v>
      </c>
      <c r="AB202" s="244"/>
      <c r="AC202" s="244"/>
      <c r="AD202" s="244"/>
      <c r="AE202" s="244"/>
      <c r="AF202" s="244"/>
      <c r="AG202" s="198" t="s">
        <v>5461</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5100</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4622</v>
      </c>
      <c r="Q203" s="99"/>
      <c r="R203" s="99"/>
      <c r="S203" s="99"/>
      <c r="T203" s="99"/>
      <c r="U203" s="99"/>
      <c r="V203" s="99"/>
      <c r="W203" s="92"/>
      <c r="X203" s="94" t="s">
        <v>336</v>
      </c>
      <c r="Y203" s="94"/>
      <c r="Z203" s="94" t="s">
        <v>2212</v>
      </c>
      <c r="AA203" s="94" t="s">
        <v>3250</v>
      </c>
      <c r="AB203" s="94" t="s">
        <v>6573</v>
      </c>
      <c r="AC203" s="94" t="s">
        <v>6574</v>
      </c>
      <c r="AD203" s="94" t="s">
        <v>3212</v>
      </c>
      <c r="AE203" s="99"/>
      <c r="AF203" s="94" t="s">
        <v>6575</v>
      </c>
      <c r="AG203" s="94" t="s">
        <v>1357</v>
      </c>
      <c r="AH203" s="99"/>
      <c r="AI203" s="99"/>
      <c r="AJ203" s="99"/>
      <c r="AK203" s="99"/>
      <c r="AL203" s="97"/>
      <c r="AM203" s="94" t="s">
        <v>5147</v>
      </c>
      <c r="AN203" s="94" t="s">
        <v>1371</v>
      </c>
      <c r="AO203" s="94" t="s">
        <v>6576</v>
      </c>
      <c r="AP203" s="94" t="s">
        <v>6577</v>
      </c>
      <c r="AQ203" s="94" t="s">
        <v>6578</v>
      </c>
      <c r="AR203" s="94"/>
      <c r="AS203" s="94" t="s">
        <v>2180</v>
      </c>
      <c r="AT203" s="94" t="s">
        <v>6579</v>
      </c>
      <c r="AU203" s="94" t="s">
        <v>3857</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5250</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4251</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4056</v>
      </c>
      <c r="H204" s="167" t="s">
        <v>6604</v>
      </c>
      <c r="I204" s="167" t="s">
        <v>6605</v>
      </c>
      <c r="J204" s="167" t="s">
        <v>6606</v>
      </c>
      <c r="K204" s="167" t="s">
        <v>1617</v>
      </c>
      <c r="L204" s="167" t="s">
        <v>4074</v>
      </c>
      <c r="M204" s="167" t="s">
        <v>6607</v>
      </c>
      <c r="N204" s="167" t="s">
        <v>6608</v>
      </c>
      <c r="O204" s="167" t="s">
        <v>4437</v>
      </c>
      <c r="P204" s="167" t="s">
        <v>4680</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4347</v>
      </c>
      <c r="AV204" s="245"/>
      <c r="AW204" s="245"/>
      <c r="AX204" s="245"/>
      <c r="AY204" s="245"/>
      <c r="AZ204" s="245"/>
      <c r="BA204" s="245"/>
      <c r="BB204" s="174" t="s">
        <v>3454</v>
      </c>
      <c r="BC204" s="173"/>
      <c r="BD204" s="174" t="s">
        <v>2535</v>
      </c>
      <c r="BE204" s="173"/>
      <c r="BF204" s="173"/>
      <c r="BG204" s="173"/>
      <c r="BH204" s="173"/>
      <c r="BI204" s="174" t="s">
        <v>3988</v>
      </c>
      <c r="BJ204" s="173"/>
      <c r="BK204" s="173"/>
      <c r="BL204" s="174" t="s">
        <v>5756</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5314</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2352</v>
      </c>
      <c r="L205" s="102"/>
      <c r="M205" s="102"/>
      <c r="N205" s="102"/>
      <c r="O205" s="102"/>
      <c r="P205" s="102"/>
      <c r="Q205" s="99"/>
      <c r="R205" s="99"/>
      <c r="S205" s="88" t="s">
        <v>2739</v>
      </c>
      <c r="T205" s="99"/>
      <c r="U205" s="93"/>
      <c r="V205" s="99"/>
      <c r="W205" s="92"/>
      <c r="X205" s="102"/>
      <c r="Y205" s="102"/>
      <c r="Z205" s="88" t="s">
        <v>2722</v>
      </c>
      <c r="AA205" s="102"/>
      <c r="AB205" s="266"/>
      <c r="AC205" s="88" t="s">
        <v>2485</v>
      </c>
      <c r="AD205" s="102"/>
      <c r="AE205" s="88" t="s">
        <v>1432</v>
      </c>
      <c r="AF205" s="88" t="s">
        <v>2441</v>
      </c>
      <c r="AG205" s="102"/>
      <c r="AH205" s="99"/>
      <c r="AI205" s="99"/>
      <c r="AJ205" s="88" t="s">
        <v>5956</v>
      </c>
      <c r="AK205" s="99"/>
      <c r="AL205" s="97"/>
      <c r="AM205" s="102"/>
      <c r="AN205" s="266" t="s">
        <v>5608</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4614</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4927</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5256</v>
      </c>
      <c r="DP215" s="427" t="s">
        <v>5593</v>
      </c>
      <c r="DQ215" s="427" t="s">
        <v>6639</v>
      </c>
      <c r="DR215" s="99"/>
      <c r="DS215" s="99"/>
      <c r="DT215" s="99"/>
      <c r="DU215" s="99"/>
      <c r="DV215" s="99"/>
      <c r="DW215" s="99"/>
      <c r="DX215" s="99"/>
      <c r="DY215" s="99"/>
      <c r="DZ215" s="99"/>
      <c r="EA215" s="99"/>
      <c r="EB215" s="99"/>
      <c r="EC215" s="99"/>
      <c r="ED215" s="715"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P57"/>
    <hyperlink r:id="rId2894" ref="Q57"/>
    <hyperlink r:id="rId2895" ref="U57"/>
    <hyperlink r:id="rId2896" ref="X57"/>
    <hyperlink r:id="rId2897" ref="AC57"/>
    <hyperlink r:id="rId2898" ref="BF57"/>
    <hyperlink r:id="rId2899" ref="BG57"/>
    <hyperlink r:id="rId2900" ref="BW57"/>
    <hyperlink r:id="rId2901" ref="CC57"/>
    <hyperlink r:id="rId2902" ref="CD57"/>
    <hyperlink r:id="rId2903" ref="DA57"/>
    <hyperlink r:id="rId2904" ref="DM57"/>
    <hyperlink r:id="rId2905" ref="DZ57"/>
    <hyperlink r:id="rId2906" ref="K58"/>
    <hyperlink r:id="rId2907" ref="O58"/>
    <hyperlink r:id="rId2908" ref="X58"/>
    <hyperlink r:id="rId2909" ref="BG58"/>
    <hyperlink r:id="rId2910" ref="BU58"/>
    <hyperlink r:id="rId2911" ref="DM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P93"/>
    <hyperlink r:id="rId3517" ref="AA93"/>
    <hyperlink r:id="rId3518" ref="AB93"/>
    <hyperlink r:id="rId3519" ref="AC93"/>
    <hyperlink r:id="rId3520" ref="AG93"/>
    <hyperlink r:id="rId3521" ref="AY93"/>
    <hyperlink r:id="rId3522" ref="BE93"/>
    <hyperlink r:id="rId3523" ref="BT93"/>
    <hyperlink r:id="rId3524" ref="CA93"/>
    <hyperlink r:id="rId3525" ref="CB93"/>
    <hyperlink r:id="rId3526" ref="CD93"/>
    <hyperlink r:id="rId3527" ref="CH93"/>
    <hyperlink r:id="rId3528" ref="CO93"/>
    <hyperlink r:id="rId3529" ref="DG93"/>
    <hyperlink r:id="rId3530" ref="J94"/>
    <hyperlink r:id="rId3531" ref="K94"/>
    <hyperlink r:id="rId3532" ref="AN94"/>
    <hyperlink r:id="rId3533" ref="BR94"/>
    <hyperlink r:id="rId3534" ref="BS94"/>
    <hyperlink r:id="rId3535" ref="BT94"/>
    <hyperlink r:id="rId3536" ref="BU94"/>
    <hyperlink r:id="rId3537" ref="BV94"/>
    <hyperlink r:id="rId3538" ref="BW94"/>
    <hyperlink r:id="rId3539" ref="BX94"/>
    <hyperlink r:id="rId3540" ref="CA94"/>
    <hyperlink r:id="rId3541" ref="CB94"/>
    <hyperlink r:id="rId3542" ref="CC94"/>
    <hyperlink r:id="rId3543" ref="K95"/>
    <hyperlink r:id="rId3544" ref="M95"/>
    <hyperlink r:id="rId3545" ref="AG95"/>
    <hyperlink r:id="rId3546" ref="BR95"/>
    <hyperlink r:id="rId3547" ref="CG95"/>
    <hyperlink r:id="rId3548" ref="CJ95"/>
    <hyperlink r:id="rId3549" ref="CP95"/>
    <hyperlink r:id="rId3550" ref="I96"/>
    <hyperlink r:id="rId3551" ref="J96"/>
    <hyperlink r:id="rId3552" ref="K96"/>
    <hyperlink r:id="rId3553" ref="L96"/>
    <hyperlink r:id="rId3554" ref="M96"/>
    <hyperlink r:id="rId3555" ref="N96"/>
    <hyperlink r:id="rId3556" ref="O96"/>
    <hyperlink r:id="rId3557" ref="P96"/>
    <hyperlink r:id="rId3558" ref="Q96"/>
    <hyperlink r:id="rId3559" ref="S96"/>
    <hyperlink r:id="rId3560" ref="T96"/>
    <hyperlink r:id="rId3561" ref="X96"/>
    <hyperlink r:id="rId3562" ref="AA96"/>
    <hyperlink r:id="rId3563" ref="AC96"/>
    <hyperlink r:id="rId3564" ref="AF96"/>
    <hyperlink r:id="rId3565" ref="AG96"/>
    <hyperlink r:id="rId3566" ref="AU96"/>
    <hyperlink r:id="rId3567" ref="AV96"/>
    <hyperlink r:id="rId3568" ref="AW96"/>
    <hyperlink r:id="rId3569" ref="AY96"/>
    <hyperlink r:id="rId3570" ref="BE96"/>
    <hyperlink r:id="rId3571" ref="BF96"/>
    <hyperlink r:id="rId3572" ref="BI96"/>
    <hyperlink r:id="rId3573" ref="BK96"/>
    <hyperlink r:id="rId3574" ref="BL96"/>
    <hyperlink r:id="rId3575" ref="BN96"/>
    <hyperlink r:id="rId3576" ref="BR96"/>
    <hyperlink r:id="rId3577" ref="BU96"/>
    <hyperlink r:id="rId3578" ref="CA96"/>
    <hyperlink r:id="rId3579" ref="CB96"/>
    <hyperlink r:id="rId3580" ref="CD96"/>
    <hyperlink r:id="rId3581" ref="CG96"/>
    <hyperlink r:id="rId3582" ref="CH96"/>
    <hyperlink r:id="rId3583" ref="CJ96"/>
    <hyperlink r:id="rId3584" ref="CL96"/>
    <hyperlink r:id="rId3585" ref="CM96"/>
    <hyperlink r:id="rId3586" ref="CO96"/>
    <hyperlink r:id="rId3587" ref="CS96"/>
    <hyperlink r:id="rId3588" ref="CY96"/>
    <hyperlink r:id="rId3589" ref="DC96"/>
    <hyperlink r:id="rId3590" ref="DF96"/>
    <hyperlink r:id="rId3591" ref="DO96"/>
    <hyperlink r:id="rId3592" ref="EA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AC102"/>
    <hyperlink r:id="rId3674" ref="Z103"/>
    <hyperlink r:id="rId3675" ref="AF103"/>
    <hyperlink r:id="rId3676" ref="CN103"/>
    <hyperlink r:id="rId3677" ref="DM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H111"/>
    <hyperlink r:id="rId3690" ref="I111"/>
    <hyperlink r:id="rId3691" ref="J111"/>
    <hyperlink r:id="rId3692" ref="K111"/>
    <hyperlink r:id="rId3693" ref="L111"/>
    <hyperlink r:id="rId3694" ref="P111"/>
    <hyperlink r:id="rId3695" ref="U111"/>
    <hyperlink r:id="rId3696" ref="AA111"/>
    <hyperlink r:id="rId3697" ref="AC111"/>
    <hyperlink r:id="rId3698" ref="AJ111"/>
    <hyperlink r:id="rId3699" ref="AS111"/>
    <hyperlink r:id="rId3700" ref="AW111"/>
    <hyperlink r:id="rId3701" ref="BD111"/>
    <hyperlink r:id="rId3702" ref="BN111"/>
    <hyperlink r:id="rId3703" ref="BO111"/>
    <hyperlink r:id="rId3704" ref="CC111"/>
    <hyperlink r:id="rId3705" ref="CD111"/>
    <hyperlink r:id="rId3706" ref="CS111"/>
    <hyperlink r:id="rId3707" ref="CW111"/>
    <hyperlink r:id="rId3708" ref="DE111"/>
    <hyperlink r:id="rId3709" ref="DP111"/>
    <hyperlink r:id="rId3710" ref="DW111"/>
    <hyperlink r:id="rId3711" ref="J112"/>
    <hyperlink r:id="rId3712" ref="K114"/>
    <hyperlink r:id="rId3713" ref="X114"/>
    <hyperlink r:id="rId3714" ref="BW114"/>
    <hyperlink r:id="rId3715" ref="J115"/>
    <hyperlink r:id="rId3716" ref="S115"/>
    <hyperlink r:id="rId3717" ref="BV115"/>
    <hyperlink r:id="rId3718" ref="CJ115"/>
    <hyperlink r:id="rId3719" ref="CV115"/>
    <hyperlink r:id="rId3720" ref="I116"/>
    <hyperlink r:id="rId3721" ref="L116"/>
    <hyperlink r:id="rId3722" ref="Z116"/>
    <hyperlink r:id="rId3723" ref="BN116"/>
    <hyperlink r:id="rId3724" ref="BW116"/>
    <hyperlink r:id="rId3725" ref="CA116"/>
    <hyperlink r:id="rId3726" ref="CX116"/>
    <hyperlink r:id="rId3727" ref="DM116"/>
    <hyperlink r:id="rId3728" ref="DZ116"/>
    <hyperlink r:id="rId3729" ref="P117"/>
    <hyperlink r:id="rId3730" ref="S117"/>
    <hyperlink r:id="rId3731" ref="V117"/>
    <hyperlink r:id="rId3732" ref="AG117"/>
    <hyperlink r:id="rId3733" ref="AJ117"/>
    <hyperlink r:id="rId3734" ref="AP117"/>
    <hyperlink r:id="rId3735" ref="AU117"/>
    <hyperlink r:id="rId3736" ref="AY117"/>
    <hyperlink r:id="rId3737" ref="BY117"/>
    <hyperlink r:id="rId3738" ref="CA117"/>
    <hyperlink r:id="rId3739" ref="CB117"/>
    <hyperlink r:id="rId3740" ref="CC117"/>
    <hyperlink r:id="rId3741" ref="CO117"/>
    <hyperlink r:id="rId3742" ref="DB117"/>
    <hyperlink r:id="rId3743" ref="DC117"/>
    <hyperlink r:id="rId3744" ref="P121"/>
    <hyperlink r:id="rId3745" ref="Q121"/>
    <hyperlink r:id="rId3746" ref="AG121"/>
    <hyperlink r:id="rId3747" ref="I122"/>
    <hyperlink r:id="rId3748" ref="J122"/>
    <hyperlink r:id="rId3749" ref="K122"/>
    <hyperlink r:id="rId3750" ref="L122"/>
    <hyperlink r:id="rId3751" ref="M122"/>
    <hyperlink r:id="rId3752" ref="N122"/>
    <hyperlink r:id="rId3753" ref="O122"/>
    <hyperlink r:id="rId3754" ref="P122"/>
    <hyperlink r:id="rId3755" ref="X122"/>
    <hyperlink r:id="rId3756" ref="Y122"/>
    <hyperlink r:id="rId3757" ref="Z122"/>
    <hyperlink r:id="rId3758" ref="AA122"/>
    <hyperlink r:id="rId3759" ref="AB122"/>
    <hyperlink r:id="rId3760" ref="AC122"/>
    <hyperlink r:id="rId3761" ref="AD122"/>
    <hyperlink r:id="rId3762" ref="AE122"/>
    <hyperlink r:id="rId3763" ref="AF122"/>
    <hyperlink r:id="rId3764" ref="AG122"/>
    <hyperlink r:id="rId3765" ref="AU122"/>
    <hyperlink r:id="rId3766" ref="AV122"/>
    <hyperlink r:id="rId3767" ref="BB122"/>
    <hyperlink r:id="rId3768" ref="BC122"/>
    <hyperlink r:id="rId3769" ref="BD122"/>
    <hyperlink r:id="rId3770" ref="BE122"/>
    <hyperlink r:id="rId3771" ref="BF122"/>
    <hyperlink r:id="rId3772" ref="BI122"/>
    <hyperlink r:id="rId3773" ref="BK122"/>
    <hyperlink r:id="rId3774" ref="BL122"/>
    <hyperlink r:id="rId3775" ref="BR122"/>
    <hyperlink r:id="rId3776" ref="BS122"/>
    <hyperlink r:id="rId3777" ref="BT122"/>
    <hyperlink r:id="rId3778" ref="BU122"/>
    <hyperlink r:id="rId3779" ref="BV122"/>
    <hyperlink r:id="rId3780" ref="BW122"/>
    <hyperlink r:id="rId3781" ref="BX122"/>
    <hyperlink r:id="rId3782" ref="BZ122"/>
    <hyperlink r:id="rId3783" ref="CA122"/>
    <hyperlink r:id="rId3784" ref="CG122"/>
    <hyperlink r:id="rId3785" ref="CH122"/>
    <hyperlink r:id="rId3786" ref="CI122"/>
    <hyperlink r:id="rId3787" ref="CJ122"/>
    <hyperlink r:id="rId3788" ref="CK122"/>
    <hyperlink r:id="rId3789" ref="CL122"/>
    <hyperlink r:id="rId3790" ref="CM122"/>
    <hyperlink r:id="rId3791" ref="CN122"/>
    <hyperlink r:id="rId3792" ref="CO122"/>
    <hyperlink r:id="rId3793" ref="CV122"/>
    <hyperlink r:id="rId3794" ref="CW122"/>
    <hyperlink r:id="rId3795" ref="CX122"/>
    <hyperlink r:id="rId3796" ref="CY122"/>
    <hyperlink r:id="rId3797" ref="CZ122"/>
    <hyperlink r:id="rId3798" ref="DA122"/>
    <hyperlink r:id="rId3799" ref="DB122"/>
    <hyperlink r:id="rId3800" ref="DC122"/>
    <hyperlink r:id="rId3801" ref="DR122"/>
    <hyperlink r:id="rId3802" ref="DS122"/>
    <hyperlink r:id="rId3803" ref="O123"/>
    <hyperlink r:id="rId3804" ref="AC123"/>
    <hyperlink r:id="rId3805" ref="BE123"/>
    <hyperlink r:id="rId3806" ref="J124"/>
    <hyperlink r:id="rId3807" ref="K124"/>
    <hyperlink r:id="rId3808" ref="P124"/>
    <hyperlink r:id="rId3809" ref="L126"/>
    <hyperlink r:id="rId3810" ref="CH126"/>
    <hyperlink r:id="rId3811" ref="DU126"/>
    <hyperlink r:id="rId3812" ref="EA126"/>
    <hyperlink r:id="rId3813" ref="I128"/>
    <hyperlink r:id="rId3814" ref="J128"/>
    <hyperlink r:id="rId3815" ref="K128"/>
    <hyperlink r:id="rId3816" ref="L128"/>
    <hyperlink r:id="rId3817" ref="M128"/>
    <hyperlink r:id="rId3818" ref="N128"/>
    <hyperlink r:id="rId3819" ref="O128"/>
    <hyperlink r:id="rId3820" ref="X128"/>
    <hyperlink r:id="rId3821" ref="Z128"/>
    <hyperlink r:id="rId3822" ref="AC128"/>
    <hyperlink r:id="rId3823" ref="AG128"/>
    <hyperlink r:id="rId3824" ref="AU128"/>
    <hyperlink r:id="rId3825" ref="AV128"/>
    <hyperlink r:id="rId3826" ref="BB128"/>
    <hyperlink r:id="rId3827" ref="BE128"/>
    <hyperlink r:id="rId3828" ref="BF128"/>
    <hyperlink r:id="rId3829" ref="BI128"/>
    <hyperlink r:id="rId3830" ref="BR128"/>
    <hyperlink r:id="rId3831" ref="BZ128"/>
    <hyperlink r:id="rId3832" ref="CH128"/>
    <hyperlink r:id="rId3833" ref="CI128"/>
    <hyperlink r:id="rId3834" ref="CJ128"/>
    <hyperlink r:id="rId3835" ref="CL128"/>
    <hyperlink r:id="rId3836" ref="CN128"/>
    <hyperlink r:id="rId3837" ref="CV128"/>
    <hyperlink r:id="rId3838" ref="CW128"/>
    <hyperlink r:id="rId3839" ref="CX128"/>
    <hyperlink r:id="rId3840" ref="CY128"/>
    <hyperlink r:id="rId3841" ref="CZ128"/>
    <hyperlink r:id="rId3842" ref="DA128"/>
    <hyperlink r:id="rId3843" ref="DB128"/>
    <hyperlink r:id="rId3844" ref="DC128"/>
    <hyperlink r:id="rId3845" ref="DI128"/>
    <hyperlink r:id="rId3846" ref="DM128"/>
    <hyperlink r:id="rId3847" ref="I129"/>
    <hyperlink r:id="rId3848" ref="K129"/>
    <hyperlink r:id="rId3849" ref="M129"/>
    <hyperlink r:id="rId3850" ref="N129"/>
    <hyperlink r:id="rId3851" ref="O129"/>
    <hyperlink r:id="rId3852" ref="P129"/>
    <hyperlink r:id="rId3853" ref="Z129"/>
    <hyperlink r:id="rId3854" ref="AB129"/>
    <hyperlink r:id="rId3855" ref="AC129"/>
    <hyperlink r:id="rId3856" ref="AD129"/>
    <hyperlink r:id="rId3857" ref="AF129"/>
    <hyperlink r:id="rId3858" ref="AG129"/>
    <hyperlink r:id="rId3859" ref="AU129"/>
    <hyperlink r:id="rId3860" ref="AV129"/>
    <hyperlink r:id="rId3861" ref="CO130"/>
    <hyperlink r:id="rId3862" ref="K131"/>
    <hyperlink r:id="rId3863" ref="O131"/>
    <hyperlink r:id="rId3864" ref="P131"/>
    <hyperlink r:id="rId3865" ref="Z131"/>
    <hyperlink r:id="rId3866" ref="AA131"/>
    <hyperlink r:id="rId3867" ref="AC131"/>
    <hyperlink r:id="rId3868" ref="BW131"/>
    <hyperlink r:id="rId3869" ref="CO131"/>
    <hyperlink r:id="rId3870" ref="CX131"/>
    <hyperlink r:id="rId3871" ref="DB131"/>
    <hyperlink r:id="rId3872" ref="H134"/>
    <hyperlink r:id="rId3873" ref="I134"/>
    <hyperlink r:id="rId3874" ref="J134"/>
    <hyperlink r:id="rId3875" ref="L134"/>
    <hyperlink r:id="rId3876" ref="M134"/>
    <hyperlink r:id="rId3877" ref="P134"/>
    <hyperlink r:id="rId3878" ref="X134"/>
    <hyperlink r:id="rId3879" ref="Z134"/>
    <hyperlink r:id="rId3880" ref="AA134"/>
    <hyperlink r:id="rId3881" ref="AF134"/>
    <hyperlink r:id="rId3882" ref="BF134"/>
    <hyperlink r:id="rId3883" ref="BR134"/>
    <hyperlink r:id="rId3884" ref="BT134"/>
    <hyperlink r:id="rId3885" ref="CA134"/>
    <hyperlink r:id="rId3886" ref="CG134"/>
    <hyperlink r:id="rId3887" ref="CH134"/>
    <hyperlink r:id="rId3888" ref="CJ134"/>
    <hyperlink r:id="rId3889" ref="CM134"/>
    <hyperlink r:id="rId3890" ref="CN134"/>
    <hyperlink r:id="rId3891" ref="DB134"/>
    <hyperlink r:id="rId3892" ref="DI134"/>
    <hyperlink r:id="rId3893" ref="DM134"/>
    <hyperlink r:id="rId3894" ref="L138"/>
    <hyperlink r:id="rId3895" ref="P138"/>
    <hyperlink r:id="rId3896" ref="BI138"/>
    <hyperlink r:id="rId3897" ref="BK138"/>
    <hyperlink r:id="rId3898" ref="BV138"/>
    <hyperlink r:id="rId3899" ref="BW138"/>
    <hyperlink r:id="rId3900" ref="CA138"/>
    <hyperlink r:id="rId3901" ref="DA138"/>
    <hyperlink r:id="rId3902" ref="DB138"/>
    <hyperlink r:id="rId3903" ref="AA139"/>
    <hyperlink r:id="rId3904" ref="CY139"/>
    <hyperlink r:id="rId3905" ref="DC139"/>
    <hyperlink r:id="rId3906" ref="K141"/>
    <hyperlink r:id="rId3907" ref="CG141"/>
    <hyperlink r:id="rId3908" ref="Z142"/>
    <hyperlink r:id="rId3909" ref="DB142"/>
    <hyperlink r:id="rId3910" ref="L146"/>
    <hyperlink r:id="rId3911" ref="Q146"/>
    <hyperlink r:id="rId3912" ref="S146"/>
    <hyperlink r:id="rId3913" ref="AJ146"/>
    <hyperlink r:id="rId3914" ref="AK146"/>
    <hyperlink r:id="rId3915" ref="BN146"/>
    <hyperlink r:id="rId3916" ref="CC146"/>
    <hyperlink r:id="rId3917" ref="CD146"/>
    <hyperlink r:id="rId3918" ref="CH146"/>
    <hyperlink r:id="rId3919" ref="CT146"/>
    <hyperlink r:id="rId3920" ref="DB146"/>
    <hyperlink r:id="rId3921" ref="DG146"/>
    <hyperlink r:id="rId3922" ref="P147"/>
    <hyperlink r:id="rId3923" ref="Z147"/>
    <hyperlink r:id="rId3924" ref="O148"/>
    <hyperlink r:id="rId3925" ref="P148"/>
    <hyperlink r:id="rId3926" ref="AA148"/>
    <hyperlink r:id="rId3927" ref="AC148"/>
    <hyperlink r:id="rId3928" ref="AG148"/>
    <hyperlink r:id="rId3929" ref="AU148"/>
    <hyperlink r:id="rId3930" ref="BD148"/>
    <hyperlink r:id="rId3931" ref="BI148"/>
    <hyperlink r:id="rId3932" ref="BL148"/>
    <hyperlink r:id="rId3933" ref="BU148"/>
    <hyperlink r:id="rId3934" ref="BW148"/>
    <hyperlink r:id="rId3935" ref="CA148"/>
    <hyperlink r:id="rId3936" ref="CJ148"/>
    <hyperlink r:id="rId3937" ref="CL148"/>
    <hyperlink r:id="rId3938" ref="CO148"/>
    <hyperlink r:id="rId3939" ref="CV148"/>
    <hyperlink r:id="rId3940" ref="CW148"/>
    <hyperlink r:id="rId3941" ref="DC148"/>
    <hyperlink r:id="rId3942" ref="DM148"/>
    <hyperlink r:id="rId3943" ref="K150"/>
    <hyperlink r:id="rId3944" ref="L150"/>
    <hyperlink r:id="rId3945" ref="O150"/>
    <hyperlink r:id="rId3946" ref="P150"/>
    <hyperlink r:id="rId3947" ref="AA150"/>
    <hyperlink r:id="rId3948" ref="AC150"/>
    <hyperlink r:id="rId3949" ref="AG150"/>
    <hyperlink r:id="rId3950" ref="AN150"/>
    <hyperlink r:id="rId3951" ref="AU150"/>
    <hyperlink r:id="rId3952" ref="AW150"/>
    <hyperlink r:id="rId3953" ref="BD150"/>
    <hyperlink r:id="rId3954" ref="BI150"/>
    <hyperlink r:id="rId3955" ref="BW150"/>
    <hyperlink r:id="rId3956" ref="CH150"/>
    <hyperlink r:id="rId3957" ref="CX150"/>
    <hyperlink r:id="rId3958" ref="DM150"/>
    <hyperlink r:id="rId3959" ref="I151"/>
    <hyperlink r:id="rId3960" ref="J151"/>
    <hyperlink r:id="rId3961" ref="K151"/>
    <hyperlink r:id="rId3962" ref="L151"/>
    <hyperlink r:id="rId3963" ref="N151"/>
    <hyperlink r:id="rId3964" ref="P151"/>
    <hyperlink r:id="rId3965" ref="X151"/>
    <hyperlink r:id="rId3966" ref="AU151"/>
    <hyperlink r:id="rId3967" ref="AV151"/>
    <hyperlink r:id="rId3968" ref="BB151"/>
    <hyperlink r:id="rId3969" ref="BE151"/>
    <hyperlink r:id="rId3970" ref="BF151"/>
    <hyperlink r:id="rId3971" ref="BI151"/>
    <hyperlink r:id="rId3972" ref="CN151"/>
    <hyperlink r:id="rId3973" ref="CV151"/>
    <hyperlink r:id="rId3974" ref="CZ151"/>
    <hyperlink r:id="rId3975" ref="DB151"/>
    <hyperlink r:id="rId3976" ref="J153"/>
    <hyperlink r:id="rId3977" ref="Z153"/>
    <hyperlink r:id="rId3978" ref="BU153"/>
    <hyperlink r:id="rId3979" ref="CH153"/>
    <hyperlink r:id="rId3980" ref="I156"/>
    <hyperlink r:id="rId3981" ref="J156"/>
    <hyperlink r:id="rId3982" ref="K156"/>
    <hyperlink r:id="rId3983" ref="L156"/>
    <hyperlink r:id="rId3984" ref="AC156"/>
    <hyperlink r:id="rId3985" ref="BI156"/>
    <hyperlink r:id="rId3986" ref="AD158"/>
    <hyperlink r:id="rId3987" ref="BI158"/>
    <hyperlink r:id="rId3988" ref="K160"/>
    <hyperlink r:id="rId3989" ref="L160"/>
    <hyperlink r:id="rId3990" ref="AA160"/>
    <hyperlink r:id="rId3991" ref="BT160"/>
    <hyperlink r:id="rId3992" ref="BU160"/>
    <hyperlink r:id="rId3993" ref="CH160"/>
    <hyperlink r:id="rId3994" ref="DC160"/>
    <hyperlink r:id="rId3995" ref="AC162"/>
    <hyperlink r:id="rId3996" ref="BC162"/>
    <hyperlink r:id="rId3997" ref="AA163"/>
    <hyperlink r:id="rId3998" ref="AV163"/>
    <hyperlink r:id="rId3999" ref="CO163"/>
    <hyperlink r:id="rId4000" ref="DA163"/>
    <hyperlink r:id="rId4001" ref="DB163"/>
    <hyperlink r:id="rId4002" ref="BD164"/>
    <hyperlink r:id="rId4003" ref="K167"/>
    <hyperlink r:id="rId4004" ref="L167"/>
    <hyperlink r:id="rId4005" ref="X167"/>
    <hyperlink r:id="rId4006" ref="AA167"/>
    <hyperlink r:id="rId4007" ref="AB167"/>
    <hyperlink r:id="rId4008" ref="AC167"/>
    <hyperlink r:id="rId4009" ref="AD167"/>
    <hyperlink r:id="rId4010" ref="AG167"/>
    <hyperlink r:id="rId4011" ref="AU167"/>
    <hyperlink r:id="rId4012" ref="AV167"/>
    <hyperlink r:id="rId4013" ref="BC167"/>
    <hyperlink r:id="rId4014" ref="BE167"/>
    <hyperlink r:id="rId4015" ref="BF167"/>
    <hyperlink r:id="rId4016" ref="BG167"/>
    <hyperlink r:id="rId4017" ref="BR167"/>
    <hyperlink r:id="rId4018" ref="BT167"/>
    <hyperlink r:id="rId4019" ref="BU167"/>
    <hyperlink r:id="rId4020" ref="BY167"/>
    <hyperlink r:id="rId4021" ref="CA167"/>
    <hyperlink r:id="rId4022" ref="CG167"/>
    <hyperlink r:id="rId4023" ref="CH167"/>
    <hyperlink r:id="rId4024" ref="CI167"/>
    <hyperlink r:id="rId4025" ref="CM167"/>
    <hyperlink r:id="rId4026" ref="CN167"/>
    <hyperlink r:id="rId4027" ref="CO167"/>
    <hyperlink r:id="rId4028" ref="CV167"/>
    <hyperlink r:id="rId4029" ref="CX167"/>
    <hyperlink r:id="rId4030" ref="CY167"/>
    <hyperlink r:id="rId4031" ref="DB167"/>
    <hyperlink r:id="rId4032" ref="DC167"/>
    <hyperlink r:id="rId4033" ref="DS167"/>
    <hyperlink r:id="rId4034" ref="AC168"/>
    <hyperlink r:id="rId4035" ref="BI168"/>
    <hyperlink r:id="rId4036" ref="CG168"/>
    <hyperlink r:id="rId4037" ref="CO168"/>
    <hyperlink r:id="rId4038" ref="DB168"/>
    <hyperlink r:id="rId4039" ref="CG169"/>
    <hyperlink r:id="rId4040" ref="K171"/>
    <hyperlink r:id="rId4041" ref="BL171"/>
    <hyperlink r:id="rId4042" ref="CX171"/>
    <hyperlink r:id="rId4043" ref="DC171"/>
    <hyperlink r:id="rId4044" ref="AH172"/>
    <hyperlink r:id="rId4045" ref="DE172"/>
    <hyperlink r:id="rId4046" ref="DM175"/>
    <hyperlink r:id="rId4047" ref="T177"/>
    <hyperlink r:id="rId4048" ref="BF177"/>
    <hyperlink r:id="rId4049" ref="BT177"/>
    <hyperlink r:id="rId4050" ref="CT177"/>
    <hyperlink r:id="rId4051" ref="P178"/>
    <hyperlink r:id="rId4052" ref="X178"/>
    <hyperlink r:id="rId4053" ref="AA178"/>
    <hyperlink r:id="rId4054" ref="AG178"/>
    <hyperlink r:id="rId4055" ref="AU178"/>
    <hyperlink r:id="rId4056" ref="BU178"/>
    <hyperlink r:id="rId4057" ref="K182"/>
    <hyperlink r:id="rId4058" ref="X182"/>
    <hyperlink r:id="rId4059" ref="AA182"/>
    <hyperlink r:id="rId4060" ref="BW182"/>
    <hyperlink r:id="rId4061" ref="CA182"/>
    <hyperlink r:id="rId4062" ref="CG182"/>
    <hyperlink r:id="rId4063" ref="CN182"/>
    <hyperlink r:id="rId4064" ref="CO182"/>
    <hyperlink r:id="rId4065" ref="DB182"/>
    <hyperlink r:id="rId4066" ref="Z183"/>
    <hyperlink r:id="rId4067" ref="BX183"/>
    <hyperlink r:id="rId4068" ref="CJ183"/>
    <hyperlink r:id="rId4069" ref="CK183"/>
    <hyperlink r:id="rId4070" ref="AS188"/>
    <hyperlink r:id="rId4071" ref="BW188"/>
    <hyperlink r:id="rId4072" ref="CD188"/>
    <hyperlink r:id="rId4073" ref="I190"/>
    <hyperlink r:id="rId4074" ref="K190"/>
    <hyperlink r:id="rId4075" ref="K192"/>
    <hyperlink r:id="rId4076" ref="DB193"/>
    <hyperlink r:id="rId4077" ref="AC194"/>
    <hyperlink r:id="rId4078" ref="X196"/>
    <hyperlink r:id="rId4079" ref="AE196"/>
    <hyperlink r:id="rId4080" ref="DM196"/>
    <hyperlink r:id="rId4081" ref="P197"/>
    <hyperlink r:id="rId4082" ref="AG197"/>
    <hyperlink r:id="rId4083" ref="H199"/>
    <hyperlink r:id="rId4084" ref="K199"/>
    <hyperlink r:id="rId4085" ref="BD199"/>
    <hyperlink r:id="rId4086" ref="K205"/>
    <hyperlink r:id="rId4087" ref="S205"/>
    <hyperlink r:id="rId4088" ref="Z205"/>
    <hyperlink r:id="rId4089" ref="AC205"/>
    <hyperlink r:id="rId4090" ref="AE205"/>
    <hyperlink r:id="rId4091" ref="AF205"/>
    <hyperlink r:id="rId4092" ref="AJ205"/>
    <hyperlink r:id="rId4093" ref="DB205"/>
    <hyperlink r:id="rId4094" ref="DI205"/>
    <hyperlink r:id="rId4095" ref="AB206"/>
    <hyperlink r:id="rId4096" ref="BI207"/>
    <hyperlink r:id="rId4097" ref="AI211"/>
    <hyperlink r:id="rId4098" ref="EA212"/>
    <hyperlink r:id="rId4099" ref="BD213"/>
    <hyperlink r:id="rId4100" ref="DM213"/>
    <hyperlink r:id="rId4101" ref="K214"/>
    <hyperlink r:id="rId4102" ref="H215"/>
    <hyperlink r:id="rId4103" ref="K215"/>
    <hyperlink r:id="rId4104" ref="Z215"/>
    <hyperlink r:id="rId4105" ref="AN215"/>
    <hyperlink r:id="rId4106" ref="AP215"/>
    <hyperlink r:id="rId4107" ref="AY215"/>
    <hyperlink r:id="rId4108" ref="BB215"/>
    <hyperlink r:id="rId4109" ref="BD215"/>
    <hyperlink r:id="rId4110" ref="BN215"/>
    <hyperlink r:id="rId4111" ref="CG215"/>
    <hyperlink r:id="rId4112" ref="DO215"/>
    <hyperlink r:id="rId4113" ref="DP215"/>
    <hyperlink r:id="rId4114" ref="DQ215"/>
    <hyperlink r:id="rId4115" ref="ED215"/>
    <hyperlink r:id="rId4116" ref="H224"/>
    <hyperlink r:id="rId4117" ref="AW224"/>
  </hyperlinks>
  <drawing r:id="rId4118"/>
  <legacyDrawing r:id="rId4119"/>
  <tableParts count="3">
    <tablePart r:id="rId4123"/>
    <tablePart r:id="rId4124"/>
    <tablePart r:id="rId41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649</v>
      </c>
      <c r="D4" s="788" t="s">
        <v>2682</v>
      </c>
      <c r="E4" s="789" t="s">
        <v>334</v>
      </c>
      <c r="F4" s="790" t="s">
        <v>2651</v>
      </c>
      <c r="G4" s="786" t="s">
        <v>6702</v>
      </c>
      <c r="H4" s="791" t="s">
        <v>1296</v>
      </c>
      <c r="I4" s="792" t="s">
        <v>6703</v>
      </c>
      <c r="J4" s="793" t="s">
        <v>6704</v>
      </c>
      <c r="K4" s="794" t="s">
        <v>6705</v>
      </c>
      <c r="L4" s="792" t="s">
        <v>6706</v>
      </c>
      <c r="M4" s="337"/>
      <c r="N4" s="795" t="s">
        <v>6707</v>
      </c>
      <c r="O4" s="795" t="s">
        <v>6708</v>
      </c>
      <c r="P4" s="796"/>
      <c r="Q4" s="795" t="s">
        <v>6709</v>
      </c>
      <c r="R4" s="797" t="s">
        <v>3181</v>
      </c>
      <c r="S4" s="798" t="s">
        <v>5966</v>
      </c>
      <c r="T4" s="792" t="s">
        <v>5461</v>
      </c>
      <c r="U4" s="792" t="s">
        <v>6710</v>
      </c>
      <c r="V4" s="795" t="s">
        <v>6711</v>
      </c>
      <c r="W4" s="796"/>
      <c r="X4" s="792" t="s">
        <v>912</v>
      </c>
      <c r="Y4" s="793" t="s">
        <v>6712</v>
      </c>
      <c r="Z4" s="791" t="s">
        <v>6713</v>
      </c>
      <c r="AA4" s="799" t="s">
        <v>6714</v>
      </c>
      <c r="AB4" s="794" t="s">
        <v>6715</v>
      </c>
      <c r="AC4" s="795" t="s">
        <v>6716</v>
      </c>
      <c r="AD4" s="792" t="s">
        <v>4971</v>
      </c>
      <c r="AE4" s="794" t="s">
        <v>6717</v>
      </c>
      <c r="AF4" s="794"/>
      <c r="AG4" s="795" t="s">
        <v>6718</v>
      </c>
      <c r="AH4" s="800" t="s">
        <v>6719</v>
      </c>
      <c r="AI4" s="796"/>
      <c r="AJ4" s="794"/>
      <c r="AK4" s="794" t="s">
        <v>6720</v>
      </c>
      <c r="AL4" s="794" t="s">
        <v>5611</v>
      </c>
      <c r="AM4" s="793" t="s">
        <v>6721</v>
      </c>
      <c r="AN4" s="791" t="s">
        <v>6722</v>
      </c>
      <c r="AO4" s="337"/>
      <c r="AP4" s="791" t="s">
        <v>6723</v>
      </c>
      <c r="AQ4" s="792" t="s">
        <v>5096</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2685</v>
      </c>
      <c r="CA4" s="337"/>
      <c r="CB4" s="792" t="s">
        <v>2406</v>
      </c>
      <c r="CC4" s="794"/>
      <c r="CD4" s="794" t="s">
        <v>2954</v>
      </c>
      <c r="CE4" s="795" t="s">
        <v>6745</v>
      </c>
      <c r="CF4" s="795" t="s">
        <v>6746</v>
      </c>
      <c r="CG4" s="795" t="s">
        <v>6747</v>
      </c>
      <c r="CH4" s="793" t="s">
        <v>6748</v>
      </c>
      <c r="CI4" s="795" t="s">
        <v>3646</v>
      </c>
      <c r="CJ4" s="795" t="s">
        <v>5052</v>
      </c>
      <c r="CK4" s="803"/>
    </row>
    <row r="5">
      <c r="A5" s="804" t="s">
        <v>6749</v>
      </c>
      <c r="B5" s="805" t="s">
        <v>6750</v>
      </c>
      <c r="C5" s="806" t="s">
        <v>983</v>
      </c>
      <c r="D5" s="807" t="s">
        <v>650</v>
      </c>
      <c r="E5" s="808" t="s">
        <v>650</v>
      </c>
      <c r="F5" s="809" t="s">
        <v>1499</v>
      </c>
      <c r="G5" s="810" t="s">
        <v>2546</v>
      </c>
      <c r="H5" s="811" t="s">
        <v>2996</v>
      </c>
      <c r="I5" s="812"/>
      <c r="J5" s="811" t="s">
        <v>2030</v>
      </c>
      <c r="K5" s="813" t="s">
        <v>6751</v>
      </c>
      <c r="L5" s="813" t="s">
        <v>6752</v>
      </c>
      <c r="M5" s="814" t="s">
        <v>3227</v>
      </c>
      <c r="N5" s="812"/>
      <c r="O5" s="815" t="s">
        <v>6753</v>
      </c>
      <c r="P5" s="816"/>
      <c r="Q5" s="817" t="s">
        <v>6754</v>
      </c>
      <c r="R5" s="818" t="s">
        <v>1737</v>
      </c>
      <c r="S5" s="819" t="s">
        <v>5101</v>
      </c>
      <c r="T5" s="819" t="s">
        <v>5687</v>
      </c>
      <c r="U5" s="819"/>
      <c r="V5" s="817" t="s">
        <v>6755</v>
      </c>
      <c r="W5" s="816"/>
      <c r="X5" s="820" t="s">
        <v>2382</v>
      </c>
      <c r="Y5" s="821" t="s">
        <v>6756</v>
      </c>
      <c r="Z5" s="822" t="s">
        <v>6757</v>
      </c>
      <c r="AA5" s="823" t="s">
        <v>6758</v>
      </c>
      <c r="AB5" s="823" t="s">
        <v>6759</v>
      </c>
      <c r="AC5" s="821" t="s">
        <v>749</v>
      </c>
      <c r="AD5" s="824" t="s">
        <v>4274</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4750</v>
      </c>
      <c r="AX5" s="831" t="s">
        <v>6763</v>
      </c>
      <c r="AY5" s="831" t="s">
        <v>1678</v>
      </c>
      <c r="AZ5" s="833"/>
      <c r="BA5" s="834" t="s">
        <v>6764</v>
      </c>
      <c r="BB5" s="835" t="s">
        <v>6765</v>
      </c>
      <c r="BC5" s="836" t="s">
        <v>294</v>
      </c>
      <c r="BD5" s="834" t="s">
        <v>4280</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6441</v>
      </c>
      <c r="BV5" s="847"/>
      <c r="BW5" s="843" t="s">
        <v>6775</v>
      </c>
      <c r="BX5" s="816"/>
      <c r="BY5" s="848" t="s">
        <v>3393</v>
      </c>
      <c r="BZ5" s="849" t="s">
        <v>6184</v>
      </c>
      <c r="CA5" s="817" t="s">
        <v>6776</v>
      </c>
      <c r="CB5" s="850"/>
      <c r="CC5" s="851"/>
      <c r="CD5" s="817" t="s">
        <v>6777</v>
      </c>
      <c r="CE5" s="852" t="s">
        <v>6778</v>
      </c>
      <c r="CF5" s="817" t="s">
        <v>1591</v>
      </c>
      <c r="CG5" s="818" t="s">
        <v>5132</v>
      </c>
      <c r="CH5" s="853" t="s">
        <v>6779</v>
      </c>
      <c r="CI5" s="817" t="s">
        <v>1089</v>
      </c>
      <c r="CJ5" s="817" t="s">
        <v>2217</v>
      </c>
      <c r="CK5" s="817" t="s">
        <v>3877</v>
      </c>
    </row>
    <row r="6">
      <c r="A6" s="854" t="s">
        <v>6780</v>
      </c>
      <c r="B6" s="810" t="s">
        <v>6781</v>
      </c>
      <c r="C6" s="806" t="s">
        <v>438</v>
      </c>
      <c r="D6" s="807" t="s">
        <v>650</v>
      </c>
      <c r="E6" s="808" t="s">
        <v>650</v>
      </c>
      <c r="F6" s="809" t="s">
        <v>2872</v>
      </c>
      <c r="G6" s="810" t="s">
        <v>4686</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4450</v>
      </c>
      <c r="AA6" s="824" t="s">
        <v>5684</v>
      </c>
      <c r="AB6" s="821" t="s">
        <v>793</v>
      </c>
      <c r="AC6" s="824" t="s">
        <v>2980</v>
      </c>
      <c r="AD6" s="866" t="s">
        <v>1217</v>
      </c>
      <c r="AE6" s="824" t="s">
        <v>2676</v>
      </c>
      <c r="AF6" s="825"/>
      <c r="AG6" s="821" t="s">
        <v>6789</v>
      </c>
      <c r="AH6" s="826"/>
      <c r="AI6" s="833"/>
      <c r="AJ6" s="867"/>
      <c r="AK6" s="867" t="s">
        <v>4078</v>
      </c>
      <c r="AL6" s="868"/>
      <c r="AM6" s="867" t="s">
        <v>4643</v>
      </c>
      <c r="AN6" s="867"/>
      <c r="AO6" s="869" t="s">
        <v>2389</v>
      </c>
      <c r="AP6" s="868"/>
      <c r="AQ6" s="870" t="s">
        <v>6790</v>
      </c>
      <c r="AR6" s="867" t="s">
        <v>6791</v>
      </c>
      <c r="AS6" s="867" t="s">
        <v>6792</v>
      </c>
      <c r="AT6" s="868"/>
      <c r="AU6" s="868"/>
      <c r="AV6" s="868"/>
      <c r="AW6" s="871" t="s">
        <v>4237</v>
      </c>
      <c r="AX6" s="872" t="s">
        <v>3764</v>
      </c>
      <c r="AY6" s="867" t="s">
        <v>6793</v>
      </c>
      <c r="AZ6" s="833"/>
      <c r="BA6" s="873"/>
      <c r="BB6" s="874" t="s">
        <v>6794</v>
      </c>
      <c r="BC6" s="875" t="s">
        <v>6795</v>
      </c>
      <c r="BD6" s="873"/>
      <c r="BE6" s="875" t="s">
        <v>6796</v>
      </c>
      <c r="BF6" s="833"/>
      <c r="BG6" s="876" t="s">
        <v>6797</v>
      </c>
      <c r="BH6" s="877" t="s">
        <v>1874</v>
      </c>
      <c r="BI6" s="877"/>
      <c r="BJ6" s="877"/>
      <c r="BK6" s="878" t="s">
        <v>2049</v>
      </c>
      <c r="BL6" s="879"/>
      <c r="BM6" s="877" t="s">
        <v>6798</v>
      </c>
      <c r="BN6" s="833"/>
      <c r="BO6" s="880" t="s">
        <v>5079</v>
      </c>
      <c r="BP6" s="881"/>
      <c r="BQ6" s="881"/>
      <c r="BR6" s="882" t="s">
        <v>6799</v>
      </c>
      <c r="BS6" s="881"/>
      <c r="BT6" s="883" t="s">
        <v>1616</v>
      </c>
      <c r="BU6" s="881"/>
      <c r="BV6" s="884" t="s">
        <v>3864</v>
      </c>
      <c r="BW6" s="883" t="s">
        <v>6150</v>
      </c>
      <c r="BX6" s="833"/>
      <c r="BY6" s="885" t="s">
        <v>2811</v>
      </c>
      <c r="BZ6" s="886" t="s">
        <v>4214</v>
      </c>
      <c r="CA6" s="887"/>
      <c r="CB6" s="887"/>
      <c r="CC6" s="887"/>
      <c r="CD6" s="886" t="s">
        <v>1398</v>
      </c>
      <c r="CE6" s="888" t="s">
        <v>4744</v>
      </c>
      <c r="CF6" s="886" t="s">
        <v>6800</v>
      </c>
      <c r="CG6" s="887"/>
      <c r="CH6" s="887"/>
      <c r="CI6" s="887"/>
      <c r="CJ6" s="887"/>
      <c r="CK6" s="887"/>
    </row>
    <row r="7">
      <c r="A7" s="889" t="s">
        <v>436</v>
      </c>
      <c r="B7" s="810" t="s">
        <v>6801</v>
      </c>
      <c r="C7" s="806" t="s">
        <v>438</v>
      </c>
      <c r="D7" s="807" t="s">
        <v>3873</v>
      </c>
      <c r="E7" s="808" t="s">
        <v>650</v>
      </c>
      <c r="F7" s="809" t="s">
        <v>4056</v>
      </c>
      <c r="G7" s="810" t="s">
        <v>1499</v>
      </c>
      <c r="H7" s="857" t="s">
        <v>1606</v>
      </c>
      <c r="I7" s="890" t="s">
        <v>3119</v>
      </c>
      <c r="J7" s="858" t="s">
        <v>6802</v>
      </c>
      <c r="K7" s="891" t="s">
        <v>5983</v>
      </c>
      <c r="L7" s="857" t="s">
        <v>5538</v>
      </c>
      <c r="M7" s="855"/>
      <c r="N7" s="855"/>
      <c r="O7" s="892" t="s">
        <v>6803</v>
      </c>
      <c r="P7" s="816"/>
      <c r="Q7" s="863" t="s">
        <v>6804</v>
      </c>
      <c r="R7" s="863" t="s">
        <v>2812</v>
      </c>
      <c r="S7" s="860"/>
      <c r="T7" s="893" t="s">
        <v>233</v>
      </c>
      <c r="U7" s="894"/>
      <c r="V7" s="861" t="s">
        <v>6805</v>
      </c>
      <c r="W7" s="816"/>
      <c r="X7" s="824" t="s">
        <v>148</v>
      </c>
      <c r="Y7" s="824" t="s">
        <v>6806</v>
      </c>
      <c r="Z7" s="824" t="s">
        <v>2599</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4920</v>
      </c>
      <c r="AU7" s="868"/>
      <c r="AV7" s="868"/>
      <c r="AW7" s="872" t="s">
        <v>5044</v>
      </c>
      <c r="AX7" s="872" t="s">
        <v>1304</v>
      </c>
      <c r="AY7" s="868"/>
      <c r="AZ7" s="833"/>
      <c r="BA7" s="901"/>
      <c r="BB7" s="875" t="s">
        <v>6814</v>
      </c>
      <c r="BC7" s="874" t="s">
        <v>6175</v>
      </c>
      <c r="BD7" s="901"/>
      <c r="BE7" s="902" t="s">
        <v>6815</v>
      </c>
      <c r="BF7" s="833"/>
      <c r="BG7" s="876" t="s">
        <v>3238</v>
      </c>
      <c r="BH7" s="876" t="s">
        <v>1306</v>
      </c>
      <c r="BI7" s="903" t="s">
        <v>5802</v>
      </c>
      <c r="BJ7" s="904"/>
      <c r="BK7" s="876" t="s">
        <v>6816</v>
      </c>
      <c r="BL7" s="879"/>
      <c r="BM7" s="877" t="s">
        <v>6817</v>
      </c>
      <c r="BN7" s="816"/>
      <c r="BO7" s="883" t="s">
        <v>6818</v>
      </c>
      <c r="BP7" s="882"/>
      <c r="BQ7" s="905" t="s">
        <v>1681</v>
      </c>
      <c r="BR7" s="882" t="s">
        <v>6819</v>
      </c>
      <c r="BS7" s="881"/>
      <c r="BT7" s="905" t="s">
        <v>1902</v>
      </c>
      <c r="BU7" s="881"/>
      <c r="BV7" s="882" t="s">
        <v>5940</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3874</v>
      </c>
      <c r="H8" s="892" t="s">
        <v>6822</v>
      </c>
      <c r="I8" s="857" t="s">
        <v>6823</v>
      </c>
      <c r="J8" s="857" t="s">
        <v>3728</v>
      </c>
      <c r="K8" s="857" t="s">
        <v>6824</v>
      </c>
      <c r="L8" s="909" t="s">
        <v>2030</v>
      </c>
      <c r="M8" s="890" t="s">
        <v>6825</v>
      </c>
      <c r="N8" s="857" t="s">
        <v>6826</v>
      </c>
      <c r="O8" s="857" t="s">
        <v>6827</v>
      </c>
      <c r="P8" s="816"/>
      <c r="Q8" s="863" t="s">
        <v>6828</v>
      </c>
      <c r="R8" s="863" t="s">
        <v>1939</v>
      </c>
      <c r="S8" s="861" t="s">
        <v>729</v>
      </c>
      <c r="T8" s="863" t="s">
        <v>5207</v>
      </c>
      <c r="U8" s="910" t="s">
        <v>6829</v>
      </c>
      <c r="V8" s="861" t="s">
        <v>6830</v>
      </c>
      <c r="W8" s="816"/>
      <c r="X8" s="821" t="s">
        <v>833</v>
      </c>
      <c r="Y8" s="866" t="s">
        <v>6831</v>
      </c>
      <c r="Z8" s="824" t="s">
        <v>6832</v>
      </c>
      <c r="AA8" s="824" t="s">
        <v>6833</v>
      </c>
      <c r="AB8" s="911" t="s">
        <v>4389</v>
      </c>
      <c r="AC8" s="824" t="s">
        <v>5935</v>
      </c>
      <c r="AD8" s="824" t="s">
        <v>131</v>
      </c>
      <c r="AE8" s="824" t="s">
        <v>6834</v>
      </c>
      <c r="AF8" s="825"/>
      <c r="AG8" s="897" t="s">
        <v>6835</v>
      </c>
      <c r="AH8" s="912" t="s">
        <v>6836</v>
      </c>
      <c r="AI8" s="816"/>
      <c r="AJ8" s="913"/>
      <c r="AK8" s="899" t="s">
        <v>102</v>
      </c>
      <c r="AL8" s="900" t="s">
        <v>6837</v>
      </c>
      <c r="AM8" s="872" t="s">
        <v>2232</v>
      </c>
      <c r="AN8" s="867" t="s">
        <v>4633</v>
      </c>
      <c r="AO8" s="867" t="s">
        <v>6838</v>
      </c>
      <c r="AP8" s="872" t="s">
        <v>6839</v>
      </c>
      <c r="AQ8" s="867" t="s">
        <v>6840</v>
      </c>
      <c r="AR8" s="872" t="s">
        <v>6841</v>
      </c>
      <c r="AS8" s="872" t="s">
        <v>2749</v>
      </c>
      <c r="AT8" s="899" t="s">
        <v>6842</v>
      </c>
      <c r="AU8" s="869" t="s">
        <v>6843</v>
      </c>
      <c r="AV8" s="900" t="s">
        <v>6844</v>
      </c>
      <c r="AW8" s="872" t="s">
        <v>2553</v>
      </c>
      <c r="AX8" s="899" t="s">
        <v>5262</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5878</v>
      </c>
      <c r="BQ8" s="883" t="s">
        <v>3598</v>
      </c>
      <c r="BR8" s="883" t="s">
        <v>3958</v>
      </c>
      <c r="BS8" s="883" t="s">
        <v>816</v>
      </c>
      <c r="BT8" s="883" t="s">
        <v>1371</v>
      </c>
      <c r="BU8" s="905" t="s">
        <v>3958</v>
      </c>
      <c r="BV8" s="920" t="s">
        <v>6854</v>
      </c>
      <c r="BW8" s="883" t="s">
        <v>6855</v>
      </c>
      <c r="BX8" s="816"/>
      <c r="BY8" s="906" t="s">
        <v>6856</v>
      </c>
      <c r="BZ8" s="921" t="s">
        <v>6408</v>
      </c>
      <c r="CA8" s="921" t="s">
        <v>2349</v>
      </c>
      <c r="CB8" s="922" t="s">
        <v>3463</v>
      </c>
      <c r="CC8" s="923"/>
      <c r="CD8" s="924"/>
      <c r="CE8" s="906" t="s">
        <v>2820</v>
      </c>
      <c r="CF8" s="906" t="s">
        <v>6857</v>
      </c>
      <c r="CG8" s="906" t="s">
        <v>6858</v>
      </c>
      <c r="CH8" s="906" t="s">
        <v>2247</v>
      </c>
      <c r="CI8" s="906" t="s">
        <v>6859</v>
      </c>
      <c r="CJ8" s="921" t="s">
        <v>2735</v>
      </c>
      <c r="CK8" s="922"/>
    </row>
    <row r="9">
      <c r="A9" s="925" t="s">
        <v>981</v>
      </c>
      <c r="B9" s="810" t="s">
        <v>6860</v>
      </c>
      <c r="C9" s="806" t="s">
        <v>2682</v>
      </c>
      <c r="D9" s="807" t="s">
        <v>332</v>
      </c>
      <c r="E9" s="808" t="s">
        <v>334</v>
      </c>
      <c r="F9" s="809" t="s">
        <v>4056</v>
      </c>
      <c r="G9" s="810" t="s">
        <v>2651</v>
      </c>
      <c r="H9" s="890" t="s">
        <v>4821</v>
      </c>
      <c r="I9" s="855"/>
      <c r="J9" s="857" t="s">
        <v>6861</v>
      </c>
      <c r="K9" s="892" t="s">
        <v>6389</v>
      </c>
      <c r="L9" s="855"/>
      <c r="M9" s="855"/>
      <c r="N9" s="855"/>
      <c r="O9" s="856" t="s">
        <v>6862</v>
      </c>
      <c r="P9" s="816"/>
      <c r="Q9" s="910" t="s">
        <v>3728</v>
      </c>
      <c r="R9" s="926" t="s">
        <v>4658</v>
      </c>
      <c r="S9" s="926" t="s">
        <v>2843</v>
      </c>
      <c r="T9" s="926" t="s">
        <v>4871</v>
      </c>
      <c r="U9" s="926" t="s">
        <v>1187</v>
      </c>
      <c r="V9" s="859" t="s">
        <v>6863</v>
      </c>
      <c r="W9" s="816"/>
      <c r="X9" s="864" t="s">
        <v>378</v>
      </c>
      <c r="Y9" s="927"/>
      <c r="Z9" s="821" t="s">
        <v>3301</v>
      </c>
      <c r="AA9" s="821" t="s">
        <v>6864</v>
      </c>
      <c r="AB9" s="864" t="s">
        <v>504</v>
      </c>
      <c r="AC9" s="897" t="s">
        <v>1045</v>
      </c>
      <c r="AD9" s="823" t="s">
        <v>1702</v>
      </c>
      <c r="AE9" s="821" t="s">
        <v>6865</v>
      </c>
      <c r="AF9" s="864"/>
      <c r="AG9" s="864" t="s">
        <v>6866</v>
      </c>
      <c r="AH9" s="826"/>
      <c r="AI9" s="816"/>
      <c r="AJ9" s="868"/>
      <c r="AK9" s="868"/>
      <c r="AL9" s="868"/>
      <c r="AM9" s="867" t="s">
        <v>5193</v>
      </c>
      <c r="AN9" s="869" t="s">
        <v>4081</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5046</v>
      </c>
      <c r="BR9" s="881"/>
      <c r="BS9" s="881"/>
      <c r="BT9" s="884" t="s">
        <v>6875</v>
      </c>
      <c r="BU9" s="882" t="s">
        <v>3961</v>
      </c>
      <c r="BV9" s="932" t="s">
        <v>6876</v>
      </c>
      <c r="BW9" s="883" t="s">
        <v>6877</v>
      </c>
      <c r="BX9" s="816"/>
      <c r="BY9" s="922" t="s">
        <v>3462</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4875</v>
      </c>
      <c r="H10" s="855"/>
      <c r="I10" s="857" t="s">
        <v>6883</v>
      </c>
      <c r="J10" s="891"/>
      <c r="K10" s="934" t="s">
        <v>6884</v>
      </c>
      <c r="L10" s="892" t="s">
        <v>3132</v>
      </c>
      <c r="M10" s="855"/>
      <c r="N10" s="855"/>
      <c r="O10" s="935" t="s">
        <v>6885</v>
      </c>
      <c r="P10" s="816"/>
      <c r="Q10" s="863" t="s">
        <v>6886</v>
      </c>
      <c r="R10" s="860"/>
      <c r="S10" s="860"/>
      <c r="T10" s="936" t="s">
        <v>5910</v>
      </c>
      <c r="U10" s="859"/>
      <c r="V10" s="937" t="s">
        <v>6887</v>
      </c>
      <c r="W10" s="816"/>
      <c r="X10" s="824" t="s">
        <v>592</v>
      </c>
      <c r="Y10" s="938" t="s">
        <v>6888</v>
      </c>
      <c r="Z10" s="895" t="s">
        <v>6889</v>
      </c>
      <c r="AA10" s="895" t="s">
        <v>5603</v>
      </c>
      <c r="AB10" s="824" t="s">
        <v>2353</v>
      </c>
      <c r="AC10" s="895" t="s">
        <v>6890</v>
      </c>
      <c r="AD10" s="939" t="s">
        <v>2420</v>
      </c>
      <c r="AE10" s="824" t="s">
        <v>1014</v>
      </c>
      <c r="AF10" s="896"/>
      <c r="AG10" s="824" t="s">
        <v>6891</v>
      </c>
      <c r="AH10" s="940" t="s">
        <v>6892</v>
      </c>
      <c r="AI10" s="827"/>
      <c r="AJ10" s="868"/>
      <c r="AK10" s="898" t="s">
        <v>6893</v>
      </c>
      <c r="AL10" s="899" t="s">
        <v>6058</v>
      </c>
      <c r="AM10" s="872" t="s">
        <v>662</v>
      </c>
      <c r="AN10" s="941"/>
      <c r="AO10" s="872" t="s">
        <v>6894</v>
      </c>
      <c r="AP10" s="898" t="s">
        <v>6895</v>
      </c>
      <c r="AQ10" s="942" t="s">
        <v>5922</v>
      </c>
      <c r="AR10" s="868"/>
      <c r="AS10" s="868"/>
      <c r="AT10" s="868"/>
      <c r="AU10" s="868"/>
      <c r="AV10" s="898" t="s">
        <v>6896</v>
      </c>
      <c r="AW10" s="898" t="s">
        <v>961</v>
      </c>
      <c r="AX10" s="943" t="s">
        <v>6897</v>
      </c>
      <c r="AY10" s="943" t="s">
        <v>6898</v>
      </c>
      <c r="AZ10" s="833"/>
      <c r="BA10" s="928"/>
      <c r="BB10" s="944" t="s">
        <v>6899</v>
      </c>
      <c r="BC10" s="875" t="s">
        <v>5233</v>
      </c>
      <c r="BD10" s="901"/>
      <c r="BE10" s="875" t="s">
        <v>6900</v>
      </c>
      <c r="BF10" s="833"/>
      <c r="BG10" s="876" t="s">
        <v>6901</v>
      </c>
      <c r="BH10" s="945" t="s">
        <v>4771</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4345</v>
      </c>
      <c r="CE10" s="887"/>
      <c r="CF10" s="921" t="s">
        <v>6907</v>
      </c>
      <c r="CG10" s="948" t="s">
        <v>2642</v>
      </c>
      <c r="CH10" s="887"/>
      <c r="CI10" s="887"/>
      <c r="CJ10" s="907"/>
      <c r="CK10" s="907"/>
    </row>
    <row r="11">
      <c r="A11" s="949" t="s">
        <v>827</v>
      </c>
      <c r="B11" s="810" t="s">
        <v>6908</v>
      </c>
      <c r="C11" s="806" t="s">
        <v>439</v>
      </c>
      <c r="D11" s="807" t="s">
        <v>1054</v>
      </c>
      <c r="E11" s="808" t="s">
        <v>332</v>
      </c>
      <c r="F11" s="809" t="s">
        <v>5858</v>
      </c>
      <c r="G11" s="810" t="s">
        <v>2994</v>
      </c>
      <c r="H11" s="855"/>
      <c r="I11" s="892" t="s">
        <v>6909</v>
      </c>
      <c r="J11" s="856" t="s">
        <v>6910</v>
      </c>
      <c r="K11" s="856"/>
      <c r="L11" s="934" t="s">
        <v>6911</v>
      </c>
      <c r="M11" s="855"/>
      <c r="N11" s="890" t="s">
        <v>6912</v>
      </c>
      <c r="O11" s="855"/>
      <c r="P11" s="816"/>
      <c r="Q11" s="863" t="s">
        <v>6913</v>
      </c>
      <c r="R11" s="893" t="s">
        <v>2123</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5753</v>
      </c>
      <c r="AN11" s="868"/>
      <c r="AO11" s="899" t="s">
        <v>2062</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4063</v>
      </c>
      <c r="BW11" s="882" t="s">
        <v>6931</v>
      </c>
      <c r="BX11" s="816"/>
      <c r="BY11" s="886" t="s">
        <v>6932</v>
      </c>
      <c r="BZ11" s="933" t="s">
        <v>6878</v>
      </c>
      <c r="CA11" s="887"/>
      <c r="CB11" s="907"/>
      <c r="CC11" s="887"/>
      <c r="CD11" s="887"/>
      <c r="CE11" s="887"/>
      <c r="CF11" s="887"/>
      <c r="CG11" s="887"/>
      <c r="CH11" s="887"/>
      <c r="CI11" s="887"/>
      <c r="CJ11" s="907"/>
      <c r="CK11" s="907"/>
    </row>
    <row r="12">
      <c r="A12" s="854" t="s">
        <v>2375</v>
      </c>
      <c r="B12" s="810" t="s">
        <v>6933</v>
      </c>
      <c r="C12" s="806" t="s">
        <v>1260</v>
      </c>
      <c r="D12" s="807" t="s">
        <v>334</v>
      </c>
      <c r="E12" s="808" t="s">
        <v>650</v>
      </c>
      <c r="F12" s="809" t="s">
        <v>2107</v>
      </c>
      <c r="G12" s="810" t="s">
        <v>2107</v>
      </c>
      <c r="H12" s="857" t="s">
        <v>1209</v>
      </c>
      <c r="I12" s="857" t="s">
        <v>6934</v>
      </c>
      <c r="J12" s="857" t="s">
        <v>3728</v>
      </c>
      <c r="K12" s="857" t="s">
        <v>2032</v>
      </c>
      <c r="L12" s="855"/>
      <c r="M12" s="855"/>
      <c r="N12" s="855"/>
      <c r="O12" s="857" t="s">
        <v>6935</v>
      </c>
      <c r="P12" s="816"/>
      <c r="Q12" s="863" t="s">
        <v>6936</v>
      </c>
      <c r="R12" s="860"/>
      <c r="S12" s="863" t="s">
        <v>6937</v>
      </c>
      <c r="T12" s="863" t="s">
        <v>5283</v>
      </c>
      <c r="U12" s="863" t="s">
        <v>3605</v>
      </c>
      <c r="V12" s="863" t="s">
        <v>6938</v>
      </c>
      <c r="W12" s="816"/>
      <c r="X12" s="824" t="s">
        <v>2778</v>
      </c>
      <c r="Y12" s="824" t="s">
        <v>6939</v>
      </c>
      <c r="Z12" s="824" t="s">
        <v>6940</v>
      </c>
      <c r="AA12" s="824" t="s">
        <v>6833</v>
      </c>
      <c r="AB12" s="824" t="s">
        <v>6420</v>
      </c>
      <c r="AC12" s="824" t="s">
        <v>6941</v>
      </c>
      <c r="AD12" s="824" t="s">
        <v>1127</v>
      </c>
      <c r="AE12" s="824" t="s">
        <v>6942</v>
      </c>
      <c r="AF12" s="896"/>
      <c r="AG12" s="824" t="s">
        <v>6943</v>
      </c>
      <c r="AH12" s="826"/>
      <c r="AI12" s="816"/>
      <c r="AJ12" s="950"/>
      <c r="AK12" s="900" t="s">
        <v>2092</v>
      </c>
      <c r="AL12" s="868"/>
      <c r="AM12" s="872" t="s">
        <v>4257</v>
      </c>
      <c r="AN12" s="868"/>
      <c r="AO12" s="868"/>
      <c r="AP12" s="872" t="s">
        <v>3526</v>
      </c>
      <c r="AQ12" s="868"/>
      <c r="AR12" s="900" t="s">
        <v>6944</v>
      </c>
      <c r="AS12" s="872" t="s">
        <v>6945</v>
      </c>
      <c r="AT12" s="868"/>
      <c r="AU12" s="899" t="s">
        <v>6946</v>
      </c>
      <c r="AV12" s="868"/>
      <c r="AW12" s="872" t="s">
        <v>5488</v>
      </c>
      <c r="AX12" s="872" t="s">
        <v>4822</v>
      </c>
      <c r="AY12" s="872" t="s">
        <v>6947</v>
      </c>
      <c r="AZ12" s="833"/>
      <c r="BA12" s="875" t="s">
        <v>6948</v>
      </c>
      <c r="BB12" s="875" t="s">
        <v>6949</v>
      </c>
      <c r="BC12" s="875" t="s">
        <v>5411</v>
      </c>
      <c r="BD12" s="901"/>
      <c r="BE12" s="875" t="s">
        <v>6950</v>
      </c>
      <c r="BF12" s="833"/>
      <c r="BG12" s="876" t="s">
        <v>6951</v>
      </c>
      <c r="BH12" s="876" t="s">
        <v>3335</v>
      </c>
      <c r="BI12" s="876" t="s">
        <v>2217</v>
      </c>
      <c r="BJ12" s="878" t="s">
        <v>6952</v>
      </c>
      <c r="BK12" s="876" t="s">
        <v>6953</v>
      </c>
      <c r="BL12" s="879"/>
      <c r="BM12" s="876" t="s">
        <v>6954</v>
      </c>
      <c r="BN12" s="816"/>
      <c r="BO12" s="881"/>
      <c r="BP12" s="931"/>
      <c r="BQ12" s="883" t="s">
        <v>2702</v>
      </c>
      <c r="BR12" s="883" t="s">
        <v>6955</v>
      </c>
      <c r="BS12" s="881"/>
      <c r="BT12" s="883" t="s">
        <v>1700</v>
      </c>
      <c r="BU12" s="881"/>
      <c r="BV12" s="883" t="s">
        <v>6956</v>
      </c>
      <c r="BW12" s="883" t="s">
        <v>6243</v>
      </c>
      <c r="BX12" s="816"/>
      <c r="BY12" s="906" t="s">
        <v>6811</v>
      </c>
      <c r="BZ12" s="906" t="s">
        <v>2782</v>
      </c>
      <c r="CA12" s="922" t="s">
        <v>6957</v>
      </c>
      <c r="CB12" s="907"/>
      <c r="CC12" s="887"/>
      <c r="CD12" s="922" t="s">
        <v>4345</v>
      </c>
      <c r="CE12" s="906" t="s">
        <v>6958</v>
      </c>
      <c r="CF12" s="906" t="s">
        <v>5413</v>
      </c>
      <c r="CG12" s="921" t="s">
        <v>6959</v>
      </c>
      <c r="CH12" s="887"/>
      <c r="CI12" s="921" t="s">
        <v>4817</v>
      </c>
      <c r="CJ12" s="907"/>
      <c r="CK12" s="907"/>
    </row>
    <row r="13">
      <c r="A13" s="889" t="s">
        <v>330</v>
      </c>
      <c r="B13" s="810" t="s">
        <v>6960</v>
      </c>
      <c r="C13" s="806" t="s">
        <v>332</v>
      </c>
      <c r="D13" s="807" t="s">
        <v>332</v>
      </c>
      <c r="E13" s="808" t="s">
        <v>3873</v>
      </c>
      <c r="F13" s="809" t="s">
        <v>3974</v>
      </c>
      <c r="G13" s="810" t="s">
        <v>1499</v>
      </c>
      <c r="H13" s="951" t="s">
        <v>2929</v>
      </c>
      <c r="I13" s="934" t="s">
        <v>6961</v>
      </c>
      <c r="J13" s="892" t="s">
        <v>6962</v>
      </c>
      <c r="K13" s="857" t="s">
        <v>716</v>
      </c>
      <c r="L13" s="952" t="s">
        <v>6963</v>
      </c>
      <c r="M13" s="855"/>
      <c r="N13" s="855"/>
      <c r="O13" s="935" t="s">
        <v>6964</v>
      </c>
      <c r="P13" s="816"/>
      <c r="Q13" s="863" t="s">
        <v>6965</v>
      </c>
      <c r="R13" s="860"/>
      <c r="S13" s="860"/>
      <c r="T13" s="910" t="s">
        <v>5423</v>
      </c>
      <c r="U13" s="859"/>
      <c r="V13" s="937" t="s">
        <v>6966</v>
      </c>
      <c r="W13" s="816"/>
      <c r="X13" s="927"/>
      <c r="Y13" s="895" t="s">
        <v>6967</v>
      </c>
      <c r="Z13" s="938" t="s">
        <v>6963</v>
      </c>
      <c r="AA13" s="938" t="s">
        <v>6968</v>
      </c>
      <c r="AB13" s="866" t="s">
        <v>3436</v>
      </c>
      <c r="AC13" s="895" t="s">
        <v>2901</v>
      </c>
      <c r="AD13" s="824" t="s">
        <v>2398</v>
      </c>
      <c r="AE13" s="823" t="s">
        <v>1251</v>
      </c>
      <c r="AF13" s="896"/>
      <c r="AG13" s="938" t="s">
        <v>6969</v>
      </c>
      <c r="AH13" s="826"/>
      <c r="AI13" s="816"/>
      <c r="AJ13" s="950"/>
      <c r="AK13" s="872" t="s">
        <v>6970</v>
      </c>
      <c r="AL13" s="868"/>
      <c r="AM13" s="953"/>
      <c r="AN13" s="953" t="s">
        <v>6971</v>
      </c>
      <c r="AO13" s="954" t="s">
        <v>4854</v>
      </c>
      <c r="AP13" s="955" t="s">
        <v>6972</v>
      </c>
      <c r="AQ13" s="955" t="s">
        <v>6973</v>
      </c>
      <c r="AR13" s="956"/>
      <c r="AS13" s="869" t="s">
        <v>6792</v>
      </c>
      <c r="AT13" s="953"/>
      <c r="AU13" s="941"/>
      <c r="AV13" s="869" t="s">
        <v>6974</v>
      </c>
      <c r="AW13" s="872" t="s">
        <v>6975</v>
      </c>
      <c r="AX13" s="943" t="s">
        <v>6976</v>
      </c>
      <c r="AY13" s="943" t="s">
        <v>6977</v>
      </c>
      <c r="AZ13" s="833"/>
      <c r="BA13" s="873"/>
      <c r="BB13" s="914" t="s">
        <v>6978</v>
      </c>
      <c r="BC13" s="875" t="s">
        <v>3760</v>
      </c>
      <c r="BD13" s="901"/>
      <c r="BE13" s="944" t="s">
        <v>6979</v>
      </c>
      <c r="BF13" s="833"/>
      <c r="BG13" s="957" t="s">
        <v>6980</v>
      </c>
      <c r="BH13" s="957" t="s">
        <v>5523</v>
      </c>
      <c r="BI13" s="877"/>
      <c r="BJ13" s="877"/>
      <c r="BK13" s="958" t="s">
        <v>6981</v>
      </c>
      <c r="BL13" s="879"/>
      <c r="BM13" s="958" t="s">
        <v>6982</v>
      </c>
      <c r="BN13" s="816"/>
      <c r="BO13" s="920" t="s">
        <v>6983</v>
      </c>
      <c r="BP13" s="931"/>
      <c r="BQ13" s="920" t="s">
        <v>698</v>
      </c>
      <c r="BR13" s="932" t="s">
        <v>6984</v>
      </c>
      <c r="BS13" s="881"/>
      <c r="BT13" s="883" t="s">
        <v>1930</v>
      </c>
      <c r="BU13" s="881"/>
      <c r="BV13" s="931" t="s">
        <v>6985</v>
      </c>
      <c r="BW13" s="959" t="s">
        <v>6986</v>
      </c>
      <c r="BX13" s="827"/>
      <c r="BY13" s="948" t="s">
        <v>4512</v>
      </c>
      <c r="BZ13" s="887"/>
      <c r="CA13" s="923"/>
      <c r="CB13" s="933" t="s">
        <v>2845</v>
      </c>
      <c r="CC13" s="947"/>
      <c r="CD13" s="948" t="s">
        <v>1173</v>
      </c>
      <c r="CE13" s="887"/>
      <c r="CF13" s="948" t="s">
        <v>6987</v>
      </c>
      <c r="CG13" s="887"/>
      <c r="CH13" s="922" t="s">
        <v>4862</v>
      </c>
      <c r="CI13" s="887"/>
      <c r="CJ13" s="907"/>
      <c r="CK13" s="907"/>
    </row>
    <row r="14">
      <c r="A14" s="960" t="s">
        <v>1632</v>
      </c>
      <c r="B14" s="810" t="s">
        <v>6988</v>
      </c>
      <c r="C14" s="806" t="s">
        <v>547</v>
      </c>
      <c r="D14" s="807" t="s">
        <v>1260</v>
      </c>
      <c r="E14" s="808" t="s">
        <v>650</v>
      </c>
      <c r="F14" s="809" t="s">
        <v>1200</v>
      </c>
      <c r="G14" s="810" t="s">
        <v>4608</v>
      </c>
      <c r="H14" s="857" t="s">
        <v>2358</v>
      </c>
      <c r="I14" s="961" t="s">
        <v>6989</v>
      </c>
      <c r="J14" s="856" t="s">
        <v>1302</v>
      </c>
      <c r="K14" s="856" t="s">
        <v>6990</v>
      </c>
      <c r="L14" s="856" t="s">
        <v>2150</v>
      </c>
      <c r="M14" s="962"/>
      <c r="N14" s="856" t="s">
        <v>6991</v>
      </c>
      <c r="O14" s="856" t="s">
        <v>6992</v>
      </c>
      <c r="P14" s="816"/>
      <c r="Q14" s="962"/>
      <c r="R14" s="859" t="s">
        <v>5618</v>
      </c>
      <c r="S14" s="859" t="s">
        <v>6993</v>
      </c>
      <c r="T14" s="859" t="s">
        <v>5835</v>
      </c>
      <c r="U14" s="859" t="s">
        <v>6994</v>
      </c>
      <c r="V14" s="859" t="s">
        <v>6995</v>
      </c>
      <c r="W14" s="816"/>
      <c r="X14" s="864" t="s">
        <v>3983</v>
      </c>
      <c r="Y14" s="864" t="s">
        <v>6996</v>
      </c>
      <c r="Z14" s="895" t="s">
        <v>6997</v>
      </c>
      <c r="AA14" s="963" t="s">
        <v>6998</v>
      </c>
      <c r="AB14" s="864" t="s">
        <v>677</v>
      </c>
      <c r="AC14" s="864" t="s">
        <v>652</v>
      </c>
      <c r="AD14" s="911" t="s">
        <v>1788</v>
      </c>
      <c r="AE14" s="964" t="s">
        <v>4944</v>
      </c>
      <c r="AF14" s="823" t="s">
        <v>102</v>
      </c>
      <c r="AG14" s="864" t="s">
        <v>6999</v>
      </c>
      <c r="AH14" s="965" t="s">
        <v>7000</v>
      </c>
      <c r="AI14" s="816"/>
      <c r="AJ14" s="913"/>
      <c r="AK14" s="870" t="s">
        <v>7001</v>
      </c>
      <c r="AL14" s="867"/>
      <c r="AM14" s="867" t="s">
        <v>3426</v>
      </c>
      <c r="AN14" s="872" t="s">
        <v>1731</v>
      </c>
      <c r="AO14" s="867" t="s">
        <v>4131</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4223</v>
      </c>
      <c r="BD14" s="902" t="s">
        <v>5114</v>
      </c>
      <c r="BE14" s="875" t="s">
        <v>7010</v>
      </c>
      <c r="BF14" s="833"/>
      <c r="BG14" s="877" t="s">
        <v>7011</v>
      </c>
      <c r="BH14" s="877" t="s">
        <v>5199</v>
      </c>
      <c r="BI14" s="876" t="s">
        <v>1939</v>
      </c>
      <c r="BJ14" s="957" t="s">
        <v>7012</v>
      </c>
      <c r="BK14" s="966" t="s">
        <v>7013</v>
      </c>
      <c r="BL14" s="877"/>
      <c r="BM14" s="877" t="s">
        <v>7014</v>
      </c>
      <c r="BN14" s="816"/>
      <c r="BO14" s="883" t="s">
        <v>4725</v>
      </c>
      <c r="BP14" s="932"/>
      <c r="BQ14" s="967" t="s">
        <v>4777</v>
      </c>
      <c r="BR14" s="882" t="s">
        <v>7015</v>
      </c>
      <c r="BS14" s="882"/>
      <c r="BT14" s="968" t="s">
        <v>7016</v>
      </c>
      <c r="BU14" s="932" t="s">
        <v>4795</v>
      </c>
      <c r="BV14" s="882" t="s">
        <v>7017</v>
      </c>
      <c r="BW14" s="882" t="s">
        <v>7018</v>
      </c>
      <c r="BX14" s="816"/>
      <c r="BY14" s="886" t="s">
        <v>2523</v>
      </c>
      <c r="BZ14" s="886" t="s">
        <v>7019</v>
      </c>
      <c r="CA14" s="887"/>
      <c r="CB14" s="907"/>
      <c r="CC14" s="887"/>
      <c r="CD14" s="886" t="s">
        <v>7020</v>
      </c>
      <c r="CE14" s="886" t="s">
        <v>7021</v>
      </c>
      <c r="CF14" s="886" t="s">
        <v>7022</v>
      </c>
      <c r="CG14" s="886"/>
      <c r="CH14" s="921" t="s">
        <v>7023</v>
      </c>
      <c r="CI14" s="887"/>
      <c r="CJ14" s="907"/>
      <c r="CK14" s="907"/>
    </row>
    <row r="15">
      <c r="A15" s="854" t="s">
        <v>2026</v>
      </c>
      <c r="B15" s="810" t="s">
        <v>7024</v>
      </c>
      <c r="C15" s="806" t="s">
        <v>1260</v>
      </c>
      <c r="D15" s="807" t="s">
        <v>650</v>
      </c>
      <c r="E15" s="808" t="s">
        <v>547</v>
      </c>
      <c r="F15" s="809" t="s">
        <v>2872</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3726</v>
      </c>
      <c r="AC15" s="824" t="s">
        <v>2049</v>
      </c>
      <c r="AD15" s="864" t="s">
        <v>4147</v>
      </c>
      <c r="AE15" s="864" t="s">
        <v>4664</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3702</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5755</v>
      </c>
      <c r="BW15" s="883" t="s">
        <v>5751</v>
      </c>
      <c r="BX15" s="816"/>
      <c r="BY15" s="906" t="s">
        <v>463</v>
      </c>
      <c r="BZ15" s="887"/>
      <c r="CA15" s="887"/>
      <c r="CB15" s="907"/>
      <c r="CC15" s="887"/>
      <c r="CD15" s="887"/>
      <c r="CE15" s="887"/>
      <c r="CF15" s="886" t="s">
        <v>4621</v>
      </c>
      <c r="CG15" s="887"/>
      <c r="CH15" s="887"/>
      <c r="CI15" s="887"/>
      <c r="CJ15" s="907"/>
      <c r="CK15" s="907"/>
    </row>
    <row r="16">
      <c r="A16" s="854" t="s">
        <v>7042</v>
      </c>
      <c r="B16" s="810" t="s">
        <v>7043</v>
      </c>
      <c r="C16" s="806" t="s">
        <v>1260</v>
      </c>
      <c r="D16" s="807" t="s">
        <v>438</v>
      </c>
      <c r="E16" s="808" t="s">
        <v>547</v>
      </c>
      <c r="F16" s="809" t="s">
        <v>5698</v>
      </c>
      <c r="G16" s="810" t="s">
        <v>4875</v>
      </c>
      <c r="H16" s="857" t="s">
        <v>2126</v>
      </c>
      <c r="I16" s="857" t="s">
        <v>7044</v>
      </c>
      <c r="J16" s="855"/>
      <c r="K16" s="855"/>
      <c r="L16" s="857" t="s">
        <v>3380</v>
      </c>
      <c r="M16" s="855"/>
      <c r="N16" s="857" t="s">
        <v>7045</v>
      </c>
      <c r="O16" s="855"/>
      <c r="P16" s="816"/>
      <c r="Q16" s="863" t="s">
        <v>246</v>
      </c>
      <c r="R16" s="860"/>
      <c r="S16" s="863" t="s">
        <v>6893</v>
      </c>
      <c r="T16" s="863" t="s">
        <v>3743</v>
      </c>
      <c r="U16" s="860"/>
      <c r="V16" s="863" t="s">
        <v>7046</v>
      </c>
      <c r="W16" s="816"/>
      <c r="X16" s="824" t="s">
        <v>273</v>
      </c>
      <c r="Y16" s="824" t="s">
        <v>7047</v>
      </c>
      <c r="Z16" s="824" t="s">
        <v>2371</v>
      </c>
      <c r="AA16" s="911" t="s">
        <v>7048</v>
      </c>
      <c r="AB16" s="824" t="s">
        <v>7049</v>
      </c>
      <c r="AC16" s="824" t="s">
        <v>1756</v>
      </c>
      <c r="AD16" s="824" t="s">
        <v>5608</v>
      </c>
      <c r="AE16" s="824" t="s">
        <v>7050</v>
      </c>
      <c r="AF16" s="825"/>
      <c r="AG16" s="864" t="s">
        <v>7051</v>
      </c>
      <c r="AH16" s="826"/>
      <c r="AI16" s="816"/>
      <c r="AJ16" s="913"/>
      <c r="AK16" s="872" t="s">
        <v>7052</v>
      </c>
      <c r="AL16" s="872" t="s">
        <v>7053</v>
      </c>
      <c r="AM16" s="872" t="s">
        <v>1214</v>
      </c>
      <c r="AN16" s="867"/>
      <c r="AO16" s="868"/>
      <c r="AP16" s="872" t="s">
        <v>4074</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4089</v>
      </c>
      <c r="BH16" s="877" t="s">
        <v>4620</v>
      </c>
      <c r="BI16" s="957" t="s">
        <v>1586</v>
      </c>
      <c r="BJ16" s="879"/>
      <c r="BK16" s="877" t="s">
        <v>4310</v>
      </c>
      <c r="BL16" s="879"/>
      <c r="BM16" s="877" t="s">
        <v>7063</v>
      </c>
      <c r="BN16" s="816"/>
      <c r="BO16" s="883" t="s">
        <v>3432</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3873</v>
      </c>
      <c r="G17" s="810" t="s">
        <v>5884</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2404</v>
      </c>
      <c r="AA17" s="969"/>
      <c r="AB17" s="927"/>
      <c r="AC17" s="895" t="s">
        <v>816</v>
      </c>
      <c r="AD17" s="895" t="s">
        <v>5877</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2854</v>
      </c>
      <c r="BH17" s="958" t="s">
        <v>7082</v>
      </c>
      <c r="BI17" s="877"/>
      <c r="BJ17" s="877"/>
      <c r="BK17" s="879"/>
      <c r="BL17" s="879"/>
      <c r="BM17" s="876" t="s">
        <v>7083</v>
      </c>
      <c r="BN17" s="816"/>
      <c r="BO17" s="932" t="s">
        <v>7084</v>
      </c>
      <c r="BP17" s="931"/>
      <c r="BQ17" s="881"/>
      <c r="BR17" s="882" t="s">
        <v>7085</v>
      </c>
      <c r="BS17" s="881"/>
      <c r="BT17" s="932" t="s">
        <v>2327</v>
      </c>
      <c r="BU17" s="881"/>
      <c r="BV17" s="882" t="s">
        <v>252</v>
      </c>
      <c r="BW17" s="882" t="s">
        <v>1573</v>
      </c>
      <c r="BX17" s="816"/>
      <c r="BY17" s="886" t="s">
        <v>4215</v>
      </c>
      <c r="BZ17" s="906" t="s">
        <v>6099</v>
      </c>
      <c r="CA17" s="887"/>
      <c r="CB17" s="907"/>
      <c r="CC17" s="887"/>
      <c r="CD17" s="887"/>
      <c r="CE17" s="886" t="s">
        <v>5964</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3347</v>
      </c>
      <c r="H18" s="855"/>
      <c r="I18" s="935" t="s">
        <v>2742</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3646</v>
      </c>
      <c r="AD18" s="938" t="s">
        <v>202</v>
      </c>
      <c r="AE18" s="895" t="s">
        <v>4632</v>
      </c>
      <c r="AF18" s="864"/>
      <c r="AG18" s="895" t="s">
        <v>7095</v>
      </c>
      <c r="AH18" s="826"/>
      <c r="AI18" s="816"/>
      <c r="AJ18" s="868"/>
      <c r="AK18" s="898" t="s">
        <v>5682</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2133</v>
      </c>
      <c r="BI18" s="879"/>
      <c r="BJ18" s="879"/>
      <c r="BK18" s="879"/>
      <c r="BL18" s="879"/>
      <c r="BM18" s="877" t="s">
        <v>7105</v>
      </c>
      <c r="BN18" s="816"/>
      <c r="BO18" s="932" t="s">
        <v>2034</v>
      </c>
      <c r="BP18" s="931"/>
      <c r="BQ18" s="881"/>
      <c r="BR18" s="932" t="s">
        <v>7106</v>
      </c>
      <c r="BS18" s="881"/>
      <c r="BT18" s="932" t="s">
        <v>3090</v>
      </c>
      <c r="BU18" s="881"/>
      <c r="BV18" s="932" t="s">
        <v>7107</v>
      </c>
      <c r="BW18" s="932" t="s">
        <v>7108</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5884</v>
      </c>
      <c r="H19" s="855"/>
      <c r="I19" s="856" t="s">
        <v>2698</v>
      </c>
      <c r="J19" s="856" t="s">
        <v>2098</v>
      </c>
      <c r="K19" s="856" t="s">
        <v>7109</v>
      </c>
      <c r="L19" s="935" t="s">
        <v>7110</v>
      </c>
      <c r="M19" s="855"/>
      <c r="N19" s="935" t="s">
        <v>7111</v>
      </c>
      <c r="O19" s="856" t="s">
        <v>7112</v>
      </c>
      <c r="P19" s="816"/>
      <c r="Q19" s="937" t="s">
        <v>2556</v>
      </c>
      <c r="R19" s="860"/>
      <c r="S19" s="860"/>
      <c r="T19" s="937" t="s">
        <v>5045</v>
      </c>
      <c r="U19" s="859"/>
      <c r="V19" s="937" t="s">
        <v>7113</v>
      </c>
      <c r="W19" s="816"/>
      <c r="X19" s="895" t="s">
        <v>4124</v>
      </c>
      <c r="Y19" s="895" t="s">
        <v>7114</v>
      </c>
      <c r="Z19" s="895" t="s">
        <v>7115</v>
      </c>
      <c r="AA19" s="895" t="s">
        <v>3037</v>
      </c>
      <c r="AB19" s="895" t="s">
        <v>4738</v>
      </c>
      <c r="AC19" s="864" t="s">
        <v>7116</v>
      </c>
      <c r="AD19" s="895" t="s">
        <v>4619</v>
      </c>
      <c r="AE19" s="895" t="s">
        <v>4930</v>
      </c>
      <c r="AF19" s="864"/>
      <c r="AG19" s="864" t="s">
        <v>7117</v>
      </c>
      <c r="AH19" s="971" t="s">
        <v>7118</v>
      </c>
      <c r="AI19" s="816"/>
      <c r="AJ19" s="868"/>
      <c r="AK19" s="868"/>
      <c r="AL19" s="868"/>
      <c r="AM19" s="867" t="s">
        <v>171</v>
      </c>
      <c r="AN19" s="868"/>
      <c r="AO19" s="943" t="s">
        <v>4400</v>
      </c>
      <c r="AP19" s="867" t="s">
        <v>3309</v>
      </c>
      <c r="AQ19" s="943" t="s">
        <v>7119</v>
      </c>
      <c r="AR19" s="868"/>
      <c r="AS19" s="868"/>
      <c r="AT19" s="868"/>
      <c r="AU19" s="868"/>
      <c r="AV19" s="868"/>
      <c r="AW19" s="943" t="s">
        <v>1077</v>
      </c>
      <c r="AX19" s="943" t="s">
        <v>4920</v>
      </c>
      <c r="AY19" s="868"/>
      <c r="AZ19" s="833"/>
      <c r="BA19" s="928"/>
      <c r="BB19" s="928"/>
      <c r="BC19" s="970" t="s">
        <v>7120</v>
      </c>
      <c r="BD19" s="902"/>
      <c r="BE19" s="902" t="s">
        <v>7121</v>
      </c>
      <c r="BF19" s="833"/>
      <c r="BG19" s="958" t="s">
        <v>1206</v>
      </c>
      <c r="BH19" s="958" t="s">
        <v>2133</v>
      </c>
      <c r="BI19" s="879"/>
      <c r="BJ19" s="879"/>
      <c r="BK19" s="877" t="s">
        <v>7122</v>
      </c>
      <c r="BL19" s="879"/>
      <c r="BM19" s="958" t="s">
        <v>7123</v>
      </c>
      <c r="BN19" s="816"/>
      <c r="BO19" s="932" t="s">
        <v>7124</v>
      </c>
      <c r="BP19" s="931"/>
      <c r="BQ19" s="881"/>
      <c r="BR19" s="881"/>
      <c r="BS19" s="881"/>
      <c r="BT19" s="932" t="s">
        <v>2754</v>
      </c>
      <c r="BU19" s="881"/>
      <c r="BV19" s="881"/>
      <c r="BW19" s="931" t="s">
        <v>7125</v>
      </c>
      <c r="BX19" s="816"/>
      <c r="BY19" s="886" t="s">
        <v>3002</v>
      </c>
      <c r="BZ19" s="887"/>
      <c r="CA19" s="887"/>
      <c r="CB19" s="907"/>
      <c r="CC19" s="887"/>
      <c r="CD19" s="887"/>
      <c r="CE19" s="887"/>
      <c r="CF19" s="887"/>
      <c r="CG19" s="887"/>
      <c r="CH19" s="887"/>
      <c r="CI19" s="887"/>
      <c r="CJ19" s="907"/>
      <c r="CK19" s="907"/>
    </row>
    <row r="20">
      <c r="A20" s="854" t="s">
        <v>3572</v>
      </c>
      <c r="B20" s="810" t="s">
        <v>7126</v>
      </c>
      <c r="C20" s="806" t="s">
        <v>1260</v>
      </c>
      <c r="D20" s="807" t="s">
        <v>547</v>
      </c>
      <c r="E20" s="808" t="s">
        <v>650</v>
      </c>
      <c r="F20" s="809" t="s">
        <v>1054</v>
      </c>
      <c r="G20" s="810" t="s">
        <v>2546</v>
      </c>
      <c r="H20" s="951" t="s">
        <v>266</v>
      </c>
      <c r="I20" s="855"/>
      <c r="J20" s="855"/>
      <c r="K20" s="855"/>
      <c r="L20" s="857" t="s">
        <v>1163</v>
      </c>
      <c r="M20" s="855"/>
      <c r="N20" s="857" t="s">
        <v>7127</v>
      </c>
      <c r="O20" s="855"/>
      <c r="P20" s="816"/>
      <c r="Q20" s="972" t="s">
        <v>7128</v>
      </c>
      <c r="R20" s="860"/>
      <c r="S20" s="859" t="s">
        <v>6052</v>
      </c>
      <c r="T20" s="972" t="s">
        <v>5461</v>
      </c>
      <c r="U20" s="973" t="s">
        <v>7129</v>
      </c>
      <c r="V20" s="859" t="s">
        <v>7130</v>
      </c>
      <c r="W20" s="816"/>
      <c r="X20" s="824" t="s">
        <v>2686</v>
      </c>
      <c r="Y20" s="864" t="s">
        <v>3585</v>
      </c>
      <c r="Z20" s="864" t="s">
        <v>6963</v>
      </c>
      <c r="AA20" s="911" t="s">
        <v>7131</v>
      </c>
      <c r="AB20" s="864" t="s">
        <v>2393</v>
      </c>
      <c r="AC20" s="864" t="s">
        <v>3948</v>
      </c>
      <c r="AD20" s="864" t="s">
        <v>3081</v>
      </c>
      <c r="AE20" s="974" t="s">
        <v>6759</v>
      </c>
      <c r="AF20" s="866" t="s">
        <v>1015</v>
      </c>
      <c r="AG20" s="864" t="s">
        <v>7132</v>
      </c>
      <c r="AH20" s="975" t="s">
        <v>3587</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5207</v>
      </c>
      <c r="BD20" s="902" t="s">
        <v>7144</v>
      </c>
      <c r="BE20" s="902" t="s">
        <v>7145</v>
      </c>
      <c r="BF20" s="833"/>
      <c r="BG20" s="877" t="s">
        <v>7146</v>
      </c>
      <c r="BH20" s="877" t="s">
        <v>2077</v>
      </c>
      <c r="BI20" s="877" t="s">
        <v>1824</v>
      </c>
      <c r="BJ20" s="879"/>
      <c r="BK20" s="877" t="s">
        <v>1474</v>
      </c>
      <c r="BL20" s="877" t="s">
        <v>7147</v>
      </c>
      <c r="BM20" s="877" t="s">
        <v>7148</v>
      </c>
      <c r="BN20" s="816"/>
      <c r="BO20" s="932" t="s">
        <v>4908</v>
      </c>
      <c r="BP20" s="931"/>
      <c r="BQ20" s="882" t="s">
        <v>2603</v>
      </c>
      <c r="BR20" s="882" t="s">
        <v>3795</v>
      </c>
      <c r="BS20" s="920" t="s">
        <v>7149</v>
      </c>
      <c r="BT20" s="932" t="s">
        <v>2319</v>
      </c>
      <c r="BU20" s="920" t="s">
        <v>7150</v>
      </c>
      <c r="BV20" s="882" t="s">
        <v>7151</v>
      </c>
      <c r="BW20" s="882" t="s">
        <v>7152</v>
      </c>
      <c r="BX20" s="816"/>
      <c r="BY20" s="887"/>
      <c r="BZ20" s="886" t="s">
        <v>3311</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5966</v>
      </c>
      <c r="T21" s="859" t="s">
        <v>5176</v>
      </c>
      <c r="U21" s="859" t="s">
        <v>7163</v>
      </c>
      <c r="V21" s="937" t="s">
        <v>7164</v>
      </c>
      <c r="W21" s="816"/>
      <c r="X21" s="927"/>
      <c r="Y21" s="927"/>
      <c r="Z21" s="864" t="s">
        <v>7165</v>
      </c>
      <c r="AA21" s="969"/>
      <c r="AB21" s="864" t="s">
        <v>2273</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3981</v>
      </c>
      <c r="AX21" s="943" t="s">
        <v>7168</v>
      </c>
      <c r="AY21" s="868"/>
      <c r="AZ21" s="833"/>
      <c r="BA21" s="928"/>
      <c r="BB21" s="902" t="s">
        <v>7169</v>
      </c>
      <c r="BC21" s="902" t="s">
        <v>3740</v>
      </c>
      <c r="BD21" s="902"/>
      <c r="BE21" s="970" t="s">
        <v>7170</v>
      </c>
      <c r="BF21" s="833"/>
      <c r="BG21" s="877" t="s">
        <v>716</v>
      </c>
      <c r="BH21" s="958" t="s">
        <v>4313</v>
      </c>
      <c r="BI21" s="877" t="s">
        <v>1671</v>
      </c>
      <c r="BJ21" s="877" t="s">
        <v>7171</v>
      </c>
      <c r="BK21" s="877" t="s">
        <v>7172</v>
      </c>
      <c r="BL21" s="879"/>
      <c r="BM21" s="877" t="s">
        <v>7173</v>
      </c>
      <c r="BN21" s="816"/>
      <c r="BO21" s="882" t="s">
        <v>4769</v>
      </c>
      <c r="BP21" s="931"/>
      <c r="BQ21" s="881"/>
      <c r="BR21" s="920" t="s">
        <v>7174</v>
      </c>
      <c r="BS21" s="881"/>
      <c r="BT21" s="882" t="s">
        <v>2369</v>
      </c>
      <c r="BU21" s="881"/>
      <c r="BV21" s="882" t="s">
        <v>7175</v>
      </c>
      <c r="BW21" s="882" t="s">
        <v>1916</v>
      </c>
      <c r="BX21" s="816"/>
      <c r="BY21" s="886" t="s">
        <v>4597</v>
      </c>
      <c r="BZ21" s="923"/>
      <c r="CA21" s="887"/>
      <c r="CB21" s="907"/>
      <c r="CC21" s="887"/>
      <c r="CD21" s="887"/>
      <c r="CE21" s="887"/>
      <c r="CF21" s="887"/>
      <c r="CG21" s="887"/>
      <c r="CH21" s="887"/>
      <c r="CI21" s="887"/>
      <c r="CJ21" s="907"/>
      <c r="CK21" s="907"/>
    </row>
    <row r="22">
      <c r="A22" s="976" t="s">
        <v>3441</v>
      </c>
      <c r="B22" s="810" t="s">
        <v>7176</v>
      </c>
      <c r="C22" s="806" t="s">
        <v>1260</v>
      </c>
      <c r="D22" s="807" t="s">
        <v>547</v>
      </c>
      <c r="E22" s="808" t="s">
        <v>1260</v>
      </c>
      <c r="F22" s="809" t="s">
        <v>332</v>
      </c>
      <c r="G22" s="810" t="s">
        <v>4117</v>
      </c>
      <c r="H22" s="855"/>
      <c r="I22" s="855"/>
      <c r="J22" s="855"/>
      <c r="K22" s="855"/>
      <c r="L22" s="856" t="s">
        <v>6526</v>
      </c>
      <c r="M22" s="855"/>
      <c r="N22" s="856" t="s">
        <v>7177</v>
      </c>
      <c r="O22" s="855"/>
      <c r="P22" s="816"/>
      <c r="Q22" s="860"/>
      <c r="R22" s="860"/>
      <c r="S22" s="860"/>
      <c r="T22" s="860"/>
      <c r="U22" s="859" t="s">
        <v>3126</v>
      </c>
      <c r="V22" s="859" t="s">
        <v>7178</v>
      </c>
      <c r="W22" s="816"/>
      <c r="X22" s="864" t="s">
        <v>384</v>
      </c>
      <c r="Y22" s="864" t="s">
        <v>7179</v>
      </c>
      <c r="Z22" s="864" t="s">
        <v>7180</v>
      </c>
      <c r="AA22" s="977" t="s">
        <v>2925</v>
      </c>
      <c r="AB22" s="864" t="s">
        <v>661</v>
      </c>
      <c r="AC22" s="864" t="s">
        <v>1813</v>
      </c>
      <c r="AD22" s="864" t="s">
        <v>7181</v>
      </c>
      <c r="AE22" s="864" t="s">
        <v>2563</v>
      </c>
      <c r="AF22" s="864"/>
      <c r="AG22" s="864" t="s">
        <v>7182</v>
      </c>
      <c r="AH22" s="978" t="s">
        <v>7183</v>
      </c>
      <c r="AI22" s="816"/>
      <c r="AJ22" s="867"/>
      <c r="AK22" s="867" t="s">
        <v>5832</v>
      </c>
      <c r="AL22" s="868"/>
      <c r="AM22" s="867" t="s">
        <v>5193</v>
      </c>
      <c r="AN22" s="868"/>
      <c r="AO22" s="868"/>
      <c r="AP22" s="867" t="s">
        <v>2061</v>
      </c>
      <c r="AQ22" s="868"/>
      <c r="AR22" s="867" t="s">
        <v>7184</v>
      </c>
      <c r="AS22" s="867"/>
      <c r="AT22" s="962"/>
      <c r="AU22" s="868"/>
      <c r="AV22" s="943" t="s">
        <v>7185</v>
      </c>
      <c r="AW22" s="872" t="s">
        <v>6154</v>
      </c>
      <c r="AX22" s="867" t="s">
        <v>7186</v>
      </c>
      <c r="AY22" s="867" t="s">
        <v>7187</v>
      </c>
      <c r="AZ22" s="833"/>
      <c r="BA22" s="928"/>
      <c r="BB22" s="875" t="s">
        <v>7188</v>
      </c>
      <c r="BC22" s="902" t="s">
        <v>2557</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2992</v>
      </c>
      <c r="B23" s="810" t="s">
        <v>7194</v>
      </c>
      <c r="C23" s="806" t="s">
        <v>547</v>
      </c>
      <c r="D23" s="807" t="s">
        <v>1260</v>
      </c>
      <c r="E23" s="808" t="s">
        <v>1260</v>
      </c>
      <c r="F23" s="809" t="s">
        <v>547</v>
      </c>
      <c r="G23" s="810" t="s">
        <v>5171</v>
      </c>
      <c r="H23" s="855"/>
      <c r="I23" s="855"/>
      <c r="J23" s="856" t="s">
        <v>311</v>
      </c>
      <c r="K23" s="856" t="s">
        <v>7195</v>
      </c>
      <c r="L23" s="856"/>
      <c r="M23" s="855"/>
      <c r="N23" s="855"/>
      <c r="O23" s="856" t="s">
        <v>7196</v>
      </c>
      <c r="P23" s="816"/>
      <c r="Q23" s="859" t="s">
        <v>4952</v>
      </c>
      <c r="R23" s="859" t="s">
        <v>3813</v>
      </c>
      <c r="S23" s="859" t="s">
        <v>694</v>
      </c>
      <c r="T23" s="859" t="s">
        <v>251</v>
      </c>
      <c r="U23" s="860"/>
      <c r="V23" s="859" t="s">
        <v>7197</v>
      </c>
      <c r="W23" s="816"/>
      <c r="X23" s="864" t="s">
        <v>6494</v>
      </c>
      <c r="Y23" s="927"/>
      <c r="Z23" s="864" t="s">
        <v>4896</v>
      </c>
      <c r="AA23" s="864" t="s">
        <v>7198</v>
      </c>
      <c r="AB23" s="864" t="s">
        <v>3010</v>
      </c>
      <c r="AC23" s="864" t="s">
        <v>1756</v>
      </c>
      <c r="AD23" s="864" t="s">
        <v>2671</v>
      </c>
      <c r="AE23" s="864" t="s">
        <v>2841</v>
      </c>
      <c r="AF23" s="864"/>
      <c r="AG23" s="864" t="s">
        <v>7199</v>
      </c>
      <c r="AH23" s="979" t="s">
        <v>3013</v>
      </c>
      <c r="AI23" s="816"/>
      <c r="AJ23" s="868"/>
      <c r="AK23" s="868"/>
      <c r="AL23" s="869" t="s">
        <v>7200</v>
      </c>
      <c r="AM23" s="867" t="s">
        <v>1964</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4188</v>
      </c>
      <c r="BQ23" s="881"/>
      <c r="BR23" s="882" t="s">
        <v>7214</v>
      </c>
      <c r="BS23" s="881"/>
      <c r="BT23" s="882" t="s">
        <v>3031</v>
      </c>
      <c r="BU23" s="882" t="s">
        <v>5194</v>
      </c>
      <c r="BV23" s="882" t="s">
        <v>7215</v>
      </c>
      <c r="BW23" s="882" t="s">
        <v>7216</v>
      </c>
      <c r="BX23" s="816"/>
      <c r="BY23" s="980" t="s">
        <v>3527</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4145</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3974</v>
      </c>
      <c r="H25" s="855"/>
      <c r="I25" s="855"/>
      <c r="J25" s="855"/>
      <c r="K25" s="855"/>
      <c r="L25" s="856" t="s">
        <v>746</v>
      </c>
      <c r="M25" s="855"/>
      <c r="N25" s="856" t="s">
        <v>7232</v>
      </c>
      <c r="O25" s="856"/>
      <c r="P25" s="816"/>
      <c r="Q25" s="860"/>
      <c r="R25" s="860"/>
      <c r="S25" s="860"/>
      <c r="T25" s="860"/>
      <c r="U25" s="860"/>
      <c r="V25" s="937" t="s">
        <v>7233</v>
      </c>
      <c r="W25" s="816"/>
      <c r="X25" s="864" t="s">
        <v>2166</v>
      </c>
      <c r="Y25" s="895" t="s">
        <v>7234</v>
      </c>
      <c r="Z25" s="927"/>
      <c r="AA25" s="984" t="s">
        <v>7235</v>
      </c>
      <c r="AB25" s="927"/>
      <c r="AC25" s="824" t="s">
        <v>4788</v>
      </c>
      <c r="AD25" s="864" t="s">
        <v>1336</v>
      </c>
      <c r="AE25" s="864" t="s">
        <v>7236</v>
      </c>
      <c r="AF25" s="864"/>
      <c r="AG25" s="895" t="s">
        <v>7237</v>
      </c>
      <c r="AH25" s="826"/>
      <c r="AI25" s="816"/>
      <c r="AJ25" s="868"/>
      <c r="AK25" s="868"/>
      <c r="AL25" s="868"/>
      <c r="AM25" s="867" t="s">
        <v>4966</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4945</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3873</v>
      </c>
      <c r="G26" s="810" t="s">
        <v>3974</v>
      </c>
      <c r="H26" s="857" t="s">
        <v>2616</v>
      </c>
      <c r="I26" s="857" t="s">
        <v>7247</v>
      </c>
      <c r="J26" s="986"/>
      <c r="K26" s="857" t="s">
        <v>3314</v>
      </c>
      <c r="L26" s="856"/>
      <c r="M26" s="855"/>
      <c r="N26" s="855"/>
      <c r="O26" s="935" t="s">
        <v>7248</v>
      </c>
      <c r="P26" s="816"/>
      <c r="Q26" s="937" t="s">
        <v>7249</v>
      </c>
      <c r="R26" s="860"/>
      <c r="S26" s="860"/>
      <c r="T26" s="937" t="s">
        <v>5207</v>
      </c>
      <c r="U26" s="859"/>
      <c r="V26" s="937" t="s">
        <v>7250</v>
      </c>
      <c r="W26" s="816"/>
      <c r="X26" s="895" t="s">
        <v>2145</v>
      </c>
      <c r="Y26" s="927"/>
      <c r="Z26" s="895" t="s">
        <v>1839</v>
      </c>
      <c r="AA26" s="969"/>
      <c r="AB26" s="895" t="s">
        <v>5397</v>
      </c>
      <c r="AC26" s="927"/>
      <c r="AD26" s="927"/>
      <c r="AE26" s="895" t="s">
        <v>4436</v>
      </c>
      <c r="AF26" s="864"/>
      <c r="AG26" s="895" t="s">
        <v>7251</v>
      </c>
      <c r="AH26" s="826"/>
      <c r="AI26" s="816"/>
      <c r="AJ26" s="868"/>
      <c r="AK26" s="868"/>
      <c r="AL26" s="868"/>
      <c r="AM26" s="868"/>
      <c r="AN26" s="868"/>
      <c r="AO26" s="943" t="s">
        <v>1915</v>
      </c>
      <c r="AP26" s="868"/>
      <c r="AQ26" s="872" t="s">
        <v>3213</v>
      </c>
      <c r="AR26" s="868"/>
      <c r="AS26" s="868"/>
      <c r="AT26" s="868"/>
      <c r="AU26" s="868"/>
      <c r="AV26" s="868"/>
      <c r="AW26" s="872" t="s">
        <v>723</v>
      </c>
      <c r="AX26" s="868"/>
      <c r="AY26" s="868"/>
      <c r="AZ26" s="833"/>
      <c r="BA26" s="928"/>
      <c r="BB26" s="928"/>
      <c r="BC26" s="928"/>
      <c r="BD26" s="928"/>
      <c r="BE26" s="970" t="s">
        <v>7252</v>
      </c>
      <c r="BF26" s="833"/>
      <c r="BG26" s="958" t="s">
        <v>2631</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2937</v>
      </c>
      <c r="H27" s="856" t="s">
        <v>4044</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4621</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138</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4061</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4117</v>
      </c>
      <c r="H29" s="951" t="s">
        <v>4250</v>
      </c>
      <c r="I29" s="856" t="s">
        <v>7287</v>
      </c>
      <c r="J29" s="856"/>
      <c r="K29" s="856"/>
      <c r="L29" s="935" t="s">
        <v>7288</v>
      </c>
      <c r="M29" s="855"/>
      <c r="N29" s="857" t="s">
        <v>7289</v>
      </c>
      <c r="O29" s="855"/>
      <c r="P29" s="816"/>
      <c r="Q29" s="860"/>
      <c r="R29" s="860"/>
      <c r="S29" s="860"/>
      <c r="T29" s="860"/>
      <c r="U29" s="859" t="s">
        <v>416</v>
      </c>
      <c r="V29" s="863" t="s">
        <v>7290</v>
      </c>
      <c r="W29" s="816"/>
      <c r="X29" s="895" t="s">
        <v>4941</v>
      </c>
      <c r="Y29" s="864" t="s">
        <v>6196</v>
      </c>
      <c r="Z29" s="895" t="s">
        <v>6112</v>
      </c>
      <c r="AA29" s="963" t="s">
        <v>4621</v>
      </c>
      <c r="AB29" s="895" t="s">
        <v>2510</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2638</v>
      </c>
      <c r="BX29" s="816"/>
      <c r="BY29" s="887"/>
      <c r="BZ29" s="887"/>
      <c r="CA29" s="887"/>
      <c r="CB29" s="907"/>
      <c r="CC29" s="887"/>
      <c r="CD29" s="948" t="s">
        <v>1889</v>
      </c>
      <c r="CE29" s="887"/>
      <c r="CF29" s="887"/>
      <c r="CG29" s="887"/>
      <c r="CH29" s="887"/>
      <c r="CI29" s="887"/>
      <c r="CJ29" s="907"/>
      <c r="CK29" s="907"/>
    </row>
    <row r="30">
      <c r="A30" s="854" t="s">
        <v>4054</v>
      </c>
      <c r="B30" s="810" t="s">
        <v>7302</v>
      </c>
      <c r="C30" s="806" t="s">
        <v>1260</v>
      </c>
      <c r="D30" s="807" t="s">
        <v>1260</v>
      </c>
      <c r="E30" s="808" t="s">
        <v>1260</v>
      </c>
      <c r="F30" s="809" t="s">
        <v>438</v>
      </c>
      <c r="G30" s="810" t="s">
        <v>2994</v>
      </c>
      <c r="H30" s="856" t="s">
        <v>2310</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4862</v>
      </c>
      <c r="AC30" s="864" t="s">
        <v>309</v>
      </c>
      <c r="AD30" s="927"/>
      <c r="AE30" s="864" t="s">
        <v>3279</v>
      </c>
      <c r="AF30" s="864"/>
      <c r="AG30" s="824" t="s">
        <v>7307</v>
      </c>
      <c r="AH30" s="979" t="s">
        <v>7308</v>
      </c>
      <c r="AI30" s="816"/>
      <c r="AJ30" s="867"/>
      <c r="AK30" s="867" t="s">
        <v>7309</v>
      </c>
      <c r="AL30" s="867" t="s">
        <v>7310</v>
      </c>
      <c r="AM30" s="867" t="s">
        <v>3999</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4514</v>
      </c>
      <c r="BD30" s="902"/>
      <c r="BE30" s="970" t="s">
        <v>7316</v>
      </c>
      <c r="BF30" s="833"/>
      <c r="BG30" s="877" t="s">
        <v>7317</v>
      </c>
      <c r="BH30" s="879"/>
      <c r="BI30" s="879"/>
      <c r="BJ30" s="879"/>
      <c r="BK30" s="879"/>
      <c r="BL30" s="877" t="s">
        <v>7318</v>
      </c>
      <c r="BM30" s="877" t="s">
        <v>7319</v>
      </c>
      <c r="BN30" s="816"/>
      <c r="BO30" s="882" t="s">
        <v>3404</v>
      </c>
      <c r="BP30" s="931"/>
      <c r="BQ30" s="881"/>
      <c r="BR30" s="882" t="s">
        <v>7320</v>
      </c>
      <c r="BS30" s="932" t="s">
        <v>7321</v>
      </c>
      <c r="BT30" s="881"/>
      <c r="BU30" s="881"/>
      <c r="BV30" s="882" t="s">
        <v>7322</v>
      </c>
      <c r="BW30" s="882" t="s">
        <v>4525</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5259</v>
      </c>
      <c r="BD31" s="928"/>
      <c r="BE31" s="902" t="s">
        <v>7341</v>
      </c>
      <c r="BF31" s="833"/>
      <c r="BG31" s="877" t="s">
        <v>6940</v>
      </c>
      <c r="BH31" s="877" t="s">
        <v>5892</v>
      </c>
      <c r="BI31" s="877" t="s">
        <v>3955</v>
      </c>
      <c r="BJ31" s="958" t="s">
        <v>6445</v>
      </c>
      <c r="BK31" s="879"/>
      <c r="BL31" s="877" t="s">
        <v>7342</v>
      </c>
      <c r="BM31" s="879"/>
      <c r="BN31" s="816"/>
      <c r="BO31" s="882" t="s">
        <v>7343</v>
      </c>
      <c r="BP31" s="931"/>
      <c r="BQ31" s="881"/>
      <c r="BR31" s="882" t="s">
        <v>1335</v>
      </c>
      <c r="BS31" s="881"/>
      <c r="BT31" s="882" t="s">
        <v>1290</v>
      </c>
      <c r="BU31" s="881"/>
      <c r="BV31" s="881"/>
      <c r="BW31" s="881"/>
      <c r="BX31" s="816"/>
      <c r="BY31" s="886" t="s">
        <v>4448</v>
      </c>
      <c r="BZ31" s="887"/>
      <c r="CA31" s="887"/>
      <c r="CB31" s="907"/>
      <c r="CC31" s="933" t="s">
        <v>7344</v>
      </c>
      <c r="CD31" s="887"/>
      <c r="CE31" s="887"/>
      <c r="CF31" s="886" t="s">
        <v>6806</v>
      </c>
      <c r="CG31" s="887"/>
      <c r="CH31" s="887"/>
      <c r="CI31" s="887"/>
      <c r="CJ31" s="907"/>
      <c r="CK31" s="907"/>
    </row>
    <row r="32">
      <c r="A32" s="854" t="s">
        <v>2935</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2010</v>
      </c>
      <c r="U32" s="863" t="s">
        <v>7346</v>
      </c>
      <c r="V32" s="859" t="s">
        <v>7347</v>
      </c>
      <c r="W32" s="816"/>
      <c r="X32" s="927"/>
      <c r="Y32" s="927"/>
      <c r="Z32" s="927"/>
      <c r="AA32" s="969"/>
      <c r="AB32" s="864"/>
      <c r="AC32" s="823" t="s">
        <v>7348</v>
      </c>
      <c r="AD32" s="864" t="s">
        <v>7349</v>
      </c>
      <c r="AE32" s="864" t="s">
        <v>4584</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5701</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2300</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2475</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5304</v>
      </c>
      <c r="B34" s="810" t="s">
        <v>223</v>
      </c>
      <c r="C34" s="806" t="s">
        <v>1260</v>
      </c>
      <c r="D34" s="807" t="s">
        <v>1260</v>
      </c>
      <c r="E34" s="808" t="s">
        <v>1260</v>
      </c>
      <c r="F34" s="809" t="s">
        <v>547</v>
      </c>
      <c r="G34" s="810" t="s">
        <v>4056</v>
      </c>
      <c r="H34" s="856" t="s">
        <v>4372</v>
      </c>
      <c r="I34" s="855"/>
      <c r="J34" s="855"/>
      <c r="K34" s="855"/>
      <c r="L34" s="856" t="s">
        <v>7365</v>
      </c>
      <c r="M34" s="855"/>
      <c r="N34" s="856" t="s">
        <v>7366</v>
      </c>
      <c r="O34" s="855"/>
      <c r="P34" s="816"/>
      <c r="Q34" s="860"/>
      <c r="R34" s="860"/>
      <c r="S34" s="860"/>
      <c r="T34" s="860"/>
      <c r="U34" s="859" t="s">
        <v>7367</v>
      </c>
      <c r="V34" s="859" t="s">
        <v>7368</v>
      </c>
      <c r="W34" s="816"/>
      <c r="X34" s="927"/>
      <c r="Y34" s="864" t="s">
        <v>5318</v>
      </c>
      <c r="Z34" s="864" t="s">
        <v>2700</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5327</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5227</v>
      </c>
      <c r="B35" s="810" t="s">
        <v>4057</v>
      </c>
      <c r="C35" s="806" t="s">
        <v>1260</v>
      </c>
      <c r="D35" s="807" t="s">
        <v>547</v>
      </c>
      <c r="E35" s="808" t="s">
        <v>1260</v>
      </c>
      <c r="F35" s="809" t="s">
        <v>1054</v>
      </c>
      <c r="G35" s="810" t="s">
        <v>2872</v>
      </c>
      <c r="H35" s="856" t="s">
        <v>1920</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3668</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2190</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3966</v>
      </c>
      <c r="AC36" s="864" t="s">
        <v>7409</v>
      </c>
      <c r="AD36" s="927"/>
      <c r="AE36" s="864" t="s">
        <v>2609</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5088</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4580</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2261</v>
      </c>
      <c r="AF38" s="927"/>
      <c r="AG38" s="824" t="s">
        <v>7431</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5122</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7434</v>
      </c>
      <c r="M39" s="855"/>
      <c r="N39" s="856" t="s">
        <v>7435</v>
      </c>
      <c r="O39" s="855"/>
      <c r="P39" s="816"/>
      <c r="Q39" s="860"/>
      <c r="R39" s="860"/>
      <c r="S39" s="860"/>
      <c r="T39" s="860"/>
      <c r="U39" s="859" t="s">
        <v>4526</v>
      </c>
      <c r="V39" s="859" t="s">
        <v>7436</v>
      </c>
      <c r="W39" s="816"/>
      <c r="X39" s="927"/>
      <c r="Y39" s="927"/>
      <c r="Z39" s="864" t="s">
        <v>7437</v>
      </c>
      <c r="AA39" s="969"/>
      <c r="AB39" s="927"/>
      <c r="AC39" s="927"/>
      <c r="AD39" s="864" t="s">
        <v>1412</v>
      </c>
      <c r="AE39" s="864" t="s">
        <v>3273</v>
      </c>
      <c r="AF39" s="864"/>
      <c r="AG39" s="927"/>
      <c r="AH39" s="979" t="s">
        <v>7438</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3002</v>
      </c>
      <c r="BI39" s="879"/>
      <c r="BJ39" s="879"/>
      <c r="BK39" s="879"/>
      <c r="BL39" s="877" t="s">
        <v>7441</v>
      </c>
      <c r="BM39" s="879"/>
      <c r="BN39" s="816"/>
      <c r="BO39" s="882" t="s">
        <v>1831</v>
      </c>
      <c r="BP39" s="931"/>
      <c r="BQ39" s="881"/>
      <c r="BR39" s="881"/>
      <c r="BS39" s="881"/>
      <c r="BT39" s="882" t="s">
        <v>4402</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3195</v>
      </c>
      <c r="B40" s="810" t="s">
        <v>5090</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2843</v>
      </c>
      <c r="T40" s="860"/>
      <c r="U40" s="860"/>
      <c r="V40" s="859" t="s">
        <v>7445</v>
      </c>
      <c r="W40" s="816"/>
      <c r="X40" s="927"/>
      <c r="Y40" s="927"/>
      <c r="Z40" s="864" t="s">
        <v>7159</v>
      </c>
      <c r="AA40" s="911" t="s">
        <v>609</v>
      </c>
      <c r="AB40" s="927"/>
      <c r="AC40" s="927"/>
      <c r="AD40" s="864" t="s">
        <v>4879</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5346</v>
      </c>
      <c r="B41" s="810" t="s">
        <v>2028</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3417</v>
      </c>
      <c r="BV41" s="882" t="s">
        <v>391</v>
      </c>
      <c r="BW41" s="932" t="s">
        <v>7458</v>
      </c>
      <c r="BX41" s="816"/>
      <c r="BY41" s="887"/>
      <c r="BZ41" s="980" t="s">
        <v>2876</v>
      </c>
      <c r="CA41" s="887"/>
      <c r="CB41" s="907"/>
      <c r="CC41" s="887"/>
      <c r="CD41" s="887"/>
      <c r="CE41" s="887"/>
      <c r="CF41" s="886" t="s">
        <v>7459</v>
      </c>
      <c r="CG41" s="887"/>
      <c r="CH41" s="887"/>
      <c r="CI41" s="906" t="s">
        <v>5007</v>
      </c>
      <c r="CJ41" s="907"/>
      <c r="CK41" s="907"/>
    </row>
    <row r="42">
      <c r="A42" s="854" t="s">
        <v>7460</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5356</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4684</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5163</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2343</v>
      </c>
      <c r="B44" s="810" t="s">
        <v>4608</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4566</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4444</v>
      </c>
      <c r="B45" s="810" t="s">
        <v>4038</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5080</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6844</v>
      </c>
      <c r="BW45" s="882" t="s">
        <v>7474</v>
      </c>
      <c r="BX45" s="816"/>
      <c r="BY45" s="887"/>
      <c r="BZ45" s="887"/>
      <c r="CA45" s="887"/>
      <c r="CB45" s="907"/>
      <c r="CC45" s="887"/>
      <c r="CD45" s="887"/>
      <c r="CE45" s="887"/>
      <c r="CF45" s="887"/>
      <c r="CG45" s="887"/>
      <c r="CH45" s="887"/>
      <c r="CI45" s="887"/>
      <c r="CJ45" s="907"/>
      <c r="CK45" s="907"/>
    </row>
    <row r="46">
      <c r="A46" s="854" t="s">
        <v>6021</v>
      </c>
      <c r="B46" s="810" t="s">
        <v>5698</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7476</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3906</v>
      </c>
      <c r="B48" s="810" t="s">
        <v>7479</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4285</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4052</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5377</v>
      </c>
      <c r="B50" s="810" t="s">
        <v>3974</v>
      </c>
      <c r="C50" s="806" t="s">
        <v>1260</v>
      </c>
      <c r="D50" s="807" t="s">
        <v>1260</v>
      </c>
      <c r="E50" s="808" t="s">
        <v>1260</v>
      </c>
      <c r="F50" s="809" t="s">
        <v>1260</v>
      </c>
      <c r="G50" s="810" t="s">
        <v>1054</v>
      </c>
      <c r="H50" s="855"/>
      <c r="I50" s="855"/>
      <c r="J50" s="855"/>
      <c r="K50" s="855"/>
      <c r="L50" s="856" t="s">
        <v>4838</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2057</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3873</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5904</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3871</v>
      </c>
      <c r="B58" s="810" t="s">
        <v>3873</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5468</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5288</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4656</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3920</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5781</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9"/>
      <c r="AH1" s="1019"/>
    </row>
    <row r="2" ht="38.25" customHeight="1">
      <c r="A2" s="35" t="s">
        <v>43</v>
      </c>
      <c r="B2" s="36" t="s">
        <v>44</v>
      </c>
      <c r="C2" s="36" t="s">
        <v>45</v>
      </c>
      <c r="F2" s="36" t="s">
        <v>7525</v>
      </c>
      <c r="H2" s="1020" t="s">
        <v>7526</v>
      </c>
      <c r="I2" s="1021"/>
      <c r="J2" s="1021"/>
      <c r="K2" s="1022" t="s">
        <v>7527</v>
      </c>
      <c r="L2" s="1023" t="s">
        <v>7528</v>
      </c>
      <c r="M2" s="1022" t="s">
        <v>7529</v>
      </c>
      <c r="N2" s="1022" t="s">
        <v>7530</v>
      </c>
      <c r="O2" s="1024" t="s">
        <v>7531</v>
      </c>
      <c r="P2" s="1024" t="s">
        <v>7532</v>
      </c>
      <c r="Q2" s="1024"/>
      <c r="R2" s="42" t="s">
        <v>48</v>
      </c>
      <c r="S2" s="42" t="s">
        <v>7533</v>
      </c>
      <c r="T2" s="42"/>
      <c r="U2" s="44" t="s">
        <v>50</v>
      </c>
      <c r="V2" s="44" t="s">
        <v>54</v>
      </c>
      <c r="W2" s="44" t="s">
        <v>62</v>
      </c>
      <c r="X2" s="45" t="s">
        <v>52</v>
      </c>
      <c r="Y2" s="45"/>
      <c r="Z2" s="45"/>
      <c r="AA2" s="47" t="s">
        <v>51</v>
      </c>
      <c r="AB2" s="1025" t="s">
        <v>7534</v>
      </c>
      <c r="AC2" s="47"/>
      <c r="AD2" s="1026" t="s">
        <v>7535</v>
      </c>
      <c r="AE2" s="1026"/>
      <c r="AF2" s="1026"/>
      <c r="AG2" s="1027"/>
      <c r="AH2" s="1027"/>
    </row>
    <row r="3">
      <c r="A3" s="1028" t="s">
        <v>4266</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7536</v>
      </c>
      <c r="V3" s="1038"/>
      <c r="W3" s="1038"/>
      <c r="X3" s="1040" t="s">
        <v>7537</v>
      </c>
      <c r="Y3" s="1038"/>
      <c r="Z3" s="1038"/>
      <c r="AA3" s="1041" t="s">
        <v>7538</v>
      </c>
      <c r="AB3" s="1038"/>
      <c r="AC3" s="1001"/>
      <c r="AD3" s="1038"/>
      <c r="AE3" s="1038"/>
      <c r="AF3" s="1038"/>
      <c r="AG3" s="1042"/>
      <c r="AH3" s="1042"/>
    </row>
    <row r="4">
      <c r="A4" s="1043" t="s">
        <v>5227</v>
      </c>
      <c r="B4" s="1029" t="s">
        <v>2872</v>
      </c>
      <c r="C4" s="1030" t="s">
        <v>547</v>
      </c>
      <c r="D4" s="1031" t="s">
        <v>547</v>
      </c>
      <c r="E4" s="1032" t="s">
        <v>547</v>
      </c>
      <c r="F4" s="1033" t="s">
        <v>332</v>
      </c>
      <c r="G4" s="1029" t="s">
        <v>3873</v>
      </c>
      <c r="H4" s="1001"/>
      <c r="I4" s="97"/>
      <c r="J4" s="92"/>
      <c r="K4" s="1001"/>
      <c r="L4" s="1000" t="s">
        <v>3328</v>
      </c>
      <c r="M4" s="1000" t="s">
        <v>7539</v>
      </c>
      <c r="N4" s="1000" t="s">
        <v>1159</v>
      </c>
      <c r="O4" s="1001"/>
      <c r="P4" s="1001"/>
      <c r="Q4" s="1038"/>
      <c r="R4" s="1044" t="s">
        <v>6113</v>
      </c>
      <c r="S4" s="1001"/>
      <c r="T4" s="1001"/>
      <c r="U4" s="1045" t="s">
        <v>2117</v>
      </c>
      <c r="V4" s="1038"/>
      <c r="W4" s="1038"/>
      <c r="X4" s="1039" t="s">
        <v>7540</v>
      </c>
      <c r="Y4" s="1038"/>
      <c r="Z4" s="1038"/>
      <c r="AA4" s="1003" t="s">
        <v>1247</v>
      </c>
      <c r="AB4" s="1038"/>
      <c r="AC4" s="1001"/>
      <c r="AD4" s="1038"/>
      <c r="AE4" s="1038"/>
      <c r="AF4" s="1038"/>
      <c r="AG4" s="1042"/>
      <c r="AH4" s="1042"/>
    </row>
    <row r="5">
      <c r="A5" s="1028" t="s">
        <v>4054</v>
      </c>
      <c r="B5" s="1029" t="s">
        <v>333</v>
      </c>
      <c r="C5" s="1030" t="s">
        <v>1260</v>
      </c>
      <c r="D5" s="1031" t="s">
        <v>547</v>
      </c>
      <c r="E5" s="1032" t="s">
        <v>1260</v>
      </c>
      <c r="F5" s="1033" t="s">
        <v>650</v>
      </c>
      <c r="G5" s="1029" t="s">
        <v>334</v>
      </c>
      <c r="H5" s="1001"/>
      <c r="I5" s="97"/>
      <c r="J5" s="92"/>
      <c r="K5" s="1001"/>
      <c r="L5" s="1001"/>
      <c r="M5" s="1001"/>
      <c r="N5" s="1001"/>
      <c r="O5" s="1001"/>
      <c r="P5" s="1001"/>
      <c r="Q5" s="1038"/>
      <c r="R5" s="1045" t="s">
        <v>4524</v>
      </c>
      <c r="S5" s="1046" t="s">
        <v>1750</v>
      </c>
      <c r="T5" s="1001"/>
      <c r="U5" s="1003" t="s">
        <v>1109</v>
      </c>
      <c r="V5" s="1038"/>
      <c r="W5" s="1038"/>
      <c r="X5" s="1003" t="s">
        <v>7541</v>
      </c>
      <c r="Y5" s="1038"/>
      <c r="Z5" s="1038"/>
      <c r="AA5" s="1047" t="s">
        <v>7542</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7543</v>
      </c>
      <c r="L7" s="1044" t="s">
        <v>6282</v>
      </c>
      <c r="M7" s="1001"/>
      <c r="N7" s="1001"/>
      <c r="O7" s="1001"/>
      <c r="P7" s="1045" t="s">
        <v>7544</v>
      </c>
      <c r="Q7" s="1038"/>
      <c r="R7" s="1038"/>
      <c r="S7" s="1001"/>
      <c r="T7" s="1001"/>
      <c r="U7" s="1038"/>
      <c r="V7" s="1038"/>
      <c r="W7" s="1038"/>
      <c r="X7" s="1039" t="s">
        <v>7540</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7545</v>
      </c>
      <c r="T8" s="1001"/>
      <c r="U8" s="1038"/>
      <c r="V8" s="1038"/>
      <c r="W8" s="1038"/>
      <c r="X8" s="1001"/>
      <c r="Y8" s="1038"/>
      <c r="Z8" s="1038"/>
      <c r="AA8" s="1039" t="s">
        <v>7546</v>
      </c>
      <c r="AB8" s="1039" t="s">
        <v>6450</v>
      </c>
      <c r="AC8" s="1001"/>
      <c r="AD8" s="1038"/>
      <c r="AE8" s="1038"/>
      <c r="AF8" s="1038"/>
      <c r="AG8" s="1042"/>
      <c r="AH8" s="1042"/>
    </row>
    <row r="9">
      <c r="A9" s="1007" t="s">
        <v>7500</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7547</v>
      </c>
      <c r="AB9" s="1052"/>
      <c r="AC9" s="1051"/>
      <c r="AD9" s="1038"/>
      <c r="AE9" s="1052"/>
      <c r="AF9" s="1052"/>
      <c r="AG9" s="1054"/>
      <c r="AH9" s="1054"/>
    </row>
    <row r="10">
      <c r="A10" s="1028" t="s">
        <v>7548</v>
      </c>
      <c r="B10" s="1029" t="s">
        <v>1054</v>
      </c>
      <c r="C10" s="1030" t="s">
        <v>650</v>
      </c>
      <c r="D10" s="1031" t="s">
        <v>1260</v>
      </c>
      <c r="E10" s="1032" t="s">
        <v>1260</v>
      </c>
      <c r="F10" s="1033" t="s">
        <v>650</v>
      </c>
      <c r="G10" s="1029" t="s">
        <v>650</v>
      </c>
      <c r="H10" s="1001"/>
      <c r="I10" s="97"/>
      <c r="J10" s="92"/>
      <c r="K10" s="1039" t="s">
        <v>7549</v>
      </c>
      <c r="L10" s="1039" t="s">
        <v>7550</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3873</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7551</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7552</v>
      </c>
      <c r="AE12" s="1038"/>
      <c r="AF12" s="1038"/>
      <c r="AG12" s="1042"/>
      <c r="AH12" s="1042"/>
    </row>
    <row r="13">
      <c r="A13" s="1007" t="s">
        <v>4551</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7553</v>
      </c>
      <c r="X13" s="1001"/>
      <c r="Y13" s="1038"/>
      <c r="Z13" s="1038"/>
      <c r="AA13" s="1001"/>
      <c r="AB13" s="1038"/>
      <c r="AC13" s="1001"/>
      <c r="AD13" s="1038"/>
      <c r="AE13" s="1038"/>
      <c r="AF13" s="1038"/>
      <c r="AG13" s="1042"/>
      <c r="AH13" s="1042"/>
    </row>
    <row r="14">
      <c r="A14" s="1028" t="s">
        <v>2714</v>
      </c>
      <c r="B14" s="1029" t="s">
        <v>3873</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7554</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5724</v>
      </c>
      <c r="X16" s="1001"/>
      <c r="Y16" s="1038"/>
      <c r="Z16" s="1038"/>
      <c r="AA16" s="1001"/>
      <c r="AB16" s="1038"/>
      <c r="AC16" s="1001"/>
      <c r="AD16" s="1038"/>
      <c r="AE16" s="1038"/>
      <c r="AF16" s="1038"/>
      <c r="AG16" s="1042"/>
      <c r="AH16" s="1042"/>
    </row>
    <row r="17">
      <c r="A17" s="1028" t="s">
        <v>7555</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5356</v>
      </c>
      <c r="T17" s="1001"/>
      <c r="U17" s="1038"/>
      <c r="V17" s="1038"/>
      <c r="W17" s="1038"/>
      <c r="X17" s="1001"/>
      <c r="Y17" s="1038"/>
      <c r="Z17" s="1038"/>
      <c r="AA17" s="1001"/>
      <c r="AB17" s="1038"/>
      <c r="AC17" s="1001"/>
      <c r="AD17" s="1038"/>
      <c r="AE17" s="1038"/>
      <c r="AF17" s="1038"/>
      <c r="AG17" s="1042"/>
      <c r="AH17" s="1042"/>
    </row>
    <row r="18">
      <c r="A18" s="1028" t="s">
        <v>7556</v>
      </c>
      <c r="B18" s="1029" t="s">
        <v>334</v>
      </c>
      <c r="C18" s="1030" t="s">
        <v>547</v>
      </c>
      <c r="D18" s="1031" t="s">
        <v>1260</v>
      </c>
      <c r="E18" s="1032" t="s">
        <v>1260</v>
      </c>
      <c r="F18" s="1033" t="s">
        <v>547</v>
      </c>
      <c r="G18" s="1029" t="s">
        <v>547</v>
      </c>
      <c r="H18" s="1001"/>
      <c r="I18" s="97"/>
      <c r="J18" s="92"/>
      <c r="K18" s="1001"/>
      <c r="L18" s="1039" t="s">
        <v>7550</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5346</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3746</v>
      </c>
      <c r="S19" s="1034"/>
      <c r="T19" s="1034"/>
      <c r="U19" s="1053" t="s">
        <v>7557</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7558</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7559</v>
      </c>
      <c r="X21" s="1001"/>
      <c r="Y21" s="1038"/>
      <c r="Z21" s="1038"/>
      <c r="AA21" s="1001"/>
      <c r="AB21" s="1038"/>
      <c r="AC21" s="1001"/>
      <c r="AD21" s="1038"/>
      <c r="AE21" s="1038"/>
      <c r="AF21" s="1038"/>
      <c r="AG21" s="1042"/>
      <c r="AH21" s="1042"/>
    </row>
    <row r="22">
      <c r="A22" s="1028" t="s">
        <v>4889</v>
      </c>
      <c r="B22" s="1029" t="s">
        <v>650</v>
      </c>
      <c r="C22" s="1030" t="s">
        <v>547</v>
      </c>
      <c r="D22" s="1031" t="s">
        <v>1260</v>
      </c>
      <c r="E22" s="1032" t="s">
        <v>1260</v>
      </c>
      <c r="F22" s="1033" t="s">
        <v>547</v>
      </c>
      <c r="G22" s="1029" t="s">
        <v>547</v>
      </c>
      <c r="H22" s="1001"/>
      <c r="I22" s="97"/>
      <c r="J22" s="92"/>
      <c r="K22" s="1001"/>
      <c r="L22" s="1001"/>
      <c r="M22" s="1001"/>
      <c r="N22" s="1001"/>
      <c r="O22" s="1001"/>
      <c r="P22" s="1039" t="s">
        <v>7560</v>
      </c>
      <c r="Q22" s="1038"/>
      <c r="R22" s="1038"/>
      <c r="S22" s="1001"/>
      <c r="T22" s="1001"/>
      <c r="U22" s="1038"/>
      <c r="V22" s="1038"/>
      <c r="W22" s="1038"/>
      <c r="X22" s="1001"/>
      <c r="Y22" s="1038"/>
      <c r="Z22" s="1038"/>
      <c r="AA22" s="1001"/>
      <c r="AB22" s="1038"/>
      <c r="AC22" s="1001"/>
      <c r="AD22" s="1038"/>
      <c r="AE22" s="1038"/>
      <c r="AF22" s="1038"/>
      <c r="AG22" s="1042"/>
      <c r="AH22" s="1042"/>
    </row>
    <row r="23">
      <c r="A23" s="1028" t="s">
        <v>2026</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7561</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7562</v>
      </c>
      <c r="X25" s="1001"/>
      <c r="Y25" s="1038"/>
      <c r="Z25" s="1038"/>
      <c r="AA25" s="1001"/>
      <c r="AB25" s="1038"/>
      <c r="AC25" s="1001"/>
      <c r="AD25" s="1038"/>
      <c r="AE25" s="1038"/>
      <c r="AF25" s="1038"/>
      <c r="AG25" s="1042"/>
      <c r="AH25" s="1042"/>
    </row>
    <row r="26">
      <c r="A26" s="1028" t="s">
        <v>2582</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7563</v>
      </c>
      <c r="W26" s="1038"/>
      <c r="X26" s="1001"/>
      <c r="Y26" s="1038"/>
      <c r="Z26" s="1038"/>
      <c r="AA26" s="1001"/>
      <c r="AB26" s="1038"/>
      <c r="AC26" s="1001"/>
      <c r="AD26" s="1038"/>
      <c r="AE26" s="1038"/>
      <c r="AF26" s="1038"/>
      <c r="AG26" s="1042"/>
      <c r="AH26" s="1042"/>
    </row>
    <row r="27">
      <c r="A27" s="1063" t="s">
        <v>5765</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7564</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7565</v>
      </c>
      <c r="D1" s="1067" t="s">
        <v>1550</v>
      </c>
      <c r="E1" s="1068" t="s">
        <v>7566</v>
      </c>
      <c r="F1" s="1069" t="s">
        <v>2544</v>
      </c>
      <c r="G1" s="1067" t="s">
        <v>981</v>
      </c>
      <c r="H1" s="1067" t="s">
        <v>7567</v>
      </c>
      <c r="I1" s="1068" t="s">
        <v>7568</v>
      </c>
      <c r="J1" s="1067" t="s">
        <v>7042</v>
      </c>
      <c r="K1" s="1067" t="s">
        <v>7569</v>
      </c>
      <c r="L1" s="1067" t="s">
        <v>7570</v>
      </c>
      <c r="M1" s="1068" t="s">
        <v>7571</v>
      </c>
      <c r="N1" s="1067" t="s">
        <v>741</v>
      </c>
      <c r="O1" s="1067" t="s">
        <v>7572</v>
      </c>
      <c r="P1" s="1067" t="s">
        <v>1052</v>
      </c>
      <c r="Q1" s="1070" t="s">
        <v>7573</v>
      </c>
      <c r="R1" s="1071" t="s">
        <v>7574</v>
      </c>
      <c r="S1" s="1067" t="s">
        <v>1808</v>
      </c>
      <c r="T1" s="1067" t="s">
        <v>7575</v>
      </c>
      <c r="U1" s="1067" t="s">
        <v>7285</v>
      </c>
      <c r="V1" s="1068" t="s">
        <v>7576</v>
      </c>
      <c r="W1" s="1067" t="s">
        <v>2714</v>
      </c>
      <c r="X1" s="1067" t="s">
        <v>7577</v>
      </c>
      <c r="Y1" s="1067" t="s">
        <v>7157</v>
      </c>
      <c r="Z1" s="1067" t="s">
        <v>4054</v>
      </c>
      <c r="AA1" s="1067" t="s">
        <v>7578</v>
      </c>
      <c r="AB1" s="1067" t="s">
        <v>6780</v>
      </c>
      <c r="AC1" s="1067" t="s">
        <v>3572</v>
      </c>
      <c r="AD1" s="1067" t="s">
        <v>7230</v>
      </c>
      <c r="AE1" s="1067" t="s">
        <v>7579</v>
      </c>
      <c r="AF1" s="1067" t="s">
        <v>7580</v>
      </c>
      <c r="AG1" s="1067" t="s">
        <v>1198</v>
      </c>
      <c r="AH1" s="1067" t="s">
        <v>218</v>
      </c>
      <c r="AI1" s="1067" t="s">
        <v>1632</v>
      </c>
      <c r="AJ1" s="1067" t="s">
        <v>2087</v>
      </c>
      <c r="AK1" s="1067" t="s">
        <v>7581</v>
      </c>
      <c r="AL1" s="1067" t="s">
        <v>7582</v>
      </c>
      <c r="AM1" s="1067" t="s">
        <v>7583</v>
      </c>
      <c r="AN1" s="1067" t="s">
        <v>2026</v>
      </c>
      <c r="AO1" s="1067" t="s">
        <v>7584</v>
      </c>
      <c r="AP1" s="1067" t="s">
        <v>7585</v>
      </c>
      <c r="AQ1" s="1067" t="s">
        <v>6030</v>
      </c>
      <c r="AR1" s="1067" t="s">
        <v>7586</v>
      </c>
      <c r="AS1" s="1067" t="s">
        <v>7587</v>
      </c>
      <c r="AT1" s="1067" t="s">
        <v>7588</v>
      </c>
      <c r="AU1" s="1071" t="s">
        <v>7589</v>
      </c>
      <c r="AV1" s="1067" t="s">
        <v>3195</v>
      </c>
      <c r="AW1" s="1067" t="s">
        <v>3906</v>
      </c>
      <c r="AX1" s="1067" t="s">
        <v>5901</v>
      </c>
      <c r="AY1" s="1067" t="s">
        <v>7590</v>
      </c>
      <c r="AZ1" s="1067" t="s">
        <v>5346</v>
      </c>
      <c r="BA1" s="1071" t="s">
        <v>4684</v>
      </c>
      <c r="BB1" s="1067" t="s">
        <v>827</v>
      </c>
      <c r="BC1" s="1067" t="s">
        <v>647</v>
      </c>
      <c r="BD1" s="1067" t="s">
        <v>7591</v>
      </c>
      <c r="BE1" s="1068" t="s">
        <v>7279</v>
      </c>
      <c r="BF1" s="1067" t="s">
        <v>7482</v>
      </c>
      <c r="BG1" s="1067" t="s">
        <v>7490</v>
      </c>
      <c r="BH1" s="1067" t="s">
        <v>1722</v>
      </c>
      <c r="BI1" s="1071" t="s">
        <v>6658</v>
      </c>
      <c r="BJ1" s="1071" t="s">
        <v>6619</v>
      </c>
      <c r="BK1" s="1071" t="s">
        <v>1879</v>
      </c>
      <c r="BL1" s="1071" t="s">
        <v>7592</v>
      </c>
      <c r="BM1" s="1072"/>
      <c r="BN1" s="1072"/>
      <c r="BO1" s="1072"/>
    </row>
    <row r="2" ht="15.75" customHeight="1">
      <c r="A2" s="1073" t="s">
        <v>7593</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7594</v>
      </c>
      <c r="B4" s="1083" t="s">
        <v>7595</v>
      </c>
      <c r="C4" s="1084" t="s">
        <v>335</v>
      </c>
      <c r="D4" s="1085" t="s">
        <v>910</v>
      </c>
      <c r="E4" s="1086" t="s">
        <v>335</v>
      </c>
      <c r="F4" s="1087"/>
      <c r="G4" s="1088" t="s">
        <v>1047</v>
      </c>
      <c r="H4" s="1089" t="s">
        <v>1261</v>
      </c>
      <c r="I4" s="1088" t="str">
        <f>HYPERLINK("https://youtu.be/BAG8a3WI9KM","52.27")</f>
        <v>52.27</v>
      </c>
      <c r="J4" s="1088" t="s">
        <v>2619</v>
      </c>
      <c r="K4" s="1090" t="s">
        <v>2064</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7596</v>
      </c>
      <c r="B5" s="1094" t="s">
        <v>7597</v>
      </c>
      <c r="C5" s="1084" t="s">
        <v>7094</v>
      </c>
      <c r="D5" s="1095" t="s">
        <v>7598</v>
      </c>
      <c r="E5" s="1095" t="s">
        <v>7599</v>
      </c>
      <c r="F5" s="1096"/>
      <c r="G5" s="1095"/>
      <c r="H5" s="1089" t="s">
        <v>7600</v>
      </c>
      <c r="I5" s="1095" t="s">
        <v>7601</v>
      </c>
      <c r="J5" s="1095"/>
      <c r="K5" s="1095" t="s">
        <v>3654</v>
      </c>
      <c r="L5" s="1091" t="s">
        <v>7602</v>
      </c>
      <c r="M5" s="1095"/>
      <c r="N5" s="1095"/>
      <c r="O5" s="1095" t="s">
        <v>7603</v>
      </c>
      <c r="P5" s="1095" t="str">
        <f>HYPERLINK("https://youtu.be/y9FQ4EcrohI", "1:21.52")</f>
        <v>1:21.52</v>
      </c>
      <c r="Q5" s="1091" t="s">
        <v>7604</v>
      </c>
      <c r="R5" s="1097" t="s">
        <v>7605</v>
      </c>
      <c r="S5" s="1095"/>
      <c r="T5" s="1095" t="s">
        <v>7094</v>
      </c>
      <c r="U5" s="1095" t="s">
        <v>2585</v>
      </c>
      <c r="V5" s="1095"/>
      <c r="W5" s="1095"/>
      <c r="X5" s="1095"/>
      <c r="Y5" s="1095"/>
      <c r="Z5" s="1095"/>
      <c r="AA5" s="1095"/>
      <c r="AB5" s="1095"/>
      <c r="AC5" s="1095" t="s">
        <v>7606</v>
      </c>
      <c r="AD5" s="1095"/>
      <c r="AE5" s="1095"/>
      <c r="AF5" s="1095" t="s">
        <v>7607</v>
      </c>
      <c r="AG5" s="1095"/>
      <c r="AH5" s="1095"/>
      <c r="AI5" s="1095"/>
      <c r="AJ5" s="1095"/>
      <c r="AK5" s="1095"/>
      <c r="AL5" s="1088" t="s">
        <v>4424</v>
      </c>
      <c r="AM5" s="1095"/>
      <c r="AN5" s="1095"/>
      <c r="AO5" s="1095"/>
      <c r="AP5" s="1095"/>
      <c r="AQ5" s="1095" t="s">
        <v>5732</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7608</v>
      </c>
      <c r="C6" s="1084" t="s">
        <v>336</v>
      </c>
      <c r="D6" s="1003" t="s">
        <v>1555</v>
      </c>
      <c r="E6" s="1088" t="s">
        <v>336</v>
      </c>
      <c r="F6" s="1101" t="s">
        <v>2547</v>
      </c>
      <c r="G6" s="1088" t="s">
        <v>6953</v>
      </c>
      <c r="H6" s="1089" t="s">
        <v>1262</v>
      </c>
      <c r="I6" s="1088" t="str">
        <f>HYPERLINK("https://youtu.be/ZP_d48CVxG0","1:19.30")</f>
        <v>1:19.30</v>
      </c>
      <c r="J6" s="1090"/>
      <c r="K6" s="1090"/>
      <c r="L6" s="1091" t="s">
        <v>7609</v>
      </c>
      <c r="M6" s="1090" t="s">
        <v>102</v>
      </c>
      <c r="N6" s="1090" t="s">
        <v>746</v>
      </c>
      <c r="O6" s="1090" t="s">
        <v>4609</v>
      </c>
      <c r="P6" s="1088" t="s">
        <v>1058</v>
      </c>
      <c r="Q6" s="1091" t="s">
        <v>6754</v>
      </c>
      <c r="R6" s="1102" t="s">
        <v>7610</v>
      </c>
      <c r="S6" s="1090" t="s">
        <v>102</v>
      </c>
      <c r="T6" s="1090"/>
      <c r="U6" s="1090"/>
      <c r="V6" s="1090"/>
      <c r="W6" s="1088" t="s">
        <v>7264</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7611</v>
      </c>
      <c r="B7" s="1104" t="s">
        <v>7612</v>
      </c>
      <c r="C7" s="1105" t="s">
        <v>2125</v>
      </c>
      <c r="D7" s="1106"/>
      <c r="E7" s="1106"/>
      <c r="F7" s="1087"/>
      <c r="G7" s="1106"/>
      <c r="H7" s="1107"/>
      <c r="I7" s="1106"/>
      <c r="J7" s="1106"/>
      <c r="K7" s="1106"/>
      <c r="L7" s="1106"/>
      <c r="M7" s="1106"/>
      <c r="N7" s="1106"/>
      <c r="O7" s="1106"/>
      <c r="P7" s="1106"/>
      <c r="Q7" s="1106"/>
      <c r="R7" s="1102" t="s">
        <v>7613</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7614</v>
      </c>
      <c r="C8" s="1084" t="s">
        <v>143</v>
      </c>
      <c r="D8" s="1095" t="s">
        <v>7615</v>
      </c>
      <c r="E8" s="1095" t="s">
        <v>7616</v>
      </c>
      <c r="F8" s="1108" t="s">
        <v>1155</v>
      </c>
      <c r="G8" s="1088" t="s">
        <v>143</v>
      </c>
      <c r="H8" s="1107"/>
      <c r="I8" s="1095" t="s">
        <v>1373</v>
      </c>
      <c r="J8" s="1095"/>
      <c r="K8" s="1095"/>
      <c r="L8" s="1091"/>
      <c r="M8" s="1095" t="s">
        <v>1140</v>
      </c>
      <c r="N8" s="1095" t="s">
        <v>1140</v>
      </c>
      <c r="O8" s="1095" t="s">
        <v>7617</v>
      </c>
      <c r="P8" s="1095"/>
      <c r="Q8" s="1091"/>
      <c r="R8" s="1109" t="s">
        <v>7618</v>
      </c>
      <c r="S8" s="1095" t="s">
        <v>5870</v>
      </c>
      <c r="T8" s="1095" t="s">
        <v>3856</v>
      </c>
      <c r="U8" s="1095" t="s">
        <v>7619</v>
      </c>
      <c r="V8" s="1095" t="s">
        <v>7620</v>
      </c>
      <c r="W8" s="1095"/>
      <c r="X8" s="1095"/>
      <c r="Y8" s="1095" t="s">
        <v>5870</v>
      </c>
      <c r="Z8" s="1095"/>
      <c r="AA8" s="1095" t="s">
        <v>3653</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7621</v>
      </c>
      <c r="B9" s="1104" t="s">
        <v>7622</v>
      </c>
      <c r="C9" s="1084" t="s">
        <v>2326</v>
      </c>
      <c r="D9" s="1106"/>
      <c r="E9" s="1106"/>
      <c r="F9" s="1087"/>
      <c r="G9" s="1106"/>
      <c r="H9" s="1089" t="s">
        <v>1409</v>
      </c>
      <c r="I9" s="1106"/>
      <c r="J9" s="1106"/>
      <c r="K9" s="1106"/>
      <c r="L9" s="1106"/>
      <c r="M9" s="1106"/>
      <c r="N9" s="1106"/>
      <c r="O9" s="1106"/>
      <c r="P9" s="1106" t="s">
        <v>636</v>
      </c>
      <c r="Q9" s="1106"/>
      <c r="R9" s="1102" t="s">
        <v>7623</v>
      </c>
      <c r="S9" s="1106"/>
      <c r="T9" s="1106" t="s">
        <v>2326</v>
      </c>
      <c r="U9" s="1106"/>
      <c r="V9" s="1106"/>
      <c r="W9" s="1106"/>
      <c r="X9" s="1106"/>
      <c r="Y9" s="1106"/>
      <c r="Z9" s="1106"/>
      <c r="AA9" s="1106"/>
      <c r="AB9" s="1106"/>
      <c r="AC9" s="1106"/>
      <c r="AD9" s="1106"/>
      <c r="AE9" s="1106" t="s">
        <v>2628</v>
      </c>
      <c r="AF9" s="1106"/>
      <c r="AG9" s="1106"/>
      <c r="AH9" s="1106"/>
      <c r="AI9" s="1106"/>
      <c r="AJ9" s="1106"/>
      <c r="AK9" s="1106"/>
      <c r="AL9" s="1106"/>
      <c r="AM9" s="1106"/>
      <c r="AN9" s="1106"/>
      <c r="AO9" s="1106"/>
      <c r="AP9" s="1106"/>
      <c r="AQ9" s="1106" t="s">
        <v>7624</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7625</v>
      </c>
      <c r="C10" s="1110" t="s">
        <v>2539</v>
      </c>
      <c r="D10" s="1090"/>
      <c r="E10" s="1090"/>
      <c r="F10" s="1111"/>
      <c r="G10" s="1090"/>
      <c r="H10" s="1107"/>
      <c r="I10" s="1090"/>
      <c r="J10" s="1090"/>
      <c r="K10" s="1090"/>
      <c r="L10" s="1091" t="s">
        <v>7626</v>
      </c>
      <c r="M10" s="1090"/>
      <c r="N10" s="1090"/>
      <c r="O10" s="1090"/>
      <c r="P10" s="1090"/>
      <c r="Q10" s="1091"/>
      <c r="R10" s="1109" t="s">
        <v>7627</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7608</v>
      </c>
      <c r="C11" s="1084" t="s">
        <v>7628</v>
      </c>
      <c r="D11" s="1090"/>
      <c r="E11" s="1088" t="s">
        <v>1244</v>
      </c>
      <c r="F11" s="1114" t="s">
        <v>5052</v>
      </c>
      <c r="G11" s="1090"/>
      <c r="H11" s="1089" t="s">
        <v>2167</v>
      </c>
      <c r="I11" s="1090"/>
      <c r="J11" s="1090"/>
      <c r="K11" s="1090"/>
      <c r="L11" s="1091" t="s">
        <v>7629</v>
      </c>
      <c r="M11" s="1090"/>
      <c r="N11" s="1090"/>
      <c r="O11" s="1090"/>
      <c r="P11" s="1088" t="s">
        <v>7628</v>
      </c>
      <c r="Q11" s="1091"/>
      <c r="R11" s="1109" t="s">
        <v>7630</v>
      </c>
      <c r="S11" s="1090"/>
      <c r="T11" s="1090"/>
      <c r="U11" s="1090"/>
      <c r="V11" s="1090"/>
      <c r="W11" s="1090"/>
      <c r="X11" s="1090"/>
      <c r="Y11" s="1090"/>
      <c r="Z11" s="1090"/>
      <c r="AA11" s="1088" t="s">
        <v>7631</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7632</v>
      </c>
      <c r="B12" s="1083" t="s">
        <v>7633</v>
      </c>
      <c r="C12" s="1115" t="s">
        <v>2347</v>
      </c>
      <c r="D12" s="1095" t="s">
        <v>1791</v>
      </c>
      <c r="E12" s="1095" t="s">
        <v>2827</v>
      </c>
      <c r="F12" s="1116" t="s">
        <v>2347</v>
      </c>
      <c r="G12" s="1095"/>
      <c r="H12" s="1089" t="s">
        <v>7634</v>
      </c>
      <c r="I12" s="1095" t="s">
        <v>7426</v>
      </c>
      <c r="J12" s="1095"/>
      <c r="K12" s="1095" t="s">
        <v>1934</v>
      </c>
      <c r="L12" s="1091" t="s">
        <v>7635</v>
      </c>
      <c r="M12" s="1095"/>
      <c r="N12" s="1095" t="s">
        <v>4503</v>
      </c>
      <c r="O12" s="1095" t="s">
        <v>4793</v>
      </c>
      <c r="P12" s="1095"/>
      <c r="Q12" s="1091" t="s">
        <v>3409</v>
      </c>
      <c r="R12" s="1102" t="s">
        <v>7636</v>
      </c>
      <c r="S12" s="1095" t="s">
        <v>4503</v>
      </c>
      <c r="T12" s="1095"/>
      <c r="U12" s="1095" t="s">
        <v>4380</v>
      </c>
      <c r="V12" s="1095"/>
      <c r="W12" s="1095" t="s">
        <v>656</v>
      </c>
      <c r="X12" s="1095" t="s">
        <v>2896</v>
      </c>
      <c r="Y12" s="1095"/>
      <c r="Z12" s="1095"/>
      <c r="AA12" s="1095"/>
      <c r="AB12" s="1095"/>
      <c r="AC12" s="1095" t="s">
        <v>7637</v>
      </c>
      <c r="AD12" s="1095"/>
      <c r="AE12" s="1095"/>
      <c r="AF12" s="1095"/>
      <c r="AG12" s="1095"/>
      <c r="AH12" s="1095"/>
      <c r="AI12" s="1095"/>
      <c r="AJ12" s="1095"/>
      <c r="AK12" s="1095"/>
      <c r="AL12" s="1090"/>
      <c r="AM12" s="1095"/>
      <c r="AN12" s="1095"/>
      <c r="AO12" s="1095" t="s">
        <v>2035</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7638</v>
      </c>
      <c r="C13" s="1084" t="s">
        <v>4278</v>
      </c>
      <c r="D13" s="1003" t="s">
        <v>1556</v>
      </c>
      <c r="E13" s="1088" t="s">
        <v>337</v>
      </c>
      <c r="F13" s="1101" t="s">
        <v>2548</v>
      </c>
      <c r="G13" s="1088" t="s">
        <v>4278</v>
      </c>
      <c r="H13" s="1089" t="s">
        <v>1263</v>
      </c>
      <c r="I13" s="1090" t="s">
        <v>7639</v>
      </c>
      <c r="J13" s="1088" t="s">
        <v>726</v>
      </c>
      <c r="K13" s="1090"/>
      <c r="L13" s="1091" t="s">
        <v>2194</v>
      </c>
      <c r="M13" s="1090" t="s">
        <v>2347</v>
      </c>
      <c r="N13" s="1088" t="s">
        <v>2110</v>
      </c>
      <c r="O13" s="1090" t="s">
        <v>7640</v>
      </c>
      <c r="P13" s="1088" t="s">
        <v>7641</v>
      </c>
      <c r="Q13" s="1091" t="s">
        <v>2827</v>
      </c>
      <c r="R13" s="1118"/>
      <c r="S13" s="1090" t="s">
        <v>3876</v>
      </c>
      <c r="T13" s="1090"/>
      <c r="U13" s="1088" t="s">
        <v>7642</v>
      </c>
      <c r="V13" s="1090" t="s">
        <v>1501</v>
      </c>
      <c r="W13" s="1090"/>
      <c r="X13" s="1090"/>
      <c r="Y13" s="1090"/>
      <c r="Z13" s="1090"/>
      <c r="AA13" s="1090"/>
      <c r="AB13" s="1090"/>
      <c r="AC13" s="1090"/>
      <c r="AD13" s="1090"/>
      <c r="AE13" s="1090"/>
      <c r="AF13" s="1088" t="s">
        <v>991</v>
      </c>
      <c r="AG13" s="1090"/>
      <c r="AH13" s="1090"/>
      <c r="AI13" s="1090"/>
      <c r="AJ13" s="1090"/>
      <c r="AK13" s="1090"/>
      <c r="AL13" s="1088" t="s">
        <v>4013</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7611</v>
      </c>
      <c r="B14" s="1119" t="s">
        <v>7633</v>
      </c>
      <c r="C14" s="1084" t="s">
        <v>6318</v>
      </c>
      <c r="D14" s="1095" t="s">
        <v>119</v>
      </c>
      <c r="E14" s="1095" t="s">
        <v>6318</v>
      </c>
      <c r="F14" s="1116" t="s">
        <v>6141</v>
      </c>
      <c r="G14" s="1090" t="s">
        <v>4447</v>
      </c>
      <c r="H14" s="1089" t="str">
        <f>HYPERLINK("https://www.twitch.tv/videos/569558488","14.31")</f>
        <v>14.31</v>
      </c>
      <c r="I14" s="1095" t="str">
        <f>HYPERLINK("https://youtu.be/F4XtupQ5d4o","14.33")</f>
        <v>14.33</v>
      </c>
      <c r="J14" s="1095" t="s">
        <v>4447</v>
      </c>
      <c r="K14" s="1088" t="s">
        <v>4059</v>
      </c>
      <c r="L14" s="1120" t="s">
        <v>7643</v>
      </c>
      <c r="M14" s="1095"/>
      <c r="N14" s="1095" t="str">
        <f>HYPERLINK("https://www.youtube.com/watch?v=h3GaauXfeR4","14.16")</f>
        <v>14.16</v>
      </c>
      <c r="O14" s="1095" t="str">
        <f>HYPERLINK("https://youtu.be/rZW3Nzg9CsM","14.20")</f>
        <v>14.20</v>
      </c>
      <c r="P14" s="1095"/>
      <c r="Q14" s="1091" t="s">
        <v>4401</v>
      </c>
      <c r="R14" s="1121" t="s">
        <v>5444</v>
      </c>
      <c r="S14" s="1095" t="s">
        <v>2279</v>
      </c>
      <c r="T14" s="1095" t="s">
        <v>3909</v>
      </c>
      <c r="U14" s="1095"/>
      <c r="V14" s="1095"/>
      <c r="W14" s="1095"/>
      <c r="X14" s="1095" t="s">
        <v>5657</v>
      </c>
      <c r="Y14" s="1095"/>
      <c r="Z14" s="1095" t="s">
        <v>4524</v>
      </c>
      <c r="AA14" s="1095"/>
      <c r="AB14" s="1095"/>
      <c r="AC14" s="1095" t="s">
        <v>6141</v>
      </c>
      <c r="AD14" s="1095"/>
      <c r="AE14" s="1095"/>
      <c r="AF14" s="1095" t="s">
        <v>665</v>
      </c>
      <c r="AG14" s="1095" t="s">
        <v>6924</v>
      </c>
      <c r="AH14" s="1095"/>
      <c r="AI14" s="1095" t="s">
        <v>5444</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7638</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1952</v>
      </c>
      <c r="L15" s="1091" t="s">
        <v>4663</v>
      </c>
      <c r="M15" s="1095" t="s">
        <v>444</v>
      </c>
      <c r="N15" s="1095" t="str">
        <f>HYPERLINK("https://youtu.be/v-0tSrJ8Kf0","13.80")</f>
        <v>13.80</v>
      </c>
      <c r="O15" s="1095" t="str">
        <f>HYPERLINK("https://youtu.be/Kv9otnDdZKc","13.93")</f>
        <v>13.93</v>
      </c>
      <c r="P15" s="1095" t="s">
        <v>1060</v>
      </c>
      <c r="Q15" s="1091" t="s">
        <v>2381</v>
      </c>
      <c r="R15" s="1118"/>
      <c r="S15" s="1095" t="s">
        <v>1952</v>
      </c>
      <c r="T15" s="1095"/>
      <c r="U15" s="1088" t="s">
        <v>2549</v>
      </c>
      <c r="V15" s="1095"/>
      <c r="W15" s="1095"/>
      <c r="X15" s="1095" t="s">
        <v>2627</v>
      </c>
      <c r="Y15" s="1095"/>
      <c r="Z15" s="1095"/>
      <c r="AA15" s="1095"/>
      <c r="AB15" s="1095"/>
      <c r="AC15" s="1095" t="s">
        <v>1421</v>
      </c>
      <c r="AD15" s="1095"/>
      <c r="AE15" s="1095"/>
      <c r="AF15" s="1095" t="s">
        <v>1639</v>
      </c>
      <c r="AG15" s="1095"/>
      <c r="AH15" s="1095"/>
      <c r="AI15" s="1095" t="s">
        <v>1639</v>
      </c>
      <c r="AJ15" s="1095" t="s">
        <v>1060</v>
      </c>
      <c r="AK15" s="1095"/>
      <c r="AL15" s="1088" t="s">
        <v>1952</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7621</v>
      </c>
      <c r="B16" s="1124" t="s">
        <v>7644</v>
      </c>
      <c r="C16" s="1084" t="s">
        <v>2671</v>
      </c>
      <c r="D16" s="1095" t="s">
        <v>5540</v>
      </c>
      <c r="E16" s="1095"/>
      <c r="F16" s="1116" t="s">
        <v>2148</v>
      </c>
      <c r="G16" s="1095"/>
      <c r="H16" s="1107"/>
      <c r="I16" s="1095"/>
      <c r="J16" s="1095"/>
      <c r="K16" s="1095"/>
      <c r="L16" s="1091" t="s">
        <v>2134</v>
      </c>
      <c r="M16" s="1095"/>
      <c r="N16" s="1095" t="s">
        <v>2671</v>
      </c>
      <c r="O16" s="1095"/>
      <c r="P16" s="1095"/>
      <c r="Q16" s="1091"/>
      <c r="R16" s="1109" t="s">
        <v>7645</v>
      </c>
      <c r="S16" s="1095"/>
      <c r="T16" s="1095"/>
      <c r="U16" s="1095" t="s">
        <v>7646</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7647</v>
      </c>
      <c r="C17" s="1084" t="s">
        <v>7648</v>
      </c>
      <c r="D17" s="1090" t="s">
        <v>7649</v>
      </c>
      <c r="E17" s="1088" t="s">
        <v>1018</v>
      </c>
      <c r="F17" s="1114" t="s">
        <v>947</v>
      </c>
      <c r="G17" s="1090" t="s">
        <v>7650</v>
      </c>
      <c r="H17" s="1089" t="s">
        <v>2258</v>
      </c>
      <c r="I17" s="1090"/>
      <c r="J17" s="1088" t="s">
        <v>7651</v>
      </c>
      <c r="K17" s="1090"/>
      <c r="L17" s="1091"/>
      <c r="M17" s="1090" t="s">
        <v>7651</v>
      </c>
      <c r="N17" s="1090"/>
      <c r="O17" s="1090"/>
      <c r="P17" s="1088" t="s">
        <v>1989</v>
      </c>
      <c r="Q17" s="1091" t="s">
        <v>7652</v>
      </c>
      <c r="R17" s="1121"/>
      <c r="S17" s="1090" t="s">
        <v>7653</v>
      </c>
      <c r="T17" s="1090"/>
      <c r="U17" s="1090"/>
      <c r="V17" s="1090" t="s">
        <v>2671</v>
      </c>
      <c r="W17" s="1090"/>
      <c r="X17" s="1090"/>
      <c r="Y17" s="1090" t="s">
        <v>7651</v>
      </c>
      <c r="Z17" s="1090"/>
      <c r="AA17" s="1088" t="s">
        <v>1989</v>
      </c>
      <c r="AB17" s="1090"/>
      <c r="AC17" s="1090"/>
      <c r="AD17" s="1090"/>
      <c r="AE17" s="1090"/>
      <c r="AF17" s="1090"/>
      <c r="AG17" s="1090"/>
      <c r="AH17" s="1088" t="s">
        <v>7648</v>
      </c>
      <c r="AI17" s="1090" t="s">
        <v>3891</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7654</v>
      </c>
      <c r="B18" s="1083" t="s">
        <v>7655</v>
      </c>
      <c r="C18" s="1084" t="s">
        <v>1699</v>
      </c>
      <c r="D18" s="1095" t="s">
        <v>3614</v>
      </c>
      <c r="E18" s="1095" t="s">
        <v>1173</v>
      </c>
      <c r="F18" s="1096"/>
      <c r="G18" s="1095"/>
      <c r="H18" s="1089" t="s">
        <v>4448</v>
      </c>
      <c r="I18" s="1095" t="s">
        <v>4215</v>
      </c>
      <c r="J18" s="1095"/>
      <c r="K18" s="1095" t="s">
        <v>7656</v>
      </c>
      <c r="L18" s="1091"/>
      <c r="M18" s="1095"/>
      <c r="N18" s="1095" t="s">
        <v>7657</v>
      </c>
      <c r="O18" s="1095" t="str">
        <f>HYPERLINK("https://www.youtube.com/watch?v=2TATjRbAkgw","46.87")</f>
        <v>46.87</v>
      </c>
      <c r="P18" s="1095"/>
      <c r="Q18" s="1091"/>
      <c r="R18" s="1109" t="s">
        <v>7658</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4657</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7659</v>
      </c>
      <c r="C19" s="1084" t="s">
        <v>2862</v>
      </c>
      <c r="D19" s="1095"/>
      <c r="E19" s="1095" t="s">
        <v>882</v>
      </c>
      <c r="F19" s="1087"/>
      <c r="G19" s="1095"/>
      <c r="H19" s="1107"/>
      <c r="I19" s="1095"/>
      <c r="J19" s="1095"/>
      <c r="K19" s="1095" t="s">
        <v>6717</v>
      </c>
      <c r="L19" s="1091"/>
      <c r="M19" s="1095"/>
      <c r="N19" s="1095"/>
      <c r="O19" s="1095"/>
      <c r="P19" s="1095"/>
      <c r="Q19" s="1091"/>
      <c r="R19" s="1121"/>
      <c r="S19" s="1095" t="s">
        <v>7660</v>
      </c>
      <c r="T19" s="1095" t="s">
        <v>7661</v>
      </c>
      <c r="U19" s="1095"/>
      <c r="V19" s="1095"/>
      <c r="W19" s="1095"/>
      <c r="X19" s="1095"/>
      <c r="Y19" s="1095"/>
      <c r="Z19" s="1095"/>
      <c r="AA19" s="1095"/>
      <c r="AB19" s="1095"/>
      <c r="AC19" s="1095"/>
      <c r="AD19" s="1095"/>
      <c r="AE19" s="1095"/>
      <c r="AF19" s="1095"/>
      <c r="AG19" s="1095"/>
      <c r="AH19" s="1095"/>
      <c r="AI19" s="1095"/>
      <c r="AJ19" s="1095"/>
      <c r="AK19" s="1095" t="s">
        <v>4047</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7662</v>
      </c>
      <c r="C20" s="1084" t="s">
        <v>418</v>
      </c>
      <c r="D20" s="1095" t="s">
        <v>1558</v>
      </c>
      <c r="E20" s="1095" t="s">
        <v>418</v>
      </c>
      <c r="F20" s="1123" t="s">
        <v>2127</v>
      </c>
      <c r="G20" s="1095" t="s">
        <v>4386</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7663</v>
      </c>
      <c r="V20" s="1095"/>
      <c r="W20" s="1088" t="s">
        <v>5727</v>
      </c>
      <c r="X20" s="1095" t="s">
        <v>7664</v>
      </c>
      <c r="Y20" s="1095" t="s">
        <v>553</v>
      </c>
      <c r="Z20" s="1095"/>
      <c r="AA20" s="1095"/>
      <c r="AB20" s="1095"/>
      <c r="AC20" s="1095" t="s">
        <v>5205</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7665</v>
      </c>
      <c r="B21" s="1083" t="s">
        <v>7666</v>
      </c>
      <c r="C21" s="1126" t="s">
        <v>7667</v>
      </c>
      <c r="D21" s="1049"/>
      <c r="E21" s="1049"/>
      <c r="F21" s="1087"/>
      <c r="G21" s="1049"/>
      <c r="H21" s="1107"/>
      <c r="I21" s="1049"/>
      <c r="J21" s="1049"/>
      <c r="K21" s="1049"/>
      <c r="L21" s="1127"/>
      <c r="M21" s="1049"/>
      <c r="N21" s="1049"/>
      <c r="O21" s="1049"/>
      <c r="P21" s="1049"/>
      <c r="Q21" s="1127"/>
      <c r="R21" s="1121" t="s">
        <v>7668</v>
      </c>
      <c r="S21" s="1049"/>
      <c r="T21" s="1049"/>
      <c r="U21" s="1049"/>
      <c r="V21" s="1049"/>
      <c r="W21" s="1128" t="s">
        <v>7667</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7669</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7670</v>
      </c>
      <c r="C23" s="1084" t="s">
        <v>2671</v>
      </c>
      <c r="D23" s="1049"/>
      <c r="E23" s="1049" t="s">
        <v>160</v>
      </c>
      <c r="F23" s="1087"/>
      <c r="G23" s="1049"/>
      <c r="H23" s="1107" t="s">
        <v>4167</v>
      </c>
      <c r="I23" s="1049"/>
      <c r="J23" s="1049"/>
      <c r="K23" s="1049"/>
      <c r="L23" s="1127"/>
      <c r="M23" s="1049"/>
      <c r="N23" s="1049"/>
      <c r="O23" s="1049"/>
      <c r="P23" s="1049"/>
      <c r="Q23" s="1127"/>
      <c r="R23" s="1092"/>
      <c r="S23" s="1049" t="s">
        <v>7671</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7672</v>
      </c>
      <c r="C24" s="1084" t="s">
        <v>7673</v>
      </c>
      <c r="D24" s="1095"/>
      <c r="E24" s="1095" t="s">
        <v>3891</v>
      </c>
      <c r="F24" s="1114" t="s">
        <v>4259</v>
      </c>
      <c r="G24" s="1095" t="s">
        <v>7674</v>
      </c>
      <c r="H24" s="1107"/>
      <c r="I24" s="1095"/>
      <c r="J24" s="1095"/>
      <c r="K24" s="1095"/>
      <c r="L24" s="1091"/>
      <c r="M24" s="1095" t="s">
        <v>785</v>
      </c>
      <c r="N24" s="1095"/>
      <c r="O24" s="1095"/>
      <c r="P24" s="1095"/>
      <c r="Q24" s="1091"/>
      <c r="R24" s="1098"/>
      <c r="S24" s="1095" t="s">
        <v>7675</v>
      </c>
      <c r="T24" s="1095"/>
      <c r="U24" s="1095"/>
      <c r="V24" s="1095"/>
      <c r="W24" s="1095"/>
      <c r="X24" s="1095"/>
      <c r="Y24" s="1095"/>
      <c r="Z24" s="1095"/>
      <c r="AA24" s="1095" t="s">
        <v>7676</v>
      </c>
      <c r="AB24" s="1095"/>
      <c r="AC24" s="1095"/>
      <c r="AD24" s="1095"/>
      <c r="AE24" s="1095"/>
      <c r="AF24" s="1095"/>
      <c r="AG24" s="1095"/>
      <c r="AH24" s="1095" t="s">
        <v>7673</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7677</v>
      </c>
      <c r="B25" s="1083" t="s">
        <v>7678</v>
      </c>
      <c r="C25" s="1084" t="s">
        <v>253</v>
      </c>
      <c r="D25" s="1095"/>
      <c r="E25" s="1095" t="s">
        <v>253</v>
      </c>
      <c r="F25" s="1087"/>
      <c r="G25" s="1095"/>
      <c r="H25" s="1107"/>
      <c r="I25" s="1095"/>
      <c r="J25" s="1095"/>
      <c r="K25" s="1095"/>
      <c r="L25" s="1091"/>
      <c r="M25" s="1095"/>
      <c r="N25" s="1095"/>
      <c r="O25" s="1095" t="s">
        <v>7679</v>
      </c>
      <c r="P25" s="1095"/>
      <c r="Q25" s="1091"/>
      <c r="R25" s="1092"/>
      <c r="S25" s="1095" t="s">
        <v>7680</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7681</v>
      </c>
      <c r="C26" s="1084" t="s">
        <v>7682</v>
      </c>
      <c r="D26" s="1095"/>
      <c r="E26" s="1095" t="s">
        <v>1023</v>
      </c>
      <c r="F26" s="1114" t="s">
        <v>3447</v>
      </c>
      <c r="G26" s="1095"/>
      <c r="H26" s="1107"/>
      <c r="I26" s="1095"/>
      <c r="J26" s="1095"/>
      <c r="K26" s="1095"/>
      <c r="L26" s="1091" t="s">
        <v>7683</v>
      </c>
      <c r="M26" s="1095"/>
      <c r="N26" s="1095"/>
      <c r="O26" s="1095"/>
      <c r="P26" s="1095"/>
      <c r="Q26" s="1091"/>
      <c r="R26" s="1118" t="s">
        <v>7684</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7685</v>
      </c>
      <c r="C27" s="1084" t="s">
        <v>2830</v>
      </c>
      <c r="D27" s="1088" t="s">
        <v>1560</v>
      </c>
      <c r="E27" s="1095" t="s">
        <v>7686</v>
      </c>
      <c r="F27" s="1116" t="s">
        <v>6752</v>
      </c>
      <c r="G27" s="1095"/>
      <c r="H27" s="1107"/>
      <c r="I27" s="1095"/>
      <c r="J27" s="1095"/>
      <c r="K27" s="1095"/>
      <c r="L27" s="1091"/>
      <c r="M27" s="1095"/>
      <c r="N27" s="1095"/>
      <c r="O27" s="1095"/>
      <c r="P27" s="1095"/>
      <c r="Q27" s="1091"/>
      <c r="R27" s="1092"/>
      <c r="S27" s="1095"/>
      <c r="T27" s="1095"/>
      <c r="U27" s="1095"/>
      <c r="V27" s="1095"/>
      <c r="W27" s="1095" t="s">
        <v>4571</v>
      </c>
      <c r="X27" s="1095"/>
      <c r="Y27" s="1095"/>
      <c r="Z27" s="1095"/>
      <c r="AA27" s="1095"/>
      <c r="AB27" s="1095"/>
      <c r="AC27" s="1095"/>
      <c r="AD27" s="1095"/>
      <c r="AE27" s="1095"/>
      <c r="AF27" s="1095"/>
      <c r="AG27" s="1095"/>
      <c r="AH27" s="1095"/>
      <c r="AI27" s="1095"/>
      <c r="AJ27" s="1095"/>
      <c r="AK27" s="1095"/>
      <c r="AL27" s="1088" t="s">
        <v>7687</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7688</v>
      </c>
      <c r="C28" s="1084" t="s">
        <v>7689</v>
      </c>
      <c r="D28" s="1095"/>
      <c r="E28" s="1095" t="s">
        <v>7689</v>
      </c>
      <c r="F28" s="1101" t="s">
        <v>2551</v>
      </c>
      <c r="G28" s="1095"/>
      <c r="H28" s="1089" t="s">
        <v>1267</v>
      </c>
      <c r="I28" s="1095"/>
      <c r="J28" s="1095" t="s">
        <v>7690</v>
      </c>
      <c r="K28" s="1095" t="s">
        <v>7691</v>
      </c>
      <c r="L28" s="1091"/>
      <c r="M28" s="1095"/>
      <c r="N28" s="1095"/>
      <c r="O28" s="1095"/>
      <c r="P28" s="1095" t="s">
        <v>7692</v>
      </c>
      <c r="Q28" s="1091" t="s">
        <v>7693</v>
      </c>
      <c r="R28" s="1098"/>
      <c r="S28" s="1095" t="s">
        <v>7694</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7611</v>
      </c>
      <c r="B29" s="1104" t="s">
        <v>7695</v>
      </c>
      <c r="C29" s="1084" t="s">
        <v>5474</v>
      </c>
      <c r="D29" s="1095" t="s">
        <v>480</v>
      </c>
      <c r="E29" s="1095" t="s">
        <v>5474</v>
      </c>
      <c r="F29" s="1087"/>
      <c r="G29" s="1095"/>
      <c r="H29" s="1089" t="s">
        <v>5610</v>
      </c>
      <c r="I29" s="1095"/>
      <c r="J29" s="1095"/>
      <c r="K29" s="1095" t="s">
        <v>480</v>
      </c>
      <c r="L29" s="1091"/>
      <c r="M29" s="1095"/>
      <c r="N29" s="1095"/>
      <c r="O29" s="1095"/>
      <c r="P29" s="1095"/>
      <c r="Q29" s="1091"/>
      <c r="R29" s="1121" t="s">
        <v>4885</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7696</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7697</v>
      </c>
      <c r="C30" s="1084" t="s">
        <v>2958</v>
      </c>
      <c r="D30" s="1095"/>
      <c r="E30" s="1095" t="s">
        <v>2958</v>
      </c>
      <c r="F30" s="1096"/>
      <c r="G30" s="1095"/>
      <c r="H30" s="1107"/>
      <c r="I30" s="1095"/>
      <c r="J30" s="1095"/>
      <c r="K30" s="1095" t="s">
        <v>5743</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7698</v>
      </c>
      <c r="C31" s="1084" t="s">
        <v>4268</v>
      </c>
      <c r="D31" s="1095"/>
      <c r="E31" s="1095" t="s">
        <v>1966</v>
      </c>
      <c r="F31" s="1135" t="s">
        <v>5743</v>
      </c>
      <c r="G31" s="1095"/>
      <c r="H31" s="1107"/>
      <c r="I31" s="1095" t="s">
        <v>4935</v>
      </c>
      <c r="J31" s="1095" t="s">
        <v>772</v>
      </c>
      <c r="K31" s="1095" t="s">
        <v>3448</v>
      </c>
      <c r="L31" s="1091"/>
      <c r="M31" s="1095"/>
      <c r="N31" s="1095" t="s">
        <v>1447</v>
      </c>
      <c r="O31" s="1095" t="s">
        <v>5743</v>
      </c>
      <c r="P31" s="1095"/>
      <c r="Q31" s="1091"/>
      <c r="R31" s="1121" t="s">
        <v>2560</v>
      </c>
      <c r="S31" s="1095"/>
      <c r="T31" s="1095"/>
      <c r="U31" s="1095"/>
      <c r="V31" s="1095"/>
      <c r="W31" s="1095"/>
      <c r="X31" s="1095"/>
      <c r="Y31" s="1095"/>
      <c r="Z31" s="1095" t="s">
        <v>451</v>
      </c>
      <c r="AA31" s="1095"/>
      <c r="AB31" s="1095"/>
      <c r="AC31" s="1095" t="s">
        <v>6808</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7699</v>
      </c>
      <c r="C32" s="1084" t="s">
        <v>2045</v>
      </c>
      <c r="D32" s="1095"/>
      <c r="E32" s="1095" t="s">
        <v>1425</v>
      </c>
      <c r="F32" s="1096"/>
      <c r="G32" s="1095"/>
      <c r="H32" s="1089" t="s">
        <v>4942</v>
      </c>
      <c r="I32" s="1095" t="s">
        <v>1966</v>
      </c>
      <c r="J32" s="1095" t="s">
        <v>2045</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2394</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7700</v>
      </c>
      <c r="C33" s="1084" t="s">
        <v>3879</v>
      </c>
      <c r="D33" s="1095"/>
      <c r="E33" s="1095" t="s">
        <v>3879</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7701</v>
      </c>
      <c r="C34" s="1084" t="s">
        <v>2881</v>
      </c>
      <c r="D34" s="1095"/>
      <c r="E34" s="1095" t="s">
        <v>3173</v>
      </c>
      <c r="F34" s="1096"/>
      <c r="G34" s="1095"/>
      <c r="H34" s="1107"/>
      <c r="I34" s="1095"/>
      <c r="J34" s="1095"/>
      <c r="K34" s="1095" t="s">
        <v>4268</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7702</v>
      </c>
      <c r="C35" s="1084" t="s">
        <v>3748</v>
      </c>
      <c r="D35" s="1095"/>
      <c r="E35" s="1095" t="s">
        <v>3448</v>
      </c>
      <c r="F35" s="1087"/>
      <c r="G35" s="1095"/>
      <c r="H35" s="1107"/>
      <c r="I35" s="1095"/>
      <c r="J35" s="1095" t="s">
        <v>3748</v>
      </c>
      <c r="K35" s="1095" t="s">
        <v>3879</v>
      </c>
      <c r="L35" s="1120" t="s">
        <v>7703</v>
      </c>
      <c r="M35" s="1095"/>
      <c r="N35" s="1095" t="s">
        <v>5442</v>
      </c>
      <c r="O35" s="1095"/>
      <c r="P35" s="1095"/>
      <c r="Q35" s="1091"/>
      <c r="R35" s="1092"/>
      <c r="S35" s="1095" t="s">
        <v>7704</v>
      </c>
      <c r="T35" s="1088" t="s">
        <v>3748</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7705</v>
      </c>
      <c r="C36" s="1084" t="s">
        <v>4148</v>
      </c>
      <c r="D36" s="1095"/>
      <c r="E36" s="1095" t="s">
        <v>3850</v>
      </c>
      <c r="F36" s="1096"/>
      <c r="G36" s="1095"/>
      <c r="H36" s="1107"/>
      <c r="I36" s="1095"/>
      <c r="J36" s="1095" t="s">
        <v>4148</v>
      </c>
      <c r="K36" s="1095" t="s">
        <v>7706</v>
      </c>
      <c r="L36" s="1091"/>
      <c r="M36" s="1095" t="s">
        <v>2272</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7707</v>
      </c>
      <c r="C37" s="1084" t="s">
        <v>2317</v>
      </c>
      <c r="D37" s="1095" t="s">
        <v>1561</v>
      </c>
      <c r="E37" s="1095" t="s">
        <v>3748</v>
      </c>
      <c r="F37" s="1116" t="s">
        <v>3159</v>
      </c>
      <c r="G37" s="1095"/>
      <c r="H37" s="1107"/>
      <c r="I37" s="1095" t="s">
        <v>7708</v>
      </c>
      <c r="J37" s="1095" t="s">
        <v>2317</v>
      </c>
      <c r="K37" s="1095" t="s">
        <v>2272</v>
      </c>
      <c r="L37" s="1091"/>
      <c r="M37" s="1095"/>
      <c r="N37" s="1095" t="s">
        <v>7706</v>
      </c>
      <c r="O37" s="1095"/>
      <c r="P37" s="1095"/>
      <c r="Q37" s="1091"/>
      <c r="R37" s="1092"/>
      <c r="S37" s="1095" t="s">
        <v>3140</v>
      </c>
      <c r="T37" s="1095"/>
      <c r="U37" s="1095"/>
      <c r="V37" s="1095"/>
      <c r="W37" s="1088" t="s">
        <v>3748</v>
      </c>
      <c r="X37" s="1095" t="s">
        <v>5985</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7709</v>
      </c>
      <c r="C38" s="1084" t="s">
        <v>763</v>
      </c>
      <c r="D38" s="1095"/>
      <c r="E38" s="1095" t="s">
        <v>4011</v>
      </c>
      <c r="F38" s="1101" t="s">
        <v>2552</v>
      </c>
      <c r="G38" s="1095" t="s">
        <v>763</v>
      </c>
      <c r="H38" s="1089" t="s">
        <v>3826</v>
      </c>
      <c r="I38" s="1095" t="s">
        <v>2035</v>
      </c>
      <c r="J38" s="1095" t="s">
        <v>1137</v>
      </c>
      <c r="K38" s="1095" t="s">
        <v>4907</v>
      </c>
      <c r="L38" s="1091"/>
      <c r="M38" s="1095"/>
      <c r="N38" s="1095"/>
      <c r="O38" s="1095"/>
      <c r="P38" s="1095" t="s">
        <v>2035</v>
      </c>
      <c r="Q38" s="1091" t="s">
        <v>2490</v>
      </c>
      <c r="R38" s="1098"/>
      <c r="S38" s="1095" t="str">
        <f>HYPERLINK("https://clips.twitch.tv/AggressiveBigTeaNononoCat","40.26")</f>
        <v>40.26</v>
      </c>
      <c r="T38" s="1095"/>
      <c r="U38" s="1095"/>
      <c r="V38" s="1095" t="s">
        <v>4011</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7621</v>
      </c>
      <c r="B39" s="1104" t="s">
        <v>7710</v>
      </c>
      <c r="C39" s="1084" t="s">
        <v>4373</v>
      </c>
      <c r="D39" s="1095" t="s">
        <v>7711</v>
      </c>
      <c r="E39" s="1095" t="s">
        <v>4373</v>
      </c>
      <c r="F39" s="1116" t="s">
        <v>7712</v>
      </c>
      <c r="G39" s="1095"/>
      <c r="H39" s="1089" t="s">
        <v>3127</v>
      </c>
      <c r="I39" s="1095"/>
      <c r="J39" s="1095"/>
      <c r="K39" s="1095" t="s">
        <v>354</v>
      </c>
      <c r="L39" s="1091" t="s">
        <v>4091</v>
      </c>
      <c r="M39" s="1095"/>
      <c r="N39" s="1095"/>
      <c r="O39" s="1095"/>
      <c r="P39" s="1095"/>
      <c r="Q39" s="1091"/>
      <c r="R39" s="1092"/>
      <c r="S39" s="1095" t="s">
        <v>3181</v>
      </c>
      <c r="T39" s="1095"/>
      <c r="U39" s="1095"/>
      <c r="V39" s="1095"/>
      <c r="W39" s="1095"/>
      <c r="X39" s="1095"/>
      <c r="Y39" s="1095"/>
      <c r="Z39" s="1095" t="s">
        <v>7713</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7714</v>
      </c>
      <c r="C40" s="1084" t="s">
        <v>2540</v>
      </c>
      <c r="D40" s="1095" t="s">
        <v>2754</v>
      </c>
      <c r="E40" s="1095" t="s">
        <v>3667</v>
      </c>
      <c r="F40" s="1114" t="s">
        <v>5052</v>
      </c>
      <c r="G40" s="1095" t="s">
        <v>7715</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7716</v>
      </c>
      <c r="B41" s="1083" t="s">
        <v>7717</v>
      </c>
      <c r="C41" s="1084" t="s">
        <v>1067</v>
      </c>
      <c r="D41" s="1095" t="s">
        <v>5299</v>
      </c>
      <c r="E41" s="1095" t="s">
        <v>7557</v>
      </c>
      <c r="F41" s="1087"/>
      <c r="G41" s="1095" t="s">
        <v>2657</v>
      </c>
      <c r="H41" s="1107"/>
      <c r="I41" s="1095" t="str">
        <f>HYPERLINK("https://youtu.be/WdBDZlWcLa8","16.95")</f>
        <v>16.95</v>
      </c>
      <c r="J41" s="1095"/>
      <c r="K41" s="1095"/>
      <c r="L41" s="1091"/>
      <c r="M41" s="1095"/>
      <c r="N41" s="1095"/>
      <c r="O41" s="1095" t="str">
        <f>HYPERLINK("https://youtu.be/FwtG-kRM0SE","17.64")</f>
        <v>17.64</v>
      </c>
      <c r="P41" s="1095"/>
      <c r="Q41" s="1091" t="s">
        <v>4909</v>
      </c>
      <c r="R41" s="1109" t="s">
        <v>4420</v>
      </c>
      <c r="S41" s="1095" t="str">
        <f>HYPERLINK("https://clips.twitch.tv/VainSmokyPotSeemsGood","16.88")</f>
        <v>16.88</v>
      </c>
      <c r="T41" s="1095"/>
      <c r="U41" s="1095" t="s">
        <v>1067</v>
      </c>
      <c r="V41" s="1095"/>
      <c r="W41" s="1095"/>
      <c r="X41" s="1095" t="s">
        <v>5356</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7718</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7719</v>
      </c>
      <c r="B43" s="1083" t="s">
        <v>7720</v>
      </c>
      <c r="C43" s="1084" t="s">
        <v>4966</v>
      </c>
      <c r="D43" s="1003" t="s">
        <v>1563</v>
      </c>
      <c r="E43" s="1138"/>
      <c r="F43" s="1087"/>
      <c r="G43" s="1138"/>
      <c r="H43" s="1107"/>
      <c r="I43" s="1138"/>
      <c r="J43" s="1138"/>
      <c r="K43" s="1138"/>
      <c r="L43" s="1120" t="s">
        <v>7721</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7722</v>
      </c>
      <c r="B44" s="1083" t="s">
        <v>7723</v>
      </c>
      <c r="C44" s="1084" t="s">
        <v>2405</v>
      </c>
      <c r="D44" s="1000" t="s">
        <v>1357</v>
      </c>
      <c r="E44" s="1095" t="s">
        <v>2405</v>
      </c>
      <c r="F44" s="1087"/>
      <c r="G44" s="1095"/>
      <c r="H44" s="1107"/>
      <c r="I44" s="1095" t="str">
        <f>HYPERLINK("https://youtu.be/t-1yqXLdZMA","38.05")</f>
        <v>38.05</v>
      </c>
      <c r="J44" s="1095" t="s">
        <v>7724</v>
      </c>
      <c r="K44" s="1095" t="s">
        <v>2274</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7725</v>
      </c>
      <c r="B45" s="1104" t="s">
        <v>7723</v>
      </c>
      <c r="C45" s="1139"/>
      <c r="D45" s="1140" t="s">
        <v>7726</v>
      </c>
      <c r="E45" s="1095"/>
      <c r="F45" s="1087"/>
      <c r="G45" s="1090" t="s">
        <v>7727</v>
      </c>
      <c r="H45" s="1107"/>
      <c r="I45" s="1095"/>
      <c r="J45" s="1095"/>
      <c r="K45" s="1095"/>
      <c r="L45" s="1091" t="s">
        <v>7635</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7728</v>
      </c>
      <c r="B46" s="1083" t="s">
        <v>7723</v>
      </c>
      <c r="C46" s="1084" t="s">
        <v>7729</v>
      </c>
      <c r="D46" s="1003" t="s">
        <v>651</v>
      </c>
      <c r="E46" s="1095" t="s">
        <v>2841</v>
      </c>
      <c r="F46" s="1087"/>
      <c r="G46" s="1095"/>
      <c r="H46" s="1107"/>
      <c r="I46" s="1095" t="s">
        <v>1636</v>
      </c>
      <c r="J46" s="1095"/>
      <c r="K46" s="1095" t="s">
        <v>2176</v>
      </c>
      <c r="L46" s="1091"/>
      <c r="M46" s="1095" t="s">
        <v>277</v>
      </c>
      <c r="N46" s="1095" t="s">
        <v>784</v>
      </c>
      <c r="O46" s="1095" t="str">
        <f>HYPERLINK("https://youtu.be/Z3lDpXDeu-A","48.50")</f>
        <v>48.50</v>
      </c>
      <c r="P46" s="1095"/>
      <c r="Q46" s="1091"/>
      <c r="R46" s="1092"/>
      <c r="S46" s="1095"/>
      <c r="T46" s="1095"/>
      <c r="U46" s="1095" t="s">
        <v>7729</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7730</v>
      </c>
      <c r="C47" s="1105" t="s">
        <v>2636</v>
      </c>
      <c r="D47" s="1091"/>
      <c r="E47" s="1091"/>
      <c r="F47" s="1096"/>
      <c r="G47" s="1091"/>
      <c r="H47" s="1107"/>
      <c r="I47" s="1088" t="s">
        <v>2636</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7731</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7732</v>
      </c>
      <c r="C49" s="1084" t="s">
        <v>5472</v>
      </c>
      <c r="D49" s="1142" t="s">
        <v>6157</v>
      </c>
      <c r="E49" s="1091"/>
      <c r="F49" s="1096"/>
      <c r="G49" s="1091" t="s">
        <v>2012</v>
      </c>
      <c r="H49" s="1107"/>
      <c r="I49" s="1088" t="s">
        <v>5472</v>
      </c>
      <c r="J49" s="1143" t="s">
        <v>2275</v>
      </c>
      <c r="K49" s="1091"/>
      <c r="L49" s="1091" t="s">
        <v>7733</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7734</v>
      </c>
      <c r="C50" s="1084" t="s">
        <v>7735</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7735</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7725</v>
      </c>
      <c r="B51" s="1104" t="s">
        <v>7723</v>
      </c>
      <c r="C51" s="1084" t="s">
        <v>7736</v>
      </c>
      <c r="D51" s="1145"/>
      <c r="E51" s="1095"/>
      <c r="F51" s="1087"/>
      <c r="G51" s="1095"/>
      <c r="H51" s="1107"/>
      <c r="I51" s="1095"/>
      <c r="J51" s="1095"/>
      <c r="K51" s="1095"/>
      <c r="L51" s="1091" t="s">
        <v>7737</v>
      </c>
      <c r="M51" s="1095"/>
      <c r="N51" s="1095"/>
      <c r="O51" s="1095"/>
      <c r="P51" s="1095"/>
      <c r="Q51" s="1091"/>
      <c r="R51" s="1092"/>
      <c r="S51" s="1095"/>
      <c r="T51" s="1095"/>
      <c r="U51" s="1130" t="s">
        <v>7736</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7738</v>
      </c>
      <c r="C52" s="1105" t="s">
        <v>7739</v>
      </c>
      <c r="D52" s="1142" t="s">
        <v>7740</v>
      </c>
      <c r="E52" s="1095"/>
      <c r="F52" s="1087"/>
      <c r="G52" s="1095"/>
      <c r="H52" s="1107"/>
      <c r="I52" s="1095"/>
      <c r="J52" s="1095"/>
      <c r="K52" s="1095"/>
      <c r="L52" s="1091" t="s">
        <v>7741</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7739</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7595</v>
      </c>
      <c r="C53" s="1084" t="s">
        <v>349</v>
      </c>
      <c r="D53" s="1003" t="s">
        <v>7742</v>
      </c>
      <c r="E53" s="1088" t="s">
        <v>349</v>
      </c>
      <c r="F53" s="1096"/>
      <c r="G53" s="1090"/>
      <c r="H53" s="1089" t="s">
        <v>1272</v>
      </c>
      <c r="I53" s="1090"/>
      <c r="J53" s="1090"/>
      <c r="K53" s="1090"/>
      <c r="L53" s="1091" t="s">
        <v>7743</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7744</v>
      </c>
      <c r="B55" s="1154" t="s">
        <v>7745</v>
      </c>
      <c r="C55" s="1155" t="s">
        <v>1845</v>
      </c>
      <c r="D55" s="1095"/>
      <c r="E55" s="1095" t="s">
        <v>1478</v>
      </c>
      <c r="F55" s="1087"/>
      <c r="G55" s="1095"/>
      <c r="H55" s="1089" t="s">
        <v>2019</v>
      </c>
      <c r="I55" s="1095" t="s">
        <v>5753</v>
      </c>
      <c r="J55" s="1095" t="s">
        <v>1845</v>
      </c>
      <c r="K55" s="1095" t="s">
        <v>7746</v>
      </c>
      <c r="L55" s="1156"/>
      <c r="M55" s="1095" t="s">
        <v>910</v>
      </c>
      <c r="N55" s="1095" t="s">
        <v>754</v>
      </c>
      <c r="O55" s="1095" t="s">
        <v>2996</v>
      </c>
      <c r="P55" s="1095"/>
      <c r="Q55" s="1091" t="s">
        <v>3428</v>
      </c>
      <c r="R55" s="1157" t="s">
        <v>7747</v>
      </c>
      <c r="S55" s="1095" t="s">
        <v>122</v>
      </c>
      <c r="T55" s="1095" t="s">
        <v>7748</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7749</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5963</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7750</v>
      </c>
      <c r="C57" s="1155">
        <v>52.89</v>
      </c>
      <c r="D57" s="1133" t="s">
        <v>3588</v>
      </c>
      <c r="E57" s="1164"/>
      <c r="F57" s="1087"/>
      <c r="G57" s="1164"/>
      <c r="H57" s="1107"/>
      <c r="I57" s="1164"/>
      <c r="J57" s="1164"/>
      <c r="K57" s="1164"/>
      <c r="L57" s="1156"/>
      <c r="M57" s="1164"/>
      <c r="N57" s="1164"/>
      <c r="O57" s="1165" t="s">
        <v>4953</v>
      </c>
      <c r="P57" s="1164"/>
      <c r="Q57" s="1091"/>
      <c r="R57" s="1158"/>
      <c r="S57" s="1164"/>
      <c r="T57" s="1164"/>
      <c r="U57" s="1164"/>
      <c r="V57" s="1164"/>
      <c r="W57" s="1133" t="s">
        <v>2000</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7751</v>
      </c>
      <c r="C58" s="1155" t="s">
        <v>239</v>
      </c>
      <c r="D58" s="1095" t="s">
        <v>493</v>
      </c>
      <c r="E58" s="1133" t="s">
        <v>350</v>
      </c>
      <c r="F58" s="1116" t="s">
        <v>7752</v>
      </c>
      <c r="G58" s="1089" t="s">
        <v>365</v>
      </c>
      <c r="H58" s="1089" t="s">
        <v>1029</v>
      </c>
      <c r="I58" s="1133"/>
      <c r="J58" s="1133"/>
      <c r="K58" s="1133"/>
      <c r="L58" s="1156"/>
      <c r="M58" s="1133"/>
      <c r="N58" s="1133"/>
      <c r="O58" s="1133"/>
      <c r="P58" s="1133" t="s">
        <v>7752</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7753</v>
      </c>
      <c r="C59" s="1115" t="s">
        <v>412</v>
      </c>
      <c r="D59" s="1133"/>
      <c r="E59" s="1133"/>
      <c r="F59" s="1116" t="s">
        <v>4301</v>
      </c>
      <c r="G59" s="1133"/>
      <c r="H59" s="1107"/>
      <c r="I59" s="1133"/>
      <c r="J59" s="1133"/>
      <c r="K59" s="1133"/>
      <c r="L59" s="1167" t="s">
        <v>7754</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7621</v>
      </c>
      <c r="B60" s="1169" t="s">
        <v>7745</v>
      </c>
      <c r="C60" s="1155" t="s">
        <v>3838</v>
      </c>
      <c r="D60" s="1133"/>
      <c r="E60" s="1133" t="s">
        <v>5167</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7749</v>
      </c>
      <c r="C61" s="1155" t="s">
        <v>468</v>
      </c>
      <c r="D61" s="1133"/>
      <c r="E61" s="1133" t="s">
        <v>7755</v>
      </c>
      <c r="F61" s="1170"/>
      <c r="G61" s="1133" t="s">
        <v>468</v>
      </c>
      <c r="H61" s="1107"/>
      <c r="I61" s="1133"/>
      <c r="J61" s="1133"/>
      <c r="K61" s="1133"/>
      <c r="L61" s="1086" t="s">
        <v>131</v>
      </c>
      <c r="M61" s="1133"/>
      <c r="N61" s="1133"/>
      <c r="O61" s="1133"/>
      <c r="P61" s="1133"/>
      <c r="Q61" s="1091" t="s">
        <v>7756</v>
      </c>
      <c r="R61" s="1118" t="s">
        <v>7660</v>
      </c>
      <c r="S61" s="1133" t="s">
        <v>2149</v>
      </c>
      <c r="T61" s="1133"/>
      <c r="U61" s="1133"/>
      <c r="V61" s="1133"/>
      <c r="W61" s="1133"/>
      <c r="X61" s="1133"/>
      <c r="Y61" s="1133"/>
      <c r="Z61" s="1133"/>
      <c r="AA61" s="1133" t="s">
        <v>4162</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7750</v>
      </c>
      <c r="C62" s="1155" t="s">
        <v>1367</v>
      </c>
      <c r="D62" s="1133" t="s">
        <v>5043</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7751</v>
      </c>
      <c r="C63" s="1155" t="s">
        <v>415</v>
      </c>
      <c r="D63" s="1133"/>
      <c r="E63" s="1133" t="s">
        <v>2661</v>
      </c>
      <c r="F63" s="1171" t="s">
        <v>1077</v>
      </c>
      <c r="G63" s="1089" t="s">
        <v>623</v>
      </c>
      <c r="H63" s="1089" t="s">
        <v>7757</v>
      </c>
      <c r="I63" s="1133"/>
      <c r="J63" s="1133"/>
      <c r="K63" s="1133"/>
      <c r="L63" s="1156"/>
      <c r="M63" s="1133"/>
      <c r="N63" s="1133"/>
      <c r="O63" s="1133"/>
      <c r="P63" s="1089" t="s">
        <v>3986</v>
      </c>
      <c r="Q63" s="1091" t="s">
        <v>7758</v>
      </c>
      <c r="R63" s="1098"/>
      <c r="S63" s="1133" t="s">
        <v>7660</v>
      </c>
      <c r="T63" s="1133" t="s">
        <v>193</v>
      </c>
      <c r="U63" s="1133"/>
      <c r="V63" s="1133"/>
      <c r="W63" s="1133"/>
      <c r="X63" s="1133"/>
      <c r="Y63" s="1133"/>
      <c r="Z63" s="1133"/>
      <c r="AA63" s="1133"/>
      <c r="AB63" s="1133" t="s">
        <v>3986</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7611</v>
      </c>
      <c r="B64" s="1173" t="s">
        <v>7759</v>
      </c>
      <c r="C64" s="1155" t="s">
        <v>4142</v>
      </c>
      <c r="D64" s="1098"/>
      <c r="E64" s="1098"/>
      <c r="F64" s="1116" t="s">
        <v>7760</v>
      </c>
      <c r="G64" s="1089">
        <v>31.09</v>
      </c>
      <c r="H64" s="1107"/>
      <c r="I64" s="1098"/>
      <c r="J64" s="1098"/>
      <c r="K64" s="1098"/>
      <c r="L64" s="1098"/>
      <c r="M64" s="1098"/>
      <c r="N64" s="1098"/>
      <c r="O64" s="1098"/>
      <c r="P64" s="1098"/>
      <c r="Q64" s="1174"/>
      <c r="R64" s="1109" t="s">
        <v>7761</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7762</v>
      </c>
      <c r="C65" s="1110" t="s">
        <v>5015</v>
      </c>
      <c r="D65" s="1133"/>
      <c r="E65" s="1133"/>
      <c r="F65" s="1171" t="s">
        <v>5015</v>
      </c>
      <c r="G65" s="1109" t="s">
        <v>5015</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7596</v>
      </c>
      <c r="B66" s="1154" t="s">
        <v>7595</v>
      </c>
      <c r="C66" s="1175" t="s">
        <v>2555</v>
      </c>
      <c r="D66" s="1138" t="s">
        <v>7763</v>
      </c>
      <c r="E66" s="1138"/>
      <c r="F66" s="1171" t="s">
        <v>2555</v>
      </c>
      <c r="G66" s="1138" t="s">
        <v>2261</v>
      </c>
      <c r="H66" s="1107"/>
      <c r="I66" s="1138"/>
      <c r="J66" s="1138"/>
      <c r="K66" s="1138"/>
      <c r="L66" s="1167" t="s">
        <v>7764</v>
      </c>
      <c r="M66" s="1138"/>
      <c r="N66" s="1138"/>
      <c r="O66" s="1138"/>
      <c r="P66" s="1138"/>
      <c r="Q66" s="1120"/>
      <c r="R66" s="1158"/>
      <c r="S66" s="1138"/>
      <c r="T66" s="1138"/>
      <c r="U66" s="1138"/>
      <c r="V66" s="1138"/>
      <c r="W66" s="1138"/>
      <c r="X66" s="1138"/>
      <c r="Y66" s="1138"/>
      <c r="Z66" s="1138"/>
      <c r="AA66" s="1138" t="s">
        <v>2094</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7611</v>
      </c>
      <c r="B67" s="1169" t="s">
        <v>7765</v>
      </c>
      <c r="C67" s="1155" t="s">
        <v>3745</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7766</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7767</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7768</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7769</v>
      </c>
      <c r="C69" s="1115" t="s">
        <v>1144</v>
      </c>
      <c r="D69" s="1091" t="s">
        <v>7660</v>
      </c>
      <c r="E69" s="1091"/>
      <c r="F69" s="1116" t="s">
        <v>1144</v>
      </c>
      <c r="G69" s="1143" t="s">
        <v>1255</v>
      </c>
      <c r="H69" s="1107"/>
      <c r="I69" s="1091"/>
      <c r="J69" s="1091"/>
      <c r="K69" s="1091"/>
      <c r="L69" s="1180" t="s">
        <v>7770</v>
      </c>
      <c r="M69" s="1091"/>
      <c r="N69" s="1091"/>
      <c r="O69" s="1091"/>
      <c r="P69" s="1091"/>
      <c r="Q69" s="1091"/>
      <c r="R69" s="1158"/>
      <c r="S69" s="1091"/>
      <c r="T69" s="1088" t="s">
        <v>7760</v>
      </c>
      <c r="U69" s="1091"/>
      <c r="V69" s="1091"/>
      <c r="W69" s="1088" t="s">
        <v>7771</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7621</v>
      </c>
      <c r="B70" s="1169" t="s">
        <v>7765</v>
      </c>
      <c r="C70" s="1105" t="s">
        <v>1098</v>
      </c>
      <c r="D70" s="1091" t="s">
        <v>4224</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7772</v>
      </c>
      <c r="C71" s="1105" t="s">
        <v>468</v>
      </c>
      <c r="D71" s="1095" t="s">
        <v>2354</v>
      </c>
      <c r="E71" s="1095" t="s">
        <v>3482</v>
      </c>
      <c r="F71" s="1171" t="s">
        <v>7773</v>
      </c>
      <c r="G71" s="1095" t="s">
        <v>575</v>
      </c>
      <c r="H71" s="1107"/>
      <c r="I71" s="1095"/>
      <c r="J71" s="1095" t="s">
        <v>7773</v>
      </c>
      <c r="K71" s="1095"/>
      <c r="L71" s="1167" t="s">
        <v>6279</v>
      </c>
      <c r="M71" s="1095"/>
      <c r="N71" s="1095" t="s">
        <v>3482</v>
      </c>
      <c r="O71" s="1095"/>
      <c r="P71" s="1095"/>
      <c r="Q71" s="1091"/>
      <c r="R71" s="1158"/>
      <c r="S71" s="1095"/>
      <c r="T71" s="1095"/>
      <c r="U71" s="1095"/>
      <c r="V71" s="1095" t="s">
        <v>2839</v>
      </c>
      <c r="W71" s="1133" t="s">
        <v>5671</v>
      </c>
      <c r="X71" s="1095"/>
      <c r="Y71" s="1095" t="s">
        <v>3378</v>
      </c>
      <c r="Z71" s="1095" t="s">
        <v>5107</v>
      </c>
      <c r="AA71" s="1095"/>
      <c r="AB71" s="1095" t="s">
        <v>4836</v>
      </c>
      <c r="AC71" s="1095"/>
      <c r="AD71" s="1095"/>
      <c r="AE71" s="1095"/>
      <c r="AF71" s="1095"/>
      <c r="AG71" s="1095" t="s">
        <v>3838</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7774</v>
      </c>
      <c r="B72" s="1154" t="s">
        <v>7775</v>
      </c>
      <c r="C72" s="1155" t="str">
        <f>HYPERLINK("https://youtu.be/4OqNmNgyDyw","16.24")</f>
        <v>16.24</v>
      </c>
      <c r="D72" s="1181"/>
      <c r="E72" s="1181" t="s">
        <v>1211</v>
      </c>
      <c r="F72" s="1170"/>
      <c r="G72" s="1181"/>
      <c r="H72" s="1107"/>
      <c r="I72" s="1181"/>
      <c r="J72" s="1181"/>
      <c r="K72" s="1181"/>
      <c r="L72" s="1167"/>
      <c r="M72" s="1181"/>
      <c r="N72" s="1181"/>
      <c r="O72" s="1088" t="s">
        <v>4067</v>
      </c>
      <c r="P72" s="1181"/>
      <c r="Q72" s="1106"/>
      <c r="R72" s="1118" t="s">
        <v>7776</v>
      </c>
      <c r="S72" s="1181" t="str">
        <f>HYPERLINK("https://clips.twitch.tv/ThankfulSpoopyHerdWOOP","16.58")</f>
        <v>16.58</v>
      </c>
      <c r="T72" s="1181"/>
      <c r="U72" s="1181"/>
      <c r="V72" s="1181"/>
      <c r="W72" s="1181"/>
      <c r="X72" s="1181" t="s">
        <v>7777</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7778</v>
      </c>
      <c r="C73" s="1155" t="s">
        <v>3581</v>
      </c>
      <c r="D73" s="1095" t="s">
        <v>530</v>
      </c>
      <c r="E73" s="1095"/>
      <c r="F73" s="1116" t="s">
        <v>343</v>
      </c>
      <c r="G73" s="1095" t="s">
        <v>3947</v>
      </c>
      <c r="H73" s="1089" t="s">
        <v>2216</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7779</v>
      </c>
      <c r="C74" s="1155" t="s">
        <v>665</v>
      </c>
      <c r="D74" s="1095" t="s">
        <v>1274</v>
      </c>
      <c r="E74" s="1138" t="s">
        <v>911</v>
      </c>
      <c r="F74" s="1171" t="s">
        <v>1891</v>
      </c>
      <c r="G74" s="1138" t="s">
        <v>1212</v>
      </c>
      <c r="H74" s="1089" t="s">
        <v>1274</v>
      </c>
      <c r="I74" s="1138" t="s">
        <v>1430</v>
      </c>
      <c r="J74" s="1138" t="s">
        <v>4385</v>
      </c>
      <c r="K74" s="1138" t="s">
        <v>3107</v>
      </c>
      <c r="L74" s="1167" t="s">
        <v>7780</v>
      </c>
      <c r="M74" s="1138" t="s">
        <v>7781</v>
      </c>
      <c r="N74" s="1138" t="s">
        <v>5962</v>
      </c>
      <c r="O74" s="1138" t="s">
        <v>358</v>
      </c>
      <c r="P74" s="1138" t="s">
        <v>6175</v>
      </c>
      <c r="Q74" s="1120"/>
      <c r="R74" s="1157" t="s">
        <v>5661</v>
      </c>
      <c r="S74" s="1138" t="s">
        <v>1958</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7782</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7783</v>
      </c>
      <c r="B75" s="1154" t="s">
        <v>7784</v>
      </c>
      <c r="C75" s="1155" t="s">
        <v>2201</v>
      </c>
      <c r="D75" s="1095"/>
      <c r="E75" s="1095" t="s">
        <v>2201</v>
      </c>
      <c r="F75" s="1161"/>
      <c r="G75" s="1095"/>
      <c r="H75" s="1089" t="s">
        <v>6625</v>
      </c>
      <c r="I75" s="1095" t="s">
        <v>7785</v>
      </c>
      <c r="J75" s="1095"/>
      <c r="K75" s="1095" t="s">
        <v>4235</v>
      </c>
      <c r="L75" s="1156"/>
      <c r="M75" s="1095"/>
      <c r="N75" s="1095"/>
      <c r="O75" s="1095" t="s">
        <v>7786</v>
      </c>
      <c r="P75" s="1095"/>
      <c r="Q75" s="1091"/>
      <c r="R75" s="1183" t="s">
        <v>7787</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7788</v>
      </c>
      <c r="C76" s="1155" t="s">
        <v>353</v>
      </c>
      <c r="D76" s="1095" t="s">
        <v>1477</v>
      </c>
      <c r="E76" s="1095" t="s">
        <v>353</v>
      </c>
      <c r="F76" s="1101" t="s">
        <v>359</v>
      </c>
      <c r="G76" s="1095" t="s">
        <v>1537</v>
      </c>
      <c r="H76" s="1089" t="s">
        <v>1275</v>
      </c>
      <c r="I76" s="1095" t="s">
        <v>1431</v>
      </c>
      <c r="J76" s="1095" t="s">
        <v>5001</v>
      </c>
      <c r="K76" s="1095" t="s">
        <v>7789</v>
      </c>
      <c r="L76" s="1167" t="s">
        <v>7790</v>
      </c>
      <c r="M76" s="1095" t="s">
        <v>912</v>
      </c>
      <c r="N76" s="1095" t="s">
        <v>756</v>
      </c>
      <c r="O76" s="1095" t="s">
        <v>1360</v>
      </c>
      <c r="P76" s="1095" t="s">
        <v>2325</v>
      </c>
      <c r="Q76" s="1091" t="s">
        <v>3883</v>
      </c>
      <c r="R76" s="1098"/>
      <c r="S76" s="1095" t="s">
        <v>7791</v>
      </c>
      <c r="T76" s="1095"/>
      <c r="U76" s="1095" t="s">
        <v>4644</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7611</v>
      </c>
      <c r="B77" s="1169" t="s">
        <v>7792</v>
      </c>
      <c r="C77" s="1105" t="s">
        <v>7793</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7793</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7794</v>
      </c>
      <c r="C78" s="1110" t="s">
        <v>4068</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4068</v>
      </c>
      <c r="BB78" s="1095"/>
      <c r="BC78" s="1095"/>
      <c r="BD78" s="1095"/>
      <c r="BE78" s="1095"/>
      <c r="BF78" s="1095"/>
      <c r="BG78" s="1095"/>
      <c r="BH78" s="1095"/>
      <c r="BI78" s="1098"/>
      <c r="BJ78" s="1098"/>
      <c r="BK78" s="1098"/>
      <c r="BL78" s="1098"/>
      <c r="BM78" s="1098"/>
      <c r="BN78" s="1098"/>
      <c r="BO78" s="1098"/>
    </row>
    <row r="79" ht="15.75" customHeight="1">
      <c r="A79" s="1162"/>
      <c r="B79" s="1163" t="s">
        <v>7795</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1963</v>
      </c>
      <c r="L79" s="1167" t="s">
        <v>1144</v>
      </c>
      <c r="M79" s="1095" t="s">
        <v>121</v>
      </c>
      <c r="N79" s="1095" t="s">
        <v>757</v>
      </c>
      <c r="O79" s="1095" t="s">
        <v>121</v>
      </c>
      <c r="P79" s="1095" t="s">
        <v>1070</v>
      </c>
      <c r="Q79" s="1091" t="s">
        <v>3339</v>
      </c>
      <c r="R79" s="1183"/>
      <c r="S79" s="1095" t="s">
        <v>5033</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7796</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7621</v>
      </c>
      <c r="B80" s="1169" t="s">
        <v>7784</v>
      </c>
      <c r="C80" s="1155" t="s">
        <v>4059</v>
      </c>
      <c r="D80" s="1095"/>
      <c r="E80" s="1095" t="s">
        <v>4059</v>
      </c>
      <c r="F80" s="1161"/>
      <c r="G80" s="1095"/>
      <c r="H80" s="1089" t="s">
        <v>2476</v>
      </c>
      <c r="I80" s="1095"/>
      <c r="J80" s="1095"/>
      <c r="K80" s="1095"/>
      <c r="L80" s="1156"/>
      <c r="M80" s="1095"/>
      <c r="N80" s="1095"/>
      <c r="O80" s="1095"/>
      <c r="P80" s="1095"/>
      <c r="Q80" s="1091"/>
      <c r="R80" s="1118" t="s">
        <v>5233</v>
      </c>
      <c r="S80" s="1095"/>
      <c r="T80" s="1095"/>
      <c r="U80" s="1095"/>
      <c r="V80" s="1095"/>
      <c r="W80" s="1095"/>
      <c r="X80" s="1095"/>
      <c r="Y80" s="1095"/>
      <c r="Z80" s="1095" t="s">
        <v>3746</v>
      </c>
      <c r="AA80" s="1095"/>
      <c r="AB80" s="1095"/>
      <c r="AC80" s="1095"/>
      <c r="AD80" s="1095"/>
      <c r="AE80" s="1095" t="s">
        <v>1958</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7797</v>
      </c>
      <c r="C81" s="1155" t="s">
        <v>2741</v>
      </c>
      <c r="D81" s="1095" t="s">
        <v>2536</v>
      </c>
      <c r="E81" s="1095" t="s">
        <v>2403</v>
      </c>
      <c r="F81" s="1116" t="s">
        <v>7798</v>
      </c>
      <c r="G81" s="1095"/>
      <c r="H81" s="1089" t="s">
        <v>7799</v>
      </c>
      <c r="I81" s="1095"/>
      <c r="J81" s="1095"/>
      <c r="K81" s="1095"/>
      <c r="L81" s="1156"/>
      <c r="M81" s="1095"/>
      <c r="N81" s="1095" t="s">
        <v>7800</v>
      </c>
      <c r="O81" s="1095"/>
      <c r="P81" s="1095"/>
      <c r="Q81" s="1091" t="s">
        <v>7801</v>
      </c>
      <c r="R81" s="1158"/>
      <c r="S81" s="1095"/>
      <c r="T81" s="1095"/>
      <c r="U81" s="1095" t="s">
        <v>4049</v>
      </c>
      <c r="V81" s="1095"/>
      <c r="W81" s="1095"/>
      <c r="X81" s="1095"/>
      <c r="Y81" s="1095" t="s">
        <v>7801</v>
      </c>
      <c r="Z81" s="1095" t="s">
        <v>1940</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7802</v>
      </c>
      <c r="C82" s="1155" t="s">
        <v>3018</v>
      </c>
      <c r="D82" s="1133"/>
      <c r="E82" s="1133"/>
      <c r="F82" s="1171" t="s">
        <v>1841</v>
      </c>
      <c r="G82" s="1181" t="s">
        <v>3018</v>
      </c>
      <c r="H82" s="1107"/>
      <c r="I82" s="1133"/>
      <c r="J82" s="1133"/>
      <c r="K82" s="1133"/>
      <c r="L82" s="1156"/>
      <c r="M82" s="1133"/>
      <c r="N82" s="1133"/>
      <c r="O82" s="1133"/>
      <c r="P82" s="1133" t="s">
        <v>3018</v>
      </c>
      <c r="Q82" s="1091" t="s">
        <v>4979</v>
      </c>
      <c r="R82" s="1098"/>
      <c r="S82" s="1133"/>
      <c r="T82" s="1133"/>
      <c r="U82" s="1133"/>
      <c r="V82" s="1133"/>
      <c r="W82" s="1133"/>
      <c r="X82" s="1133"/>
      <c r="Y82" s="1133"/>
      <c r="Z82" s="1133"/>
      <c r="AA82" s="1133"/>
      <c r="AB82" s="1133" t="s">
        <v>2055</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7665</v>
      </c>
      <c r="B83" s="1154" t="s">
        <v>7803</v>
      </c>
      <c r="C83" s="1155" t="s">
        <v>2257</v>
      </c>
      <c r="D83" s="1095"/>
      <c r="E83" s="1095" t="s">
        <v>2257</v>
      </c>
      <c r="F83" s="1161"/>
      <c r="G83" s="1095"/>
      <c r="H83" s="1089" t="s">
        <v>7804</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7805</v>
      </c>
      <c r="C84" s="1155" t="s">
        <v>2691</v>
      </c>
      <c r="D84" s="1095" t="s">
        <v>3652</v>
      </c>
      <c r="E84" s="1095" t="s">
        <v>2691</v>
      </c>
      <c r="F84" s="1087"/>
      <c r="G84" s="1095"/>
      <c r="H84" s="1107"/>
      <c r="I84" s="1095"/>
      <c r="J84" s="1095"/>
      <c r="K84" s="1095" t="s">
        <v>7806</v>
      </c>
      <c r="L84" s="1156"/>
      <c r="M84" s="1095" t="s">
        <v>5212</v>
      </c>
      <c r="N84" s="1095"/>
      <c r="O84" s="1095" t="str">
        <f>HYPERLINK("https://youtu.be/HUwmtKe7cOY","56.54")</f>
        <v>56.54</v>
      </c>
      <c r="P84" s="1095"/>
      <c r="Q84" s="1091" t="s">
        <v>3825</v>
      </c>
      <c r="R84" s="1183" t="s">
        <v>7807</v>
      </c>
      <c r="S84" s="1095"/>
      <c r="T84" s="1095"/>
      <c r="U84" s="1095"/>
      <c r="V84" s="1095"/>
      <c r="W84" s="1095" t="s">
        <v>7808</v>
      </c>
      <c r="X84" s="1095" t="s">
        <v>2280</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7809</v>
      </c>
      <c r="C85" s="1155" t="s">
        <v>951</v>
      </c>
      <c r="D85" s="1095" t="s">
        <v>1568</v>
      </c>
      <c r="E85" s="1095" t="s">
        <v>5325</v>
      </c>
      <c r="F85" s="1123" t="s">
        <v>758</v>
      </c>
      <c r="G85" s="1095" t="s">
        <v>951</v>
      </c>
      <c r="H85" s="1089" t="s">
        <v>1277</v>
      </c>
      <c r="I85" s="1095" t="s">
        <v>2948</v>
      </c>
      <c r="J85" s="1095" t="s">
        <v>4432</v>
      </c>
      <c r="K85" s="1095"/>
      <c r="L85" s="1167" t="s">
        <v>7810</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7811</v>
      </c>
      <c r="B86" s="1154" t="s">
        <v>7812</v>
      </c>
      <c r="C86" s="1155" t="s">
        <v>3512</v>
      </c>
      <c r="D86" s="1095"/>
      <c r="E86" s="1095" t="s">
        <v>7813</v>
      </c>
      <c r="F86" s="1087"/>
      <c r="G86" s="1095"/>
      <c r="H86" s="1089" t="s">
        <v>5285</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7814</v>
      </c>
      <c r="C87" s="1155" t="s">
        <v>1569</v>
      </c>
      <c r="D87" s="1095" t="s">
        <v>1569</v>
      </c>
      <c r="E87" s="1164"/>
      <c r="F87" s="1123" t="s">
        <v>2556</v>
      </c>
      <c r="G87" s="1164"/>
      <c r="H87" s="1107"/>
      <c r="I87" s="1164"/>
      <c r="J87" s="1164"/>
      <c r="K87" s="1164"/>
      <c r="L87" s="1167" t="s">
        <v>7815</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7816</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7817</v>
      </c>
      <c r="C88" s="1187" t="s">
        <v>6599</v>
      </c>
      <c r="D88" s="1188" t="s">
        <v>7818</v>
      </c>
      <c r="E88" s="1189" t="s">
        <v>2391</v>
      </c>
      <c r="F88" s="1189"/>
      <c r="G88" s="1188" t="s">
        <v>760</v>
      </c>
      <c r="H88" s="1189" t="s">
        <v>669</v>
      </c>
      <c r="I88" s="1189" t="s">
        <v>2441</v>
      </c>
      <c r="J88" s="1189" t="s">
        <v>1279</v>
      </c>
      <c r="K88" s="1188" t="s">
        <v>3111</v>
      </c>
      <c r="L88" s="1013"/>
      <c r="M88" s="1188" t="s">
        <v>7819</v>
      </c>
      <c r="N88" s="1013"/>
      <c r="O88" s="1013"/>
      <c r="P88" s="1189" t="s">
        <v>6599</v>
      </c>
      <c r="Q88" s="1189" t="s">
        <v>7820</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7821</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7822</v>
      </c>
      <c r="B89" s="1173" t="s">
        <v>7595</v>
      </c>
      <c r="C89" s="1175" t="s">
        <v>7823</v>
      </c>
      <c r="D89" s="1088" t="s">
        <v>7824</v>
      </c>
      <c r="E89" s="1133"/>
      <c r="F89" s="1171" t="s">
        <v>5084</v>
      </c>
      <c r="G89" s="1088" t="s">
        <v>7823</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7825</v>
      </c>
      <c r="B90" s="1173" t="s">
        <v>7595</v>
      </c>
      <c r="C90" s="1115" t="s">
        <v>7826</v>
      </c>
      <c r="D90" s="1088" t="s">
        <v>7827</v>
      </c>
      <c r="E90" s="1133"/>
      <c r="F90" s="1135" t="s">
        <v>7828</v>
      </c>
      <c r="G90" s="1088" t="s">
        <v>7826</v>
      </c>
      <c r="H90" s="1107"/>
      <c r="I90" s="1133"/>
      <c r="J90" s="1133"/>
      <c r="K90" s="1133"/>
      <c r="L90" s="1156"/>
      <c r="M90" s="1133"/>
      <c r="N90" s="1133"/>
      <c r="O90" s="1133"/>
      <c r="P90" s="1133"/>
      <c r="Q90" s="1091"/>
      <c r="R90" s="1158"/>
      <c r="S90" s="1133"/>
      <c r="T90" s="1133"/>
      <c r="U90" s="1133"/>
      <c r="V90" s="1133"/>
      <c r="W90" s="1088" t="s">
        <v>7829</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7716</v>
      </c>
      <c r="B91" s="1154" t="s">
        <v>7717</v>
      </c>
      <c r="C91" s="1155" t="s">
        <v>5423</v>
      </c>
      <c r="D91" s="1095" t="s">
        <v>7120</v>
      </c>
      <c r="E91" s="1095" t="s">
        <v>5423</v>
      </c>
      <c r="F91" s="1161"/>
      <c r="G91" s="1095" t="s">
        <v>5423</v>
      </c>
      <c r="H91" s="1107"/>
      <c r="I91" s="1095" t="s">
        <v>5195</v>
      </c>
      <c r="J91" s="1095"/>
      <c r="K91" s="1095" t="s">
        <v>4750</v>
      </c>
      <c r="L91" s="1167" t="s">
        <v>7830</v>
      </c>
      <c r="M91" s="1095"/>
      <c r="N91" s="1095" t="s">
        <v>3702</v>
      </c>
      <c r="O91" s="1095" t="str">
        <f>HYPERLINK("https://youtu.be/HjDDp_Mj_yI","16.74")</f>
        <v>16.74</v>
      </c>
      <c r="P91" s="1095"/>
      <c r="Q91" s="1091" t="s">
        <v>6458</v>
      </c>
      <c r="R91" s="1118" t="s">
        <v>7831</v>
      </c>
      <c r="S91" s="1095"/>
      <c r="T91" s="1095" t="s">
        <v>5423</v>
      </c>
      <c r="U91" s="1095"/>
      <c r="V91" s="1095"/>
      <c r="W91" s="1095"/>
      <c r="X91" s="1095" t="s">
        <v>5195</v>
      </c>
      <c r="Y91" s="1095"/>
      <c r="Z91" s="1095"/>
      <c r="AA91" s="1095"/>
      <c r="AB91" s="1095"/>
      <c r="AC91" s="1095"/>
      <c r="AD91" s="1095"/>
      <c r="AE91" s="1095"/>
      <c r="AF91" s="1095" t="s">
        <v>5423</v>
      </c>
      <c r="AG91" s="1095"/>
      <c r="AH91" s="1095"/>
      <c r="AI91" s="1095"/>
      <c r="AJ91" s="1095"/>
      <c r="AK91" s="1095"/>
      <c r="AL91" s="1156"/>
      <c r="AM91" s="1095"/>
      <c r="AN91" s="1095"/>
      <c r="AO91" s="1095" t="s">
        <v>5634</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7832</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6786</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7833</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4017</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7834</v>
      </c>
      <c r="C94" s="1155" t="s">
        <v>997</v>
      </c>
      <c r="D94" s="1095" t="s">
        <v>1570</v>
      </c>
      <c r="E94" s="1088" t="s">
        <v>358</v>
      </c>
      <c r="F94" s="1087"/>
      <c r="G94" s="1088" t="s">
        <v>997</v>
      </c>
      <c r="H94" s="1089" t="s">
        <v>1280</v>
      </c>
      <c r="I94" s="1090"/>
      <c r="J94" s="1088" t="s">
        <v>7835</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7836</v>
      </c>
      <c r="C95" s="1155" t="s">
        <v>2476</v>
      </c>
      <c r="D95" s="1095" t="s">
        <v>2476</v>
      </c>
      <c r="E95" s="1095"/>
      <c r="F95" s="1177" t="s">
        <v>2476</v>
      </c>
      <c r="G95" s="1090" t="s">
        <v>5024</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7719</v>
      </c>
      <c r="B96" s="1154" t="s">
        <v>7837</v>
      </c>
      <c r="C96" s="1155" t="s">
        <v>359</v>
      </c>
      <c r="D96" s="1003" t="s">
        <v>1571</v>
      </c>
      <c r="E96" s="1095" t="s">
        <v>1755</v>
      </c>
      <c r="F96" s="1087"/>
      <c r="G96" s="1095"/>
      <c r="H96" s="1089" t="s">
        <v>5016</v>
      </c>
      <c r="I96" s="1095" t="str">
        <f>HYPERLINK("https://youtu.be/VjOXmvP4h2s","46.37")</f>
        <v>46.37</v>
      </c>
      <c r="J96" s="1095" t="s">
        <v>359</v>
      </c>
      <c r="K96" s="1095"/>
      <c r="L96" s="1167" t="s">
        <v>7838</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7839</v>
      </c>
      <c r="B97" s="1154" t="s">
        <v>7723</v>
      </c>
      <c r="C97" s="1155" t="s">
        <v>7840</v>
      </c>
      <c r="D97" s="1142" t="s">
        <v>1790</v>
      </c>
      <c r="E97" s="1095" t="s">
        <v>128</v>
      </c>
      <c r="F97" s="1087"/>
      <c r="G97" s="1095" t="s">
        <v>572</v>
      </c>
      <c r="H97" s="1107"/>
      <c r="I97" s="1095"/>
      <c r="J97" s="1095"/>
      <c r="K97" s="1095"/>
      <c r="L97" s="1167" t="s">
        <v>1827</v>
      </c>
      <c r="M97" s="1095" t="s">
        <v>4271</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7841</v>
      </c>
      <c r="B98" s="1173" t="s">
        <v>7723</v>
      </c>
      <c r="C98" s="1105" t="s">
        <v>7842</v>
      </c>
      <c r="D98" s="1140" t="s">
        <v>7843</v>
      </c>
      <c r="E98" s="1095"/>
      <c r="F98" s="1087"/>
      <c r="G98" s="1095" t="s">
        <v>4528</v>
      </c>
      <c r="H98" s="1107"/>
      <c r="I98" s="1095"/>
      <c r="J98" s="1095"/>
      <c r="K98" s="1095"/>
      <c r="L98" s="1167" t="s">
        <v>7844</v>
      </c>
      <c r="M98" s="1095"/>
      <c r="N98" s="1095"/>
      <c r="O98" s="1095"/>
      <c r="P98" s="1095"/>
      <c r="Q98" s="1091"/>
      <c r="R98" s="1158"/>
      <c r="S98" s="1095"/>
      <c r="T98" s="1095"/>
      <c r="U98" s="1095"/>
      <c r="V98" s="1095"/>
      <c r="W98" s="1088" t="s">
        <v>7842</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7595</v>
      </c>
      <c r="C99" s="1155" t="s">
        <v>360</v>
      </c>
      <c r="D99" s="1003" t="s">
        <v>1573</v>
      </c>
      <c r="E99" s="1088" t="s">
        <v>360</v>
      </c>
      <c r="F99" s="1161"/>
      <c r="G99" s="1090"/>
      <c r="H99" s="1089" t="s">
        <v>1282</v>
      </c>
      <c r="I99" s="1090"/>
      <c r="J99" s="1090"/>
      <c r="K99" s="1090"/>
      <c r="L99" s="1167" t="s">
        <v>7845</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7522</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7594</v>
      </c>
      <c r="B101" s="1198"/>
      <c r="C101" s="1199" t="s">
        <v>4211</v>
      </c>
      <c r="D101" s="1003" t="s">
        <v>1574</v>
      </c>
      <c r="E101" s="1200" t="s">
        <v>2442</v>
      </c>
      <c r="F101" s="1087"/>
      <c r="G101" s="1200"/>
      <c r="H101" s="1089" t="s">
        <v>6068</v>
      </c>
      <c r="I101" s="1200" t="str">
        <f>HYPERLINK("https://youtu.be/ycBfir2aflI","41.70")</f>
        <v>41.70</v>
      </c>
      <c r="J101" s="1200" t="s">
        <v>7639</v>
      </c>
      <c r="K101" s="1200"/>
      <c r="L101" s="1201" t="s">
        <v>7846</v>
      </c>
      <c r="M101" s="1200" t="s">
        <v>918</v>
      </c>
      <c r="N101" s="1200"/>
      <c r="O101" s="1200" t="str">
        <f>HYPERLINK("https://youtu.be/OxlK2SgEm_U","42.73")</f>
        <v>42.73</v>
      </c>
      <c r="P101" s="1200"/>
      <c r="Q101" s="1202" t="s">
        <v>1905</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7611</v>
      </c>
      <c r="B102" s="1206"/>
      <c r="C102" s="1199" t="s">
        <v>1617</v>
      </c>
      <c r="D102" s="1003" t="s">
        <v>1575</v>
      </c>
      <c r="E102" s="1207"/>
      <c r="F102" s="1208"/>
      <c r="G102" s="1207"/>
      <c r="H102" s="1089" t="s">
        <v>7755</v>
      </c>
      <c r="I102" s="1200" t="s">
        <v>3344</v>
      </c>
      <c r="J102" s="1200" t="s">
        <v>4162</v>
      </c>
      <c r="K102" s="1207" t="s">
        <v>1237</v>
      </c>
      <c r="L102" s="1201" t="s">
        <v>7847</v>
      </c>
      <c r="M102" s="1207" t="s">
        <v>919</v>
      </c>
      <c r="N102" s="1200" t="s">
        <v>764</v>
      </c>
      <c r="O102" s="1207" t="s">
        <v>3727</v>
      </c>
      <c r="P102" s="1200" t="s">
        <v>1617</v>
      </c>
      <c r="Q102" s="1209" t="s">
        <v>2917</v>
      </c>
      <c r="R102" s="1098"/>
      <c r="S102" s="1207"/>
      <c r="T102" s="1207" t="s">
        <v>5877</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7621</v>
      </c>
      <c r="B103" s="1210"/>
      <c r="C103" s="1199" t="s">
        <v>3403</v>
      </c>
      <c r="D103" s="1211" t="s">
        <v>4527</v>
      </c>
      <c r="E103" s="1207"/>
      <c r="F103" s="1087"/>
      <c r="G103" s="1207"/>
      <c r="H103" s="1089" t="s">
        <v>6116</v>
      </c>
      <c r="I103" s="1207"/>
      <c r="J103" s="1200" t="s">
        <v>3403</v>
      </c>
      <c r="K103" s="1207"/>
      <c r="L103" s="1201" t="s">
        <v>5479</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7848</v>
      </c>
      <c r="B104" s="1212" t="s">
        <v>7849</v>
      </c>
      <c r="C104" s="1199" t="s">
        <v>1513</v>
      </c>
      <c r="D104" s="1000" t="s">
        <v>7850</v>
      </c>
      <c r="E104" s="1207"/>
      <c r="F104" s="1087"/>
      <c r="G104" s="1207"/>
      <c r="H104" s="1089" t="s">
        <v>1285</v>
      </c>
      <c r="I104" s="1207" t="s">
        <v>6888</v>
      </c>
      <c r="J104" s="1200" t="s">
        <v>7851</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7852</v>
      </c>
      <c r="C105" s="1199" t="s">
        <v>7853</v>
      </c>
      <c r="D105" s="1003" t="s">
        <v>1576</v>
      </c>
      <c r="E105" s="1207"/>
      <c r="F105" s="1208"/>
      <c r="G105" s="1207"/>
      <c r="H105" s="1107"/>
      <c r="I105" s="1207"/>
      <c r="J105" s="1200" t="s">
        <v>7853</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7774</v>
      </c>
      <c r="B106" s="1212" t="s">
        <v>7854</v>
      </c>
      <c r="C106" s="1199" t="s">
        <v>5724</v>
      </c>
      <c r="D106" s="1000" t="s">
        <v>6713</v>
      </c>
      <c r="E106" s="1207"/>
      <c r="F106" s="1087"/>
      <c r="G106" s="1207"/>
      <c r="H106" s="1089" t="s">
        <v>613</v>
      </c>
      <c r="I106" s="1207"/>
      <c r="J106" s="1200" t="s">
        <v>7855</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7856</v>
      </c>
      <c r="BG106" s="1207"/>
      <c r="BH106" s="1207"/>
      <c r="BI106" s="1203"/>
      <c r="BJ106" s="1203"/>
      <c r="BK106" s="1203"/>
      <c r="BL106" s="1203"/>
      <c r="BM106" s="1203"/>
      <c r="BN106" s="1203"/>
      <c r="BO106" s="1203"/>
    </row>
    <row r="107" ht="15.75" customHeight="1">
      <c r="A107" s="1197" t="s">
        <v>7783</v>
      </c>
      <c r="B107" s="1212" t="s">
        <v>7857</v>
      </c>
      <c r="C107" s="1199" t="s">
        <v>7858</v>
      </c>
      <c r="D107" s="1000" t="s">
        <v>3724</v>
      </c>
      <c r="E107" s="1207"/>
      <c r="F107" s="1208"/>
      <c r="G107" s="1207"/>
      <c r="H107" s="1089" t="s">
        <v>134</v>
      </c>
      <c r="I107" s="1207" t="s">
        <v>7859</v>
      </c>
      <c r="J107" s="1200" t="s">
        <v>7860</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7611</v>
      </c>
      <c r="B108" s="1206" t="s">
        <v>7857</v>
      </c>
      <c r="C108" s="1084" t="s">
        <v>7861</v>
      </c>
      <c r="D108" s="1142" t="s">
        <v>7760</v>
      </c>
      <c r="E108" s="1200" t="s">
        <v>366</v>
      </c>
      <c r="F108" s="1087"/>
      <c r="G108" s="1200"/>
      <c r="H108" s="1089" t="s">
        <v>7862</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7861</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7621</v>
      </c>
      <c r="B109" s="1215" t="s">
        <v>7849</v>
      </c>
      <c r="C109" s="1199" t="s">
        <v>1788</v>
      </c>
      <c r="D109" s="1207"/>
      <c r="E109" s="1207"/>
      <c r="F109" s="1208"/>
      <c r="G109" s="1207"/>
      <c r="H109" s="1089" t="s">
        <v>4274</v>
      </c>
      <c r="I109" s="1207"/>
      <c r="J109" s="1207"/>
      <c r="K109" s="1207"/>
      <c r="L109" s="1201" t="s">
        <v>3957</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2578</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7863</v>
      </c>
      <c r="B110" s="1216" t="s">
        <v>7595</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7811</v>
      </c>
      <c r="B111" s="1212" t="s">
        <v>7723</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7864</v>
      </c>
      <c r="C112" s="1199" t="s">
        <v>1261</v>
      </c>
      <c r="D112" s="1003" t="s">
        <v>1579</v>
      </c>
      <c r="E112" s="1207"/>
      <c r="F112" s="1087"/>
      <c r="G112" s="1207"/>
      <c r="H112" s="1089" t="s">
        <v>1288</v>
      </c>
      <c r="I112" s="1207" t="s">
        <v>7865</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7716</v>
      </c>
      <c r="B113" s="1212" t="s">
        <v>7866</v>
      </c>
      <c r="C113" s="1199" t="s">
        <v>1127</v>
      </c>
      <c r="D113" s="1207" t="s">
        <v>1548</v>
      </c>
      <c r="F113" s="1218" t="s">
        <v>5534</v>
      </c>
      <c r="H113" s="1107"/>
      <c r="I113" s="1200" t="str">
        <f>HYPERLINK("https://youtu.be/NIfI1hsvvFQ","19.73")</f>
        <v>19.73</v>
      </c>
      <c r="J113" s="1200" t="s">
        <v>1127</v>
      </c>
      <c r="K113" s="1200" t="s">
        <v>2602</v>
      </c>
      <c r="L113" s="1204"/>
      <c r="M113" s="1200"/>
      <c r="N113" s="1207" t="s">
        <v>1750</v>
      </c>
      <c r="O113" s="1200" t="str">
        <f>HYPERLINK("https://youtu.be/vlD8b3WQME8","20.08")</f>
        <v>20.08</v>
      </c>
      <c r="P113" s="1200"/>
      <c r="Q113" s="1202" t="s">
        <v>3156</v>
      </c>
      <c r="R113" s="1219" t="s">
        <v>7867</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7868</v>
      </c>
      <c r="C114" s="1199"/>
      <c r="D114" s="1200"/>
      <c r="E114" s="1200" t="s">
        <v>6116</v>
      </c>
      <c r="F114" s="1218" t="s">
        <v>3827</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7718</v>
      </c>
      <c r="C115" s="1199" t="s">
        <v>473</v>
      </c>
      <c r="D115" s="1095" t="s">
        <v>845</v>
      </c>
      <c r="E115" s="1200" t="s">
        <v>678</v>
      </c>
      <c r="F115" s="1123" t="s">
        <v>2557</v>
      </c>
      <c r="G115" s="1200" t="s">
        <v>473</v>
      </c>
      <c r="H115" s="1089" t="s">
        <v>1664</v>
      </c>
      <c r="I115" s="1200"/>
      <c r="J115" s="1200" t="s">
        <v>3647</v>
      </c>
      <c r="K115" s="1200" t="s">
        <v>3647</v>
      </c>
      <c r="L115" s="1201" t="s">
        <v>7869</v>
      </c>
      <c r="M115" s="1200" t="s">
        <v>678</v>
      </c>
      <c r="N115" s="1200" t="s">
        <v>193</v>
      </c>
      <c r="O115" s="1200"/>
      <c r="P115" s="1200" t="s">
        <v>2216</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7719</v>
      </c>
      <c r="B116" s="1212" t="s">
        <v>7870</v>
      </c>
      <c r="C116" s="1199" t="s">
        <v>2245</v>
      </c>
      <c r="D116" s="1207"/>
      <c r="E116" s="1207"/>
      <c r="F116" s="1208"/>
      <c r="G116" s="1207"/>
      <c r="H116" s="1089" t="s">
        <v>4262</v>
      </c>
      <c r="I116" s="1207"/>
      <c r="J116" s="1207"/>
      <c r="K116" s="1200" t="s">
        <v>4019</v>
      </c>
      <c r="L116" s="1204"/>
      <c r="M116" s="1207"/>
      <c r="N116" s="1207"/>
      <c r="O116" s="1207" t="s">
        <v>5477</v>
      </c>
      <c r="P116" s="1207"/>
      <c r="Q116" s="1209"/>
      <c r="R116" s="1219" t="s">
        <v>7871</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3799</v>
      </c>
      <c r="BJ116" s="1203"/>
      <c r="BK116" s="1203"/>
      <c r="BL116" s="1203"/>
      <c r="BM116" s="1203"/>
      <c r="BN116" s="1203"/>
      <c r="BO116" s="1203"/>
    </row>
    <row r="117" ht="15.75" customHeight="1">
      <c r="A117" s="1217"/>
      <c r="B117" s="1214" t="s">
        <v>7872</v>
      </c>
      <c r="C117" s="1199" t="s">
        <v>877</v>
      </c>
      <c r="D117" s="1207" t="s">
        <v>3995</v>
      </c>
      <c r="E117" s="1207"/>
      <c r="F117" s="1087"/>
      <c r="G117" s="1207"/>
      <c r="H117" s="1089" t="s">
        <v>823</v>
      </c>
      <c r="I117" s="1207"/>
      <c r="J117" s="1200" t="s">
        <v>181</v>
      </c>
      <c r="K117" s="1207" t="s">
        <v>121</v>
      </c>
      <c r="L117" s="1204"/>
      <c r="M117" s="1207" t="s">
        <v>296</v>
      </c>
      <c r="N117" s="1207"/>
      <c r="O117" s="1207"/>
      <c r="P117" s="1207"/>
      <c r="Q117" s="1209" t="s">
        <v>2527</v>
      </c>
      <c r="R117" s="1098"/>
      <c r="S117" s="1207" t="s">
        <v>2561</v>
      </c>
      <c r="T117" s="1207" t="s">
        <v>847</v>
      </c>
      <c r="U117" s="1207"/>
      <c r="V117" s="1207"/>
      <c r="W117" s="1207" t="s">
        <v>4704</v>
      </c>
      <c r="X117" s="1207" t="s">
        <v>7873</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7874</v>
      </c>
      <c r="C118" s="1199" t="s">
        <v>7875</v>
      </c>
      <c r="D118" s="1095" t="s">
        <v>1580</v>
      </c>
      <c r="E118" s="1200" t="s">
        <v>7875</v>
      </c>
      <c r="F118" s="1116" t="s">
        <v>2054</v>
      </c>
      <c r="G118" s="1207" t="s">
        <v>1930</v>
      </c>
      <c r="H118" s="1107"/>
      <c r="I118" s="1200" t="s">
        <v>259</v>
      </c>
      <c r="J118" s="1200" t="s">
        <v>4803</v>
      </c>
      <c r="K118" s="1200" t="s">
        <v>847</v>
      </c>
      <c r="L118" s="1204"/>
      <c r="M118" s="1200"/>
      <c r="N118" s="1200" t="s">
        <v>770</v>
      </c>
      <c r="O118" s="1200"/>
      <c r="P118" s="1200" t="s">
        <v>4242</v>
      </c>
      <c r="Q118" s="1202" t="s">
        <v>6207</v>
      </c>
      <c r="R118" s="1203"/>
      <c r="S118" s="1200" t="s">
        <v>2571</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7876</v>
      </c>
      <c r="C119" s="1199" t="s">
        <v>7877</v>
      </c>
      <c r="D119" s="1207"/>
      <c r="E119" s="1207"/>
      <c r="F119" s="1101" t="s">
        <v>2558</v>
      </c>
      <c r="G119" s="1207"/>
      <c r="H119" s="1107"/>
      <c r="I119" s="1207"/>
      <c r="J119" s="1207"/>
      <c r="K119" s="1207"/>
      <c r="L119" s="1204"/>
      <c r="M119" s="1207"/>
      <c r="N119" s="1207"/>
      <c r="O119" s="1207"/>
      <c r="P119" s="1207"/>
      <c r="Q119" s="1209"/>
      <c r="R119" s="1098"/>
      <c r="S119" s="1207"/>
      <c r="T119" s="1207"/>
      <c r="U119" s="1207" t="s">
        <v>7878</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7879</v>
      </c>
      <c r="B120" s="1216" t="s">
        <v>7723</v>
      </c>
      <c r="C120" s="1199" t="s">
        <v>925</v>
      </c>
      <c r="D120" s="1003" t="s">
        <v>1582</v>
      </c>
      <c r="E120" s="1207"/>
      <c r="F120" s="1208"/>
      <c r="G120" s="1207" t="s">
        <v>5174</v>
      </c>
      <c r="H120" s="1107"/>
      <c r="I120" s="1207" t="s">
        <v>3665</v>
      </c>
      <c r="J120" s="1207"/>
      <c r="K120" s="1207" t="s">
        <v>3075</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7841</v>
      </c>
      <c r="B121" s="1206" t="s">
        <v>7723</v>
      </c>
      <c r="C121" s="1139"/>
      <c r="D121" s="1140" t="s">
        <v>7880</v>
      </c>
      <c r="E121" s="1207"/>
      <c r="F121" s="1208"/>
      <c r="G121" s="1207"/>
      <c r="H121" s="1107"/>
      <c r="I121" s="1207"/>
      <c r="J121" s="1207"/>
      <c r="K121" s="1207"/>
      <c r="L121" s="1201" t="s">
        <v>5244</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7595</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7849</v>
      </c>
      <c r="C123" s="1199" t="s">
        <v>2959</v>
      </c>
      <c r="D123" s="1003" t="s">
        <v>7881</v>
      </c>
      <c r="E123" s="1207"/>
      <c r="F123" s="1087"/>
      <c r="G123" s="1207"/>
      <c r="H123" s="1107"/>
      <c r="I123" s="1200" t="s">
        <v>7882</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7883</v>
      </c>
      <c r="B125" s="1230"/>
      <c r="C125" s="1199" t="s">
        <v>4114</v>
      </c>
      <c r="D125" s="1200" t="s">
        <v>7884</v>
      </c>
      <c r="E125" s="1200" t="s">
        <v>7885</v>
      </c>
      <c r="F125" s="1116" t="s">
        <v>7886</v>
      </c>
      <c r="G125" s="1200" t="s">
        <v>4114</v>
      </c>
      <c r="H125" s="1107"/>
      <c r="I125" s="1200"/>
      <c r="J125" s="1200"/>
      <c r="K125" s="1200"/>
      <c r="L125" s="1204"/>
      <c r="M125" s="1200" t="s">
        <v>7885</v>
      </c>
      <c r="N125" s="1200"/>
      <c r="O125" s="1200"/>
      <c r="P125" s="1200"/>
      <c r="Q125" s="1202" t="s">
        <v>7887</v>
      </c>
      <c r="R125" s="1231"/>
      <c r="S125" s="1200"/>
      <c r="T125" s="1200"/>
      <c r="U125" s="1200" t="s">
        <v>7888</v>
      </c>
      <c r="V125" s="1200"/>
      <c r="W125" s="1200"/>
      <c r="X125" s="1200"/>
      <c r="Y125" s="1200" t="s">
        <v>7887</v>
      </c>
      <c r="Z125" s="1200"/>
      <c r="AA125" s="1200"/>
      <c r="AB125" s="1200" t="s">
        <v>7886</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7594</v>
      </c>
      <c r="B126" s="1232" t="s">
        <v>7889</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7890</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7891</v>
      </c>
      <c r="C128" s="1115" t="s">
        <v>1183</v>
      </c>
      <c r="D128" s="1095" t="s">
        <v>663</v>
      </c>
      <c r="E128" s="1207"/>
      <c r="F128" s="1116" t="s">
        <v>1183</v>
      </c>
      <c r="G128" s="1207"/>
      <c r="H128" s="1089" t="s">
        <v>1352</v>
      </c>
      <c r="I128" s="1207"/>
      <c r="J128" s="1207" t="s">
        <v>2785</v>
      </c>
      <c r="K128" s="1207" t="s">
        <v>7892</v>
      </c>
      <c r="L128" s="1204"/>
      <c r="M128" s="1207"/>
      <c r="N128" s="1207"/>
      <c r="O128" s="1207"/>
      <c r="P128" s="1207"/>
      <c r="Q128" s="1209" t="s">
        <v>7893</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7894</v>
      </c>
      <c r="C129" s="1084" t="s">
        <v>1005</v>
      </c>
      <c r="D129" s="1207"/>
      <c r="E129" s="1207"/>
      <c r="F129" s="1123" t="s">
        <v>2559</v>
      </c>
      <c r="G129" s="1130" t="s">
        <v>1005</v>
      </c>
      <c r="H129" s="1089" t="s">
        <v>1293</v>
      </c>
      <c r="I129" s="1207"/>
      <c r="J129" s="1207"/>
      <c r="K129" s="1207"/>
      <c r="L129" s="1204"/>
      <c r="M129" s="1207"/>
      <c r="N129" s="1207"/>
      <c r="O129" s="1207"/>
      <c r="P129" s="1130" t="s">
        <v>1085</v>
      </c>
      <c r="Q129" s="1209"/>
      <c r="R129" s="1231"/>
      <c r="S129" s="1207"/>
      <c r="T129" s="1207"/>
      <c r="U129" s="1207" t="s">
        <v>2605</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7611</v>
      </c>
      <c r="B130" s="1240" t="s">
        <v>7595</v>
      </c>
      <c r="C130" s="1199" t="s">
        <v>2581</v>
      </c>
      <c r="D130" s="1204"/>
      <c r="E130" s="1204"/>
      <c r="F130" s="1241" t="s">
        <v>2735</v>
      </c>
      <c r="G130" s="1130" t="s">
        <v>2581</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7621</v>
      </c>
      <c r="B131" s="1244" t="s">
        <v>7595</v>
      </c>
      <c r="C131" s="1199" t="s">
        <v>7895</v>
      </c>
      <c r="D131" s="1207"/>
      <c r="E131" s="1207"/>
      <c r="F131" s="1116" t="s">
        <v>1945</v>
      </c>
      <c r="G131" s="1089" t="s">
        <v>7895</v>
      </c>
      <c r="H131" s="1089" t="s">
        <v>7896</v>
      </c>
      <c r="I131" s="1207"/>
      <c r="J131" s="1207"/>
      <c r="K131" s="1207"/>
      <c r="L131" s="1204"/>
      <c r="M131" s="1207"/>
      <c r="N131" s="1207"/>
      <c r="O131" s="1207"/>
      <c r="P131" s="1207"/>
      <c r="Q131" s="1209"/>
      <c r="R131" s="1231"/>
      <c r="S131" s="1207"/>
      <c r="T131" s="1207"/>
      <c r="U131" s="1207" t="s">
        <v>7895</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7596</v>
      </c>
      <c r="B132" s="1230"/>
      <c r="C132" s="1199" t="s">
        <v>775</v>
      </c>
      <c r="D132" s="1095" t="s">
        <v>935</v>
      </c>
      <c r="E132" s="1207"/>
      <c r="F132" s="1123" t="s">
        <v>2560</v>
      </c>
      <c r="G132" s="1207"/>
      <c r="H132" s="1089" t="s">
        <v>1294</v>
      </c>
      <c r="I132" s="1130" t="str">
        <f>HYPERLINK("https://youtu.be/6f5dBhAmU1g","42.10")</f>
        <v>42.10</v>
      </c>
      <c r="J132" s="1207" t="s">
        <v>527</v>
      </c>
      <c r="K132" s="1207" t="s">
        <v>2145</v>
      </c>
      <c r="L132" s="1201" t="s">
        <v>6744</v>
      </c>
      <c r="M132" s="1130" t="s">
        <v>928</v>
      </c>
      <c r="N132" s="1130" t="s">
        <v>775</v>
      </c>
      <c r="O132" s="1207" t="s">
        <v>2579</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7611</v>
      </c>
      <c r="B133" s="1244" t="s">
        <v>7595</v>
      </c>
      <c r="C133" s="1199" t="str">
        <f>HYPERLINK("https://youtu.be/sDPkawvhuRo","28.54")</f>
        <v>28.54</v>
      </c>
      <c r="D133" s="1095" t="s">
        <v>1584</v>
      </c>
      <c r="E133" s="1207"/>
      <c r="F133" s="1123" t="s">
        <v>2561</v>
      </c>
      <c r="G133" s="1130" t="s">
        <v>1035</v>
      </c>
      <c r="H133" s="1089" t="s">
        <v>375</v>
      </c>
      <c r="I133" s="1207" t="s">
        <v>1450</v>
      </c>
      <c r="J133" s="1207" t="s">
        <v>2327</v>
      </c>
      <c r="K133" s="1207" t="s">
        <v>406</v>
      </c>
      <c r="L133" s="1201" t="s">
        <v>7897</v>
      </c>
      <c r="M133" s="1130" t="s">
        <v>145</v>
      </c>
      <c r="N133" s="1130" t="s">
        <v>375</v>
      </c>
      <c r="O133" s="1207" t="s">
        <v>3650</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7621</v>
      </c>
      <c r="B134" s="1244" t="s">
        <v>7595</v>
      </c>
      <c r="C134" s="1199" t="s">
        <v>7898</v>
      </c>
      <c r="D134" s="1200"/>
      <c r="E134" s="1200" t="s">
        <v>7898</v>
      </c>
      <c r="F134" s="1241" t="s">
        <v>1545</v>
      </c>
      <c r="G134" s="1200"/>
      <c r="H134" s="1089" t="s">
        <v>7899</v>
      </c>
      <c r="I134" s="1200"/>
      <c r="J134" s="1200"/>
      <c r="K134" s="1200"/>
      <c r="L134" s="1201" t="s">
        <v>7900</v>
      </c>
      <c r="M134" s="1200" t="s">
        <v>3018</v>
      </c>
      <c r="N134" s="1200" t="s">
        <v>7899</v>
      </c>
      <c r="O134" s="1200"/>
      <c r="P134" s="1200"/>
      <c r="Q134" s="1202" t="s">
        <v>7898</v>
      </c>
      <c r="R134" s="1098"/>
      <c r="S134" s="1200" t="s">
        <v>487</v>
      </c>
      <c r="T134" s="1200"/>
      <c r="U134" s="1200"/>
      <c r="V134" s="1200"/>
      <c r="W134" s="1200"/>
      <c r="X134" s="1200"/>
      <c r="Y134" s="1200"/>
      <c r="Z134" s="1200"/>
      <c r="AA134" s="1200" t="s">
        <v>7901</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7774</v>
      </c>
      <c r="B135" s="1232" t="s">
        <v>7902</v>
      </c>
      <c r="C135" s="1199" t="s">
        <v>7903</v>
      </c>
      <c r="D135" s="1207"/>
      <c r="E135" s="1207"/>
      <c r="F135" s="1087"/>
      <c r="G135" s="1207"/>
      <c r="H135" s="1089" t="s">
        <v>4821</v>
      </c>
      <c r="I135" s="1207"/>
      <c r="J135" s="1207"/>
      <c r="K135" s="1207" t="s">
        <v>4448</v>
      </c>
      <c r="L135" s="1204"/>
      <c r="M135" s="1207"/>
      <c r="N135" s="1207"/>
      <c r="O135" s="1207"/>
      <c r="P135" s="1207"/>
      <c r="Q135" s="1209"/>
      <c r="R135" s="1245" t="s">
        <v>7904</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7905</v>
      </c>
      <c r="C136" s="1199" t="s">
        <v>1814</v>
      </c>
      <c r="D136" s="1207" t="s">
        <v>2604</v>
      </c>
      <c r="E136" s="1207"/>
      <c r="F136" s="1233"/>
      <c r="G136" s="1207"/>
      <c r="H136" s="1107"/>
      <c r="I136" s="1207"/>
      <c r="J136" s="1207"/>
      <c r="K136" s="1207" t="s">
        <v>3651</v>
      </c>
      <c r="L136" s="1204"/>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7906</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7907</v>
      </c>
      <c r="C138" s="1199" t="s">
        <v>376</v>
      </c>
      <c r="D138" s="1095" t="s">
        <v>776</v>
      </c>
      <c r="E138" s="1089" t="s">
        <v>376</v>
      </c>
      <c r="F138" s="1123" t="s">
        <v>3982</v>
      </c>
      <c r="G138" s="1246" t="s">
        <v>7908</v>
      </c>
      <c r="H138" s="1089" t="s">
        <v>1295</v>
      </c>
      <c r="I138" s="1089" t="s">
        <v>5514</v>
      </c>
      <c r="J138" s="1107"/>
      <c r="K138" s="1107"/>
      <c r="L138" s="1204"/>
      <c r="M138" s="1089" t="s">
        <v>929</v>
      </c>
      <c r="N138" s="1089" t="s">
        <v>6495</v>
      </c>
      <c r="O138" s="1107"/>
      <c r="P138" s="1089" t="s">
        <v>7909</v>
      </c>
      <c r="Q138" s="1202" t="s">
        <v>5133</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7910</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7654</v>
      </c>
      <c r="B139" s="1232" t="s">
        <v>7911</v>
      </c>
      <c r="C139" s="1199" t="s">
        <v>567</v>
      </c>
      <c r="D139" s="1207" t="s">
        <v>4299</v>
      </c>
      <c r="E139" s="1207"/>
      <c r="F139" s="1087"/>
      <c r="G139" s="1207"/>
      <c r="H139" s="1107"/>
      <c r="I139" s="1207"/>
      <c r="J139" s="1089" t="s">
        <v>5707</v>
      </c>
      <c r="K139" s="1207" t="s">
        <v>1654</v>
      </c>
      <c r="L139" s="1201" t="s">
        <v>7912</v>
      </c>
      <c r="M139" s="1207"/>
      <c r="N139" s="1207"/>
      <c r="O139" s="1207" t="str">
        <f>HYPERLINK("https://youtu.be/wzsts4r5VHY","56.24")</f>
        <v>56.24</v>
      </c>
      <c r="P139" s="1089" t="s">
        <v>7913</v>
      </c>
      <c r="Q139" s="1209"/>
      <c r="R139" s="1236" t="s">
        <v>7914</v>
      </c>
      <c r="S139" s="1207"/>
      <c r="T139" s="1207"/>
      <c r="U139" s="1207" t="s">
        <v>567</v>
      </c>
      <c r="V139" s="1207"/>
      <c r="W139" s="1207"/>
      <c r="X139" s="1207"/>
      <c r="Y139" s="1207"/>
      <c r="Z139" s="1207"/>
      <c r="AA139" s="1207"/>
      <c r="AB139" s="1207"/>
      <c r="AC139" s="1207"/>
      <c r="AD139" s="1207"/>
      <c r="AE139" s="1207"/>
      <c r="AF139" s="1207" t="s">
        <v>7915</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7916</v>
      </c>
      <c r="C140" s="1199" t="s">
        <v>4566</v>
      </c>
      <c r="D140" s="1247"/>
      <c r="E140" s="1247"/>
      <c r="F140" s="1233"/>
      <c r="G140" s="1247"/>
      <c r="H140" s="1107"/>
      <c r="I140" s="1247"/>
      <c r="J140" s="1089" t="s">
        <v>7917</v>
      </c>
      <c r="K140" s="1247"/>
      <c r="L140" s="1204"/>
      <c r="M140" s="1247"/>
      <c r="N140" s="1247"/>
      <c r="O140" s="1247"/>
      <c r="P140" s="1247"/>
      <c r="Q140" s="1202"/>
      <c r="R140" s="1098"/>
      <c r="S140" s="1247"/>
      <c r="T140" s="1247" t="s">
        <v>4566</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7918</v>
      </c>
      <c r="C141" s="1199" t="s">
        <v>7919</v>
      </c>
      <c r="D141" s="1095" t="s">
        <v>793</v>
      </c>
      <c r="E141" s="1248" t="s">
        <v>777</v>
      </c>
      <c r="F141" s="1135" t="s">
        <v>2563</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7665</v>
      </c>
      <c r="B142" s="1232" t="s">
        <v>7920</v>
      </c>
      <c r="C142" s="1199" t="s">
        <v>4137</v>
      </c>
      <c r="D142" s="1207"/>
      <c r="E142" s="1207"/>
      <c r="F142" s="1233"/>
      <c r="G142" s="1207"/>
      <c r="H142" s="1107"/>
      <c r="I142" s="1207"/>
      <c r="J142" s="1207"/>
      <c r="K142" s="1207" t="s">
        <v>3959</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7921</v>
      </c>
      <c r="C143" s="1199" t="s">
        <v>7922</v>
      </c>
      <c r="E143" s="1207"/>
      <c r="F143" s="1087"/>
      <c r="G143" s="1207"/>
      <c r="H143" s="1089" t="s">
        <v>1297</v>
      </c>
      <c r="I143" s="1207"/>
      <c r="J143" s="1089" t="s">
        <v>1434</v>
      </c>
      <c r="K143" s="1207"/>
      <c r="L143" s="1204"/>
      <c r="M143" s="1207" t="s">
        <v>931</v>
      </c>
      <c r="N143" s="1207"/>
      <c r="O143" s="1207"/>
      <c r="P143" s="1089" t="s">
        <v>5727</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7923</v>
      </c>
      <c r="C144" s="1199"/>
      <c r="E144" s="1207"/>
      <c r="F144" s="1087"/>
      <c r="G144" s="1207"/>
      <c r="H144" s="1107"/>
      <c r="I144" s="1207"/>
      <c r="J144" s="1107"/>
      <c r="K144" s="1207"/>
      <c r="L144" s="1130" t="s">
        <v>7924</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7925</v>
      </c>
      <c r="C145" s="1084" t="s">
        <v>7926</v>
      </c>
      <c r="D145" s="1095" t="s">
        <v>582</v>
      </c>
      <c r="E145" s="1207"/>
      <c r="F145" s="1087"/>
      <c r="G145" s="1207"/>
      <c r="H145" s="1107"/>
      <c r="I145" s="1207"/>
      <c r="J145" s="1107"/>
      <c r="K145" s="1207"/>
      <c r="L145" s="1130" t="s">
        <v>7926</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7677</v>
      </c>
      <c r="B146" s="1232" t="s">
        <v>7927</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7928</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7611</v>
      </c>
      <c r="B148" s="1240" t="s">
        <v>7927</v>
      </c>
      <c r="C148" s="1199" t="s">
        <v>3590</v>
      </c>
      <c r="D148" s="1200" t="s">
        <v>5464</v>
      </c>
      <c r="E148" s="1200" t="s">
        <v>3590</v>
      </c>
      <c r="F148" s="1233"/>
      <c r="G148" s="1200"/>
      <c r="H148" s="1089" t="s">
        <v>2947</v>
      </c>
      <c r="I148" s="1200"/>
      <c r="J148" s="1200"/>
      <c r="K148" s="1200" t="s">
        <v>475</v>
      </c>
      <c r="L148" s="1204"/>
      <c r="M148" s="1200"/>
      <c r="N148" s="1200" t="s">
        <v>2319</v>
      </c>
      <c r="O148" s="1200" t="s">
        <v>1320</v>
      </c>
      <c r="P148" s="1200"/>
      <c r="Q148" s="1202"/>
      <c r="R148" s="1118" t="s">
        <v>3733</v>
      </c>
      <c r="S148" s="1200"/>
      <c r="T148" s="1200"/>
      <c r="U148" s="1200"/>
      <c r="V148" s="1200"/>
      <c r="W148" s="1200"/>
      <c r="X148" s="1200"/>
      <c r="Y148" s="1200"/>
      <c r="Z148" s="1200" t="s">
        <v>7929</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2001</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7928</v>
      </c>
      <c r="C149" s="1199" t="s">
        <v>1444</v>
      </c>
      <c r="D149" s="1003" t="s">
        <v>1586</v>
      </c>
      <c r="E149" s="1200" t="s">
        <v>5518</v>
      </c>
      <c r="F149" s="1123" t="s">
        <v>1616</v>
      </c>
      <c r="G149" s="1211" t="s">
        <v>139</v>
      </c>
      <c r="H149" s="1089" t="s">
        <v>3374</v>
      </c>
      <c r="I149" s="1200" t="str">
        <f>HYPERLINK("https://youtu.be/NPrbRwZDn1I","27.54")</f>
        <v>27.54</v>
      </c>
      <c r="J149" s="1200" t="s">
        <v>505</v>
      </c>
      <c r="K149" s="1200" t="s">
        <v>2571</v>
      </c>
      <c r="L149" s="1204"/>
      <c r="M149" s="1200"/>
      <c r="N149" s="1200" t="s">
        <v>5518</v>
      </c>
      <c r="O149" s="1200" t="str">
        <f>HYPERLINK("https://youtu.be/gwRV1gD1ndo","27.79")</f>
        <v>27.79</v>
      </c>
      <c r="P149" s="1200" t="s">
        <v>150</v>
      </c>
      <c r="Q149" s="1202" t="s">
        <v>432</v>
      </c>
      <c r="R149" s="1236"/>
      <c r="S149" s="1200" t="s">
        <v>410</v>
      </c>
      <c r="T149" s="1200"/>
      <c r="U149" s="1089" t="s">
        <v>399</v>
      </c>
      <c r="V149" s="1200"/>
      <c r="W149" s="1200"/>
      <c r="X149" s="1200" t="s">
        <v>7930</v>
      </c>
      <c r="Y149" s="1200"/>
      <c r="Z149" s="1200" t="s">
        <v>1003</v>
      </c>
      <c r="AA149" s="1200"/>
      <c r="AB149" s="1200"/>
      <c r="AC149" s="1200"/>
      <c r="AD149" s="1200"/>
      <c r="AE149" s="1200"/>
      <c r="AF149" s="1200"/>
      <c r="AG149" s="1200"/>
      <c r="AH149" s="1200"/>
      <c r="AI149" s="1200"/>
      <c r="AJ149" s="1200" t="s">
        <v>2369</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7621</v>
      </c>
      <c r="B150" s="1240" t="s">
        <v>7595</v>
      </c>
      <c r="C150" s="1199" t="s">
        <v>7931</v>
      </c>
      <c r="D150" s="1247"/>
      <c r="E150" s="1247"/>
      <c r="F150" s="1233"/>
      <c r="G150" s="1247"/>
      <c r="H150" s="1089" t="s">
        <v>2819</v>
      </c>
      <c r="I150" s="1247"/>
      <c r="J150" s="1247"/>
      <c r="K150" s="1247"/>
      <c r="L150" s="1201" t="s">
        <v>7932</v>
      </c>
      <c r="M150" s="1247"/>
      <c r="N150" s="1247"/>
      <c r="O150" s="1247"/>
      <c r="P150" s="1130" t="s">
        <v>7931</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7930</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7933</v>
      </c>
      <c r="B151" s="1244" t="s">
        <v>7934</v>
      </c>
      <c r="C151" s="1199" t="s">
        <v>7935</v>
      </c>
      <c r="D151" s="1200" t="s">
        <v>7936</v>
      </c>
      <c r="E151" s="1200" t="s">
        <v>7935</v>
      </c>
      <c r="F151" s="1087"/>
      <c r="G151" s="1200"/>
      <c r="H151" s="1107"/>
      <c r="I151" s="1200" t="s">
        <v>7937</v>
      </c>
      <c r="J151" s="1200" t="s">
        <v>7938</v>
      </c>
      <c r="K151" s="1200"/>
      <c r="L151" s="1204"/>
      <c r="M151" s="1200" t="s">
        <v>934</v>
      </c>
      <c r="N151" s="1200"/>
      <c r="O151" s="1200" t="s">
        <v>7454</v>
      </c>
      <c r="P151" s="1200"/>
      <c r="Q151" s="1202"/>
      <c r="R151" s="1231"/>
      <c r="S151" s="1200"/>
      <c r="T151" s="1200"/>
      <c r="U151" s="1200"/>
      <c r="V151" s="1200" t="s">
        <v>7369</v>
      </c>
      <c r="W151" s="1200"/>
      <c r="X151" s="1200" t="s">
        <v>5143</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7939</v>
      </c>
      <c r="BF151" s="1200"/>
      <c r="BG151" s="1200"/>
      <c r="BH151" s="1200"/>
      <c r="BI151" s="1231"/>
      <c r="BJ151" s="1231"/>
      <c r="BK151" s="1231"/>
      <c r="BL151" s="1231"/>
      <c r="BM151" s="1231"/>
      <c r="BN151" s="1231"/>
      <c r="BO151" s="1231"/>
    </row>
    <row r="152" ht="15.75" customHeight="1">
      <c r="A152" s="1234"/>
      <c r="B152" s="1235" t="s">
        <v>7940</v>
      </c>
      <c r="C152" s="1199" t="s">
        <v>7941</v>
      </c>
      <c r="D152" s="1207"/>
      <c r="E152" s="1207"/>
      <c r="F152" s="1233"/>
      <c r="G152" s="1207"/>
      <c r="H152" s="1107"/>
      <c r="I152" s="1207"/>
      <c r="J152" s="1207"/>
      <c r="K152" s="1207" t="s">
        <v>7942</v>
      </c>
      <c r="L152" s="1204"/>
      <c r="M152" s="1207"/>
      <c r="N152" s="1207"/>
      <c r="O152" s="1207"/>
      <c r="P152" s="1207" t="s">
        <v>7941</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7943</v>
      </c>
      <c r="C153" s="1249" t="s">
        <v>2564</v>
      </c>
      <c r="D153" s="1133" t="s">
        <v>1588</v>
      </c>
      <c r="E153" s="1089" t="s">
        <v>381</v>
      </c>
      <c r="F153" s="1123" t="s">
        <v>2564</v>
      </c>
      <c r="G153" s="1089" t="s">
        <v>7944</v>
      </c>
      <c r="H153" s="1107"/>
      <c r="I153" s="1089" t="s">
        <v>589</v>
      </c>
      <c r="J153" s="1089" t="s">
        <v>3261</v>
      </c>
      <c r="K153" s="1107" t="s">
        <v>3655</v>
      </c>
      <c r="L153" s="1204"/>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7945</v>
      </c>
      <c r="BC153" s="1107"/>
      <c r="BD153" s="1107"/>
      <c r="BE153" s="1107"/>
      <c r="BF153" s="1107"/>
      <c r="BG153" s="1107"/>
      <c r="BH153" s="1107"/>
      <c r="BI153" s="1231"/>
      <c r="BJ153" s="1231"/>
      <c r="BK153" s="1231"/>
      <c r="BL153" s="1231"/>
      <c r="BM153" s="1231"/>
      <c r="BN153" s="1231"/>
      <c r="BO153" s="1231"/>
    </row>
    <row r="154" ht="15.75" customHeight="1">
      <c r="A154" s="1234"/>
      <c r="B154" s="1235" t="s">
        <v>7946</v>
      </c>
      <c r="C154" s="1084" t="s">
        <v>3542</v>
      </c>
      <c r="D154" s="1003" t="s">
        <v>1587</v>
      </c>
      <c r="E154" s="1207"/>
      <c r="F154" s="1233"/>
      <c r="G154" s="1207"/>
      <c r="H154" s="1089" t="s">
        <v>1299</v>
      </c>
      <c r="I154" s="1207"/>
      <c r="J154" s="1207"/>
      <c r="K154" s="1211" t="s">
        <v>3654</v>
      </c>
      <c r="L154" s="1204"/>
      <c r="M154" s="1207"/>
      <c r="N154" s="1207" t="s">
        <v>7947</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7948</v>
      </c>
      <c r="B155" s="1244" t="s">
        <v>7934</v>
      </c>
      <c r="C155" s="1199" t="s">
        <v>777</v>
      </c>
      <c r="D155" s="1251" t="s">
        <v>5082</v>
      </c>
      <c r="E155" s="1251" t="s">
        <v>3660</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7949</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7950</v>
      </c>
      <c r="C157" s="1084" t="s">
        <v>2632</v>
      </c>
      <c r="D157" s="1251" t="s">
        <v>7951</v>
      </c>
      <c r="E157" s="1251"/>
      <c r="F157" s="1135" t="s">
        <v>3856</v>
      </c>
      <c r="G157" s="1089" t="s">
        <v>2632</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7952</v>
      </c>
      <c r="C158" s="1115" t="s">
        <v>5164</v>
      </c>
      <c r="D158" s="1251"/>
      <c r="E158" s="1251"/>
      <c r="F158" s="1116" t="s">
        <v>5164</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7953</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7946</v>
      </c>
      <c r="C160" s="1084" t="s">
        <v>1431</v>
      </c>
      <c r="D160" s="1251"/>
      <c r="E160" s="1251"/>
      <c r="F160" s="1233"/>
      <c r="G160" s="1251" t="s">
        <v>7954</v>
      </c>
      <c r="H160" s="1089" t="s">
        <v>7075</v>
      </c>
      <c r="I160" s="1251" t="s">
        <v>286</v>
      </c>
      <c r="J160" s="1251"/>
      <c r="K160" s="1251"/>
      <c r="L160" s="1204"/>
      <c r="M160" s="1251"/>
      <c r="N160" s="1200" t="s">
        <v>4801</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7955</v>
      </c>
      <c r="B161" s="1244" t="s">
        <v>7956</v>
      </c>
      <c r="C161" s="1199" t="s">
        <v>7957</v>
      </c>
      <c r="D161" s="1251" t="s">
        <v>2290</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7958</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7959</v>
      </c>
      <c r="B163" s="1244" t="s">
        <v>7960</v>
      </c>
      <c r="C163" s="1084" t="s">
        <v>7961</v>
      </c>
      <c r="D163" s="1251"/>
      <c r="E163" s="1251"/>
      <c r="F163" s="1116" t="s">
        <v>7962</v>
      </c>
      <c r="G163" s="1200" t="s">
        <v>7963</v>
      </c>
      <c r="H163" s="1089" t="s">
        <v>7964</v>
      </c>
      <c r="I163" s="1251" t="s">
        <v>7965</v>
      </c>
      <c r="J163" s="1251"/>
      <c r="K163" s="1251"/>
      <c r="L163" s="1204"/>
      <c r="M163" s="1251"/>
      <c r="N163" s="1200" t="s">
        <v>1324</v>
      </c>
      <c r="O163" s="1251"/>
      <c r="P163" s="1251"/>
      <c r="Q163" s="1202"/>
      <c r="R163" s="1231"/>
      <c r="S163" s="1251"/>
      <c r="T163" s="1251"/>
      <c r="U163" s="1089" t="s">
        <v>7961</v>
      </c>
      <c r="V163" s="1251"/>
      <c r="W163" s="1089" t="s">
        <v>7966</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7967</v>
      </c>
      <c r="C164" s="1199" t="s">
        <v>7968</v>
      </c>
      <c r="D164" s="1251"/>
      <c r="E164" s="1251"/>
      <c r="F164" s="1241" t="s">
        <v>7969</v>
      </c>
      <c r="G164" s="1200" t="s">
        <v>7970</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7971</v>
      </c>
      <c r="C165" s="1199" t="s">
        <v>7972</v>
      </c>
      <c r="D165" s="1251"/>
      <c r="E165" s="1251"/>
      <c r="F165" s="1116" t="s">
        <v>7973</v>
      </c>
      <c r="G165" s="1200" t="s">
        <v>7972</v>
      </c>
      <c r="H165" s="1107"/>
      <c r="I165" s="1251" t="s">
        <v>7547</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7974</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2352</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7716</v>
      </c>
      <c r="B167" s="1253" t="s">
        <v>7975</v>
      </c>
      <c r="C167" s="1199" t="s">
        <v>2611</v>
      </c>
      <c r="D167" s="1207" t="s">
        <v>2611</v>
      </c>
      <c r="E167" s="1207"/>
      <c r="F167" s="1241" t="s">
        <v>2977</v>
      </c>
      <c r="G167" s="1200" t="s">
        <v>2611</v>
      </c>
      <c r="H167" s="1089" t="s">
        <v>2857</v>
      </c>
      <c r="I167" s="1207"/>
      <c r="J167" s="1207"/>
      <c r="K167" s="1207" t="s">
        <v>3782</v>
      </c>
      <c r="L167" s="1201" t="s">
        <v>7976</v>
      </c>
      <c r="M167" s="1207"/>
      <c r="N167" s="1207"/>
      <c r="O167" s="1207"/>
      <c r="P167" s="1207" t="s">
        <v>2611</v>
      </c>
      <c r="Q167" s="1209" t="s">
        <v>2977</v>
      </c>
      <c r="R167" s="1109" t="s">
        <v>7977</v>
      </c>
      <c r="S167" s="1207"/>
      <c r="T167" s="1207" t="s">
        <v>2611</v>
      </c>
      <c r="U167" s="1207" t="s">
        <v>2611</v>
      </c>
      <c r="V167" s="1207"/>
      <c r="W167" s="1207"/>
      <c r="X167" s="1207"/>
      <c r="Y167" s="1207"/>
      <c r="Z167" s="1207"/>
      <c r="AA167" s="1207"/>
      <c r="AB167" s="1207"/>
      <c r="AC167" s="1089" t="s">
        <v>3592</v>
      </c>
      <c r="AD167" s="1207"/>
      <c r="AE167" s="1207"/>
      <c r="AF167" s="1207"/>
      <c r="AG167" s="1207" t="s">
        <v>2611</v>
      </c>
      <c r="AH167" s="1207"/>
      <c r="AI167" s="1207"/>
      <c r="AJ167" s="1207"/>
      <c r="AK167" s="1207"/>
      <c r="AL167" s="1204"/>
      <c r="AM167" s="1207"/>
      <c r="AN167" s="1207"/>
      <c r="AO167" s="1207" t="s">
        <v>5641</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7978</v>
      </c>
      <c r="C168" s="1199" t="s">
        <v>2445</v>
      </c>
      <c r="D168" s="1095" t="s">
        <v>1589</v>
      </c>
      <c r="E168" s="1200" t="s">
        <v>7979</v>
      </c>
      <c r="F168" s="1116" t="s">
        <v>7980</v>
      </c>
      <c r="G168" s="1200" t="s">
        <v>7981</v>
      </c>
      <c r="H168" s="1107"/>
      <c r="I168" s="1200"/>
      <c r="J168" s="1200" t="s">
        <v>517</v>
      </c>
      <c r="K168" s="1200" t="s">
        <v>3656</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7719</v>
      </c>
      <c r="B169" s="1253" t="s">
        <v>7982</v>
      </c>
      <c r="C169" s="1199" t="s">
        <v>661</v>
      </c>
      <c r="D169" s="1003" t="s">
        <v>1138</v>
      </c>
      <c r="E169" s="1207"/>
      <c r="F169" s="1233"/>
      <c r="G169" s="1207"/>
      <c r="H169" s="1089" t="s">
        <v>1300</v>
      </c>
      <c r="I169" s="1207"/>
      <c r="J169" s="1207" t="s">
        <v>661</v>
      </c>
      <c r="K169" s="1207"/>
      <c r="L169" s="1201" t="s">
        <v>7983</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7621</v>
      </c>
      <c r="B170" s="1244" t="s">
        <v>7595</v>
      </c>
      <c r="C170" s="1199" t="s">
        <v>7984</v>
      </c>
      <c r="D170" s="1207"/>
      <c r="E170" s="1207"/>
      <c r="F170" s="1087"/>
      <c r="G170" s="1207"/>
      <c r="H170" s="1089" t="s">
        <v>690</v>
      </c>
      <c r="I170" s="1207"/>
      <c r="J170" s="1207"/>
      <c r="K170" s="1207"/>
      <c r="L170" s="1201" t="s">
        <v>7985</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7986</v>
      </c>
      <c r="B171" s="1253" t="s">
        <v>7987</v>
      </c>
      <c r="C171" s="1199" t="s">
        <v>7988</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7989</v>
      </c>
      <c r="C172" s="1199" t="s">
        <v>935</v>
      </c>
      <c r="D172" s="1003" t="s">
        <v>935</v>
      </c>
      <c r="E172" s="1207"/>
      <c r="F172" s="1233"/>
      <c r="G172" s="1207"/>
      <c r="H172" s="1107"/>
      <c r="I172" s="1207"/>
      <c r="J172" s="1207"/>
      <c r="K172" s="1207"/>
      <c r="L172" s="1201" t="s">
        <v>2606</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7725</v>
      </c>
      <c r="B173" s="1244" t="s">
        <v>7987</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7989</v>
      </c>
      <c r="C174" s="1254" t="s">
        <v>7897</v>
      </c>
      <c r="D174" s="1255" t="s">
        <v>7897</v>
      </c>
      <c r="E174" s="1207"/>
      <c r="F174" s="1233"/>
      <c r="G174" s="1207"/>
      <c r="H174" s="1107"/>
      <c r="I174" s="1207"/>
      <c r="J174" s="1207"/>
      <c r="K174" s="1207"/>
      <c r="L174" s="1201" t="s">
        <v>7990</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7728</v>
      </c>
      <c r="B175" s="1253" t="s">
        <v>7595</v>
      </c>
      <c r="C175" s="1199" t="s">
        <v>1521</v>
      </c>
      <c r="D175" s="1000" t="s">
        <v>1590</v>
      </c>
      <c r="E175" s="1200" t="s">
        <v>7991</v>
      </c>
      <c r="F175" s="1087"/>
      <c r="G175" s="1200"/>
      <c r="H175" s="1107"/>
      <c r="I175" s="1200"/>
      <c r="J175" s="1200"/>
      <c r="K175" s="1200" t="s">
        <v>1457</v>
      </c>
      <c r="L175" s="1201" t="s">
        <v>7992</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7725</v>
      </c>
      <c r="B176" s="1240" t="s">
        <v>7595</v>
      </c>
      <c r="C176" s="1155" t="s">
        <v>7993</v>
      </c>
      <c r="D176" s="1142" t="s">
        <v>7993</v>
      </c>
      <c r="E176" s="1200"/>
      <c r="F176" s="1087"/>
      <c r="G176" s="1200"/>
      <c r="H176" s="1107"/>
      <c r="I176" s="1200"/>
      <c r="J176" s="1200"/>
      <c r="K176" s="1200"/>
      <c r="L176" s="1201" t="s">
        <v>6761</v>
      </c>
      <c r="M176" s="1200"/>
      <c r="N176" s="1200"/>
      <c r="O176" s="1200"/>
      <c r="P176" s="1200"/>
      <c r="Q176" s="1202"/>
      <c r="R176" s="1231"/>
      <c r="S176" s="1200"/>
      <c r="T176" s="1200"/>
      <c r="U176" s="1200"/>
      <c r="V176" s="1200"/>
      <c r="W176" s="1089" t="s">
        <v>7994</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7995</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7595</v>
      </c>
      <c r="C177" s="1199" t="s">
        <v>1458</v>
      </c>
      <c r="D177" s="1003" t="s">
        <v>782</v>
      </c>
      <c r="E177" s="1207"/>
      <c r="F177" s="1233"/>
      <c r="G177" s="1207"/>
      <c r="H177" s="1089" t="s">
        <v>1303</v>
      </c>
      <c r="I177" s="1207" t="s">
        <v>1458</v>
      </c>
      <c r="J177" s="1207"/>
      <c r="K177" s="1207"/>
      <c r="L177" s="1201" t="s">
        <v>7996</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7997</v>
      </c>
      <c r="B179" s="1263" t="s">
        <v>7998</v>
      </c>
      <c r="C179" s="1199" t="s">
        <v>7999</v>
      </c>
      <c r="D179" s="1090" t="s">
        <v>8000</v>
      </c>
      <c r="E179" s="1095" t="s">
        <v>8001</v>
      </c>
      <c r="F179" s="1116" t="s">
        <v>8002</v>
      </c>
      <c r="G179" s="1090" t="s">
        <v>8001</v>
      </c>
      <c r="H179" s="1089" t="s">
        <v>8003</v>
      </c>
      <c r="I179" s="1095"/>
      <c r="J179" s="1095" t="s">
        <v>8004</v>
      </c>
      <c r="K179" s="1095" t="s">
        <v>8005</v>
      </c>
      <c r="L179" s="1156"/>
      <c r="M179" s="1095" t="s">
        <v>8006</v>
      </c>
      <c r="N179" s="1095" t="s">
        <v>8006</v>
      </c>
      <c r="O179" s="1095"/>
      <c r="P179" s="1095"/>
      <c r="Q179" s="1091" t="s">
        <v>8001</v>
      </c>
      <c r="R179" s="1264"/>
      <c r="S179" s="1095"/>
      <c r="T179" s="1095" t="s">
        <v>2172</v>
      </c>
      <c r="U179" s="1095" t="s">
        <v>8007</v>
      </c>
      <c r="V179" s="1095"/>
      <c r="W179" s="1095"/>
      <c r="X179" s="1095"/>
      <c r="Y179" s="1095"/>
      <c r="Z179" s="1095"/>
      <c r="AA179" s="1095"/>
      <c r="AB179" s="1095"/>
      <c r="AC179" s="1095"/>
      <c r="AD179" s="1095" t="s">
        <v>7963</v>
      </c>
      <c r="AE179" s="1095" t="s">
        <v>8003</v>
      </c>
      <c r="AF179" s="1095"/>
      <c r="AG179" s="1095"/>
      <c r="AH179" s="1095" t="s">
        <v>7999</v>
      </c>
      <c r="AI179" s="1095"/>
      <c r="AJ179" s="1095"/>
      <c r="AK179" s="1095"/>
      <c r="AL179" s="1156"/>
      <c r="AM179" s="1095"/>
      <c r="AN179" s="1095" t="s">
        <v>8005</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8008</v>
      </c>
      <c r="C180" s="1199" t="s">
        <v>8009</v>
      </c>
      <c r="D180" s="1095"/>
      <c r="E180" s="1095" t="s">
        <v>8004</v>
      </c>
      <c r="F180" s="1267"/>
      <c r="G180" s="1095" t="s">
        <v>8009</v>
      </c>
      <c r="H180" s="1107"/>
      <c r="I180" s="1095"/>
      <c r="J180" s="1095"/>
      <c r="K180" s="1095"/>
      <c r="L180" s="1156"/>
      <c r="M180" s="1095"/>
      <c r="N180" s="1095"/>
      <c r="O180" s="1095"/>
      <c r="P180" s="1095"/>
      <c r="Q180" s="1091" t="s">
        <v>8010</v>
      </c>
      <c r="R180" s="1098"/>
      <c r="S180" s="1095"/>
      <c r="T180" s="1095"/>
      <c r="U180" s="1095"/>
      <c r="V180" s="1095" t="s">
        <v>8004</v>
      </c>
      <c r="W180" s="1095"/>
      <c r="X180" s="1095"/>
      <c r="Y180" s="1095"/>
      <c r="Z180" s="1095"/>
      <c r="AA180" s="1095"/>
      <c r="AB180" s="1095" t="s">
        <v>8001</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8011</v>
      </c>
      <c r="B181" s="1263" t="s">
        <v>7595</v>
      </c>
      <c r="C181" s="1199" t="s">
        <v>1857</v>
      </c>
      <c r="D181" s="1090" t="s">
        <v>5491</v>
      </c>
      <c r="E181" s="1095" t="s">
        <v>6262</v>
      </c>
      <c r="F181" s="1116" t="s">
        <v>3001</v>
      </c>
      <c r="G181" s="1095" t="s">
        <v>3001</v>
      </c>
      <c r="H181" s="1089" t="s">
        <v>8012</v>
      </c>
      <c r="I181" s="1095"/>
      <c r="J181" s="1095"/>
      <c r="K181" s="1095"/>
      <c r="L181" s="1156"/>
      <c r="M181" s="1095" t="s">
        <v>4498</v>
      </c>
      <c r="N181" s="1095"/>
      <c r="O181" s="1095"/>
      <c r="P181" s="1095"/>
      <c r="Q181" s="1091"/>
      <c r="R181" s="1264"/>
      <c r="S181" s="1095"/>
      <c r="T181" s="1095"/>
      <c r="U181" s="1095" t="s">
        <v>4187</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7611</v>
      </c>
      <c r="B182" s="1269" t="s">
        <v>7595</v>
      </c>
      <c r="C182" s="1199" t="s">
        <v>8013</v>
      </c>
      <c r="D182" s="1181"/>
      <c r="E182" s="1181" t="s">
        <v>7552</v>
      </c>
      <c r="F182" s="1270" t="s">
        <v>8014</v>
      </c>
      <c r="G182" s="1095" t="s">
        <v>8013</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7596</v>
      </c>
      <c r="B183" s="1271" t="s">
        <v>8015</v>
      </c>
      <c r="C183" s="1199" t="s">
        <v>5102</v>
      </c>
      <c r="D183" s="1272"/>
      <c r="E183" s="1272"/>
      <c r="F183" s="1087"/>
      <c r="G183" s="1272"/>
      <c r="H183" s="1107"/>
      <c r="I183" s="1272"/>
      <c r="J183" s="1272" t="s">
        <v>5102</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8016</v>
      </c>
      <c r="C184" s="1199" t="s">
        <v>8017</v>
      </c>
      <c r="D184" s="1095" t="s">
        <v>8018</v>
      </c>
      <c r="E184" s="1095" t="s">
        <v>8017</v>
      </c>
      <c r="F184" s="1123" t="s">
        <v>1261</v>
      </c>
      <c r="G184" s="1095" t="s">
        <v>830</v>
      </c>
      <c r="H184" s="1089" t="s">
        <v>1305</v>
      </c>
      <c r="I184" s="1095"/>
      <c r="J184" s="1095" t="s">
        <v>611</v>
      </c>
      <c r="K184" s="1095" t="s">
        <v>355</v>
      </c>
      <c r="L184" s="1167" t="s">
        <v>8019</v>
      </c>
      <c r="M184" s="1095"/>
      <c r="N184" s="1095"/>
      <c r="O184" s="1095" t="s">
        <v>147</v>
      </c>
      <c r="P184" s="1095" t="s">
        <v>8020</v>
      </c>
      <c r="Q184" s="1091"/>
      <c r="R184" s="1098"/>
      <c r="S184" s="1095"/>
      <c r="T184" s="1095"/>
      <c r="U184" s="1095" t="s">
        <v>2616</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8017</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7611</v>
      </c>
      <c r="B185" s="1273" t="s">
        <v>8021</v>
      </c>
      <c r="C185" s="1199" t="s">
        <v>8022</v>
      </c>
      <c r="D185" s="1133"/>
      <c r="E185" s="1133"/>
      <c r="F185" s="1087"/>
      <c r="G185" s="1133"/>
      <c r="H185" s="1107"/>
      <c r="I185" s="1133"/>
      <c r="J185" s="1133" t="s">
        <v>4572</v>
      </c>
      <c r="K185" s="1133"/>
      <c r="L185" s="1156"/>
      <c r="M185" s="1133"/>
      <c r="N185" s="1133"/>
      <c r="O185" s="1133"/>
      <c r="P185" s="1133"/>
      <c r="Q185" s="1091"/>
      <c r="R185" s="1264"/>
      <c r="S185" s="1133"/>
      <c r="T185" s="1133"/>
      <c r="U185" s="1133"/>
      <c r="V185" s="1133"/>
      <c r="W185" s="1133"/>
      <c r="X185" s="1133"/>
      <c r="Y185" s="1133"/>
      <c r="Z185" s="1133" t="s">
        <v>8023</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8024</v>
      </c>
      <c r="C186" s="1199" t="s">
        <v>8025</v>
      </c>
      <c r="D186" s="1095" t="s">
        <v>1593</v>
      </c>
      <c r="E186" s="1095" t="s">
        <v>8025</v>
      </c>
      <c r="F186" s="1123" t="s">
        <v>2485</v>
      </c>
      <c r="G186" s="1095" t="s">
        <v>3086</v>
      </c>
      <c r="H186" s="1089" t="s">
        <v>1306</v>
      </c>
      <c r="I186" s="1095" t="s">
        <v>159</v>
      </c>
      <c r="J186" s="1095" t="s">
        <v>4004</v>
      </c>
      <c r="K186" s="1095" t="s">
        <v>5468</v>
      </c>
      <c r="L186" s="1167" t="s">
        <v>8026</v>
      </c>
      <c r="M186" s="1095" t="s">
        <v>940</v>
      </c>
      <c r="N186" s="1095" t="s">
        <v>2989</v>
      </c>
      <c r="O186" s="1095" t="s">
        <v>1987</v>
      </c>
      <c r="P186" s="1095" t="s">
        <v>4834</v>
      </c>
      <c r="Q186" s="1091" t="s">
        <v>1987</v>
      </c>
      <c r="R186" s="1109" t="s">
        <v>5484</v>
      </c>
      <c r="S186" s="1095"/>
      <c r="T186" s="1095"/>
      <c r="U186" s="1095"/>
      <c r="V186" s="1095"/>
      <c r="W186" s="1095"/>
      <c r="X186" s="1095" t="s">
        <v>8027</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8028</v>
      </c>
      <c r="C187" s="1199" t="s">
        <v>3434</v>
      </c>
      <c r="D187" s="1095"/>
      <c r="E187" s="1095" t="s">
        <v>3434</v>
      </c>
      <c r="F187" s="1087"/>
      <c r="G187" s="1095"/>
      <c r="H187" s="1107"/>
      <c r="I187" s="1095" t="s">
        <v>5404</v>
      </c>
      <c r="J187" s="1095"/>
      <c r="K187" s="1095"/>
      <c r="L187" s="1156"/>
      <c r="M187" s="1095"/>
      <c r="N187" s="1095" t="s">
        <v>1095</v>
      </c>
      <c r="O187" s="1095" t="s">
        <v>4487</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8029</v>
      </c>
      <c r="B188" s="1273" t="s">
        <v>7775</v>
      </c>
      <c r="C188" s="1199" t="s">
        <v>3917</v>
      </c>
      <c r="D188" s="1272"/>
      <c r="E188" s="1272"/>
      <c r="F188" s="1276" t="s">
        <v>3672</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8030</v>
      </c>
      <c r="C189" s="1277" t="s">
        <v>1570</v>
      </c>
      <c r="D189" s="1278" t="s">
        <v>179</v>
      </c>
      <c r="E189" s="1095" t="s">
        <v>4790</v>
      </c>
      <c r="F189" s="1087"/>
      <c r="G189" s="1095"/>
      <c r="H189" s="1089" t="s">
        <v>179</v>
      </c>
      <c r="I189" s="1095"/>
      <c r="J189" s="1095"/>
      <c r="K189" s="1088" t="s">
        <v>3300</v>
      </c>
      <c r="L189" s="1167"/>
      <c r="M189" s="1095"/>
      <c r="N189" s="1095"/>
      <c r="O189" s="1095"/>
      <c r="P189" s="1095"/>
      <c r="Q189" s="1091"/>
      <c r="R189" s="1264"/>
      <c r="S189" s="1095"/>
      <c r="T189" s="1095"/>
      <c r="U189" s="1095" t="s">
        <v>2068</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8031</v>
      </c>
      <c r="B190" s="1273" t="s">
        <v>7775</v>
      </c>
      <c r="C190" s="1199" t="s">
        <v>8032</v>
      </c>
      <c r="D190" s="1272"/>
      <c r="E190" s="1272"/>
      <c r="F190" s="1270" t="s">
        <v>8033</v>
      </c>
      <c r="G190" s="1272" t="s">
        <v>8032</v>
      </c>
      <c r="H190" s="1107"/>
      <c r="I190" s="1272"/>
      <c r="J190" s="1272" t="s">
        <v>8034</v>
      </c>
      <c r="K190" s="1272"/>
      <c r="L190" s="1167" t="s">
        <v>8035</v>
      </c>
      <c r="M190" s="1272"/>
      <c r="N190" s="1272"/>
      <c r="O190" s="1272"/>
      <c r="P190" s="1272"/>
      <c r="Q190" s="1122"/>
      <c r="R190" s="1098"/>
      <c r="S190" s="1272"/>
      <c r="T190" s="1272"/>
      <c r="U190" s="1272"/>
      <c r="V190" s="1272"/>
      <c r="W190" s="1272"/>
      <c r="X190" s="1272"/>
      <c r="Y190" s="1272"/>
      <c r="Z190" s="1272" t="s">
        <v>8014</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8030</v>
      </c>
      <c r="C191" s="1199" t="s">
        <v>8036</v>
      </c>
      <c r="D191" s="1090" t="s">
        <v>8037</v>
      </c>
      <c r="E191" s="1088" t="s">
        <v>8036</v>
      </c>
      <c r="F191" s="1087"/>
      <c r="G191" s="1090" t="s">
        <v>8036</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8036</v>
      </c>
      <c r="AB191" s="1090"/>
      <c r="AC191" s="1090"/>
      <c r="AD191" s="1090"/>
      <c r="AE191" s="1090"/>
      <c r="AF191" s="1090"/>
      <c r="AG191" s="1090"/>
      <c r="AH191" s="1090"/>
      <c r="AI191" s="1090" t="s">
        <v>8038</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8039</v>
      </c>
      <c r="C192" s="1088" t="s">
        <v>8040</v>
      </c>
      <c r="D192" s="1090"/>
      <c r="E192" s="1090"/>
      <c r="F192" s="1087"/>
      <c r="G192" s="1088" t="s">
        <v>8040</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7632</v>
      </c>
      <c r="B193" s="1271" t="s">
        <v>8041</v>
      </c>
      <c r="C193" s="1199" t="s">
        <v>2618</v>
      </c>
      <c r="D193" s="1272"/>
      <c r="E193" s="1272"/>
      <c r="F193" s="1267"/>
      <c r="G193" s="1272"/>
      <c r="H193" s="1089" t="s">
        <v>8042</v>
      </c>
      <c r="I193" s="1272"/>
      <c r="J193" s="1272"/>
      <c r="K193" s="1272"/>
      <c r="L193" s="1156"/>
      <c r="M193" s="1272"/>
      <c r="N193" s="1272"/>
      <c r="O193" s="1272" t="s">
        <v>4586</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8043</v>
      </c>
      <c r="C194" s="1199" t="s">
        <v>821</v>
      </c>
      <c r="D194" s="1272" t="s">
        <v>3470</v>
      </c>
      <c r="E194" s="1272"/>
      <c r="F194" s="1116" t="s">
        <v>2231</v>
      </c>
      <c r="G194" s="1272"/>
      <c r="H194" s="1107"/>
      <c r="I194" s="1272" t="s">
        <v>3598</v>
      </c>
      <c r="J194" s="1272"/>
      <c r="K194" s="1272" t="s">
        <v>3367</v>
      </c>
      <c r="L194" s="1167" t="s">
        <v>8044</v>
      </c>
      <c r="M194" s="1272"/>
      <c r="N194" s="1272"/>
      <c r="O194" s="1272" t="s">
        <v>8045</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4539</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8046</v>
      </c>
      <c r="C195" s="1199" t="s">
        <v>495</v>
      </c>
      <c r="D195" s="1095" t="s">
        <v>2927</v>
      </c>
      <c r="E195" s="1272"/>
      <c r="F195" s="1123" t="s">
        <v>2314</v>
      </c>
      <c r="G195" s="1272" t="s">
        <v>785</v>
      </c>
      <c r="H195" s="1089" t="s">
        <v>632</v>
      </c>
      <c r="I195" s="1272"/>
      <c r="J195" s="1272" t="s">
        <v>5664</v>
      </c>
      <c r="K195" s="1272"/>
      <c r="L195" s="1156"/>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7611</v>
      </c>
      <c r="B196" s="1273" t="s">
        <v>8047</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8048</v>
      </c>
      <c r="C197" s="1199" t="s">
        <v>7973</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8049</v>
      </c>
      <c r="C198" s="1199" t="s">
        <v>8050</v>
      </c>
      <c r="D198" s="1272" t="s">
        <v>1545</v>
      </c>
      <c r="E198" s="1272"/>
      <c r="F198" s="1135" t="s">
        <v>8051</v>
      </c>
      <c r="G198" s="1272"/>
      <c r="H198" s="1107"/>
      <c r="I198" s="1272"/>
      <c r="J198" s="1272"/>
      <c r="K198" s="1272"/>
      <c r="L198" s="1167" t="s">
        <v>8052</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2055</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8053</v>
      </c>
      <c r="C199" s="1199" t="s">
        <v>2172</v>
      </c>
      <c r="D199" s="1138" t="s">
        <v>8054</v>
      </c>
      <c r="E199" s="1272"/>
      <c r="F199" s="1276" t="s">
        <v>8055</v>
      </c>
      <c r="G199" s="1272" t="s">
        <v>3077</v>
      </c>
      <c r="H199" s="1107"/>
      <c r="I199" s="1272"/>
      <c r="J199" s="1272"/>
      <c r="K199" s="1272"/>
      <c r="L199" s="1156"/>
      <c r="M199" s="1272"/>
      <c r="N199" s="1272"/>
      <c r="O199" s="1272"/>
      <c r="P199" s="1272"/>
      <c r="Q199" s="1122"/>
      <c r="R199" s="1264"/>
      <c r="S199" s="1272"/>
      <c r="T199" s="1272"/>
      <c r="U199" s="1272"/>
      <c r="V199" s="1272" t="s">
        <v>2172</v>
      </c>
      <c r="W199" s="1272"/>
      <c r="X199" s="1272"/>
      <c r="Y199" s="1272"/>
      <c r="Z199" s="1272"/>
      <c r="AA199" s="1272"/>
      <c r="AB199" s="1272" t="s">
        <v>690</v>
      </c>
      <c r="AC199" s="1272"/>
      <c r="AD199" s="1200" t="s">
        <v>2172</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7783</v>
      </c>
      <c r="B200" s="1285" t="s">
        <v>8056</v>
      </c>
      <c r="C200" s="1199" t="s">
        <v>5492</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8057</v>
      </c>
      <c r="C201" s="1199" t="s">
        <v>5234</v>
      </c>
      <c r="D201" s="1272" t="s">
        <v>3436</v>
      </c>
      <c r="E201" s="1272"/>
      <c r="F201" s="1270" t="s">
        <v>662</v>
      </c>
      <c r="G201" s="1272"/>
      <c r="H201" s="1089" t="s">
        <v>4530</v>
      </c>
      <c r="I201" s="1272"/>
      <c r="J201" s="1272"/>
      <c r="K201" s="1272" t="s">
        <v>5681</v>
      </c>
      <c r="L201" s="1156"/>
      <c r="M201" s="1272" t="s">
        <v>1763</v>
      </c>
      <c r="N201" s="1272"/>
      <c r="O201" s="1272" t="s">
        <v>4670</v>
      </c>
      <c r="P201" s="1272"/>
      <c r="Q201" s="1122"/>
      <c r="R201" s="1286"/>
      <c r="S201" s="1272"/>
      <c r="T201" s="1272"/>
      <c r="U201" s="1272"/>
      <c r="V201" s="1272" t="s">
        <v>3507</v>
      </c>
      <c r="W201" s="1272"/>
      <c r="X201" s="1272" t="s">
        <v>8058</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8059</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8060</v>
      </c>
      <c r="C203" s="1199" t="s">
        <v>365</v>
      </c>
      <c r="D203" s="1090" t="s">
        <v>5887</v>
      </c>
      <c r="E203" s="1088" t="s">
        <v>365</v>
      </c>
      <c r="F203" s="1276" t="s">
        <v>8061</v>
      </c>
      <c r="G203" s="1090"/>
      <c r="H203" s="1107"/>
      <c r="I203" s="1090"/>
      <c r="J203" s="1088" t="s">
        <v>1763</v>
      </c>
      <c r="K203" s="1090"/>
      <c r="L203" s="1167" t="s">
        <v>8062</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8063</v>
      </c>
      <c r="C204" s="1199" t="s">
        <v>942</v>
      </c>
      <c r="D204" s="1095" t="s">
        <v>161</v>
      </c>
      <c r="E204" s="1138"/>
      <c r="F204" s="1123" t="s">
        <v>598</v>
      </c>
      <c r="G204" s="1200" t="s">
        <v>8064</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7611</v>
      </c>
      <c r="B205" s="1273" t="s">
        <v>8056</v>
      </c>
      <c r="C205" s="1199" t="s">
        <v>1492</v>
      </c>
      <c r="D205" s="1138"/>
      <c r="E205" s="1138"/>
      <c r="F205" s="1267"/>
      <c r="G205" s="1138"/>
      <c r="H205" s="1107"/>
      <c r="I205" s="1138"/>
      <c r="J205" s="1138" t="s">
        <v>6875</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8065</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8066</v>
      </c>
      <c r="BH205" s="1138"/>
      <c r="BI205" s="1264"/>
      <c r="BJ205" s="1264"/>
      <c r="BK205" s="1264"/>
      <c r="BL205" s="1264"/>
      <c r="BM205" s="1264"/>
      <c r="BN205" s="1264"/>
      <c r="BO205" s="1264"/>
    </row>
    <row r="206" ht="15.75" customHeight="1">
      <c r="A206" s="1265"/>
      <c r="B206" s="1266" t="s">
        <v>8057</v>
      </c>
      <c r="C206" s="1199" t="s">
        <v>8067</v>
      </c>
      <c r="D206" s="1138" t="s">
        <v>328</v>
      </c>
      <c r="E206" s="1138" t="s">
        <v>3833</v>
      </c>
      <c r="F206" s="1270" t="s">
        <v>4986</v>
      </c>
      <c r="G206" s="1138"/>
      <c r="H206" s="1089" t="s">
        <v>6557</v>
      </c>
      <c r="I206" s="1138" t="s">
        <v>8068</v>
      </c>
      <c r="J206" s="1138"/>
      <c r="K206" s="1138"/>
      <c r="L206" s="1156"/>
      <c r="M206" s="1138" t="s">
        <v>3833</v>
      </c>
      <c r="N206" s="1138"/>
      <c r="O206" s="1138" t="s">
        <v>8069</v>
      </c>
      <c r="P206" s="1138"/>
      <c r="Q206" s="1120" t="s">
        <v>3860</v>
      </c>
      <c r="R206" s="1109" t="s">
        <v>8070</v>
      </c>
      <c r="S206" s="1138"/>
      <c r="T206" s="1133" t="s">
        <v>8071</v>
      </c>
      <c r="U206" s="1138"/>
      <c r="V206" s="1138"/>
      <c r="W206" s="1138"/>
      <c r="X206" s="1138" t="s">
        <v>3168</v>
      </c>
      <c r="Y206" s="1138"/>
      <c r="Z206" s="1138" t="s">
        <v>3938</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8059</v>
      </c>
      <c r="C207" s="1199" t="s">
        <v>4936</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4763</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8060</v>
      </c>
      <c r="C208" s="1199" t="s">
        <v>2930</v>
      </c>
      <c r="D208" s="1095" t="s">
        <v>544</v>
      </c>
      <c r="E208" s="1095" t="s">
        <v>2930</v>
      </c>
      <c r="F208" s="1116" t="s">
        <v>8072</v>
      </c>
      <c r="G208" s="1095"/>
      <c r="H208" s="1107"/>
      <c r="I208" s="1095" t="s">
        <v>1461</v>
      </c>
      <c r="J208" s="1095" t="s">
        <v>8073</v>
      </c>
      <c r="K208" s="1095" t="s">
        <v>4258</v>
      </c>
      <c r="L208" s="1167" t="s">
        <v>8074</v>
      </c>
      <c r="M208" s="1095"/>
      <c r="N208" s="1095" t="s">
        <v>8075</v>
      </c>
      <c r="O208" s="1095" t="s">
        <v>4505</v>
      </c>
      <c r="P208" s="1095" t="s">
        <v>4843</v>
      </c>
      <c r="Q208" s="1088" t="s">
        <v>8076</v>
      </c>
      <c r="R208" s="1098"/>
      <c r="S208" s="1095"/>
      <c r="T208" s="1088" t="s">
        <v>5911</v>
      </c>
      <c r="U208" s="1095"/>
      <c r="V208" s="1095"/>
      <c r="W208" s="1095"/>
      <c r="X208" s="1095"/>
      <c r="Y208" s="1095" t="s">
        <v>2533</v>
      </c>
      <c r="Z208" s="1095" t="s">
        <v>8077</v>
      </c>
      <c r="AA208" s="1095"/>
      <c r="AB208" s="1095"/>
      <c r="AC208" s="1095"/>
      <c r="AD208" s="1095"/>
      <c r="AE208" s="1095"/>
      <c r="AF208" s="1095"/>
      <c r="AG208" s="1095"/>
      <c r="AH208" s="1095"/>
      <c r="AI208" s="1095"/>
      <c r="AJ208" s="1095"/>
      <c r="AK208" s="1095"/>
      <c r="AL208" s="1156"/>
      <c r="AM208" s="1095" t="s">
        <v>4843</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8063</v>
      </c>
      <c r="C209" s="1199" t="s">
        <v>2138</v>
      </c>
      <c r="D209" s="1095" t="s">
        <v>1594</v>
      </c>
      <c r="E209" s="1090"/>
      <c r="F209" s="1123" t="s">
        <v>2566</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7621</v>
      </c>
      <c r="B210" s="1273" t="s">
        <v>7595</v>
      </c>
      <c r="C210" s="1199" t="s">
        <v>894</v>
      </c>
      <c r="D210" s="1090" t="s">
        <v>6044</v>
      </c>
      <c r="E210" s="1088" t="s">
        <v>379</v>
      </c>
      <c r="F210" s="1116" t="s">
        <v>1082</v>
      </c>
      <c r="G210" s="1090" t="s">
        <v>2170</v>
      </c>
      <c r="H210" s="1089" t="s">
        <v>8078</v>
      </c>
      <c r="I210" s="1090"/>
      <c r="J210" s="1090"/>
      <c r="K210" s="1090"/>
      <c r="L210" s="1156"/>
      <c r="M210" s="1090" t="s">
        <v>8079</v>
      </c>
      <c r="N210" s="1090"/>
      <c r="O210" s="1090"/>
      <c r="P210" s="1090"/>
      <c r="Q210" s="1091"/>
      <c r="R210" s="1098"/>
      <c r="S210" s="1090"/>
      <c r="T210" s="1090"/>
      <c r="U210" s="1090"/>
      <c r="V210" s="1090"/>
      <c r="W210" s="1090"/>
      <c r="X210" s="1090"/>
      <c r="Y210" s="1090" t="s">
        <v>4439</v>
      </c>
      <c r="Z210" s="1090"/>
      <c r="AA210" s="1090"/>
      <c r="AB210" s="1088" t="s">
        <v>4439</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8080</v>
      </c>
      <c r="B211" s="1273" t="s">
        <v>7595</v>
      </c>
      <c r="C211" s="1199" t="s">
        <v>8081</v>
      </c>
      <c r="D211" s="1090"/>
      <c r="E211" s="1088" t="s">
        <v>8081</v>
      </c>
      <c r="F211" s="1276" t="s">
        <v>8082</v>
      </c>
      <c r="G211" s="1090" t="s">
        <v>8083</v>
      </c>
      <c r="H211" s="1107"/>
      <c r="I211" s="1090"/>
      <c r="J211" s="1090" t="s">
        <v>8084</v>
      </c>
      <c r="K211" s="1090"/>
      <c r="L211" s="1178"/>
      <c r="M211" s="1090"/>
      <c r="N211" s="1090"/>
      <c r="O211" s="1090"/>
      <c r="P211" s="1088" t="s">
        <v>8081</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7863</v>
      </c>
      <c r="B212" s="1271" t="s">
        <v>8085</v>
      </c>
      <c r="C212" s="1249" t="s">
        <v>2567</v>
      </c>
      <c r="D212" s="1095" t="s">
        <v>1595</v>
      </c>
      <c r="E212" s="1095" t="s">
        <v>8086</v>
      </c>
      <c r="F212" s="1123" t="s">
        <v>2567</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7621</v>
      </c>
      <c r="B213" s="1273" t="s">
        <v>7595</v>
      </c>
      <c r="C213" s="1115" t="s">
        <v>8087</v>
      </c>
      <c r="D213" s="1095" t="s">
        <v>3399</v>
      </c>
      <c r="E213" s="1095" t="s">
        <v>4458</v>
      </c>
      <c r="F213" s="1116" t="s">
        <v>8087</v>
      </c>
      <c r="G213" s="1095" t="s">
        <v>1121</v>
      </c>
      <c r="H213" s="1089" t="s">
        <v>967</v>
      </c>
      <c r="I213" s="1095"/>
      <c r="J213" s="1095"/>
      <c r="K213" s="1095"/>
      <c r="L213" s="1156"/>
      <c r="M213" s="1095" t="s">
        <v>313</v>
      </c>
      <c r="N213" s="1095"/>
      <c r="O213" s="1095"/>
      <c r="P213" s="1095"/>
      <c r="Q213" s="1091"/>
      <c r="R213" s="1098"/>
      <c r="S213" s="1095"/>
      <c r="T213" s="1095"/>
      <c r="U213" s="1095" t="s">
        <v>8088</v>
      </c>
      <c r="V213" s="1095"/>
      <c r="W213" s="1095"/>
      <c r="X213" s="1095"/>
      <c r="Y213" s="1095" t="s">
        <v>8089</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7677</v>
      </c>
      <c r="B214" s="1271" t="s">
        <v>8090</v>
      </c>
      <c r="C214" s="1289" t="s">
        <v>6894</v>
      </c>
      <c r="D214" s="1272"/>
      <c r="E214" s="1272"/>
      <c r="F214" s="1276" t="s">
        <v>4800</v>
      </c>
      <c r="G214" s="1106" t="s">
        <v>4164</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8091</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7716</v>
      </c>
      <c r="B216" s="1271" t="s">
        <v>8092</v>
      </c>
      <c r="C216" s="1199" t="s">
        <v>1873</v>
      </c>
      <c r="D216" s="1272" t="s">
        <v>4167</v>
      </c>
      <c r="E216" s="1272"/>
      <c r="F216" s="1276" t="s">
        <v>889</v>
      </c>
      <c r="G216" s="1272"/>
      <c r="H216" s="1089" t="s">
        <v>3124</v>
      </c>
      <c r="I216" s="1272"/>
      <c r="J216" s="1272"/>
      <c r="K216" s="1272" t="s">
        <v>1050</v>
      </c>
      <c r="L216" s="1156"/>
      <c r="M216" s="1272"/>
      <c r="N216" s="1272"/>
      <c r="O216" s="1272" t="s">
        <v>8093</v>
      </c>
      <c r="P216" s="1200" t="s">
        <v>6738</v>
      </c>
      <c r="Q216" s="1122" t="s">
        <v>8094</v>
      </c>
      <c r="R216" s="1279" t="s">
        <v>8095</v>
      </c>
      <c r="S216" s="1272"/>
      <c r="T216" s="1272" t="s">
        <v>889</v>
      </c>
      <c r="U216" s="1272" t="s">
        <v>8094</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8096</v>
      </c>
      <c r="C217" s="1199" t="s">
        <v>394</v>
      </c>
      <c r="D217" s="1095" t="s">
        <v>1523</v>
      </c>
      <c r="E217" s="1272"/>
      <c r="F217" s="1101" t="s">
        <v>2569</v>
      </c>
      <c r="G217" s="1272"/>
      <c r="H217" s="1089" t="s">
        <v>166</v>
      </c>
      <c r="I217" s="1272"/>
      <c r="J217" s="1272"/>
      <c r="K217" s="1272"/>
      <c r="L217" s="1156"/>
      <c r="M217" s="1200" t="s">
        <v>947</v>
      </c>
      <c r="N217" s="1200" t="s">
        <v>790</v>
      </c>
      <c r="O217" s="1272"/>
      <c r="P217" s="1200" t="s">
        <v>1993</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7719</v>
      </c>
      <c r="B218" s="1271" t="s">
        <v>8097</v>
      </c>
      <c r="C218" s="1199" t="s">
        <v>1466</v>
      </c>
      <c r="D218" s="1142" t="s">
        <v>1598</v>
      </c>
      <c r="E218" s="1272"/>
      <c r="F218" s="1267"/>
      <c r="G218" s="1138" t="s">
        <v>8098</v>
      </c>
      <c r="H218" s="1107"/>
      <c r="I218" s="1272" t="s">
        <v>1466</v>
      </c>
      <c r="J218" s="1272" t="s">
        <v>8099</v>
      </c>
      <c r="K218" s="1272" t="s">
        <v>8100</v>
      </c>
      <c r="L218" s="1167" t="s">
        <v>8101</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8102</v>
      </c>
      <c r="BI218" s="1264"/>
      <c r="BJ218" s="1264"/>
      <c r="BK218" s="1264"/>
      <c r="BL218" s="1264"/>
      <c r="BM218" s="1264"/>
      <c r="BN218" s="1264"/>
      <c r="BO218" s="1264"/>
    </row>
    <row r="219" ht="15.75" customHeight="1">
      <c r="A219" s="1262" t="s">
        <v>7986</v>
      </c>
      <c r="B219" s="1271" t="s">
        <v>7595</v>
      </c>
      <c r="C219" s="1199" t="str">
        <f>HYPERLINK("https://www.youtube.com/watch?v=_HQgQjbTLjM","1:11.32")</f>
        <v>1:11.32</v>
      </c>
      <c r="D219" s="1003" t="s">
        <v>1599</v>
      </c>
      <c r="E219" s="1272"/>
      <c r="F219" s="1267"/>
      <c r="G219" s="1272"/>
      <c r="H219" s="1089" t="s">
        <v>1311</v>
      </c>
      <c r="I219" s="1272" t="s">
        <v>1475</v>
      </c>
      <c r="J219" s="1272" t="s">
        <v>8103</v>
      </c>
      <c r="K219" s="1272" t="s">
        <v>3664</v>
      </c>
      <c r="L219" s="1167" t="s">
        <v>8104</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7725</v>
      </c>
      <c r="B220" s="1273" t="s">
        <v>7595</v>
      </c>
      <c r="C220" s="1291"/>
      <c r="D220" s="1088" t="s">
        <v>8105</v>
      </c>
      <c r="E220" s="1272"/>
      <c r="F220" s="1087"/>
      <c r="G220" s="1272"/>
      <c r="H220" s="1107"/>
      <c r="I220" s="1272"/>
      <c r="J220" s="1272" t="s">
        <v>321</v>
      </c>
      <c r="K220" s="1272"/>
      <c r="L220" s="1167" t="s">
        <v>8106</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8107</v>
      </c>
      <c r="B221" s="1273" t="s">
        <v>8108</v>
      </c>
      <c r="C221" s="1199" t="s">
        <v>7536</v>
      </c>
      <c r="D221" s="1272"/>
      <c r="E221" s="1272"/>
      <c r="F221" s="1267"/>
      <c r="G221" s="1272"/>
      <c r="H221" s="1107"/>
      <c r="I221" s="1272"/>
      <c r="J221" s="1272" t="s">
        <v>7536</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8109</v>
      </c>
      <c r="C222" s="1199" t="s">
        <v>2426</v>
      </c>
      <c r="D222" s="1272"/>
      <c r="E222" s="1272"/>
      <c r="F222" s="1087"/>
      <c r="G222" s="1272"/>
      <c r="H222" s="1107"/>
      <c r="I222" s="1272"/>
      <c r="J222" s="1272" t="s">
        <v>2426</v>
      </c>
      <c r="K222" s="1272"/>
      <c r="L222" s="1167" t="s">
        <v>8110</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7839</v>
      </c>
      <c r="B223" s="1271" t="s">
        <v>7595</v>
      </c>
      <c r="C223" s="1199" t="s">
        <v>141</v>
      </c>
      <c r="D223" s="1095" t="s">
        <v>141</v>
      </c>
      <c r="E223" s="1095" t="s">
        <v>310</v>
      </c>
      <c r="F223" s="1087"/>
      <c r="G223" s="1138" t="s">
        <v>1189</v>
      </c>
      <c r="H223" s="1107"/>
      <c r="I223" s="1095"/>
      <c r="J223" s="1095" t="s">
        <v>586</v>
      </c>
      <c r="K223" s="1095" t="s">
        <v>3665</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7725</v>
      </c>
      <c r="B224" s="1273" t="s">
        <v>7595</v>
      </c>
      <c r="C224" s="1291"/>
      <c r="D224" s="1106" t="s">
        <v>8111</v>
      </c>
      <c r="E224" s="1095"/>
      <c r="F224" s="1087"/>
      <c r="G224" s="1138" t="s">
        <v>1409</v>
      </c>
      <c r="H224" s="1107"/>
      <c r="I224" s="1095"/>
      <c r="J224" s="1095"/>
      <c r="K224" s="1095"/>
      <c r="L224" s="1095" t="s">
        <v>8112</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8113</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8114</v>
      </c>
      <c r="C225" s="1199" t="s">
        <v>163</v>
      </c>
      <c r="D225" s="1003" t="s">
        <v>8115</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7523</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7594</v>
      </c>
      <c r="B227" s="1300" t="s">
        <v>7595</v>
      </c>
      <c r="C227" s="1199" t="s">
        <v>117</v>
      </c>
      <c r="D227" s="1095" t="s">
        <v>1601</v>
      </c>
      <c r="E227" s="1207"/>
      <c r="F227" s="1101" t="s">
        <v>2570</v>
      </c>
      <c r="G227" s="1200" t="s">
        <v>1024</v>
      </c>
      <c r="H227" s="1089" t="s">
        <v>1313</v>
      </c>
      <c r="I227" s="1207" t="s">
        <v>8116</v>
      </c>
      <c r="J227" s="1200" t="s">
        <v>4583</v>
      </c>
      <c r="K227" s="1200" t="s">
        <v>1643</v>
      </c>
      <c r="L227" s="1201" t="s">
        <v>8117</v>
      </c>
      <c r="M227" s="1200" t="s">
        <v>951</v>
      </c>
      <c r="N227" s="1200" t="s">
        <v>257</v>
      </c>
      <c r="O227" s="1207" t="s">
        <v>4432</v>
      </c>
      <c r="P227" s="1200" t="s">
        <v>1175</v>
      </c>
      <c r="Q227" s="1209" t="s">
        <v>355</v>
      </c>
      <c r="R227" s="1301" t="s">
        <v>8118</v>
      </c>
      <c r="S227" s="1207"/>
      <c r="T227" s="1207"/>
      <c r="U227" s="1207"/>
      <c r="V227" s="1207"/>
      <c r="W227" s="1207"/>
      <c r="X227" s="1207" t="s">
        <v>4044</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7848</v>
      </c>
      <c r="B228" s="1300" t="s">
        <v>8119</v>
      </c>
      <c r="C228" s="1199" t="s">
        <v>1616</v>
      </c>
      <c r="D228" s="1095" t="s">
        <v>1602</v>
      </c>
      <c r="E228" s="1200" t="s">
        <v>1616</v>
      </c>
      <c r="F228" s="1101" t="s">
        <v>2571</v>
      </c>
      <c r="G228" s="1200" t="s">
        <v>2217</v>
      </c>
      <c r="H228" s="1089" t="s">
        <v>2770</v>
      </c>
      <c r="I228" s="1200" t="s">
        <v>1602</v>
      </c>
      <c r="J228" s="1200" t="s">
        <v>7930</v>
      </c>
      <c r="K228" s="1200" t="s">
        <v>2217</v>
      </c>
      <c r="L228" s="1201" t="s">
        <v>8120</v>
      </c>
      <c r="M228" s="1200" t="s">
        <v>952</v>
      </c>
      <c r="N228" s="1200" t="s">
        <v>1244</v>
      </c>
      <c r="O228" s="1200" t="s">
        <v>375</v>
      </c>
      <c r="P228" s="1200" t="s">
        <v>2931</v>
      </c>
      <c r="Q228" s="1202" t="s">
        <v>2356</v>
      </c>
      <c r="R228" s="1109" t="s">
        <v>940</v>
      </c>
      <c r="S228" s="1200" t="s">
        <v>847</v>
      </c>
      <c r="T228" s="1200"/>
      <c r="U228" s="1200"/>
      <c r="V228" s="1200"/>
      <c r="W228" s="1200"/>
      <c r="X228" s="1200" t="s">
        <v>2319</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7632</v>
      </c>
      <c r="B229" s="1300" t="s">
        <v>7595</v>
      </c>
      <c r="C229" s="1199" t="str">
        <f>HYPERLINK("https://www.youtube.com/watch?v=aWzlUqH0LaM","41.87")</f>
        <v>41.87</v>
      </c>
      <c r="D229" s="1211"/>
      <c r="E229" s="1207"/>
      <c r="F229" s="1087"/>
      <c r="G229" s="1200" t="s">
        <v>310</v>
      </c>
      <c r="H229" s="1089" t="s">
        <v>8121</v>
      </c>
      <c r="I229" s="1200" t="s">
        <v>1728</v>
      </c>
      <c r="J229" s="1207"/>
      <c r="K229" s="1200" t="s">
        <v>6610</v>
      </c>
      <c r="L229" s="1204"/>
      <c r="M229" s="1200" t="s">
        <v>4510</v>
      </c>
      <c r="N229" s="1200" t="str">
        <f>HYPERLINK("https://www.youtube.com/watch?v=aWzlUqH0LaM","41.87")</f>
        <v>41.87</v>
      </c>
      <c r="O229" s="1207" t="s">
        <v>2198</v>
      </c>
      <c r="P229" s="1200" t="s">
        <v>1534</v>
      </c>
      <c r="Q229" s="1209" t="s">
        <v>3297</v>
      </c>
      <c r="R229" s="1303" t="s">
        <v>662</v>
      </c>
      <c r="S229" s="1207"/>
      <c r="T229" s="1207"/>
      <c r="U229" s="1207"/>
      <c r="V229" s="1207"/>
      <c r="W229" s="1207"/>
      <c r="X229" s="1207" t="s">
        <v>8122</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7783</v>
      </c>
      <c r="B230" s="1300" t="s">
        <v>8123</v>
      </c>
      <c r="C230" s="1084" t="s">
        <v>8124</v>
      </c>
      <c r="D230" s="1207" t="s">
        <v>7520</v>
      </c>
      <c r="E230" s="1207"/>
      <c r="F230" s="1304"/>
      <c r="G230" s="1207"/>
      <c r="H230" s="1089" t="s">
        <v>8125</v>
      </c>
      <c r="I230" s="1207"/>
      <c r="J230" s="1207"/>
      <c r="K230" s="1207"/>
      <c r="L230" s="1204"/>
      <c r="M230" s="1207"/>
      <c r="N230" s="1207"/>
      <c r="O230" s="1207"/>
      <c r="P230" s="1207"/>
      <c r="Q230" s="1209"/>
      <c r="R230" s="1118" t="s">
        <v>8126</v>
      </c>
      <c r="S230" s="1207"/>
      <c r="T230" s="1207"/>
      <c r="U230" s="1207"/>
      <c r="V230" s="1207"/>
      <c r="W230" s="1130" t="s">
        <v>8124</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8127</v>
      </c>
      <c r="C231" s="1199" t="s">
        <v>507</v>
      </c>
      <c r="D231" s="1095" t="s">
        <v>8128</v>
      </c>
      <c r="E231" s="1207"/>
      <c r="F231" s="1135" t="s">
        <v>8129</v>
      </c>
      <c r="G231" s="1207" t="s">
        <v>7815</v>
      </c>
      <c r="H231" s="1089" t="s">
        <v>1316</v>
      </c>
      <c r="I231" s="1207"/>
      <c r="J231" s="1200" t="s">
        <v>8130</v>
      </c>
      <c r="K231" s="1207"/>
      <c r="L231" s="1201" t="s">
        <v>8131</v>
      </c>
      <c r="M231" s="1207" t="s">
        <v>953</v>
      </c>
      <c r="N231" s="1200" t="s">
        <v>794</v>
      </c>
      <c r="O231" s="1207"/>
      <c r="P231" s="1207"/>
      <c r="Q231" s="1209" t="s">
        <v>4201</v>
      </c>
      <c r="R231" s="1302"/>
      <c r="S231" s="1207"/>
      <c r="T231" s="1207"/>
      <c r="U231" s="1207"/>
      <c r="V231" s="1200" t="s">
        <v>507</v>
      </c>
      <c r="W231" s="1207"/>
      <c r="X231" s="1207" t="s">
        <v>6353</v>
      </c>
      <c r="Y231" s="1207"/>
      <c r="Z231" s="1207"/>
      <c r="AA231" s="1207"/>
      <c r="AB231" s="1207"/>
      <c r="AC231" s="1207"/>
      <c r="AD231" s="1207" t="s">
        <v>8132</v>
      </c>
      <c r="AE231" s="1207" t="s">
        <v>8133</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8134</v>
      </c>
      <c r="C232" s="1199" t="s">
        <v>8135</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8135</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8136</v>
      </c>
      <c r="C233" s="1199" t="s">
        <v>3126</v>
      </c>
      <c r="D233" s="1207"/>
      <c r="E233" s="1207"/>
      <c r="F233" s="1123" t="s">
        <v>2573</v>
      </c>
      <c r="G233" s="1200" t="s">
        <v>6857</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8137</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7611</v>
      </c>
      <c r="B234" s="1311" t="s">
        <v>8123</v>
      </c>
      <c r="C234" s="1199"/>
      <c r="D234" s="1312"/>
      <c r="E234" s="1312"/>
      <c r="F234" s="1304"/>
      <c r="G234" s="1312"/>
      <c r="H234" s="1107"/>
      <c r="I234" s="1312"/>
      <c r="J234" s="1312"/>
      <c r="K234" s="1312"/>
      <c r="L234" s="1204"/>
      <c r="M234" s="1312"/>
      <c r="N234" s="1312"/>
      <c r="O234" s="1312"/>
      <c r="P234" s="1312"/>
      <c r="Q234" s="1313"/>
      <c r="R234" s="1109" t="s">
        <v>8138</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8127</v>
      </c>
      <c r="C235" s="1314" t="s">
        <v>8139</v>
      </c>
      <c r="D235" s="1315" t="s">
        <v>8139</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8134</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8136</v>
      </c>
      <c r="C237" s="1084" t="s">
        <v>766</v>
      </c>
      <c r="D237" s="1312"/>
      <c r="E237" s="1312"/>
      <c r="F237" s="1116" t="s">
        <v>2574</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7621</v>
      </c>
      <c r="B238" s="1311" t="s">
        <v>8140</v>
      </c>
      <c r="C238" s="1199" t="s">
        <v>8141</v>
      </c>
      <c r="D238" s="1316">
        <v>13.23</v>
      </c>
      <c r="E238" s="1312"/>
      <c r="F238" s="1317" t="s">
        <v>8142</v>
      </c>
      <c r="G238" s="1312"/>
      <c r="H238" s="1089" t="s">
        <v>8143</v>
      </c>
      <c r="I238" s="1312"/>
      <c r="J238" s="1318" t="s">
        <v>3592</v>
      </c>
      <c r="K238" s="1312"/>
      <c r="L238" s="1319" t="s">
        <v>2710</v>
      </c>
      <c r="M238" s="1312"/>
      <c r="N238" s="1312"/>
      <c r="O238" s="1312"/>
      <c r="P238" s="1312"/>
      <c r="Q238" s="1313"/>
      <c r="R238" s="1302"/>
      <c r="S238" s="1312"/>
      <c r="T238" s="1318" t="s">
        <v>7964</v>
      </c>
      <c r="U238" s="1312"/>
      <c r="V238" s="1312"/>
      <c r="W238" s="1312"/>
      <c r="X238" s="1312"/>
      <c r="Y238" s="1318" t="s">
        <v>2611</v>
      </c>
      <c r="Z238" s="1312"/>
      <c r="AA238" s="1312"/>
      <c r="AB238" s="1312"/>
      <c r="AC238" s="1312"/>
      <c r="AD238" s="1318" t="s">
        <v>8141</v>
      </c>
      <c r="AE238" s="1312"/>
      <c r="AF238" s="1312"/>
      <c r="AG238" s="1312"/>
      <c r="AH238" s="1312"/>
      <c r="AI238" s="1312"/>
      <c r="AJ238" s="1312"/>
      <c r="AK238" s="1312"/>
      <c r="AL238" s="1204"/>
      <c r="AM238" s="1312"/>
      <c r="AN238" s="1312" t="s">
        <v>7976</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8144</v>
      </c>
      <c r="C239" s="1199" t="s">
        <v>487</v>
      </c>
      <c r="D239" s="1200"/>
      <c r="E239" s="1200" t="s">
        <v>801</v>
      </c>
      <c r="F239" s="1116" t="s">
        <v>1472</v>
      </c>
      <c r="G239" s="1200" t="s">
        <v>487</v>
      </c>
      <c r="H239" s="1089" t="s">
        <v>8145</v>
      </c>
      <c r="I239" s="1200"/>
      <c r="J239" s="1200"/>
      <c r="K239" s="1200"/>
      <c r="L239" s="1204"/>
      <c r="M239" s="1200" t="s">
        <v>8141</v>
      </c>
      <c r="N239" s="1200"/>
      <c r="O239" s="1200"/>
      <c r="P239" s="1200"/>
      <c r="Q239" s="1202"/>
      <c r="R239" s="1098"/>
      <c r="S239" s="1200"/>
      <c r="T239" s="1200"/>
      <c r="U239" s="1200" t="s">
        <v>8146</v>
      </c>
      <c r="V239" s="1200"/>
      <c r="W239" s="1200"/>
      <c r="X239" s="1200"/>
      <c r="Y239" s="1200"/>
      <c r="Z239" s="1200"/>
      <c r="AA239" s="1200" t="s">
        <v>7964</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7863</v>
      </c>
      <c r="B240" s="1300" t="s">
        <v>7595</v>
      </c>
      <c r="C240" s="1320" t="s">
        <v>963</v>
      </c>
      <c r="D240" s="1207"/>
      <c r="E240" s="1207"/>
      <c r="F240" s="1317" t="s">
        <v>963</v>
      </c>
      <c r="G240" s="1207"/>
      <c r="H240" s="1107"/>
      <c r="I240" s="1207"/>
      <c r="J240" s="1207"/>
      <c r="K240" s="1207"/>
      <c r="L240" s="1201" t="s">
        <v>8147</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5615</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8148</v>
      </c>
      <c r="B241" s="1322" t="s">
        <v>7595</v>
      </c>
      <c r="C241" s="1115" t="s">
        <v>8149</v>
      </c>
      <c r="D241" s="1089" t="s">
        <v>8150</v>
      </c>
      <c r="E241" s="1207"/>
      <c r="F241" s="1116" t="s">
        <v>8151</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7677</v>
      </c>
      <c r="B242" s="1300" t="s">
        <v>8152</v>
      </c>
      <c r="C242" s="1199" t="s">
        <v>8153</v>
      </c>
      <c r="D242" s="1207" t="s">
        <v>4196</v>
      </c>
      <c r="E242" s="1207"/>
      <c r="F242" s="1304"/>
      <c r="G242" s="1207"/>
      <c r="H242" s="1107"/>
      <c r="I242" s="1207"/>
      <c r="J242" s="1207"/>
      <c r="K242" s="1200" t="s">
        <v>5504</v>
      </c>
      <c r="L242" s="1204"/>
      <c r="M242" s="1207"/>
      <c r="N242" s="1207"/>
      <c r="O242" s="1207"/>
      <c r="P242" s="1207"/>
      <c r="Q242" s="1209"/>
      <c r="R242" s="1098"/>
      <c r="S242" s="1207"/>
      <c r="T242" s="1207"/>
      <c r="U242" s="1200" t="s">
        <v>4645</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8154</v>
      </c>
      <c r="C243" s="1249" t="s">
        <v>2214</v>
      </c>
      <c r="D243" s="1095" t="s">
        <v>2000</v>
      </c>
      <c r="E243" s="1207"/>
      <c r="F243" s="1123" t="s">
        <v>2214</v>
      </c>
      <c r="G243" s="1207"/>
      <c r="H243" s="1089" t="s">
        <v>1317</v>
      </c>
      <c r="I243" s="1207" t="s">
        <v>4389</v>
      </c>
      <c r="J243" s="1200" t="s">
        <v>6194</v>
      </c>
      <c r="K243" s="1200" t="s">
        <v>3516</v>
      </c>
      <c r="L243" s="1201" t="s">
        <v>8155</v>
      </c>
      <c r="M243" s="1207"/>
      <c r="N243" s="1207"/>
      <c r="O243" s="1207" t="s">
        <v>4372</v>
      </c>
      <c r="P243" s="1200" t="s">
        <v>1317</v>
      </c>
      <c r="Q243" s="1209" t="s">
        <v>2146</v>
      </c>
      <c r="R243" s="1302"/>
      <c r="S243" s="1207" t="s">
        <v>2000</v>
      </c>
      <c r="T243" s="1089" t="s">
        <v>1763</v>
      </c>
      <c r="U243" s="1089" t="s">
        <v>122</v>
      </c>
      <c r="V243" s="1200" t="s">
        <v>4050</v>
      </c>
      <c r="W243" s="1207"/>
      <c r="X243" s="1207" t="s">
        <v>4437</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8156</v>
      </c>
      <c r="C244" s="1115" t="s">
        <v>2575</v>
      </c>
      <c r="D244" s="1200"/>
      <c r="E244" s="1200" t="s">
        <v>402</v>
      </c>
      <c r="F244" s="1101" t="s">
        <v>2575</v>
      </c>
      <c r="G244" s="1207" t="s">
        <v>7748</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8157</v>
      </c>
      <c r="BC244" s="1200"/>
      <c r="BD244" s="1200"/>
      <c r="BE244" s="1200"/>
      <c r="BF244" s="1200"/>
      <c r="BG244" s="1200"/>
      <c r="BH244" s="1200"/>
      <c r="BI244" s="1098"/>
      <c r="BJ244" s="1098"/>
      <c r="BK244" s="1098"/>
      <c r="BL244" s="1098"/>
      <c r="BM244" s="1098"/>
      <c r="BN244" s="1098"/>
      <c r="BO244" s="1098"/>
    </row>
    <row r="245" ht="15.75" customHeight="1">
      <c r="A245" s="1310" t="s">
        <v>7611</v>
      </c>
      <c r="B245" s="1324" t="s">
        <v>8158</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8159</v>
      </c>
      <c r="C246" s="1110" t="s">
        <v>1695</v>
      </c>
      <c r="D246" s="1200"/>
      <c r="E246" s="1200" t="s">
        <v>4254</v>
      </c>
      <c r="F246" s="1317" t="s">
        <v>2357</v>
      </c>
      <c r="G246" s="1200"/>
      <c r="H246" s="1107"/>
      <c r="I246" s="1200"/>
      <c r="J246" s="1200"/>
      <c r="K246" s="1200"/>
      <c r="L246" s="1204"/>
      <c r="M246" s="1200"/>
      <c r="N246" s="1200"/>
      <c r="O246" s="1200"/>
      <c r="P246" s="1200"/>
      <c r="Q246" s="1202"/>
      <c r="R246" s="1097" t="s">
        <v>8160</v>
      </c>
      <c r="S246" s="1200"/>
      <c r="T246" s="1200" t="s">
        <v>2175</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8161</v>
      </c>
      <c r="C247" s="1199" t="s">
        <v>5434</v>
      </c>
      <c r="D247" s="1207" t="s">
        <v>1624</v>
      </c>
      <c r="E247" s="1207"/>
      <c r="G247" s="1207"/>
      <c r="I247" s="1207" t="s">
        <v>2416</v>
      </c>
      <c r="J247" s="1207"/>
      <c r="L247" s="1201" t="s">
        <v>7626</v>
      </c>
      <c r="M247" s="1207"/>
      <c r="N247" s="1207"/>
      <c r="O247" s="1207" t="s">
        <v>3235</v>
      </c>
      <c r="P247" s="1207"/>
      <c r="Q247" s="1209" t="s">
        <v>8162</v>
      </c>
      <c r="R247" s="1302"/>
      <c r="S247" s="1207"/>
      <c r="T247" s="1207" t="s">
        <v>5434</v>
      </c>
      <c r="U247" s="1207"/>
      <c r="V247" s="1207"/>
      <c r="W247" s="1089" t="s">
        <v>3038</v>
      </c>
      <c r="X247" s="1207" t="s">
        <v>3771</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8163</v>
      </c>
      <c r="C248" s="1199" t="s">
        <v>426</v>
      </c>
      <c r="D248" s="1326"/>
      <c r="E248" s="1207"/>
      <c r="F248" s="1116" t="s">
        <v>2326</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4856</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8164</v>
      </c>
      <c r="C249" s="1199" t="s">
        <v>8165</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8166</v>
      </c>
      <c r="T249" s="1089" t="s">
        <v>2147</v>
      </c>
      <c r="U249" s="1207"/>
      <c r="V249" s="1207"/>
      <c r="W249" s="1207"/>
      <c r="X249" s="1207"/>
      <c r="Y249" s="1207"/>
      <c r="Z249" s="1207"/>
      <c r="AA249" s="1207"/>
      <c r="AB249" s="1207"/>
      <c r="AC249" s="1207"/>
      <c r="AD249" s="1207"/>
      <c r="AE249" s="1207"/>
      <c r="AF249" s="1207"/>
      <c r="AG249" s="1207"/>
      <c r="AH249" s="1207"/>
      <c r="AI249" s="1207"/>
      <c r="AJ249" s="1089" t="s">
        <v>8165</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7621</v>
      </c>
      <c r="B250" s="1324" t="s">
        <v>8167</v>
      </c>
      <c r="C250" s="1199" t="s">
        <v>5029</v>
      </c>
      <c r="D250" s="1327"/>
      <c r="E250" s="1200" t="s">
        <v>5872</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8168</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8169</v>
      </c>
      <c r="C251" s="1199" t="s">
        <v>1345</v>
      </c>
      <c r="D251" s="1200" t="s">
        <v>1307</v>
      </c>
      <c r="E251" s="1200" t="s">
        <v>1345</v>
      </c>
      <c r="F251" s="1304"/>
      <c r="G251" s="1089" t="s">
        <v>5542</v>
      </c>
      <c r="H251" s="1089" t="s">
        <v>3250</v>
      </c>
      <c r="I251" s="1200"/>
      <c r="J251" s="1200" t="s">
        <v>1709</v>
      </c>
      <c r="K251" s="1200" t="s">
        <v>737</v>
      </c>
      <c r="L251" s="1201" t="s">
        <v>1918</v>
      </c>
      <c r="M251" s="1200" t="s">
        <v>531</v>
      </c>
      <c r="N251" s="1200"/>
      <c r="O251" s="1200"/>
      <c r="P251" s="1200"/>
      <c r="Q251" s="1202"/>
      <c r="R251" s="1098"/>
      <c r="S251" s="1200"/>
      <c r="T251" s="1089" t="s">
        <v>812</v>
      </c>
      <c r="U251" s="1200" t="s">
        <v>1343</v>
      </c>
      <c r="V251" s="1200"/>
      <c r="W251" s="1200"/>
      <c r="X251" s="1200"/>
      <c r="Y251" s="1200" t="s">
        <v>4458</v>
      </c>
      <c r="Z251" s="1200"/>
      <c r="AA251" s="1200"/>
      <c r="AB251" s="1200"/>
      <c r="AC251" s="1200"/>
      <c r="AD251" s="1200"/>
      <c r="AE251" s="1200"/>
      <c r="AF251" s="1200"/>
      <c r="AG251" s="1200"/>
      <c r="AH251" s="1200" t="s">
        <v>8170</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8171</v>
      </c>
      <c r="C252" s="1115" t="s">
        <v>5479</v>
      </c>
      <c r="D252" s="1328" t="s">
        <v>4619</v>
      </c>
      <c r="E252" s="1200"/>
      <c r="F252" s="1116" t="s">
        <v>5479</v>
      </c>
      <c r="G252" s="1200"/>
      <c r="H252" s="1107"/>
      <c r="I252" s="1200"/>
      <c r="J252" s="1200"/>
      <c r="K252" s="1200"/>
      <c r="L252" s="1204"/>
      <c r="M252" s="1200"/>
      <c r="N252" s="1200"/>
      <c r="O252" s="1200"/>
      <c r="P252" s="1200"/>
      <c r="Q252" s="1202"/>
      <c r="R252" s="1302"/>
      <c r="S252" s="1200"/>
      <c r="T252" s="1200"/>
      <c r="U252" s="1200"/>
      <c r="V252" s="1200"/>
      <c r="W252" s="1089" t="s">
        <v>8172</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7716</v>
      </c>
      <c r="B253" s="1300" t="s">
        <v>8092</v>
      </c>
      <c r="C253" s="1199" t="s">
        <v>5534</v>
      </c>
      <c r="D253" s="1200" t="s">
        <v>1413</v>
      </c>
      <c r="E253" s="1200" t="s">
        <v>2602</v>
      </c>
      <c r="F253" s="1135" t="s">
        <v>3611</v>
      </c>
      <c r="G253" s="1200" t="s">
        <v>5534</v>
      </c>
      <c r="H253" s="1107"/>
      <c r="I253" s="1200"/>
      <c r="J253" s="1200"/>
      <c r="K253" s="1200" t="s">
        <v>5671</v>
      </c>
      <c r="L253" s="1204"/>
      <c r="M253" s="1200"/>
      <c r="N253" s="1200"/>
      <c r="O253" s="1200" t="s">
        <v>5300</v>
      </c>
      <c r="P253" s="1200" t="s">
        <v>3611</v>
      </c>
      <c r="Q253" s="1202" t="s">
        <v>5604</v>
      </c>
      <c r="R253" s="1303" t="s">
        <v>8173</v>
      </c>
      <c r="S253" s="1200"/>
      <c r="T253" s="1200" t="s">
        <v>5534</v>
      </c>
      <c r="U253" s="1200"/>
      <c r="V253" s="1200"/>
      <c r="W253" s="1200"/>
      <c r="X253" s="1200" t="s">
        <v>4284</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7832</v>
      </c>
      <c r="C254" s="1199" t="s">
        <v>3072</v>
      </c>
      <c r="D254" s="1200"/>
      <c r="E254" s="1200" t="s">
        <v>4274</v>
      </c>
      <c r="F254" s="1317" t="s">
        <v>8174</v>
      </c>
      <c r="G254" s="1200" t="s">
        <v>3072</v>
      </c>
      <c r="H254" s="1107"/>
      <c r="I254" s="1200" t="str">
        <f>HYPERLINK("https://youtu.be/yGR2akJEjQQ","19.18")</f>
        <v>19.18</v>
      </c>
      <c r="J254" s="1200"/>
      <c r="K254" s="1200"/>
      <c r="L254" s="1204"/>
      <c r="M254" s="1200"/>
      <c r="N254" s="1200"/>
      <c r="O254" s="1200"/>
      <c r="P254" s="1200"/>
      <c r="Q254" s="1202"/>
      <c r="R254" s="1089" t="s">
        <v>8175</v>
      </c>
      <c r="S254" s="1200"/>
      <c r="T254" s="1089" t="s">
        <v>5517</v>
      </c>
      <c r="U254" s="1200"/>
      <c r="V254" s="1200" t="s">
        <v>2420</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8176</v>
      </c>
      <c r="C255" s="1199" t="s">
        <v>4105</v>
      </c>
      <c r="D255" s="1200"/>
      <c r="E255" s="1200" t="s">
        <v>919</v>
      </c>
      <c r="F255" s="1087"/>
      <c r="G255" s="1200" t="s">
        <v>4105</v>
      </c>
      <c r="H255" s="1107"/>
      <c r="I255" s="1200"/>
      <c r="J255" s="1200"/>
      <c r="K255" s="1200"/>
      <c r="L255" s="1201" t="s">
        <v>3112</v>
      </c>
      <c r="M255" s="1200"/>
      <c r="N255" s="1200"/>
      <c r="O255" s="1200"/>
      <c r="P255" s="1200"/>
      <c r="Q255" s="1202"/>
      <c r="R255" s="1109" t="s">
        <v>8177</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8178</v>
      </c>
      <c r="C256" s="1199" t="s">
        <v>1109</v>
      </c>
      <c r="D256" s="1095" t="s">
        <v>1608</v>
      </c>
      <c r="E256" s="1089" t="s">
        <v>404</v>
      </c>
      <c r="F256" s="1101" t="s">
        <v>1857</v>
      </c>
      <c r="G256" s="1089" t="s">
        <v>1109</v>
      </c>
      <c r="H256" s="1089" t="s">
        <v>1249</v>
      </c>
      <c r="I256" s="1089" t="s">
        <v>404</v>
      </c>
      <c r="J256" s="1107"/>
      <c r="K256" s="1089" t="s">
        <v>2243</v>
      </c>
      <c r="L256" s="1204"/>
      <c r="M256" s="1089" t="s">
        <v>511</v>
      </c>
      <c r="N256" s="1107"/>
      <c r="O256" s="1107"/>
      <c r="P256" s="1089" t="s">
        <v>1857</v>
      </c>
      <c r="Q256" s="1202" t="s">
        <v>404</v>
      </c>
      <c r="R256" s="1109" t="s">
        <v>8179</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8180</v>
      </c>
      <c r="C257" s="1084" t="s">
        <v>5044</v>
      </c>
      <c r="D257" s="1207"/>
      <c r="E257" s="1207"/>
      <c r="F257" s="1116" t="s">
        <v>2068</v>
      </c>
      <c r="G257" s="1089" t="s">
        <v>5044</v>
      </c>
      <c r="H257" s="1107"/>
      <c r="I257" s="1207"/>
      <c r="J257" s="1207"/>
      <c r="K257" s="1207"/>
      <c r="L257" s="1204"/>
      <c r="M257" s="1207"/>
      <c r="N257" s="1207"/>
      <c r="O257" s="1207"/>
      <c r="P257" s="1207"/>
      <c r="Q257" s="1209"/>
      <c r="R257" s="1303" t="s">
        <v>8181</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8182</v>
      </c>
      <c r="B258" s="1300" t="s">
        <v>7595</v>
      </c>
      <c r="C258" s="1199" t="s">
        <v>8183</v>
      </c>
      <c r="D258" s="1003" t="s">
        <v>1609</v>
      </c>
      <c r="E258" s="1207"/>
      <c r="F258" s="1304"/>
      <c r="G258" s="1207"/>
      <c r="H258" s="1089" t="s">
        <v>1319</v>
      </c>
      <c r="I258" s="1207"/>
      <c r="J258" s="1207"/>
      <c r="K258" s="1207"/>
      <c r="L258" s="1130" t="s">
        <v>8183</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7728</v>
      </c>
      <c r="B259" s="1300" t="s">
        <v>7723</v>
      </c>
      <c r="C259" s="1199" t="s">
        <v>8184</v>
      </c>
      <c r="D259" s="1003" t="s">
        <v>1611</v>
      </c>
      <c r="E259" s="1207"/>
      <c r="F259" s="1304"/>
      <c r="G259" s="1207"/>
      <c r="H259" s="1107"/>
      <c r="I259" s="1207" t="s">
        <v>1858</v>
      </c>
      <c r="J259" s="1200" t="s">
        <v>1467</v>
      </c>
      <c r="K259" s="1207" t="s">
        <v>5736</v>
      </c>
      <c r="L259" s="1201" t="s">
        <v>8185</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7725</v>
      </c>
      <c r="B260" s="1329" t="s">
        <v>7723</v>
      </c>
      <c r="C260" s="1155" t="s">
        <v>8186</v>
      </c>
      <c r="D260" s="1142" t="s">
        <v>8186</v>
      </c>
      <c r="E260" s="1207"/>
      <c r="F260" s="1304"/>
      <c r="G260" s="1207"/>
      <c r="H260" s="1107"/>
      <c r="I260" s="1207"/>
      <c r="J260" s="1200"/>
      <c r="K260" s="1207"/>
      <c r="L260" s="1201" t="s">
        <v>8187</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8188</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8189</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8190</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8191</v>
      </c>
      <c r="C264" s="1084" t="s">
        <v>4265</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4265</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7524</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7594</v>
      </c>
      <c r="B266" s="1337" t="s">
        <v>8192</v>
      </c>
      <c r="C266" s="1199" t="s">
        <v>1669</v>
      </c>
      <c r="D266" s="1207" t="s">
        <v>3988</v>
      </c>
      <c r="E266" s="1207"/>
      <c r="F266" s="1087"/>
      <c r="G266" s="1207"/>
      <c r="H266" s="1107"/>
      <c r="I266" s="1207"/>
      <c r="J266" s="1200" t="s">
        <v>3135</v>
      </c>
      <c r="K266" s="1207"/>
      <c r="L266" s="1204"/>
      <c r="M266" s="1207"/>
      <c r="N266" s="1207"/>
      <c r="O266" s="1207"/>
      <c r="P266" s="1207"/>
      <c r="Q266" s="1209"/>
      <c r="R266" s="1338" t="s">
        <v>8193</v>
      </c>
      <c r="S266" s="1207"/>
      <c r="T266" s="1207"/>
      <c r="U266" s="1207"/>
      <c r="V266" s="1207"/>
      <c r="W266" s="1207"/>
      <c r="X266" s="1207"/>
      <c r="Y266" s="1207"/>
      <c r="Z266" s="1207" t="s">
        <v>6822</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8194</v>
      </c>
      <c r="C267" s="1199" t="s">
        <v>4562</v>
      </c>
      <c r="D267" s="1207"/>
      <c r="E267" s="1207"/>
      <c r="F267" s="1342" t="s">
        <v>3778</v>
      </c>
      <c r="G267" s="1207"/>
      <c r="H267" s="1107"/>
      <c r="I267" s="1200" t="str">
        <f>HYPERLINK("https://youtu.be/K8Egs0-qumI","48.41")</f>
        <v>48.41</v>
      </c>
      <c r="J267" s="1207"/>
      <c r="K267" s="1207"/>
      <c r="L267" s="1204"/>
      <c r="M267" s="1207"/>
      <c r="N267" s="1207"/>
      <c r="O267" s="1207"/>
      <c r="P267" s="1207"/>
      <c r="Q267" s="1209"/>
      <c r="R267" s="1098"/>
      <c r="S267" s="1207"/>
      <c r="T267" s="1089" t="s">
        <v>8195</v>
      </c>
      <c r="U267" s="1207"/>
      <c r="V267" s="1200" t="s">
        <v>4562</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8196</v>
      </c>
      <c r="C268" s="1199" t="s">
        <v>429</v>
      </c>
      <c r="D268" s="1207" t="s">
        <v>4562</v>
      </c>
      <c r="E268" s="1207"/>
      <c r="F268" s="1087"/>
      <c r="G268" s="1207"/>
      <c r="H268" s="1107"/>
      <c r="I268" s="1207" t="s">
        <v>8197</v>
      </c>
      <c r="J268" s="1200" t="s">
        <v>4849</v>
      </c>
      <c r="K268" s="1207"/>
      <c r="L268" s="1204"/>
      <c r="M268" s="1207"/>
      <c r="N268" s="1207"/>
      <c r="O268" s="1207"/>
      <c r="P268" s="1207"/>
      <c r="Q268" s="1209"/>
      <c r="R268" s="1338" t="s">
        <v>8198</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8199</v>
      </c>
      <c r="C269" s="1199" t="s">
        <v>3883</v>
      </c>
      <c r="D269" s="1207"/>
      <c r="E269" s="1207"/>
      <c r="F269" s="1345"/>
      <c r="G269" s="1207"/>
      <c r="H269" s="1089" t="s">
        <v>6497</v>
      </c>
      <c r="I269" s="1200" t="s">
        <v>8200</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8201</v>
      </c>
      <c r="C270" s="1115" t="s">
        <v>2924</v>
      </c>
      <c r="D270" s="1200"/>
      <c r="E270" s="1200" t="s">
        <v>1534</v>
      </c>
      <c r="F270" s="1116" t="s">
        <v>2924</v>
      </c>
      <c r="G270" s="1200" t="s">
        <v>2070</v>
      </c>
      <c r="H270" s="1107"/>
      <c r="I270" s="1200"/>
      <c r="J270" s="1200" t="s">
        <v>2205</v>
      </c>
      <c r="K270" s="1200"/>
      <c r="L270" s="1204"/>
      <c r="M270" s="1202" t="s">
        <v>8202</v>
      </c>
      <c r="N270" s="1200"/>
      <c r="O270" s="1200"/>
      <c r="P270" s="1200" t="s">
        <v>1397</v>
      </c>
      <c r="Q270" s="1202" t="s">
        <v>8203</v>
      </c>
      <c r="R270" s="1339"/>
      <c r="S270" s="1200"/>
      <c r="T270" s="1200"/>
      <c r="U270" s="1200"/>
      <c r="V270" s="1200" t="s">
        <v>2195</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8204</v>
      </c>
      <c r="C271" s="1199" t="s">
        <v>2205</v>
      </c>
      <c r="D271" s="1200"/>
      <c r="E271" s="1200" t="s">
        <v>2205</v>
      </c>
      <c r="F271" s="1342" t="s">
        <v>8205</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4597</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8206</v>
      </c>
      <c r="C272" s="1346" t="s">
        <v>5727</v>
      </c>
      <c r="D272" s="1200"/>
      <c r="E272" s="1200" t="s">
        <v>802</v>
      </c>
      <c r="F272" s="1116" t="s">
        <v>1397</v>
      </c>
      <c r="G272" s="1202" t="s">
        <v>5622</v>
      </c>
      <c r="H272" s="1107"/>
      <c r="I272" s="1200"/>
      <c r="J272" s="1200"/>
      <c r="K272" s="1200"/>
      <c r="L272" s="1204"/>
      <c r="M272" s="1200"/>
      <c r="N272" s="1200"/>
      <c r="O272" s="1200"/>
      <c r="P272" s="1200" t="s">
        <v>5794</v>
      </c>
      <c r="Q272" s="1202"/>
      <c r="R272" s="1339"/>
      <c r="S272" s="1200"/>
      <c r="T272" s="1200"/>
      <c r="U272" s="1200"/>
      <c r="V272" s="1200"/>
      <c r="W272" s="1200"/>
      <c r="X272" s="1200"/>
      <c r="Y272" s="1202" t="s">
        <v>5860</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5727</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8207</v>
      </c>
      <c r="C273" s="1115" t="s">
        <v>2576</v>
      </c>
      <c r="D273" s="1200" t="s">
        <v>848</v>
      </c>
      <c r="E273" s="1200" t="s">
        <v>8208</v>
      </c>
      <c r="F273" s="1116" t="s">
        <v>2576</v>
      </c>
      <c r="G273" s="1200"/>
      <c r="H273" s="1089" t="s">
        <v>2723</v>
      </c>
      <c r="I273" s="1200"/>
      <c r="J273" s="1200"/>
      <c r="K273" s="1200"/>
      <c r="L273" s="1204"/>
      <c r="M273" s="1200"/>
      <c r="N273" s="1200"/>
      <c r="O273" s="1200"/>
      <c r="P273" s="1200" t="s">
        <v>8209</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7596</v>
      </c>
      <c r="B274" s="1337" t="s">
        <v>7595</v>
      </c>
      <c r="C274" s="1115" t="s">
        <v>8210</v>
      </c>
      <c r="D274" s="1207"/>
      <c r="E274" s="1207"/>
      <c r="F274" s="1116" t="s">
        <v>8210</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7774</v>
      </c>
      <c r="B275" s="1337" t="s">
        <v>8211</v>
      </c>
      <c r="C275" s="1199" t="s">
        <v>1624</v>
      </c>
      <c r="D275" s="1207" t="s">
        <v>1671</v>
      </c>
      <c r="E275" s="1207"/>
      <c r="F275" s="1345"/>
      <c r="G275" s="1207"/>
      <c r="H275" s="1089" t="s">
        <v>4241</v>
      </c>
      <c r="I275" s="1200" t="str">
        <f>HYPERLINK("https://youtu.be/_GZXmZdCc5s","31.80")</f>
        <v>31.80</v>
      </c>
      <c r="J275" s="1207"/>
      <c r="K275" s="1200" t="s">
        <v>8212</v>
      </c>
      <c r="L275" s="1204"/>
      <c r="M275" s="1207"/>
      <c r="N275" s="1200" t="s">
        <v>1624</v>
      </c>
      <c r="O275" s="1200" t="str">
        <f>HYPERLINK("https://youtu.be/kUsh0nBBuMY","32.45")</f>
        <v>32.45</v>
      </c>
      <c r="P275" s="1207"/>
      <c r="Q275" s="1209" t="s">
        <v>2259</v>
      </c>
      <c r="R275" s="1347" t="s">
        <v>861</v>
      </c>
      <c r="S275" s="1207"/>
      <c r="T275" s="1207" t="s">
        <v>1007</v>
      </c>
      <c r="U275" s="1207"/>
      <c r="V275" s="1207"/>
      <c r="W275" s="1251" t="s">
        <v>3955</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8213</v>
      </c>
      <c r="C276" s="1199" t="s">
        <v>459</v>
      </c>
      <c r="D276" s="1207"/>
      <c r="E276" s="1207"/>
      <c r="F276" s="1087"/>
      <c r="G276" s="1207"/>
      <c r="H276" s="1107"/>
      <c r="I276" s="1207"/>
      <c r="J276" s="1207"/>
      <c r="K276" s="1089" t="s">
        <v>2322</v>
      </c>
      <c r="L276" s="1204"/>
      <c r="M276" s="1207"/>
      <c r="N276" s="1207"/>
      <c r="O276" s="1207"/>
      <c r="P276" s="1207"/>
      <c r="Q276" s="1209"/>
      <c r="R276" s="1098"/>
      <c r="S276" s="1207"/>
      <c r="T276" s="1207"/>
      <c r="U276" s="1207"/>
      <c r="V276" s="1200" t="s">
        <v>459</v>
      </c>
      <c r="W276" s="1207"/>
      <c r="X276" s="1207" t="s">
        <v>4095</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8214</v>
      </c>
      <c r="C277" s="1199" t="s">
        <v>5033</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8215</v>
      </c>
      <c r="C278" s="1199" t="s">
        <v>3650</v>
      </c>
      <c r="D278" s="1200" t="s">
        <v>243</v>
      </c>
      <c r="E278" s="1200" t="s">
        <v>3650</v>
      </c>
      <c r="F278" s="1123" t="s">
        <v>2527</v>
      </c>
      <c r="G278" s="1200" t="s">
        <v>1536</v>
      </c>
      <c r="H278" s="1089" t="s">
        <v>1325</v>
      </c>
      <c r="I278" s="1200" t="s">
        <v>206</v>
      </c>
      <c r="J278" s="1200" t="s">
        <v>2147</v>
      </c>
      <c r="K278" s="1200" t="s">
        <v>5354</v>
      </c>
      <c r="L278" s="1204"/>
      <c r="M278" s="1200" t="s">
        <v>913</v>
      </c>
      <c r="N278" s="1200" t="s">
        <v>278</v>
      </c>
      <c r="O278" s="1200" t="s">
        <v>5890</v>
      </c>
      <c r="P278" s="1200" t="s">
        <v>719</v>
      </c>
      <c r="Q278" s="1202" t="s">
        <v>426</v>
      </c>
      <c r="R278" s="1098"/>
      <c r="S278" s="1200" t="s">
        <v>4095</v>
      </c>
      <c r="T278" s="1200"/>
      <c r="U278" s="1200"/>
      <c r="V278" s="1200"/>
      <c r="W278" s="1348" t="s">
        <v>1567</v>
      </c>
      <c r="X278" s="1200" t="s">
        <v>8216</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7654</v>
      </c>
      <c r="B279" s="1337" t="s">
        <v>8217</v>
      </c>
      <c r="C279" s="1199" t="s">
        <v>8218</v>
      </c>
      <c r="D279" s="1200" t="s">
        <v>7791</v>
      </c>
      <c r="E279" s="1200" t="s">
        <v>4164</v>
      </c>
      <c r="F279" s="1342" t="s">
        <v>2525</v>
      </c>
      <c r="G279" s="1200"/>
      <c r="H279" s="1089" t="s">
        <v>8219</v>
      </c>
      <c r="I279" s="1200" t="str">
        <f>HYPERLINK("https://youtu.be/fNmQmNF7N9I","46.93")</f>
        <v>46.93</v>
      </c>
      <c r="J279" s="1200" t="s">
        <v>8218</v>
      </c>
      <c r="K279" s="1200" t="s">
        <v>537</v>
      </c>
      <c r="L279" s="1204"/>
      <c r="M279" s="1200" t="s">
        <v>8220</v>
      </c>
      <c r="N279" s="1200" t="s">
        <v>1571</v>
      </c>
      <c r="O279" s="1200"/>
      <c r="P279" s="1200"/>
      <c r="Q279" s="1202"/>
      <c r="R279" s="1339"/>
      <c r="S279" s="1200"/>
      <c r="T279" s="1200"/>
      <c r="U279" s="1200" t="s">
        <v>3998</v>
      </c>
      <c r="V279" s="1200" t="s">
        <v>8197</v>
      </c>
      <c r="W279" s="1200"/>
      <c r="X279" s="1200" t="s">
        <v>8221</v>
      </c>
      <c r="Y279" s="1200" t="s">
        <v>4403</v>
      </c>
      <c r="Z279" s="1200" t="s">
        <v>8222</v>
      </c>
      <c r="AA279" s="1200"/>
      <c r="AB279" s="1200"/>
      <c r="AC279" s="1200" t="s">
        <v>8223</v>
      </c>
      <c r="AD279" s="1200" t="s">
        <v>8224</v>
      </c>
      <c r="AE279" s="1200"/>
      <c r="AF279" s="1200"/>
      <c r="AG279" s="1200"/>
      <c r="AH279" s="1200"/>
      <c r="AI279" s="1200"/>
      <c r="AJ279" s="1200"/>
      <c r="AK279" s="1200"/>
      <c r="AL279" s="1204"/>
      <c r="AM279" s="1200"/>
      <c r="AN279" s="1200"/>
      <c r="AO279" s="1200"/>
      <c r="AP279" s="1200"/>
      <c r="AQ279" s="1200"/>
      <c r="AR279" s="1204"/>
      <c r="AS279" s="1200" t="s">
        <v>8225</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8226</v>
      </c>
      <c r="C280" s="1199" t="s">
        <v>3983</v>
      </c>
      <c r="D280" s="1200" t="s">
        <v>5205</v>
      </c>
      <c r="E280" s="1200" t="s">
        <v>3438</v>
      </c>
      <c r="F280" s="1135" t="s">
        <v>8227</v>
      </c>
      <c r="G280" s="1200"/>
      <c r="H280" s="1089" t="s">
        <v>8228</v>
      </c>
      <c r="I280" s="1200" t="str">
        <f>HYPERLINK(" https://youtu.be/dsDcBzsPA5s","45.74")</f>
        <v>45.74</v>
      </c>
      <c r="J280" s="1200" t="s">
        <v>3983</v>
      </c>
      <c r="K280" s="1200" t="s">
        <v>8229</v>
      </c>
      <c r="L280" s="1204"/>
      <c r="M280" s="1200" t="s">
        <v>3910</v>
      </c>
      <c r="N280" s="1200" t="s">
        <v>1786</v>
      </c>
      <c r="O280" s="1200" t="s">
        <v>2071</v>
      </c>
      <c r="P280" s="1200" t="s">
        <v>4047</v>
      </c>
      <c r="Q280" s="1202" t="s">
        <v>3527</v>
      </c>
      <c r="R280" s="1098"/>
      <c r="S280" s="1200" t="s">
        <v>8230</v>
      </c>
      <c r="T280" s="1200"/>
      <c r="U280" s="1200" t="s">
        <v>8231</v>
      </c>
      <c r="V280" s="1200" t="s">
        <v>286</v>
      </c>
      <c r="W280" s="1200"/>
      <c r="X280" s="1200" t="s">
        <v>5860</v>
      </c>
      <c r="Y280" s="1200" t="s">
        <v>707</v>
      </c>
      <c r="Z280" s="1200" t="s">
        <v>8232</v>
      </c>
      <c r="AA280" s="1200"/>
      <c r="AB280" s="1200"/>
      <c r="AC280" s="1200"/>
      <c r="AD280" s="1200" t="s">
        <v>7858</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8233</v>
      </c>
      <c r="C281" s="1199" t="s">
        <v>1113</v>
      </c>
      <c r="D281" s="1200" t="s">
        <v>4649</v>
      </c>
      <c r="E281" s="1200" t="s">
        <v>411</v>
      </c>
      <c r="F281" s="1116" t="s">
        <v>566</v>
      </c>
      <c r="G281" s="1200" t="s">
        <v>1909</v>
      </c>
      <c r="H281" s="1089" t="s">
        <v>1326</v>
      </c>
      <c r="I281" s="1200" t="str">
        <f>HYPERLINK("https://youtu.be/9O9oqhlyCxY","45.20")</f>
        <v>45.20</v>
      </c>
      <c r="J281" s="1200" t="s">
        <v>8234</v>
      </c>
      <c r="K281" s="1089" t="s">
        <v>3673</v>
      </c>
      <c r="L281" s="1204"/>
      <c r="M281" s="1200" t="s">
        <v>321</v>
      </c>
      <c r="N281" s="1200" t="s">
        <v>1398</v>
      </c>
      <c r="O281" s="1200" t="s">
        <v>8200</v>
      </c>
      <c r="P281" s="1200" t="s">
        <v>1113</v>
      </c>
      <c r="Q281" s="1202"/>
      <c r="R281" s="1339"/>
      <c r="S281" s="1200" t="s">
        <v>1861</v>
      </c>
      <c r="T281" s="1200"/>
      <c r="U281" s="1200" t="s">
        <v>429</v>
      </c>
      <c r="V281" s="1200" t="s">
        <v>519</v>
      </c>
      <c r="W281" s="1200"/>
      <c r="X281" s="1200"/>
      <c r="Y281" s="1200" t="s">
        <v>619</v>
      </c>
      <c r="Z281" s="1200"/>
      <c r="AA281" s="1200"/>
      <c r="AB281" s="1200"/>
      <c r="AC281" s="1200" t="s">
        <v>4400</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7863</v>
      </c>
      <c r="B282" s="1350" t="s">
        <v>8235</v>
      </c>
      <c r="C282" s="1199" t="s">
        <v>883</v>
      </c>
      <c r="D282" s="1003" t="s">
        <v>1615</v>
      </c>
      <c r="E282" s="1351" t="s">
        <v>412</v>
      </c>
      <c r="F282" s="1101" t="s">
        <v>2577</v>
      </c>
      <c r="G282" s="1351" t="s">
        <v>4560</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7611</v>
      </c>
      <c r="B283" s="1354" t="s">
        <v>8235</v>
      </c>
      <c r="C283" s="1199" t="s">
        <v>8236</v>
      </c>
      <c r="D283" s="1351" t="s">
        <v>1616</v>
      </c>
      <c r="E283" s="1351" t="s">
        <v>413</v>
      </c>
      <c r="F283" s="1101" t="s">
        <v>1578</v>
      </c>
      <c r="G283" s="1351" t="s">
        <v>8236</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7621</v>
      </c>
      <c r="B284" s="1356" t="s">
        <v>7595</v>
      </c>
      <c r="C284" s="1199" t="s">
        <v>5877</v>
      </c>
      <c r="D284" s="1200" t="s">
        <v>5850</v>
      </c>
      <c r="E284" s="1200" t="s">
        <v>2952</v>
      </c>
      <c r="F284" s="1116" t="s">
        <v>433</v>
      </c>
      <c r="G284" s="1200" t="s">
        <v>5877</v>
      </c>
      <c r="H284" s="1089" t="s">
        <v>5775</v>
      </c>
      <c r="I284" s="1200"/>
      <c r="J284" s="1200" t="s">
        <v>5300</v>
      </c>
      <c r="K284" s="1200"/>
      <c r="L284" s="1204"/>
      <c r="M284" s="1200" t="s">
        <v>8237</v>
      </c>
      <c r="N284" s="1200"/>
      <c r="O284" s="1200"/>
      <c r="P284" s="1200" t="s">
        <v>5877</v>
      </c>
      <c r="Q284" s="1202"/>
      <c r="R284" s="1098"/>
      <c r="S284" s="1200"/>
      <c r="T284" s="1089" t="s">
        <v>8238</v>
      </c>
      <c r="U284" s="1200"/>
      <c r="V284" s="1200" t="s">
        <v>5877</v>
      </c>
      <c r="W284" s="1200"/>
      <c r="X284" s="1200"/>
      <c r="Y284" s="1200" t="s">
        <v>3611</v>
      </c>
      <c r="Z284" s="1200" t="s">
        <v>3598</v>
      </c>
      <c r="AA284" s="1200" t="s">
        <v>8239</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7811</v>
      </c>
      <c r="B285" s="1357" t="s">
        <v>8240</v>
      </c>
      <c r="C285" s="1199" t="s">
        <v>8241</v>
      </c>
      <c r="D285" s="1095" t="s">
        <v>1479</v>
      </c>
      <c r="E285" s="1200" t="s">
        <v>4430</v>
      </c>
      <c r="F285" s="1101" t="s">
        <v>3082</v>
      </c>
      <c r="G285" s="1200" t="s">
        <v>8241</v>
      </c>
      <c r="H285" s="1089" t="s">
        <v>1329</v>
      </c>
      <c r="I285" s="1200" t="s">
        <v>1479</v>
      </c>
      <c r="J285" s="1200" t="s">
        <v>3841</v>
      </c>
      <c r="K285" s="1200"/>
      <c r="L285" s="1204"/>
      <c r="M285" s="1200" t="s">
        <v>960</v>
      </c>
      <c r="N285" s="1200"/>
      <c r="O285" s="1200"/>
      <c r="P285" s="1200" t="s">
        <v>8242</v>
      </c>
      <c r="Q285" s="1202"/>
      <c r="R285" s="1339"/>
      <c r="S285" s="1200" t="s">
        <v>192</v>
      </c>
      <c r="T285" s="1200"/>
      <c r="U285" s="1200"/>
      <c r="V285" s="1200" t="s">
        <v>522</v>
      </c>
      <c r="W285" s="1200"/>
      <c r="X285" s="1200"/>
      <c r="Y285" s="1200" t="s">
        <v>8243</v>
      </c>
      <c r="Z285" s="1200"/>
      <c r="AA285" s="1200"/>
      <c r="AB285" s="1200"/>
      <c r="AC285" s="1200"/>
      <c r="AD285" s="1200"/>
      <c r="AE285" s="1200"/>
      <c r="AF285" s="1200"/>
      <c r="AG285" s="1200"/>
      <c r="AH285" s="1200" t="s">
        <v>8244</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7822</v>
      </c>
      <c r="B286" s="1356" t="s">
        <v>8240</v>
      </c>
      <c r="C286" s="1084" t="s">
        <v>8245</v>
      </c>
      <c r="D286" s="1200" t="s">
        <v>8246</v>
      </c>
      <c r="E286" s="1200"/>
      <c r="F286" s="1101" t="s">
        <v>8247</v>
      </c>
      <c r="G286" s="1089" t="s">
        <v>7455</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8248</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7716</v>
      </c>
      <c r="B287" s="1337" t="s">
        <v>8249</v>
      </c>
      <c r="C287" s="1199" t="s">
        <v>4221</v>
      </c>
      <c r="D287" s="1107"/>
      <c r="E287" s="1089" t="s">
        <v>4362</v>
      </c>
      <c r="F287" s="1345"/>
      <c r="G287" s="1089" t="s">
        <v>4221</v>
      </c>
      <c r="H287" s="1089" t="s">
        <v>3251</v>
      </c>
      <c r="I287" s="1107"/>
      <c r="J287" s="1107"/>
      <c r="K287" s="1107"/>
      <c r="L287" s="1204"/>
      <c r="M287" s="1107"/>
      <c r="N287" s="1107"/>
      <c r="O287" s="1107" t="s">
        <v>4342</v>
      </c>
      <c r="P287" s="1107"/>
      <c r="Q287" s="1202" t="s">
        <v>8250</v>
      </c>
      <c r="R287" s="1098"/>
      <c r="S287" s="1107"/>
      <c r="T287" s="1107"/>
      <c r="U287" s="1107"/>
      <c r="V287" s="1107"/>
      <c r="W287" s="1089" t="s">
        <v>8174</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8251</v>
      </c>
      <c r="C288" s="1199" t="s">
        <v>4514</v>
      </c>
      <c r="D288" s="1200" t="s">
        <v>1617</v>
      </c>
      <c r="E288" s="1200" t="s">
        <v>2734</v>
      </c>
      <c r="F288" s="1116" t="s">
        <v>4105</v>
      </c>
      <c r="G288" s="1202" t="s">
        <v>1367</v>
      </c>
      <c r="H288" s="1107"/>
      <c r="I288" s="1200"/>
      <c r="J288" s="1200"/>
      <c r="K288" s="1200"/>
      <c r="L288" s="1204"/>
      <c r="M288" s="1200"/>
      <c r="N288" s="1200"/>
      <c r="O288" s="1200"/>
      <c r="P288" s="1200"/>
      <c r="Q288" s="1202" t="s">
        <v>5303</v>
      </c>
      <c r="R288" s="1338" t="s">
        <v>6249</v>
      </c>
      <c r="S288" s="1200" t="s">
        <v>2635</v>
      </c>
      <c r="T288" s="1200" t="s">
        <v>1617</v>
      </c>
      <c r="U288" s="1200"/>
      <c r="V288" s="1200" t="s">
        <v>4514</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8252</v>
      </c>
      <c r="C289" s="1199" t="s">
        <v>623</v>
      </c>
      <c r="D289" s="1200"/>
      <c r="E289" s="1200" t="s">
        <v>369</v>
      </c>
      <c r="F289" s="1123" t="s">
        <v>2578</v>
      </c>
      <c r="G289" s="1202" t="s">
        <v>2557</v>
      </c>
      <c r="H289" s="1089" t="s">
        <v>3829</v>
      </c>
      <c r="I289" s="1200"/>
      <c r="J289" s="1200" t="s">
        <v>1617</v>
      </c>
      <c r="K289" s="1200"/>
      <c r="L289" s="1204"/>
      <c r="M289" s="1200"/>
      <c r="N289" s="1200" t="s">
        <v>1186</v>
      </c>
      <c r="O289" s="1200"/>
      <c r="P289" s="1200" t="s">
        <v>3829</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7719</v>
      </c>
      <c r="B290" s="1337" t="s">
        <v>7595</v>
      </c>
      <c r="C290" s="1199" t="s">
        <v>8253</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8254</v>
      </c>
      <c r="B291" s="1337" t="s">
        <v>7595</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7725</v>
      </c>
      <c r="B292" s="1356" t="s">
        <v>7595</v>
      </c>
      <c r="C292" s="1084" t="s">
        <v>8255</v>
      </c>
      <c r="D292" s="1089" t="s">
        <v>8255</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7849</v>
      </c>
      <c r="C293" s="1084" t="s">
        <v>8256</v>
      </c>
      <c r="D293" s="1000" t="s">
        <v>1618</v>
      </c>
      <c r="E293" s="1207"/>
      <c r="F293" s="1345"/>
      <c r="G293" s="1089" t="s">
        <v>8256</v>
      </c>
      <c r="H293" s="1089" t="s">
        <v>1731</v>
      </c>
      <c r="I293" s="1207" t="s">
        <v>4178</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7852</v>
      </c>
      <c r="C294" s="1199" t="s">
        <v>4841</v>
      </c>
      <c r="D294" s="1207"/>
      <c r="E294" s="1207"/>
      <c r="F294" s="1087"/>
      <c r="G294" s="1207"/>
      <c r="H294" s="1089" t="s">
        <v>1332</v>
      </c>
      <c r="I294" s="1207"/>
      <c r="J294" s="1207"/>
      <c r="K294" s="1207"/>
      <c r="L294" s="1204"/>
      <c r="M294" s="1207"/>
      <c r="N294" s="1207"/>
      <c r="O294" s="1207"/>
      <c r="P294" s="1207"/>
      <c r="Q294" s="1209"/>
      <c r="R294" s="1339"/>
      <c r="S294" s="1207"/>
      <c r="T294" s="1207"/>
      <c r="U294" s="1089" t="s">
        <v>2637</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7595</v>
      </c>
      <c r="C295" s="1199" t="s">
        <v>8257</v>
      </c>
      <c r="D295" s="1207" t="s">
        <v>8258</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8259</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8260</v>
      </c>
      <c r="B297" s="1368" t="s">
        <v>8261</v>
      </c>
      <c r="C297" s="1084" t="s">
        <v>8262</v>
      </c>
      <c r="D297" s="1326"/>
      <c r="E297" s="1107"/>
      <c r="F297" s="1369"/>
      <c r="G297" s="1107"/>
      <c r="H297" s="1089" t="s">
        <v>4858</v>
      </c>
      <c r="I297" s="1107"/>
      <c r="J297" s="1107"/>
      <c r="K297" s="1107"/>
      <c r="L297" s="1204"/>
      <c r="M297" s="1107"/>
      <c r="N297" s="1107"/>
      <c r="O297" s="1107"/>
      <c r="P297" s="1107"/>
      <c r="Q297" s="1202"/>
      <c r="R297" s="1098"/>
      <c r="S297" s="1107"/>
      <c r="T297" s="1107"/>
      <c r="U297" s="1107"/>
      <c r="V297" s="1107"/>
      <c r="W297" s="1089" t="s">
        <v>8262</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8263</v>
      </c>
      <c r="C298" s="1199" t="s">
        <v>7192</v>
      </c>
      <c r="D298" s="1200" t="s">
        <v>8264</v>
      </c>
      <c r="E298" s="1200" t="s">
        <v>7192</v>
      </c>
      <c r="F298" s="1087"/>
      <c r="G298" s="1200"/>
      <c r="I298" s="1200"/>
      <c r="J298" s="1200"/>
      <c r="K298" s="1202" t="s">
        <v>8265</v>
      </c>
      <c r="L298" s="1204"/>
      <c r="M298" s="1200"/>
      <c r="N298" s="1200"/>
      <c r="O298" s="1200"/>
      <c r="P298" s="1200"/>
      <c r="Q298" s="1202" t="s">
        <v>8266</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8267</v>
      </c>
      <c r="C299" s="1199" t="s">
        <v>425</v>
      </c>
      <c r="D299" s="1095" t="s">
        <v>1623</v>
      </c>
      <c r="E299" s="1089" t="s">
        <v>425</v>
      </c>
      <c r="F299" s="1116" t="s">
        <v>2580</v>
      </c>
      <c r="G299" s="1089" t="s">
        <v>8268</v>
      </c>
      <c r="H299" s="1089" t="s">
        <v>1340</v>
      </c>
      <c r="I299" s="1089" t="str">
        <f>HYPERLINK("https://youtu.be/ZpzmhXUsVhA","1:19.38")</f>
        <v>1:19.38</v>
      </c>
      <c r="J299" s="1107"/>
      <c r="K299" s="1089" t="s">
        <v>3679</v>
      </c>
      <c r="L299" s="1204"/>
      <c r="M299" s="1107" t="s">
        <v>969</v>
      </c>
      <c r="N299" s="1107" t="s">
        <v>6126</v>
      </c>
      <c r="O299" s="1107" t="s">
        <v>8269</v>
      </c>
      <c r="P299" s="1089" t="s">
        <v>8270</v>
      </c>
      <c r="Q299" s="1202" t="s">
        <v>8271</v>
      </c>
      <c r="R299" s="1098"/>
      <c r="S299" s="1107"/>
      <c r="T299" s="1107"/>
      <c r="U299" s="1107"/>
      <c r="V299" s="1107"/>
      <c r="W299" s="1348" t="s">
        <v>8272</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8273</v>
      </c>
      <c r="B300" s="1372" t="s">
        <v>8261</v>
      </c>
      <c r="C300" s="1084" t="s">
        <v>2174</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2605</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8263</v>
      </c>
      <c r="C301" s="1199" t="s">
        <v>5561</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8267</v>
      </c>
      <c r="C302" s="1199" t="s">
        <v>2222</v>
      </c>
      <c r="D302" s="1374" t="s">
        <v>8274</v>
      </c>
      <c r="E302" s="1200" t="s">
        <v>3589</v>
      </c>
      <c r="F302" s="1171" t="s">
        <v>686</v>
      </c>
      <c r="G302" s="1246" t="s">
        <v>2579</v>
      </c>
      <c r="H302" s="1089" t="s">
        <v>2837</v>
      </c>
      <c r="I302" s="1200"/>
      <c r="J302" s="1200"/>
      <c r="K302" s="1200"/>
      <c r="L302" s="1204"/>
      <c r="M302" s="1200"/>
      <c r="N302" s="1200"/>
      <c r="O302" s="1200"/>
      <c r="P302" s="1200" t="s">
        <v>2222</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8275</v>
      </c>
      <c r="B303" s="1375" t="s">
        <v>8276</v>
      </c>
      <c r="C303" s="1199" t="s">
        <v>4239</v>
      </c>
      <c r="D303" s="1328" t="s">
        <v>1713</v>
      </c>
      <c r="E303" s="1200" t="s">
        <v>4239</v>
      </c>
      <c r="F303" s="1087"/>
      <c r="G303" s="1200"/>
      <c r="H303" s="1107"/>
      <c r="I303" s="1200"/>
      <c r="J303" s="1200"/>
      <c r="K303" s="1200" t="s">
        <v>2339</v>
      </c>
      <c r="L303" s="1204"/>
      <c r="M303" s="1200"/>
      <c r="N303" s="1200"/>
      <c r="O303" s="1200"/>
      <c r="P303" s="1200"/>
      <c r="Q303" s="1202" t="s">
        <v>8277</v>
      </c>
      <c r="R303" s="1370"/>
      <c r="S303" s="1200"/>
      <c r="T303" s="1200"/>
      <c r="U303" s="1200" t="s">
        <v>2637</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8278</v>
      </c>
      <c r="C304" s="1199" t="s">
        <v>8216</v>
      </c>
      <c r="D304" s="1095" t="s">
        <v>1624</v>
      </c>
      <c r="E304" s="1089" t="s">
        <v>426</v>
      </c>
      <c r="F304" s="1123" t="s">
        <v>2581</v>
      </c>
      <c r="G304" s="1089" t="s">
        <v>1939</v>
      </c>
      <c r="H304" s="1089" t="s">
        <v>1341</v>
      </c>
      <c r="I304" s="1107"/>
      <c r="J304" s="1107"/>
      <c r="K304" s="1107"/>
      <c r="L304" s="1204"/>
      <c r="M304" s="1089" t="s">
        <v>970</v>
      </c>
      <c r="N304" s="1107" t="s">
        <v>817</v>
      </c>
      <c r="O304" s="1107"/>
      <c r="P304" s="1089" t="s">
        <v>8216</v>
      </c>
      <c r="Q304" s="1202" t="s">
        <v>1445</v>
      </c>
      <c r="R304" s="1098"/>
      <c r="S304" s="1107"/>
      <c r="T304" s="1107"/>
      <c r="U304" s="1107"/>
      <c r="V304" s="1107" t="s">
        <v>1607</v>
      </c>
      <c r="W304" s="1107"/>
      <c r="X304" s="1107"/>
      <c r="Y304" s="1107"/>
      <c r="Z304" s="1107"/>
      <c r="AA304" s="1107"/>
      <c r="AB304" s="1089" t="s">
        <v>5434</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8279</v>
      </c>
      <c r="B305" s="1368" t="s">
        <v>8280</v>
      </c>
      <c r="C305" s="1199" t="s">
        <v>6331</v>
      </c>
      <c r="D305" s="1200"/>
      <c r="E305" s="1200" t="s">
        <v>6331</v>
      </c>
      <c r="F305" s="1087"/>
      <c r="G305" s="1200"/>
      <c r="H305" s="1107"/>
      <c r="I305" s="1200" t="s">
        <v>8141</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8281</v>
      </c>
      <c r="C306" s="1199" t="s">
        <v>8050</v>
      </c>
      <c r="D306" s="1200"/>
      <c r="E306" s="1200" t="s">
        <v>1408</v>
      </c>
      <c r="F306" s="1161"/>
      <c r="G306" s="1200"/>
      <c r="H306" s="1107"/>
      <c r="I306" s="1200" t="s">
        <v>8050</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8282</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8283</v>
      </c>
      <c r="C308" s="1199" t="s">
        <v>2611</v>
      </c>
      <c r="D308" s="1251"/>
      <c r="E308" s="1251"/>
      <c r="F308" s="1161"/>
      <c r="G308" s="1251"/>
      <c r="H308" s="1107"/>
      <c r="I308" s="1251" t="s">
        <v>2611</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8284</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8285</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7611</v>
      </c>
      <c r="B311" s="1375" t="s">
        <v>7723</v>
      </c>
      <c r="C311" s="1084" t="s">
        <v>5968</v>
      </c>
      <c r="D311" s="1200"/>
      <c r="E311" s="1200" t="s">
        <v>3771</v>
      </c>
      <c r="F311" s="1087"/>
      <c r="G311" s="1089" t="s">
        <v>5968</v>
      </c>
      <c r="H311" s="1107"/>
      <c r="I311" s="1200" t="s">
        <v>6927</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8286</v>
      </c>
      <c r="B312" s="1377"/>
      <c r="C312" s="1084" t="s">
        <v>8287</v>
      </c>
      <c r="D312" s="1207"/>
      <c r="E312" s="1207"/>
      <c r="F312" s="1161"/>
      <c r="G312" s="1089" t="s">
        <v>8287</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8288</v>
      </c>
      <c r="B313" s="1375" t="s">
        <v>8289</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8290</v>
      </c>
      <c r="C314" s="1199" t="s">
        <v>3947</v>
      </c>
      <c r="D314" s="1248"/>
      <c r="E314" s="1248" t="s">
        <v>4187</v>
      </c>
      <c r="F314" s="1161"/>
      <c r="G314" s="1089" t="s">
        <v>3947</v>
      </c>
      <c r="H314" s="1107"/>
      <c r="I314" s="1089" t="s">
        <v>3947</v>
      </c>
      <c r="J314" s="1248"/>
      <c r="K314" s="1248"/>
      <c r="L314" s="1204"/>
      <c r="M314" s="1248"/>
      <c r="N314" s="1248" t="s">
        <v>7660</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8291</v>
      </c>
      <c r="B315" s="1376" t="s">
        <v>8292</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8293</v>
      </c>
      <c r="C316" s="1199"/>
      <c r="D316" s="1207"/>
      <c r="E316" s="1207"/>
      <c r="F316" s="1161"/>
      <c r="G316" s="1207"/>
      <c r="H316" s="1107"/>
      <c r="I316" s="1207"/>
      <c r="J316" s="1207"/>
      <c r="K316" s="1207"/>
      <c r="L316" s="1204"/>
      <c r="M316" s="1207"/>
      <c r="N316" s="1207"/>
      <c r="O316" s="1207" t="s">
        <v>5371</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8294</v>
      </c>
      <c r="B317" s="1376" t="s">
        <v>8295</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8296</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8297</v>
      </c>
      <c r="C319" s="1199"/>
      <c r="D319" s="1207"/>
      <c r="E319" s="1207"/>
      <c r="F319" s="1087"/>
      <c r="G319" s="1207"/>
      <c r="H319" s="1107"/>
      <c r="I319" s="1207"/>
      <c r="J319" s="1207"/>
      <c r="K319" s="1207"/>
      <c r="L319" s="1201" t="s">
        <v>8298</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8299</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8299</v>
      </c>
      <c r="C321" s="1199" t="s">
        <v>6550</v>
      </c>
      <c r="D321" s="1207"/>
      <c r="E321" s="1207"/>
      <c r="F321" s="1087"/>
      <c r="G321" s="1207"/>
      <c r="H321" s="1107"/>
      <c r="I321" s="1089" t="s">
        <v>6550</v>
      </c>
      <c r="J321" s="1207"/>
      <c r="K321" s="1207"/>
      <c r="L321" s="1204"/>
      <c r="M321" s="1207"/>
      <c r="N321" s="1207"/>
      <c r="O321" s="1207" t="s">
        <v>5930</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8300</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8301</v>
      </c>
      <c r="B323" s="1379" t="s">
        <v>8302</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8303</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8304</v>
      </c>
      <c r="C325" s="1199" t="s">
        <v>3031</v>
      </c>
      <c r="D325" s="1089" t="s">
        <v>406</v>
      </c>
      <c r="E325" s="1089" t="s">
        <v>5420</v>
      </c>
      <c r="F325" s="1116" t="s">
        <v>3564</v>
      </c>
      <c r="G325" s="1107" t="s">
        <v>1904</v>
      </c>
      <c r="H325" s="1107"/>
      <c r="I325" s="1107"/>
      <c r="J325" s="1107"/>
      <c r="K325" s="1107"/>
      <c r="L325" s="1204"/>
      <c r="M325" s="1107"/>
      <c r="N325" s="1107"/>
      <c r="O325" s="1107"/>
      <c r="P325" s="1107"/>
      <c r="Q325" s="1202"/>
      <c r="R325" s="1098"/>
      <c r="S325" s="1107"/>
      <c r="T325" s="1089" t="s">
        <v>5420</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8305</v>
      </c>
      <c r="B326" s="1379" t="s">
        <v>7717</v>
      </c>
      <c r="C326" s="1199" t="s">
        <v>5080</v>
      </c>
      <c r="D326" s="1107"/>
      <c r="E326" s="1089" t="s">
        <v>5080</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7718</v>
      </c>
      <c r="C327" s="1199" t="s">
        <v>4731</v>
      </c>
      <c r="D327" s="1107" t="s">
        <v>5133</v>
      </c>
      <c r="E327" s="1089" t="s">
        <v>4484</v>
      </c>
      <c r="F327" s="1116" t="s">
        <v>7037</v>
      </c>
      <c r="G327" s="1089" t="s">
        <v>4731</v>
      </c>
      <c r="H327" s="1107"/>
      <c r="I327" s="1107"/>
      <c r="J327" s="1107"/>
      <c r="K327" s="1107"/>
      <c r="L327" s="1204"/>
      <c r="M327" s="1107"/>
      <c r="N327" s="1107"/>
      <c r="O327" s="1107"/>
      <c r="P327" s="1107"/>
      <c r="Q327" s="1202"/>
      <c r="R327" s="1098"/>
      <c r="S327" s="1107"/>
      <c r="T327" s="1089" t="s">
        <v>7909</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7909</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8306</v>
      </c>
      <c r="B328" s="1379" t="s">
        <v>7595</v>
      </c>
      <c r="C328" s="1175" t="s">
        <v>3532</v>
      </c>
      <c r="D328" s="1129"/>
      <c r="E328" s="1128" t="s">
        <v>1699</v>
      </c>
      <c r="F328" s="1171" t="s">
        <v>3532</v>
      </c>
      <c r="G328" s="1128" t="s">
        <v>2389</v>
      </c>
      <c r="H328" s="1107"/>
      <c r="I328" s="1129"/>
      <c r="J328" s="1128" t="s">
        <v>1699</v>
      </c>
      <c r="K328" s="1129"/>
      <c r="L328" s="1127"/>
      <c r="M328" s="1128" t="s">
        <v>8307</v>
      </c>
      <c r="N328" s="1128" t="s">
        <v>8308</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8309</v>
      </c>
      <c r="B329" s="1379" t="s">
        <v>8310</v>
      </c>
      <c r="C329" s="1199" t="s">
        <v>8311</v>
      </c>
      <c r="D329" s="1107"/>
      <c r="E329" s="1089" t="s">
        <v>8311</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8312</v>
      </c>
      <c r="C330" s="1175" t="s">
        <v>8313</v>
      </c>
      <c r="D330" s="1107"/>
      <c r="E330" s="1089" t="s">
        <v>8314</v>
      </c>
      <c r="F330" s="1171" t="s">
        <v>8313</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8315</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8316</v>
      </c>
      <c r="B331" s="1368" t="s">
        <v>8317</v>
      </c>
      <c r="C331" s="1199" t="s">
        <v>4337</v>
      </c>
      <c r="D331" s="1107"/>
      <c r="E331" s="1089" t="s">
        <v>4337</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8318</v>
      </c>
      <c r="C332" s="1199" t="s">
        <v>3670</v>
      </c>
      <c r="D332" s="1107"/>
      <c r="E332" s="1089" t="s">
        <v>3670</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8319</v>
      </c>
      <c r="C333" s="1199" t="s">
        <v>8320</v>
      </c>
      <c r="D333" s="1107"/>
      <c r="E333" s="1089" t="s">
        <v>8320</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8321</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8322</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8323</v>
      </c>
      <c r="C336" s="1199" t="s">
        <v>8324</v>
      </c>
      <c r="D336" s="1107"/>
      <c r="E336" s="1089" t="s">
        <v>3926</v>
      </c>
      <c r="F336" s="1171" t="s">
        <v>1028</v>
      </c>
      <c r="G336" s="1089" t="s">
        <v>8324</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8325</v>
      </c>
      <c r="C337" s="1199" t="s">
        <v>8326</v>
      </c>
      <c r="D337" s="1207" t="s">
        <v>8327</v>
      </c>
      <c r="E337" s="1207"/>
      <c r="F337" s="1116" t="s">
        <v>8328</v>
      </c>
      <c r="G337" s="1089" t="s">
        <v>8329</v>
      </c>
      <c r="H337" s="1107"/>
      <c r="I337" s="1207"/>
      <c r="J337" s="1207"/>
      <c r="K337" s="1207"/>
      <c r="L337" s="1204"/>
      <c r="M337" s="1207"/>
      <c r="N337" s="1207"/>
      <c r="O337" s="1207"/>
      <c r="P337" s="1207"/>
      <c r="Q337" s="1209"/>
      <c r="R337" s="1098"/>
      <c r="S337" s="1207"/>
      <c r="T337" s="1089" t="s">
        <v>8330</v>
      </c>
      <c r="U337" s="1207"/>
      <c r="V337" s="1089" t="s">
        <v>8331</v>
      </c>
      <c r="W337" s="1207"/>
      <c r="X337" s="1207"/>
      <c r="Y337" s="1207"/>
      <c r="Z337" s="1207"/>
      <c r="AA337" s="1089" t="s">
        <v>8326</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8332</v>
      </c>
      <c r="B338" s="1368" t="s">
        <v>8333</v>
      </c>
      <c r="C338" s="1199"/>
      <c r="D338" s="1211"/>
      <c r="E338" s="1207"/>
      <c r="F338" s="1381"/>
      <c r="G338" s="1107" t="s">
        <v>8334</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8335</v>
      </c>
      <c r="C339" s="1199"/>
      <c r="D339" s="1211"/>
      <c r="E339" s="1207"/>
      <c r="F339" s="1381"/>
      <c r="G339" s="1107" t="s">
        <v>8336</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8337</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8338</v>
      </c>
      <c r="B341" s="1368" t="s">
        <v>7595</v>
      </c>
      <c r="C341" s="1084" t="s">
        <v>5850</v>
      </c>
      <c r="D341" s="1211" t="s">
        <v>5558</v>
      </c>
      <c r="E341" s="1207"/>
      <c r="F341" s="1171" t="s">
        <v>5850</v>
      </c>
      <c r="G341" s="1089" t="s">
        <v>4916</v>
      </c>
      <c r="H341" s="1107"/>
      <c r="I341" s="1207"/>
      <c r="J341" s="1089" t="s">
        <v>3963</v>
      </c>
      <c r="K341" s="1207"/>
      <c r="L341" s="1204"/>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8339</v>
      </c>
      <c r="B342" s="1368" t="s">
        <v>8340</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8341</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8337</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8342</v>
      </c>
      <c r="B345" s="1368" t="s">
        <v>8343</v>
      </c>
      <c r="C345" s="1199" t="s">
        <v>4753</v>
      </c>
      <c r="D345" s="1107"/>
      <c r="E345" s="1089" t="s">
        <v>4753</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8344</v>
      </c>
      <c r="C346" s="1084" t="s">
        <v>8345</v>
      </c>
      <c r="D346" s="1107" t="s">
        <v>1079</v>
      </c>
      <c r="E346" s="1089" t="s">
        <v>8346</v>
      </c>
      <c r="F346" s="1177" t="s">
        <v>8347</v>
      </c>
      <c r="G346" s="1107"/>
      <c r="H346" s="1107"/>
      <c r="I346" s="1107"/>
      <c r="J346" s="1089" t="s">
        <v>8348</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8349</v>
      </c>
      <c r="C347" s="1084" t="s">
        <v>8350</v>
      </c>
      <c r="D347" s="1107"/>
      <c r="E347" s="1107"/>
      <c r="F347" s="1170"/>
      <c r="G347" s="1107" t="s">
        <v>8351</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8350</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8352</v>
      </c>
      <c r="B348" s="1376" t="s">
        <v>8353</v>
      </c>
      <c r="C348" s="1199" t="s">
        <v>5850</v>
      </c>
      <c r="D348" s="1382"/>
      <c r="E348" s="1382"/>
      <c r="F348" s="1171" t="s">
        <v>8238</v>
      </c>
      <c r="G348" s="1246" t="s">
        <v>8354</v>
      </c>
      <c r="H348" s="1107"/>
      <c r="I348" s="1382"/>
      <c r="J348" s="1089" t="s">
        <v>5850</v>
      </c>
      <c r="K348" s="1382"/>
      <c r="L348" s="1204"/>
      <c r="M348" s="1382"/>
      <c r="N348" s="1382"/>
      <c r="O348" s="1382"/>
      <c r="P348" s="1382"/>
      <c r="Q348" s="1202"/>
      <c r="R348" s="1370"/>
      <c r="S348" s="1382"/>
      <c r="T348" s="1382"/>
      <c r="U348" s="1382"/>
      <c r="V348" s="1382"/>
      <c r="W348" s="1382"/>
      <c r="X348" s="1382"/>
      <c r="Y348" s="1382"/>
      <c r="Z348" s="1382"/>
      <c r="AA348" s="1089" t="s">
        <v>4485</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8355</v>
      </c>
      <c r="C349" s="1199" t="s">
        <v>4619</v>
      </c>
      <c r="D349" s="1107"/>
      <c r="E349" s="1089" t="s">
        <v>5817</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4619</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8356</v>
      </c>
      <c r="B350" s="1368" t="s">
        <v>8333</v>
      </c>
      <c r="C350" s="1089" t="s">
        <v>8357</v>
      </c>
      <c r="D350" s="1247"/>
      <c r="E350" s="1247"/>
      <c r="F350" s="1161"/>
      <c r="G350" s="1089" t="s">
        <v>8357</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8358</v>
      </c>
      <c r="C351" s="1199"/>
      <c r="D351" s="1247"/>
      <c r="E351" s="1247"/>
      <c r="F351" s="1161"/>
      <c r="G351" s="1107" t="s">
        <v>8357</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8359</v>
      </c>
      <c r="B352" s="1368" t="s">
        <v>7595</v>
      </c>
      <c r="C352" s="1199" t="s">
        <v>8360</v>
      </c>
      <c r="D352" s="1247"/>
      <c r="E352" s="1247"/>
      <c r="F352" s="1161"/>
      <c r="G352" s="1089" t="s">
        <v>8360</v>
      </c>
      <c r="H352" s="1107"/>
      <c r="I352" s="1247"/>
      <c r="J352" s="1247"/>
      <c r="K352" s="1247"/>
      <c r="L352" s="1204"/>
      <c r="M352" s="1247"/>
      <c r="N352" s="1089" t="s">
        <v>8361</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8362</v>
      </c>
      <c r="B353" s="1368" t="s">
        <v>8363</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8364</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8365</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8366</v>
      </c>
      <c r="C1" s="23" t="s">
        <v>10</v>
      </c>
      <c r="F1" s="23" t="s">
        <v>34</v>
      </c>
      <c r="H1" s="1384" t="s">
        <v>8367</v>
      </c>
      <c r="W1" s="1385" t="s">
        <v>8368</v>
      </c>
      <c r="AM1" s="1386" t="s">
        <v>8369</v>
      </c>
      <c r="BG1" s="1387" t="s">
        <v>8370</v>
      </c>
      <c r="BQ1" s="1388" t="s">
        <v>8371</v>
      </c>
      <c r="BV1" s="1389" t="s">
        <v>8372</v>
      </c>
      <c r="CE1" s="1384" t="s">
        <v>8373</v>
      </c>
      <c r="CM1" s="1390" t="s">
        <v>8374</v>
      </c>
      <c r="CP1" s="1391" t="s">
        <v>8375</v>
      </c>
      <c r="CT1" s="1392" t="s">
        <v>8376</v>
      </c>
      <c r="CU1" s="1393" t="s">
        <v>8377</v>
      </c>
    </row>
    <row r="2">
      <c r="A2" s="1394" t="s">
        <v>43</v>
      </c>
      <c r="B2" s="36" t="s">
        <v>44</v>
      </c>
      <c r="C2" s="36" t="s">
        <v>45</v>
      </c>
      <c r="F2" s="36" t="s">
        <v>8378</v>
      </c>
      <c r="H2" s="1395" t="s">
        <v>8379</v>
      </c>
      <c r="I2" s="1395" t="s">
        <v>8380</v>
      </c>
      <c r="J2" s="1395" t="s">
        <v>8381</v>
      </c>
      <c r="K2" s="1395" t="s">
        <v>8382</v>
      </c>
      <c r="L2" s="1395" t="s">
        <v>8383</v>
      </c>
      <c r="M2" s="1395" t="s">
        <v>8384</v>
      </c>
      <c r="N2" s="1395" t="s">
        <v>8385</v>
      </c>
      <c r="O2" s="1395" t="s">
        <v>8386</v>
      </c>
      <c r="P2" s="1395" t="s">
        <v>8387</v>
      </c>
      <c r="Q2" s="1395" t="s">
        <v>8388</v>
      </c>
      <c r="R2" s="1395" t="s">
        <v>8389</v>
      </c>
      <c r="S2" s="1395" t="s">
        <v>8390</v>
      </c>
      <c r="T2" s="1395" t="s">
        <v>8391</v>
      </c>
      <c r="U2" s="1395" t="s">
        <v>8392</v>
      </c>
      <c r="V2" s="1395" t="s">
        <v>8393</v>
      </c>
      <c r="W2" s="1396" t="s">
        <v>8394</v>
      </c>
      <c r="X2" s="1396" t="s">
        <v>8395</v>
      </c>
      <c r="Y2" s="1396" t="s">
        <v>8396</v>
      </c>
      <c r="Z2" s="1396" t="s">
        <v>8397</v>
      </c>
      <c r="AA2" s="1396" t="s">
        <v>8398</v>
      </c>
      <c r="AB2" s="1396" t="s">
        <v>8399</v>
      </c>
      <c r="AC2" s="1396" t="s">
        <v>8400</v>
      </c>
      <c r="AD2" s="1396" t="s">
        <v>8401</v>
      </c>
      <c r="AE2" s="1396" t="s">
        <v>8402</v>
      </c>
      <c r="AF2" s="1396" t="s">
        <v>8403</v>
      </c>
      <c r="AG2" s="1396" t="s">
        <v>8404</v>
      </c>
      <c r="AH2" s="1396" t="s">
        <v>8405</v>
      </c>
      <c r="AI2" s="1396" t="s">
        <v>8406</v>
      </c>
      <c r="AJ2" s="1396" t="s">
        <v>8407</v>
      </c>
      <c r="AK2" s="1396" t="s">
        <v>8408</v>
      </c>
      <c r="AL2" s="1396" t="s">
        <v>8409</v>
      </c>
      <c r="AM2" s="1397" t="s">
        <v>8410</v>
      </c>
      <c r="AN2" s="1397" t="s">
        <v>8411</v>
      </c>
      <c r="AO2" s="1397" t="s">
        <v>8412</v>
      </c>
      <c r="AP2" s="1397" t="s">
        <v>8413</v>
      </c>
      <c r="AQ2" s="1397" t="s">
        <v>8414</v>
      </c>
      <c r="AR2" s="1397" t="s">
        <v>8415</v>
      </c>
      <c r="AS2" s="1397" t="s">
        <v>8416</v>
      </c>
      <c r="AT2" s="1397" t="s">
        <v>8417</v>
      </c>
      <c r="AU2" s="1397" t="s">
        <v>8418</v>
      </c>
      <c r="AV2" s="1397" t="s">
        <v>8419</v>
      </c>
      <c r="AW2" s="1397" t="s">
        <v>8420</v>
      </c>
      <c r="AX2" s="1397" t="s">
        <v>8421</v>
      </c>
      <c r="AY2" s="1397" t="s">
        <v>8422</v>
      </c>
      <c r="AZ2" s="1397" t="s">
        <v>8423</v>
      </c>
      <c r="BA2" s="1397" t="s">
        <v>8424</v>
      </c>
      <c r="BB2" s="1397" t="s">
        <v>8425</v>
      </c>
      <c r="BC2" s="1397" t="s">
        <v>8426</v>
      </c>
      <c r="BD2" s="1397" t="s">
        <v>8427</v>
      </c>
      <c r="BE2" s="1397" t="s">
        <v>8428</v>
      </c>
      <c r="BF2" s="1397" t="s">
        <v>8429</v>
      </c>
      <c r="BG2" s="1398" t="s">
        <v>8430</v>
      </c>
      <c r="BH2" s="1398" t="s">
        <v>8431</v>
      </c>
      <c r="BI2" s="1398" t="s">
        <v>8432</v>
      </c>
      <c r="BJ2" s="1398" t="s">
        <v>8433</v>
      </c>
      <c r="BK2" s="1398" t="s">
        <v>8434</v>
      </c>
      <c r="BL2" s="1398" t="s">
        <v>8435</v>
      </c>
      <c r="BM2" s="1398" t="s">
        <v>8436</v>
      </c>
      <c r="BN2" s="1398" t="s">
        <v>8437</v>
      </c>
      <c r="BO2" s="1398" t="s">
        <v>8438</v>
      </c>
      <c r="BP2" s="1398" t="s">
        <v>8439</v>
      </c>
      <c r="BQ2" s="1399" t="s">
        <v>8440</v>
      </c>
      <c r="BR2" s="1399" t="s">
        <v>8441</v>
      </c>
      <c r="BS2" s="1399" t="s">
        <v>8442</v>
      </c>
      <c r="BT2" s="1399" t="s">
        <v>8443</v>
      </c>
      <c r="BU2" s="1399" t="s">
        <v>8444</v>
      </c>
      <c r="BV2" s="1400" t="s">
        <v>8445</v>
      </c>
      <c r="BW2" s="1400" t="s">
        <v>8446</v>
      </c>
      <c r="BX2" s="1400" t="s">
        <v>8447</v>
      </c>
      <c r="BY2" s="1400" t="s">
        <v>8448</v>
      </c>
      <c r="BZ2" s="1400" t="s">
        <v>8449</v>
      </c>
      <c r="CA2" s="1400" t="s">
        <v>8450</v>
      </c>
      <c r="CB2" s="1400" t="s">
        <v>8451</v>
      </c>
      <c r="CC2" s="1400" t="s">
        <v>8452</v>
      </c>
      <c r="CD2" s="1400" t="s">
        <v>8453</v>
      </c>
      <c r="CE2" s="1401" t="s">
        <v>8379</v>
      </c>
      <c r="CF2" s="1401" t="s">
        <v>8382</v>
      </c>
      <c r="CG2" s="1401" t="s">
        <v>8386</v>
      </c>
      <c r="CH2" s="1401" t="s">
        <v>8388</v>
      </c>
      <c r="CI2" s="1401" t="s">
        <v>8389</v>
      </c>
      <c r="CJ2" s="1401" t="s">
        <v>8392</v>
      </c>
      <c r="CK2" s="1401" t="s">
        <v>8454</v>
      </c>
      <c r="CL2" s="1401" t="s">
        <v>8455</v>
      </c>
      <c r="CM2" s="1402" t="s">
        <v>8456</v>
      </c>
      <c r="CN2" s="1402" t="s">
        <v>8457</v>
      </c>
      <c r="CO2" s="1402" t="s">
        <v>8458</v>
      </c>
      <c r="CP2" s="1022" t="s">
        <v>8459</v>
      </c>
      <c r="CQ2" s="1022" t="s">
        <v>8460</v>
      </c>
      <c r="CR2" s="1022" t="s">
        <v>8461</v>
      </c>
      <c r="CS2" s="1022" t="s">
        <v>8462</v>
      </c>
      <c r="CT2" s="1403" t="s">
        <v>8463</v>
      </c>
      <c r="CU2" s="1404" t="s">
        <v>8464</v>
      </c>
    </row>
    <row r="3">
      <c r="A3" s="1405" t="s">
        <v>2460</v>
      </c>
      <c r="B3" s="810" t="s">
        <v>8465</v>
      </c>
      <c r="C3" s="806" t="s">
        <v>7479</v>
      </c>
      <c r="D3" s="807" t="s">
        <v>6287</v>
      </c>
      <c r="E3" s="808" t="s">
        <v>2773</v>
      </c>
      <c r="F3" s="809" t="s">
        <v>1350</v>
      </c>
      <c r="G3" s="810" t="s">
        <v>1350</v>
      </c>
      <c r="H3" s="1003" t="s">
        <v>8466</v>
      </c>
      <c r="I3" s="1003" t="s">
        <v>8467</v>
      </c>
      <c r="J3" s="1040" t="s">
        <v>8468</v>
      </c>
      <c r="K3" s="1003" t="s">
        <v>8469</v>
      </c>
      <c r="L3" s="1049" t="s">
        <v>8470</v>
      </c>
      <c r="M3" s="1045" t="s">
        <v>8471</v>
      </c>
      <c r="N3" s="1045" t="s">
        <v>8472</v>
      </c>
      <c r="O3" s="1044" t="s">
        <v>8473</v>
      </c>
      <c r="P3" s="1044" t="s">
        <v>8474</v>
      </c>
      <c r="Q3" s="1003" t="s">
        <v>8475</v>
      </c>
      <c r="R3" s="1003" t="s">
        <v>8476</v>
      </c>
      <c r="S3" s="1003" t="s">
        <v>8477</v>
      </c>
      <c r="T3" s="1003" t="s">
        <v>8478</v>
      </c>
      <c r="U3" s="1003" t="s">
        <v>8479</v>
      </c>
      <c r="V3" s="1003" t="s">
        <v>8480</v>
      </c>
      <c r="W3" s="1044" t="s">
        <v>2132</v>
      </c>
      <c r="X3" s="1003" t="s">
        <v>1821</v>
      </c>
      <c r="Y3" s="1003" t="s">
        <v>2739</v>
      </c>
      <c r="Z3" s="1039" t="s">
        <v>8481</v>
      </c>
      <c r="AA3" s="1045" t="s">
        <v>8482</v>
      </c>
      <c r="AB3" s="1039" t="s">
        <v>8483</v>
      </c>
      <c r="AC3" s="1003" t="s">
        <v>8484</v>
      </c>
      <c r="AD3" s="1003" t="s">
        <v>4484</v>
      </c>
      <c r="AE3" s="1044" t="s">
        <v>8485</v>
      </c>
      <c r="AF3" s="1003" t="s">
        <v>8486</v>
      </c>
      <c r="AG3" s="1044" t="s">
        <v>8487</v>
      </c>
      <c r="AH3" s="1045" t="s">
        <v>8488</v>
      </c>
      <c r="AI3" s="1003" t="s">
        <v>6761</v>
      </c>
      <c r="AJ3" s="1045" t="s">
        <v>8489</v>
      </c>
      <c r="AK3" s="1003" t="s">
        <v>8490</v>
      </c>
      <c r="AL3" s="1039" t="s">
        <v>5333</v>
      </c>
      <c r="AM3" s="1045" t="s">
        <v>8491</v>
      </c>
      <c r="AN3" s="1039" t="s">
        <v>8492</v>
      </c>
      <c r="AO3" s="1039" t="s">
        <v>8493</v>
      </c>
      <c r="AP3" s="1045" t="s">
        <v>8494</v>
      </c>
      <c r="AQ3" s="1045" t="s">
        <v>8495</v>
      </c>
      <c r="AR3" s="1045" t="s">
        <v>8496</v>
      </c>
      <c r="AS3" s="1045" t="s">
        <v>8497</v>
      </c>
      <c r="AT3" s="1045" t="s">
        <v>8498</v>
      </c>
      <c r="AU3" s="1003" t="s">
        <v>8499</v>
      </c>
      <c r="AV3" s="1406" t="s">
        <v>8500</v>
      </c>
      <c r="AW3" s="1044" t="s">
        <v>8501</v>
      </c>
      <c r="AX3" s="1045" t="s">
        <v>8502</v>
      </c>
      <c r="AY3" s="1045" t="s">
        <v>8503</v>
      </c>
      <c r="AZ3" s="1045" t="s">
        <v>8504</v>
      </c>
      <c r="BA3" s="1045" t="s">
        <v>8505</v>
      </c>
      <c r="BB3" s="1044" t="s">
        <v>8506</v>
      </c>
      <c r="BC3" s="1003" t="s">
        <v>8507</v>
      </c>
      <c r="BD3" s="1003" t="s">
        <v>8508</v>
      </c>
      <c r="BE3" s="1044" t="s">
        <v>8509</v>
      </c>
      <c r="BF3" s="1045" t="s">
        <v>8510</v>
      </c>
      <c r="BG3" s="1003" t="s">
        <v>8511</v>
      </c>
      <c r="BH3" s="1039" t="s">
        <v>8512</v>
      </c>
      <c r="BI3" s="1039" t="s">
        <v>8513</v>
      </c>
      <c r="BJ3" s="1045" t="s">
        <v>8514</v>
      </c>
      <c r="BK3" s="1045" t="s">
        <v>8515</v>
      </c>
      <c r="BL3" s="1045" t="s">
        <v>8516</v>
      </c>
      <c r="BM3" s="1044" t="s">
        <v>8517</v>
      </c>
      <c r="BN3" s="1045" t="s">
        <v>8518</v>
      </c>
      <c r="BO3" s="1045" t="s">
        <v>8519</v>
      </c>
      <c r="BP3" s="1039" t="s">
        <v>8520</v>
      </c>
      <c r="BQ3" s="1039" t="s">
        <v>8521</v>
      </c>
      <c r="BR3" s="1039" t="s">
        <v>8522</v>
      </c>
      <c r="BS3" s="1039" t="s">
        <v>8523</v>
      </c>
      <c r="BT3" s="1039" t="s">
        <v>8524</v>
      </c>
      <c r="BU3" s="1039" t="s">
        <v>8525</v>
      </c>
      <c r="BV3" s="1407" t="s">
        <v>2468</v>
      </c>
      <c r="BW3" s="1045" t="s">
        <v>2478</v>
      </c>
      <c r="BX3" s="1044" t="s">
        <v>2490</v>
      </c>
      <c r="BY3" s="1039" t="s">
        <v>8526</v>
      </c>
      <c r="BZ3" s="1045" t="s">
        <v>8527</v>
      </c>
      <c r="CA3" s="1039" t="s">
        <v>1281</v>
      </c>
      <c r="CB3" s="1039" t="s">
        <v>8528</v>
      </c>
      <c r="CC3" s="1039" t="s">
        <v>3651</v>
      </c>
      <c r="CD3" s="1408" t="s">
        <v>2520</v>
      </c>
      <c r="CE3" s="1044" t="s">
        <v>8529</v>
      </c>
      <c r="CF3" s="1045" t="s">
        <v>8530</v>
      </c>
      <c r="CG3" s="1045" t="s">
        <v>8531</v>
      </c>
      <c r="CH3" s="1039" t="s">
        <v>8532</v>
      </c>
      <c r="CI3" s="1045" t="s">
        <v>8533</v>
      </c>
      <c r="CJ3" s="1044" t="s">
        <v>8534</v>
      </c>
      <c r="CK3" s="1039" t="s">
        <v>8535</v>
      </c>
      <c r="CL3" s="1003" t="s">
        <v>7378</v>
      </c>
      <c r="CM3" s="1039" t="s">
        <v>8536</v>
      </c>
      <c r="CN3" s="1039" t="s">
        <v>8537</v>
      </c>
      <c r="CO3" s="1045" t="s">
        <v>8538</v>
      </c>
      <c r="CP3" s="1044" t="s">
        <v>8539</v>
      </c>
      <c r="CQ3" s="1039" t="s">
        <v>8540</v>
      </c>
      <c r="CR3" s="1039" t="s">
        <v>8541</v>
      </c>
      <c r="CS3" s="1045" t="s">
        <v>8542</v>
      </c>
      <c r="CT3" s="1039" t="s">
        <v>8543</v>
      </c>
      <c r="CU3" s="1039" t="s">
        <v>8544</v>
      </c>
    </row>
    <row r="4">
      <c r="A4" s="1409" t="s">
        <v>7588</v>
      </c>
      <c r="B4" s="810" t="s">
        <v>8545</v>
      </c>
      <c r="C4" s="806" t="s">
        <v>3574</v>
      </c>
      <c r="D4" s="807" t="s">
        <v>3873</v>
      </c>
      <c r="E4" s="808" t="s">
        <v>650</v>
      </c>
      <c r="F4" s="809" t="s">
        <v>4786</v>
      </c>
      <c r="G4" s="810" t="s">
        <v>3847</v>
      </c>
      <c r="H4" s="1044" t="s">
        <v>8546</v>
      </c>
      <c r="I4" s="1039" t="s">
        <v>4269</v>
      </c>
      <c r="J4" s="1039" t="s">
        <v>8547</v>
      </c>
      <c r="K4" s="1003" t="s">
        <v>8548</v>
      </c>
      <c r="L4" s="1039" t="s">
        <v>8549</v>
      </c>
      <c r="M4" s="1001"/>
      <c r="N4" s="1001"/>
      <c r="O4" s="1003" t="s">
        <v>8550</v>
      </c>
      <c r="P4" s="1001"/>
      <c r="Q4" s="1000" t="s">
        <v>8551</v>
      </c>
      <c r="R4" s="1045" t="s">
        <v>8552</v>
      </c>
      <c r="S4" s="1001"/>
      <c r="T4" s="1039" t="s">
        <v>8553</v>
      </c>
      <c r="U4" s="1039" t="s">
        <v>8554</v>
      </c>
      <c r="V4" s="1000" t="s">
        <v>8555</v>
      </c>
      <c r="W4" s="1001"/>
      <c r="X4" s="1044" t="s">
        <v>6278</v>
      </c>
      <c r="Y4" s="1045" t="s">
        <v>2542</v>
      </c>
      <c r="Z4" s="1001"/>
      <c r="AA4" s="1039" t="s">
        <v>8556</v>
      </c>
      <c r="AB4" s="1001"/>
      <c r="AC4" s="1001"/>
      <c r="AD4" s="1000" t="s">
        <v>8557</v>
      </c>
      <c r="AE4" s="1034"/>
      <c r="AF4" s="1003" t="s">
        <v>465</v>
      </c>
      <c r="AG4" s="1034"/>
      <c r="AH4" s="1039" t="s">
        <v>8558</v>
      </c>
      <c r="AI4" s="1001"/>
      <c r="AJ4" s="1039" t="s">
        <v>6758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8544</v>
      </c>
      <c r="CK4" s="1414"/>
      <c r="CL4" s="1413" t="s">
        <v>8585</v>
      </c>
      <c r="CM4" s="1415" t="s">
        <v>2155</v>
      </c>
      <c r="CN4" s="1416" t="s">
        <v>3383</v>
      </c>
      <c r="CO4" s="1417"/>
      <c r="CP4" s="1413" t="s">
        <v>8586</v>
      </c>
      <c r="CQ4" s="1417"/>
      <c r="CR4" s="1417"/>
      <c r="CS4" s="1413" t="s">
        <v>8587</v>
      </c>
      <c r="CT4" s="1001"/>
      <c r="CU4" s="1001"/>
    </row>
    <row r="5">
      <c r="A5" s="1418" t="s">
        <v>7590</v>
      </c>
      <c r="B5" s="810" t="s">
        <v>8588</v>
      </c>
      <c r="C5" s="806" t="s">
        <v>439</v>
      </c>
      <c r="D5" s="807" t="s">
        <v>1200</v>
      </c>
      <c r="E5" s="808" t="s">
        <v>1055</v>
      </c>
      <c r="F5" s="809" t="s">
        <v>4905</v>
      </c>
      <c r="G5" s="810" t="s">
        <v>4410</v>
      </c>
      <c r="H5" s="1000" t="s">
        <v>8589</v>
      </c>
      <c r="I5" s="1003" t="s">
        <v>8590</v>
      </c>
      <c r="J5" s="1000" t="s">
        <v>6470</v>
      </c>
      <c r="K5" s="1039" t="s">
        <v>8591</v>
      </c>
      <c r="L5" s="1044" t="s">
        <v>8592</v>
      </c>
      <c r="M5" s="1044" t="s">
        <v>3759</v>
      </c>
      <c r="N5" s="1000" t="s">
        <v>8593</v>
      </c>
      <c r="O5" s="1003" t="s">
        <v>8594</v>
      </c>
      <c r="P5" s="1039" t="s">
        <v>8595</v>
      </c>
      <c r="Q5" s="1045" t="s">
        <v>8596</v>
      </c>
      <c r="R5" s="1003" t="s">
        <v>8597</v>
      </c>
      <c r="S5" s="1045" t="s">
        <v>8598</v>
      </c>
      <c r="T5" s="1044" t="s">
        <v>8599</v>
      </c>
      <c r="U5" s="1045" t="s">
        <v>8600</v>
      </c>
      <c r="V5" s="1044" t="s">
        <v>8601</v>
      </c>
      <c r="W5" s="1000" t="s">
        <v>2358</v>
      </c>
      <c r="X5" s="1047" t="s">
        <v>1692</v>
      </c>
      <c r="Y5" s="1000" t="s">
        <v>2018</v>
      </c>
      <c r="Z5" s="1047" t="s">
        <v>8602</v>
      </c>
      <c r="AA5" s="1000" t="s">
        <v>4461</v>
      </c>
      <c r="AB5" s="1000"/>
      <c r="AC5" s="1000" t="s">
        <v>3456</v>
      </c>
      <c r="AD5" s="1000" t="s">
        <v>3885</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5171</v>
      </c>
      <c r="BA5" s="1044" t="s">
        <v>8621</v>
      </c>
      <c r="BB5" s="1003" t="s">
        <v>8622</v>
      </c>
      <c r="BC5" s="1044" t="s">
        <v>8623</v>
      </c>
      <c r="BD5" s="1045" t="s">
        <v>4679</v>
      </c>
      <c r="BE5" s="1000"/>
      <c r="BF5" s="1044" t="s">
        <v>8624</v>
      </c>
      <c r="BG5" s="1045" t="s">
        <v>8625</v>
      </c>
      <c r="BH5" s="1044" t="s">
        <v>8626</v>
      </c>
      <c r="BI5" s="1045" t="s">
        <v>8627</v>
      </c>
      <c r="BJ5" s="1039" t="s">
        <v>8519</v>
      </c>
      <c r="BK5" s="1000"/>
      <c r="BL5" s="1039" t="s">
        <v>8628</v>
      </c>
      <c r="BM5" s="1047" t="s">
        <v>8629</v>
      </c>
      <c r="BN5" s="1000"/>
      <c r="BO5" s="1039" t="s">
        <v>8630</v>
      </c>
      <c r="BP5" s="1000"/>
      <c r="BQ5" s="1000" t="s">
        <v>8631</v>
      </c>
      <c r="BR5" s="1001"/>
      <c r="BS5" s="1000" t="s">
        <v>8632</v>
      </c>
      <c r="BT5" s="1001"/>
      <c r="BU5" s="1000" t="s">
        <v>8633</v>
      </c>
      <c r="BV5" s="1001"/>
      <c r="BW5" s="1038"/>
      <c r="BX5" s="1047" t="s">
        <v>3968</v>
      </c>
      <c r="BY5" s="1001"/>
      <c r="BZ5" s="1001"/>
      <c r="CA5" s="1047" t="s">
        <v>3490</v>
      </c>
      <c r="CB5" s="1045" t="s">
        <v>257</v>
      </c>
      <c r="CC5" s="1003" t="s">
        <v>1607</v>
      </c>
      <c r="CD5" s="1047"/>
      <c r="CE5" s="1000" t="s">
        <v>8634</v>
      </c>
      <c r="CF5" s="1000" t="s">
        <v>8635</v>
      </c>
      <c r="CG5" s="1000"/>
      <c r="CH5" s="1000"/>
      <c r="CI5" s="1000"/>
      <c r="CJ5" s="1000"/>
      <c r="CK5" s="1000"/>
      <c r="CL5" s="1000"/>
      <c r="CM5" s="1000"/>
      <c r="CN5" s="1045" t="s">
        <v>8636</v>
      </c>
      <c r="CO5" s="1039" t="s">
        <v>7770</v>
      </c>
      <c r="CP5" s="1045" t="s">
        <v>8637</v>
      </c>
      <c r="CQ5" s="1000" t="s">
        <v>8638</v>
      </c>
      <c r="CR5" s="1000"/>
      <c r="CS5" s="1000"/>
      <c r="CT5" s="1047" t="s">
        <v>8639</v>
      </c>
      <c r="CU5" s="1000"/>
    </row>
    <row r="6">
      <c r="A6" s="1419" t="s">
        <v>7042</v>
      </c>
      <c r="B6" s="810" t="s">
        <v>8640</v>
      </c>
      <c r="C6" s="806" t="s">
        <v>438</v>
      </c>
      <c r="D6" s="807" t="s">
        <v>438</v>
      </c>
      <c r="E6" s="808" t="s">
        <v>438</v>
      </c>
      <c r="F6" s="809" t="s">
        <v>6287</v>
      </c>
      <c r="G6" s="810" t="s">
        <v>3574</v>
      </c>
      <c r="H6" s="1420" t="s">
        <v>8641</v>
      </c>
      <c r="I6" s="1420" t="s">
        <v>8642</v>
      </c>
      <c r="J6" s="1001"/>
      <c r="K6" s="1000" t="s">
        <v>8643</v>
      </c>
      <c r="L6" s="1001"/>
      <c r="M6" s="1003" t="s">
        <v>8644</v>
      </c>
      <c r="N6" s="1001"/>
      <c r="O6" s="1003" t="s">
        <v>8645</v>
      </c>
      <c r="P6" s="1003" t="s">
        <v>8646</v>
      </c>
      <c r="Q6" s="1001"/>
      <c r="R6" s="1003" t="s">
        <v>8647</v>
      </c>
      <c r="S6" s="1001"/>
      <c r="T6" s="1000" t="s">
        <v>8648</v>
      </c>
      <c r="U6" s="1003" t="s">
        <v>7074</v>
      </c>
      <c r="V6" s="1039" t="s">
        <v>8649</v>
      </c>
      <c r="W6" s="1003" t="s">
        <v>1296</v>
      </c>
      <c r="X6" s="1003" t="s">
        <v>1636</v>
      </c>
      <c r="Y6" s="1003" t="s">
        <v>1581</v>
      </c>
      <c r="Z6" s="1045" t="s">
        <v>5436</v>
      </c>
      <c r="AA6" s="1034"/>
      <c r="AB6" s="1421" t="s">
        <v>8650</v>
      </c>
      <c r="AC6" s="1003" t="s">
        <v>3415</v>
      </c>
      <c r="AD6" s="1003" t="s">
        <v>4731</v>
      </c>
      <c r="AE6" s="1034"/>
      <c r="AF6" s="1044" t="s">
        <v>7419</v>
      </c>
      <c r="AG6" s="1001"/>
      <c r="AH6" s="1003" t="s">
        <v>8651</v>
      </c>
      <c r="AI6" s="1045" t="s">
        <v>5060</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5379</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5458</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8664</v>
      </c>
      <c r="C7" s="806" t="s">
        <v>547</v>
      </c>
      <c r="D7" s="807" t="s">
        <v>332</v>
      </c>
      <c r="E7" s="808" t="s">
        <v>650</v>
      </c>
      <c r="F7" s="809" t="s">
        <v>333</v>
      </c>
      <c r="G7" s="810" t="s">
        <v>5884</v>
      </c>
      <c r="H7" s="1000" t="s">
        <v>8665</v>
      </c>
      <c r="I7" s="1000" t="s">
        <v>7313</v>
      </c>
      <c r="J7" s="1000"/>
      <c r="K7" s="1044" t="s">
        <v>8666</v>
      </c>
      <c r="L7" s="1045" t="s">
        <v>8667</v>
      </c>
      <c r="M7" s="1000"/>
      <c r="N7" s="1000"/>
      <c r="O7" s="1003" t="s">
        <v>8668</v>
      </c>
      <c r="P7" s="1000" t="s">
        <v>8669</v>
      </c>
      <c r="Q7" s="1000" t="s">
        <v>8670</v>
      </c>
      <c r="R7" s="1039" t="s">
        <v>8671</v>
      </c>
      <c r="S7" s="1000"/>
      <c r="T7" s="1003" t="s">
        <v>8672</v>
      </c>
      <c r="U7" s="1044" t="s">
        <v>8673</v>
      </c>
      <c r="V7" s="1000"/>
      <c r="W7" s="1000" t="s">
        <v>7617</v>
      </c>
      <c r="X7" s="1000"/>
      <c r="Y7" s="1000" t="s">
        <v>8674</v>
      </c>
      <c r="Z7" s="1044" t="s">
        <v>122</v>
      </c>
      <c r="AA7" s="1034"/>
      <c r="AB7" s="1034"/>
      <c r="AC7" s="1000" t="s">
        <v>8675</v>
      </c>
      <c r="AD7" s="1001"/>
      <c r="AE7" s="1045" t="s">
        <v>8676</v>
      </c>
      <c r="AF7" s="1000" t="s">
        <v>8677</v>
      </c>
      <c r="AG7" s="1000"/>
      <c r="AH7" s="1000" t="s">
        <v>2555</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3099</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7915</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4937</v>
      </c>
      <c r="B8" s="810" t="s">
        <v>7158</v>
      </c>
      <c r="C8" s="806" t="s">
        <v>547</v>
      </c>
      <c r="D8" s="807" t="s">
        <v>332</v>
      </c>
      <c r="E8" s="808" t="s">
        <v>439</v>
      </c>
      <c r="F8" s="809" t="s">
        <v>4117</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5159</v>
      </c>
      <c r="X8" s="1003" t="s">
        <v>8700</v>
      </c>
      <c r="Y8" s="1003" t="s">
        <v>3038</v>
      </c>
      <c r="Z8" s="1001"/>
      <c r="AA8" s="1001"/>
      <c r="AB8" s="1001"/>
      <c r="AC8" s="1003" t="s">
        <v>4159</v>
      </c>
      <c r="AD8" s="1085" t="s">
        <v>4283</v>
      </c>
      <c r="AE8" s="1001"/>
      <c r="AF8" s="1001"/>
      <c r="AG8" s="1039" t="s">
        <v>8701</v>
      </c>
      <c r="AH8" s="1047" t="s">
        <v>5487</v>
      </c>
      <c r="AI8" s="1044" t="s">
        <v>1298</v>
      </c>
      <c r="AJ8" s="1001"/>
      <c r="AK8" s="1047" t="s">
        <v>4839</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4117</v>
      </c>
      <c r="CM8" s="1414"/>
      <c r="CN8" s="1425" t="s">
        <v>5858</v>
      </c>
      <c r="CO8" s="1414"/>
      <c r="CP8" s="1414"/>
      <c r="CQ8" s="1414"/>
      <c r="CR8" s="1415" t="s">
        <v>7025</v>
      </c>
      <c r="CS8" s="1414"/>
      <c r="CT8" s="1001"/>
      <c r="CU8" s="1001"/>
    </row>
    <row r="9">
      <c r="A9" s="1426" t="s">
        <v>8716</v>
      </c>
      <c r="B9" s="810" t="s">
        <v>8717</v>
      </c>
      <c r="C9" s="806" t="s">
        <v>1260</v>
      </c>
      <c r="D9" s="807" t="s">
        <v>438</v>
      </c>
      <c r="E9" s="808" t="s">
        <v>439</v>
      </c>
      <c r="F9" s="809" t="s">
        <v>222</v>
      </c>
      <c r="G9" s="810" t="s">
        <v>7025</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3778</v>
      </c>
      <c r="Y9" s="1140" t="s">
        <v>5057</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3640</v>
      </c>
      <c r="BX9" s="1045" t="s">
        <v>2317</v>
      </c>
      <c r="BY9" s="1427" t="s">
        <v>3278</v>
      </c>
      <c r="BZ9" s="1034"/>
      <c r="CA9" s="1045" t="s">
        <v>2043</v>
      </c>
      <c r="CB9" s="1427" t="s">
        <v>2855</v>
      </c>
      <c r="CC9" s="1421" t="s">
        <v>3513</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4117</v>
      </c>
      <c r="G10" s="810" t="s">
        <v>2994</v>
      </c>
      <c r="H10" s="1420" t="s">
        <v>8736</v>
      </c>
      <c r="I10" s="1420" t="s">
        <v>8737</v>
      </c>
      <c r="J10" s="1001"/>
      <c r="K10" s="1003" t="s">
        <v>8738</v>
      </c>
      <c r="L10" s="1003" t="s">
        <v>8739</v>
      </c>
      <c r="M10" s="1001"/>
      <c r="N10" s="1001"/>
      <c r="O10" s="1003" t="s">
        <v>8740</v>
      </c>
      <c r="P10" s="1003" t="s">
        <v>8741</v>
      </c>
      <c r="Q10" s="1044" t="s">
        <v>5145</v>
      </c>
      <c r="R10" s="1003" t="s">
        <v>8742</v>
      </c>
      <c r="S10" s="1003" t="s">
        <v>8743</v>
      </c>
      <c r="T10" s="1003" t="s">
        <v>8744</v>
      </c>
      <c r="U10" s="1003" t="s">
        <v>6064</v>
      </c>
      <c r="V10" s="1001"/>
      <c r="W10" s="1001"/>
      <c r="X10" s="1003" t="s">
        <v>147</v>
      </c>
      <c r="Y10" s="1085" t="s">
        <v>2259</v>
      </c>
      <c r="Z10" s="1001"/>
      <c r="AA10" s="1003" t="s">
        <v>6157</v>
      </c>
      <c r="AB10" s="1001"/>
      <c r="AC10" s="1003" t="s">
        <v>2257</v>
      </c>
      <c r="AD10" s="1003" t="s">
        <v>2299</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2992</v>
      </c>
      <c r="B11" s="810" t="s">
        <v>8758</v>
      </c>
      <c r="C11" s="806" t="s">
        <v>547</v>
      </c>
      <c r="D11" s="807" t="s">
        <v>438</v>
      </c>
      <c r="E11" s="808" t="s">
        <v>438</v>
      </c>
      <c r="F11" s="809" t="s">
        <v>3061</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3029</v>
      </c>
      <c r="T11" s="1001"/>
      <c r="U11" s="1000" t="s">
        <v>4008</v>
      </c>
      <c r="V11" s="1001"/>
      <c r="W11" s="1000" t="s">
        <v>5014</v>
      </c>
      <c r="X11" s="1003" t="s">
        <v>3671</v>
      </c>
      <c r="Y11" s="1003" t="s">
        <v>8766</v>
      </c>
      <c r="Z11" s="1001"/>
      <c r="AA11" s="1003" t="s">
        <v>5777</v>
      </c>
      <c r="AB11" s="1001"/>
      <c r="AC11" s="1000" t="s">
        <v>5918</v>
      </c>
      <c r="AD11" s="1000" t="s">
        <v>2058</v>
      </c>
      <c r="AE11" s="1000"/>
      <c r="AF11" s="1000" t="s">
        <v>5724</v>
      </c>
      <c r="AG11" s="1001"/>
      <c r="AH11" s="1001"/>
      <c r="AI11" s="1001"/>
      <c r="AJ11" s="1001"/>
      <c r="AK11" s="1001"/>
      <c r="AL11" s="1001"/>
      <c r="AM11" s="1003" t="s">
        <v>8767</v>
      </c>
      <c r="AN11" s="1045" t="s">
        <v>8746</v>
      </c>
      <c r="AO11" s="1045" t="s">
        <v>8768</v>
      </c>
      <c r="AP11" s="1000" t="s">
        <v>8752</v>
      </c>
      <c r="AQ11" s="1000" t="s">
        <v>8752</v>
      </c>
      <c r="AR11" s="1044" t="s">
        <v>8769</v>
      </c>
      <c r="AS11" s="1000" t="s">
        <v>8513</v>
      </c>
      <c r="AT11" s="1000"/>
      <c r="AU11" s="1044" t="s">
        <v>8770</v>
      </c>
      <c r="AV11" s="1000" t="s">
        <v>8727</v>
      </c>
      <c r="AW11" s="1000" t="s">
        <v>8771</v>
      </c>
      <c r="AX11" s="1001"/>
      <c r="AY11" s="1039" t="s">
        <v>8772</v>
      </c>
      <c r="AZ11" s="1000" t="s">
        <v>5171</v>
      </c>
      <c r="BA11" s="1000"/>
      <c r="BB11" s="1000" t="s">
        <v>8508</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3648</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3195</v>
      </c>
      <c r="B12" s="810" t="s">
        <v>8776</v>
      </c>
      <c r="C12" s="806" t="s">
        <v>1260</v>
      </c>
      <c r="D12" s="807" t="s">
        <v>1260</v>
      </c>
      <c r="E12" s="808" t="s">
        <v>547</v>
      </c>
      <c r="F12" s="809" t="s">
        <v>7479</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4546</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3906</v>
      </c>
      <c r="B13" s="810" t="s">
        <v>8805</v>
      </c>
      <c r="C13" s="806" t="s">
        <v>1260</v>
      </c>
      <c r="D13" s="807" t="s">
        <v>1260</v>
      </c>
      <c r="E13" s="808" t="s">
        <v>1260</v>
      </c>
      <c r="F13" s="809" t="s">
        <v>547</v>
      </c>
      <c r="G13" s="810" t="s">
        <v>1881</v>
      </c>
      <c r="H13" s="1424"/>
      <c r="I13" s="1424" t="s">
        <v>3915</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4090</v>
      </c>
      <c r="W13" s="1000" t="s">
        <v>5022</v>
      </c>
      <c r="X13" s="1000" t="s">
        <v>8817</v>
      </c>
      <c r="Y13" s="1000" t="s">
        <v>376</v>
      </c>
      <c r="Z13" s="1047" t="s">
        <v>3227</v>
      </c>
      <c r="AA13" s="1000" t="s">
        <v>8818</v>
      </c>
      <c r="AB13" s="1000"/>
      <c r="AC13" s="1047" t="s">
        <v>8819</v>
      </c>
      <c r="AD13" s="1047" t="s">
        <v>8820</v>
      </c>
      <c r="AE13" s="1000" t="s">
        <v>5212</v>
      </c>
      <c r="AF13" s="1000" t="s">
        <v>4097</v>
      </c>
      <c r="AG13" s="1047" t="s">
        <v>8821</v>
      </c>
      <c r="AH13" s="1001"/>
      <c r="AI13" s="1001"/>
      <c r="AJ13" s="1001"/>
      <c r="AK13" s="1001"/>
      <c r="AL13" s="1000" t="s">
        <v>5633</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4875</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4214</v>
      </c>
      <c r="BW13" s="1038"/>
      <c r="BX13" s="1000" t="s">
        <v>4544</v>
      </c>
      <c r="BY13" s="1000" t="s">
        <v>5514</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5858</v>
      </c>
      <c r="CO13" s="1417" t="s">
        <v>5884</v>
      </c>
      <c r="CP13" s="1417" t="s">
        <v>8836</v>
      </c>
      <c r="CQ13" s="1417" t="s">
        <v>8837</v>
      </c>
      <c r="CR13" s="1414"/>
      <c r="CS13" s="1414"/>
      <c r="CT13" s="1001"/>
      <c r="CU13" s="1001"/>
    </row>
    <row r="14">
      <c r="A14" s="1437" t="s">
        <v>2190</v>
      </c>
      <c r="B14" s="810" t="s">
        <v>8838</v>
      </c>
      <c r="C14" s="806" t="s">
        <v>1260</v>
      </c>
      <c r="D14" s="807" t="s">
        <v>1260</v>
      </c>
      <c r="E14" s="808" t="s">
        <v>1260</v>
      </c>
      <c r="F14" s="809" t="s">
        <v>332</v>
      </c>
      <c r="G14" s="810" t="s">
        <v>4640</v>
      </c>
      <c r="H14" s="1424" t="s">
        <v>8839</v>
      </c>
      <c r="I14" s="1420" t="s">
        <v>2202</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2758</v>
      </c>
      <c r="X14" s="1000" t="s">
        <v>8853</v>
      </c>
      <c r="Y14" s="1047" t="s">
        <v>2058</v>
      </c>
      <c r="Z14" s="1001"/>
      <c r="AA14" s="1001"/>
      <c r="AB14" s="1001"/>
      <c r="AC14" s="1047" t="s">
        <v>8854</v>
      </c>
      <c r="AD14" s="1047" t="s">
        <v>5253</v>
      </c>
      <c r="AE14" s="1003" t="s">
        <v>2530</v>
      </c>
      <c r="AF14" s="1047" t="s">
        <v>8855</v>
      </c>
      <c r="AG14" s="1000" t="s">
        <v>8856</v>
      </c>
      <c r="AH14" s="1001"/>
      <c r="AI14" s="1001"/>
      <c r="AJ14" s="1001"/>
      <c r="AK14" s="1000" t="s">
        <v>8857</v>
      </c>
      <c r="AL14" s="1000" t="s">
        <v>2925</v>
      </c>
      <c r="AM14" s="1001"/>
      <c r="AN14" s="1001"/>
      <c r="AO14" s="1001"/>
      <c r="AP14" s="1001"/>
      <c r="AQ14" s="1001"/>
      <c r="AR14" s="1001"/>
      <c r="AS14" s="1001"/>
      <c r="AT14" s="1000" t="s">
        <v>8858</v>
      </c>
      <c r="AU14" s="1000" t="s">
        <v>8508</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2219</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2682</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5325</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4283</v>
      </c>
      <c r="AE16" s="1001"/>
      <c r="AF16" s="1001"/>
      <c r="AG16" s="1001"/>
      <c r="AH16" s="1000" t="s">
        <v>5314</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4444</v>
      </c>
      <c r="B17" s="810" t="s">
        <v>6483</v>
      </c>
      <c r="C17" s="806" t="s">
        <v>1260</v>
      </c>
      <c r="D17" s="807" t="s">
        <v>547</v>
      </c>
      <c r="E17" s="808" t="s">
        <v>650</v>
      </c>
      <c r="F17" s="809" t="s">
        <v>3873</v>
      </c>
      <c r="G17" s="810" t="s">
        <v>2937</v>
      </c>
      <c r="H17" s="1451" t="s">
        <v>8880</v>
      </c>
      <c r="I17" s="1424" t="s">
        <v>8881</v>
      </c>
      <c r="J17" s="1000" t="s">
        <v>8882</v>
      </c>
      <c r="K17" s="1424" t="s">
        <v>8883</v>
      </c>
      <c r="L17" s="1000" t="s">
        <v>4569</v>
      </c>
      <c r="M17" s="1000" t="s">
        <v>8466</v>
      </c>
      <c r="N17" s="1000" t="s">
        <v>8884</v>
      </c>
      <c r="O17" s="1000" t="s">
        <v>8885</v>
      </c>
      <c r="P17" s="1000" t="s">
        <v>8886</v>
      </c>
      <c r="Q17" s="1000" t="s">
        <v>7167</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3703</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7555</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2462</v>
      </c>
      <c r="AD19" s="1003" t="s">
        <v>2720</v>
      </c>
      <c r="AE19" s="1034"/>
      <c r="AF19" s="1039" t="s">
        <v>8913</v>
      </c>
      <c r="AG19" s="1001"/>
      <c r="AH19" s="1044" t="s">
        <v>1786</v>
      </c>
      <c r="AI19" s="1039" t="s">
        <v>3150</v>
      </c>
      <c r="AJ19" s="1001"/>
      <c r="AK19" s="1000" t="s">
        <v>4285</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810" t="s">
        <v>8915</v>
      </c>
      <c r="C20" s="806" t="s">
        <v>1260</v>
      </c>
      <c r="D20" s="807" t="s">
        <v>547</v>
      </c>
      <c r="E20" s="808" t="s">
        <v>1260</v>
      </c>
      <c r="F20" s="809" t="s">
        <v>438</v>
      </c>
      <c r="G20" s="810" t="s">
        <v>3099</v>
      </c>
      <c r="H20" s="1424"/>
      <c r="I20" s="1424" t="s">
        <v>8916</v>
      </c>
      <c r="J20" s="1000"/>
      <c r="K20" s="1047" t="s">
        <v>8917</v>
      </c>
      <c r="L20" s="1000"/>
      <c r="M20" s="1047" t="s">
        <v>8918</v>
      </c>
      <c r="N20" s="1001"/>
      <c r="O20" s="1047" t="s">
        <v>8919</v>
      </c>
      <c r="P20" s="1001"/>
      <c r="Q20" s="1001"/>
      <c r="R20" s="1000" t="s">
        <v>8920</v>
      </c>
      <c r="S20" s="1428" t="s">
        <v>8921</v>
      </c>
      <c r="T20" s="1047" t="s">
        <v>8922</v>
      </c>
      <c r="U20" s="1000" t="s">
        <v>3789</v>
      </c>
      <c r="V20" s="1000"/>
      <c r="W20" s="1047" t="s">
        <v>4451</v>
      </c>
      <c r="X20" s="1000" t="s">
        <v>3822</v>
      </c>
      <c r="Y20" s="1047" t="s">
        <v>2832</v>
      </c>
      <c r="Z20" s="1001"/>
      <c r="AA20" s="1001"/>
      <c r="AB20" s="1001"/>
      <c r="AC20" s="1047" t="s">
        <v>8923</v>
      </c>
      <c r="AD20" s="1000" t="s">
        <v>5494</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4704</v>
      </c>
      <c r="BW20" s="1038"/>
      <c r="BX20" s="1001"/>
      <c r="BY20" s="1000" t="s">
        <v>2230</v>
      </c>
      <c r="BZ20" s="1001"/>
      <c r="CA20" s="1038"/>
      <c r="CB20" s="1000" t="s">
        <v>4546</v>
      </c>
      <c r="CC20" s="1047" t="s">
        <v>8932</v>
      </c>
      <c r="CD20" s="1047"/>
      <c r="CE20" s="1001"/>
      <c r="CF20" s="1001"/>
      <c r="CG20" s="1001"/>
      <c r="CH20" s="1001"/>
      <c r="CI20" s="1001"/>
      <c r="CJ20" s="1001"/>
      <c r="CK20" s="1001"/>
      <c r="CL20" s="1001"/>
      <c r="CM20" s="1047" t="s">
        <v>8933</v>
      </c>
      <c r="CN20" s="1047" t="s">
        <v>1948</v>
      </c>
      <c r="CO20" s="1047" t="s">
        <v>1810</v>
      </c>
      <c r="CP20" s="1047" t="s">
        <v>8934</v>
      </c>
      <c r="CQ20" s="1000" t="s">
        <v>8935</v>
      </c>
      <c r="CR20" s="1047" t="s">
        <v>3347</v>
      </c>
      <c r="CS20" s="1000" t="s">
        <v>8936</v>
      </c>
      <c r="CT20" s="1001"/>
      <c r="CU20" s="1001"/>
    </row>
    <row r="21">
      <c r="A21" s="1457" t="s">
        <v>4804</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3547</v>
      </c>
      <c r="X21" s="1000" t="s">
        <v>2624</v>
      </c>
      <c r="Y21" s="1047" t="s">
        <v>8944</v>
      </c>
      <c r="Z21" s="1001"/>
      <c r="AA21" s="1001"/>
      <c r="AB21" s="1001"/>
      <c r="AC21" s="1003" t="s">
        <v>344</v>
      </c>
      <c r="AD21" s="1047" t="s">
        <v>3883</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8511</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2307</v>
      </c>
      <c r="X22" s="1000"/>
      <c r="Y22" s="1047" t="s">
        <v>3242</v>
      </c>
      <c r="Z22" s="1000"/>
      <c r="AA22" s="1000"/>
      <c r="AB22" s="1000"/>
      <c r="AC22" s="1047" t="s">
        <v>8955</v>
      </c>
      <c r="AD22" s="1047" t="s">
        <v>4931</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5171</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5199</v>
      </c>
      <c r="Z23" s="1001"/>
      <c r="AA23" s="1001"/>
      <c r="AB23" s="1001"/>
      <c r="AC23" s="1047" t="s">
        <v>8968</v>
      </c>
      <c r="AD23" s="1047" t="s">
        <v>4119</v>
      </c>
      <c r="AE23" s="1034"/>
      <c r="AF23" s="1003" t="s">
        <v>725</v>
      </c>
      <c r="AG23" s="1034"/>
      <c r="AH23" s="1047" t="s">
        <v>7729</v>
      </c>
      <c r="AI23" s="1047" t="s">
        <v>5637</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5525</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5377</v>
      </c>
      <c r="B24" s="810" t="s">
        <v>8970</v>
      </c>
      <c r="C24" s="806" t="s">
        <v>1260</v>
      </c>
      <c r="D24" s="807" t="s">
        <v>1260</v>
      </c>
      <c r="E24" s="808" t="s">
        <v>547</v>
      </c>
      <c r="F24" s="809" t="s">
        <v>439</v>
      </c>
      <c r="G24" s="810" t="s">
        <v>5171</v>
      </c>
      <c r="H24" s="1440" t="s">
        <v>8971</v>
      </c>
      <c r="I24" s="1440" t="s">
        <v>5383</v>
      </c>
      <c r="J24" s="1034"/>
      <c r="K24" s="1047" t="s">
        <v>8972</v>
      </c>
      <c r="L24" s="1000"/>
      <c r="M24" s="1000"/>
      <c r="N24" s="1047" t="s">
        <v>8973</v>
      </c>
      <c r="O24" s="1047" t="s">
        <v>8974</v>
      </c>
      <c r="P24" s="1047" t="s">
        <v>8975</v>
      </c>
      <c r="Q24" s="1047" t="s">
        <v>8976</v>
      </c>
      <c r="R24" s="1047" t="s">
        <v>8977</v>
      </c>
      <c r="S24" s="1047" t="s">
        <v>5401</v>
      </c>
      <c r="T24" s="1047" t="s">
        <v>8978</v>
      </c>
      <c r="U24" s="1047" t="s">
        <v>8979</v>
      </c>
      <c r="V24" s="1000"/>
      <c r="W24" s="1047" t="s">
        <v>6117</v>
      </c>
      <c r="X24" s="1000"/>
      <c r="Y24" s="1001"/>
      <c r="Z24" s="1001"/>
      <c r="AA24" s="1001"/>
      <c r="AB24" s="1001"/>
      <c r="AC24" s="1047" t="s">
        <v>8980</v>
      </c>
      <c r="AD24" s="1047" t="s">
        <v>5925</v>
      </c>
      <c r="AE24" s="1000"/>
      <c r="AF24" s="1047" t="s">
        <v>7003</v>
      </c>
      <c r="AG24" s="1000"/>
      <c r="AH24" s="1047" t="s">
        <v>3333</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4974</v>
      </c>
      <c r="BZ24" s="1047" t="s">
        <v>2254</v>
      </c>
      <c r="CA24" s="1047" t="s">
        <v>5537</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4927</v>
      </c>
      <c r="CU24" s="1034"/>
    </row>
    <row r="25">
      <c r="A25" s="1465" t="s">
        <v>7497</v>
      </c>
      <c r="B25" s="810" t="s">
        <v>8991</v>
      </c>
      <c r="C25" s="806" t="s">
        <v>1260</v>
      </c>
      <c r="D25" s="807" t="s">
        <v>1260</v>
      </c>
      <c r="E25" s="808" t="s">
        <v>1260</v>
      </c>
      <c r="F25" s="809" t="s">
        <v>1260</v>
      </c>
      <c r="G25" s="810" t="s">
        <v>2872</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2752</v>
      </c>
      <c r="X25" s="1000"/>
      <c r="Y25" s="1047" t="s">
        <v>1084</v>
      </c>
      <c r="Z25" s="1038" t="s">
        <v>8998</v>
      </c>
      <c r="AA25" s="1001"/>
      <c r="AB25" s="1001"/>
      <c r="AC25" s="1000"/>
      <c r="AD25" s="1047" t="s">
        <v>1978</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3767</v>
      </c>
      <c r="M26" s="1001"/>
      <c r="N26" s="1001"/>
      <c r="O26" s="1001"/>
      <c r="P26" s="1000" t="s">
        <v>5788</v>
      </c>
      <c r="Q26" s="1001"/>
      <c r="R26" s="1003" t="s">
        <v>9010</v>
      </c>
      <c r="S26" s="1001"/>
      <c r="T26" s="1001"/>
      <c r="U26" s="1000" t="s">
        <v>753</v>
      </c>
      <c r="V26" s="1000"/>
      <c r="W26" s="1047" t="s">
        <v>4335</v>
      </c>
      <c r="X26" s="1000" t="s">
        <v>3551</v>
      </c>
      <c r="Y26" s="1003" t="s">
        <v>5825</v>
      </c>
      <c r="Z26" s="1001"/>
      <c r="AA26" s="1001"/>
      <c r="AB26" s="1001"/>
      <c r="AC26" s="1047" t="s">
        <v>9011</v>
      </c>
      <c r="AD26" s="1047" t="s">
        <v>5750</v>
      </c>
      <c r="AE26" s="1000"/>
      <c r="AF26" s="1047" t="s">
        <v>9012</v>
      </c>
      <c r="AG26" s="1000"/>
      <c r="AH26" s="1047" t="s">
        <v>9013</v>
      </c>
      <c r="AI26" s="1001"/>
      <c r="AJ26" s="1001"/>
      <c r="AK26" s="1053" t="s">
        <v>3812</v>
      </c>
      <c r="AL26" s="1467"/>
      <c r="AM26" s="1001"/>
      <c r="AN26" s="1001"/>
      <c r="AO26" s="1001"/>
      <c r="AP26" s="1001"/>
      <c r="AQ26" s="1001"/>
      <c r="AR26" s="1047" t="s">
        <v>9014</v>
      </c>
      <c r="AS26" s="1000"/>
      <c r="AT26" s="1001"/>
      <c r="AU26" s="1001"/>
      <c r="AV26" s="1001"/>
      <c r="AW26" s="1047" t="s">
        <v>8663</v>
      </c>
      <c r="AX26" s="1001"/>
      <c r="AY26" s="1001"/>
      <c r="AZ26" s="1001"/>
      <c r="BA26" s="1001"/>
      <c r="BB26" s="1047" t="s">
        <v>8508</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4056</v>
      </c>
      <c r="CN26" s="1047" t="s">
        <v>220</v>
      </c>
      <c r="CO26" s="1047" t="s">
        <v>4686</v>
      </c>
      <c r="CP26" s="1001"/>
      <c r="CQ26" s="1001"/>
      <c r="CR26" s="1001"/>
      <c r="CS26" s="1001"/>
      <c r="CT26" s="1001"/>
      <c r="CU26" s="1001"/>
    </row>
    <row r="27">
      <c r="A27" s="1418" t="s">
        <v>7515</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5478</v>
      </c>
      <c r="V27" s="1001"/>
      <c r="W27" s="1001"/>
      <c r="X27" s="1000" t="s">
        <v>7808</v>
      </c>
      <c r="Y27" s="1003" t="s">
        <v>7909</v>
      </c>
      <c r="Z27" s="1001"/>
      <c r="AA27" s="1000" t="s">
        <v>9021</v>
      </c>
      <c r="AB27" s="1001"/>
      <c r="AC27" s="1000" t="s">
        <v>9022</v>
      </c>
      <c r="AD27" s="1003" t="s">
        <v>1501</v>
      </c>
      <c r="AE27" s="1003" t="s">
        <v>5149</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4684</v>
      </c>
      <c r="B28" s="810" t="s">
        <v>2995</v>
      </c>
      <c r="C28" s="806" t="s">
        <v>439</v>
      </c>
      <c r="D28" s="807" t="s">
        <v>1260</v>
      </c>
      <c r="E28" s="808" t="s">
        <v>547</v>
      </c>
      <c r="F28" s="809" t="s">
        <v>3873</v>
      </c>
      <c r="G28" s="810" t="s">
        <v>3873</v>
      </c>
      <c r="H28" s="1468"/>
      <c r="I28" s="1468"/>
      <c r="J28" s="1001"/>
      <c r="K28" s="1001"/>
      <c r="L28" s="1001"/>
      <c r="M28" s="1001"/>
      <c r="N28" s="1001"/>
      <c r="O28" s="1001"/>
      <c r="P28" s="1001"/>
      <c r="Q28" s="1001"/>
      <c r="R28" s="1001"/>
      <c r="S28" s="1001"/>
      <c r="T28" s="1001"/>
      <c r="U28" s="1001"/>
      <c r="V28" s="1001"/>
      <c r="W28" s="1001"/>
      <c r="X28" s="1039" t="s">
        <v>2982</v>
      </c>
      <c r="Y28" s="1039" t="s">
        <v>8878</v>
      </c>
      <c r="Z28" s="1001"/>
      <c r="AA28" s="1001"/>
      <c r="AB28" s="1001"/>
      <c r="AC28" s="1039" t="s">
        <v>4756</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4011</v>
      </c>
      <c r="BW28" s="1038"/>
      <c r="BX28" s="1039" t="s">
        <v>1752</v>
      </c>
      <c r="BY28" s="1001"/>
      <c r="BZ28" s="1039" t="s">
        <v>9023</v>
      </c>
      <c r="CA28" s="1038"/>
      <c r="CB28" s="1001"/>
      <c r="CC28" s="1001"/>
      <c r="CD28" s="1469" t="s">
        <v>2069</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5366</v>
      </c>
      <c r="Z29" s="1001"/>
      <c r="AA29" s="1001"/>
      <c r="AB29" s="1001"/>
      <c r="AC29" s="1001"/>
      <c r="AD29" s="1001"/>
      <c r="AE29" s="1034"/>
      <c r="AF29" s="1045" t="s">
        <v>5316</v>
      </c>
      <c r="AG29" s="1001"/>
      <c r="AH29" s="1001"/>
      <c r="AI29" s="1001"/>
      <c r="AJ29" s="1001"/>
      <c r="AK29" s="1001"/>
      <c r="AL29" s="1001"/>
      <c r="AM29" s="1001"/>
      <c r="AN29" s="1001"/>
      <c r="AO29" s="1001"/>
      <c r="AP29" s="1001"/>
      <c r="AQ29" s="1001"/>
      <c r="AR29" s="1001"/>
      <c r="AS29" s="1001"/>
      <c r="AT29" s="1001"/>
      <c r="AU29" s="1001"/>
      <c r="AV29" s="1001"/>
      <c r="AW29" s="1001"/>
      <c r="AX29" s="1000" t="s">
        <v>7660</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2683</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4958</v>
      </c>
      <c r="B31" s="810" t="s">
        <v>2155</v>
      </c>
      <c r="C31" s="806" t="s">
        <v>1260</v>
      </c>
      <c r="D31" s="807" t="s">
        <v>1260</v>
      </c>
      <c r="E31" s="808" t="s">
        <v>1260</v>
      </c>
      <c r="F31" s="809" t="s">
        <v>1260</v>
      </c>
      <c r="G31" s="810" t="s">
        <v>221</v>
      </c>
      <c r="H31" s="1424"/>
      <c r="I31" s="1424" t="s">
        <v>7660</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2377</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4551</v>
      </c>
      <c r="B32" s="810" t="s">
        <v>2377</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7268</v>
      </c>
      <c r="AG32" s="1000"/>
      <c r="AH32" s="1047" t="s">
        <v>4460</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4572</v>
      </c>
      <c r="BY32" s="1047" t="s">
        <v>4487</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5557</v>
      </c>
      <c r="AE33" s="1001"/>
      <c r="AF33" s="1001"/>
      <c r="AG33" s="1001"/>
      <c r="AH33" s="1001"/>
      <c r="AI33" s="1001"/>
      <c r="AJ33" s="1001"/>
      <c r="AK33" s="1001"/>
      <c r="AL33" s="1001"/>
      <c r="AM33" s="1000" t="s">
        <v>9040</v>
      </c>
      <c r="AN33" s="1001"/>
      <c r="AO33" s="1001"/>
      <c r="AP33" s="1000" t="s">
        <v>8828</v>
      </c>
      <c r="AQ33" s="1001"/>
      <c r="AR33" s="1001"/>
      <c r="AS33" s="1001"/>
      <c r="AT33" s="1001"/>
      <c r="AU33" s="1000" t="s">
        <v>8513</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7586</v>
      </c>
      <c r="B34" s="810" t="s">
        <v>3574</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5698</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2317</v>
      </c>
      <c r="BY35" s="1427" t="s">
        <v>3757</v>
      </c>
      <c r="BZ35" s="1427" t="s">
        <v>9045</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4056</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2005</v>
      </c>
      <c r="Z38" s="1001"/>
      <c r="AA38" s="1000" t="s">
        <v>3147</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4056</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5638</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5781</v>
      </c>
      <c r="B40" s="810" t="s">
        <v>7479</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3927</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4660</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5858</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5140</v>
      </c>
      <c r="CM46" s="1000" t="s">
        <v>8956</v>
      </c>
      <c r="CN46" s="1000" t="s">
        <v>4117</v>
      </c>
      <c r="CO46" s="1001"/>
      <c r="CP46" s="1001"/>
      <c r="CQ46" s="1001"/>
      <c r="CR46" s="1001"/>
      <c r="CS46" s="1001"/>
      <c r="CT46" s="1001"/>
      <c r="CU46" s="1001"/>
    </row>
    <row r="47">
      <c r="A47" s="1457" t="s">
        <v>3625</v>
      </c>
      <c r="B47" s="810" t="s">
        <v>2682</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8231</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5169</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5109</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7578</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5227</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8246</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5568</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5959</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4335</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3873</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3873</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4179</v>
      </c>
      <c r="CU58" s="1034"/>
    </row>
    <row r="59">
      <c r="A59" s="1484" t="s">
        <v>9091</v>
      </c>
      <c r="B59" s="810" t="s">
        <v>3873</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5997</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8380</v>
      </c>
      <c r="F1" s="1490" t="s">
        <v>8381</v>
      </c>
      <c r="G1" s="1490" t="s">
        <v>9099</v>
      </c>
      <c r="H1" s="1491" t="s">
        <v>9100</v>
      </c>
      <c r="I1" s="1491" t="s">
        <v>9101</v>
      </c>
      <c r="J1" s="1492" t="s">
        <v>8392</v>
      </c>
      <c r="K1" s="1492" t="s">
        <v>9102</v>
      </c>
      <c r="L1" s="1492" t="s">
        <v>9103</v>
      </c>
      <c r="M1" s="1492" t="s">
        <v>9104</v>
      </c>
      <c r="N1" s="1492" t="s">
        <v>8455</v>
      </c>
      <c r="O1" s="1492" t="s">
        <v>9105</v>
      </c>
      <c r="P1" s="1492" t="s">
        <v>9106</v>
      </c>
      <c r="Q1" s="1493" t="s">
        <v>9107</v>
      </c>
      <c r="R1" s="1493" t="s">
        <v>8388</v>
      </c>
      <c r="S1" s="1493" t="s">
        <v>9108</v>
      </c>
      <c r="T1" s="1493" t="s">
        <v>9109</v>
      </c>
      <c r="U1" s="1493" t="s">
        <v>9110</v>
      </c>
      <c r="V1" s="1493" t="s">
        <v>9111</v>
      </c>
      <c r="W1" s="1494" t="s">
        <v>8382</v>
      </c>
      <c r="X1" s="1494" t="s">
        <v>8383</v>
      </c>
      <c r="Y1" s="1494" t="s">
        <v>9112</v>
      </c>
      <c r="Z1" s="1494" t="s">
        <v>9113</v>
      </c>
      <c r="AA1" s="1494" t="s">
        <v>8385</v>
      </c>
      <c r="AB1" s="1494" t="s">
        <v>9114</v>
      </c>
      <c r="AC1" s="1494" t="s">
        <v>9115</v>
      </c>
      <c r="AD1" s="1490" t="s">
        <v>9116</v>
      </c>
      <c r="AE1" s="1490" t="s">
        <v>9117</v>
      </c>
      <c r="AF1" s="1495" t="s">
        <v>8389</v>
      </c>
      <c r="AG1" s="1495" t="s">
        <v>9118</v>
      </c>
      <c r="AH1" s="1495" t="s">
        <v>9119</v>
      </c>
      <c r="AI1" s="1495" t="s">
        <v>8390</v>
      </c>
      <c r="AJ1" s="1495" t="s">
        <v>9120</v>
      </c>
      <c r="AK1" s="1495" t="s">
        <v>9121</v>
      </c>
      <c r="AL1" s="1495" t="s">
        <v>9122</v>
      </c>
      <c r="AM1" s="1496" t="s">
        <v>8391</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5268</v>
      </c>
      <c r="K2" s="1508" t="s">
        <v>9140</v>
      </c>
      <c r="L2" s="1508" t="s">
        <v>234</v>
      </c>
      <c r="M2" s="1508" t="s">
        <v>6302</v>
      </c>
      <c r="N2" s="1508" t="s">
        <v>4073</v>
      </c>
      <c r="O2" s="1508" t="s">
        <v>9141</v>
      </c>
      <c r="P2" s="1508" t="s">
        <v>9142</v>
      </c>
      <c r="Q2" s="1509" t="s">
        <v>4275</v>
      </c>
      <c r="R2" s="1510" t="s">
        <v>9143</v>
      </c>
      <c r="S2" s="1509" t="s">
        <v>6713</v>
      </c>
      <c r="T2" s="1510" t="s">
        <v>3276</v>
      </c>
      <c r="U2" s="1509" t="s">
        <v>6867</v>
      </c>
      <c r="V2" s="1509" t="s">
        <v>3777</v>
      </c>
      <c r="W2" s="1511" t="s">
        <v>6523</v>
      </c>
      <c r="X2" s="1512" t="s">
        <v>9144</v>
      </c>
      <c r="Y2" s="1512" t="s">
        <v>6894</v>
      </c>
      <c r="Z2" s="1513" t="s">
        <v>6889</v>
      </c>
      <c r="AA2" s="1512" t="s">
        <v>9145</v>
      </c>
      <c r="AB2" s="1512" t="s">
        <v>9146</v>
      </c>
      <c r="AC2" s="1513" t="s">
        <v>4099</v>
      </c>
      <c r="AD2" s="1514" t="s">
        <v>9147</v>
      </c>
      <c r="AE2" s="1515" t="s">
        <v>4807</v>
      </c>
      <c r="AF2" s="1516" t="s">
        <v>9148</v>
      </c>
      <c r="AG2" s="1516" t="s">
        <v>9149</v>
      </c>
      <c r="AH2" s="1516" t="s">
        <v>3853</v>
      </c>
      <c r="AI2" s="1517" t="s">
        <v>9150</v>
      </c>
      <c r="AJ2" s="1517" t="s">
        <v>9151</v>
      </c>
      <c r="AK2" s="1517" t="s">
        <v>9152</v>
      </c>
      <c r="AL2" s="1517" t="s">
        <v>5672</v>
      </c>
      <c r="AM2" s="1518" t="s">
        <v>9153</v>
      </c>
      <c r="AN2" s="1519" t="s">
        <v>9154</v>
      </c>
      <c r="AO2" s="1519" t="s">
        <v>7116</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6762</v>
      </c>
      <c r="F3" s="1527" t="s">
        <v>9163</v>
      </c>
      <c r="G3" s="1527" t="s">
        <v>9164</v>
      </c>
      <c r="H3" s="1528" t="s">
        <v>9165</v>
      </c>
      <c r="I3" s="1528" t="s">
        <v>5085</v>
      </c>
      <c r="J3" s="1529" t="s">
        <v>1353</v>
      </c>
      <c r="K3" s="1529" t="s">
        <v>9166</v>
      </c>
      <c r="L3" s="1529" t="s">
        <v>2948</v>
      </c>
      <c r="M3" s="1529" t="s">
        <v>9167</v>
      </c>
      <c r="N3" s="1529" t="s">
        <v>2501</v>
      </c>
      <c r="O3" s="1529" t="s">
        <v>9168</v>
      </c>
      <c r="P3" s="1529" t="s">
        <v>5610</v>
      </c>
      <c r="Q3" s="1530" t="s">
        <v>5818</v>
      </c>
      <c r="R3" s="1530" t="s">
        <v>9169</v>
      </c>
      <c r="S3" s="1530" t="s">
        <v>9170</v>
      </c>
      <c r="T3" s="1530" t="s">
        <v>9171</v>
      </c>
      <c r="U3" s="1531" t="s">
        <v>7400</v>
      </c>
      <c r="V3" s="1530" t="s">
        <v>9172</v>
      </c>
      <c r="W3" s="1532" t="s">
        <v>4155</v>
      </c>
      <c r="X3" s="1532" t="s">
        <v>6029</v>
      </c>
      <c r="Y3" s="1533" t="s">
        <v>9173</v>
      </c>
      <c r="Z3" s="1533" t="s">
        <v>1340</v>
      </c>
      <c r="AA3" s="1533" t="s">
        <v>5844</v>
      </c>
      <c r="AB3" s="1532" t="s">
        <v>6851</v>
      </c>
      <c r="AC3" s="1533" t="s">
        <v>9174</v>
      </c>
      <c r="AD3" s="1527" t="s">
        <v>9175</v>
      </c>
      <c r="AE3" s="1527" t="s">
        <v>9176</v>
      </c>
      <c r="AF3" s="1534" t="s">
        <v>9177</v>
      </c>
      <c r="AG3" s="1535" t="s">
        <v>4621</v>
      </c>
      <c r="AH3" s="1535" t="s">
        <v>9178</v>
      </c>
      <c r="AI3" s="1535" t="s">
        <v>9179</v>
      </c>
      <c r="AJ3" s="1534" t="s">
        <v>9180</v>
      </c>
      <c r="AK3" s="1535" t="s">
        <v>3380</v>
      </c>
      <c r="AL3" s="1535" t="s">
        <v>9181</v>
      </c>
      <c r="AM3" s="1536" t="s">
        <v>9182</v>
      </c>
      <c r="AN3" s="1536" t="s">
        <v>4761</v>
      </c>
      <c r="AO3" s="1537" t="s">
        <v>7306</v>
      </c>
      <c r="AP3" s="1537" t="s">
        <v>9183</v>
      </c>
      <c r="AQ3" s="1537" t="s">
        <v>9184</v>
      </c>
      <c r="AR3" s="1537" t="s">
        <v>4080</v>
      </c>
      <c r="AS3" s="1536" t="s">
        <v>4885</v>
      </c>
      <c r="AT3" s="1529" t="s">
        <v>5077</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3811</v>
      </c>
      <c r="M4" s="1545" t="s">
        <v>9194</v>
      </c>
      <c r="N4" s="1545" t="s">
        <v>9153</v>
      </c>
      <c r="O4" s="1545" t="s">
        <v>9195</v>
      </c>
      <c r="P4" s="1545" t="s">
        <v>9196</v>
      </c>
      <c r="Q4" s="1546" t="s">
        <v>9197</v>
      </c>
      <c r="R4" s="1546" t="s">
        <v>9198</v>
      </c>
      <c r="S4" s="1546" t="s">
        <v>2268</v>
      </c>
      <c r="T4" s="1546" t="s">
        <v>9199</v>
      </c>
      <c r="U4" s="1546" t="s">
        <v>9200</v>
      </c>
      <c r="V4" s="1546" t="s">
        <v>4296</v>
      </c>
      <c r="W4" s="1547" t="s">
        <v>9201</v>
      </c>
      <c r="X4" s="1547" t="s">
        <v>9202</v>
      </c>
      <c r="Y4" s="1547">
        <v>47.93</v>
      </c>
      <c r="Z4" s="1547" t="s">
        <v>9203</v>
      </c>
      <c r="AA4" s="1547" t="s">
        <v>9204</v>
      </c>
      <c r="AB4" s="1547" t="s">
        <v>9205</v>
      </c>
      <c r="AC4" s="1547">
        <v>49.24</v>
      </c>
      <c r="AD4" s="1548" t="s">
        <v>9206</v>
      </c>
      <c r="AE4" s="1549" t="s">
        <v>5590</v>
      </c>
      <c r="AF4" s="1550" t="s">
        <v>2804</v>
      </c>
      <c r="AG4" s="1550" t="s">
        <v>4616</v>
      </c>
      <c r="AH4" s="1550" t="s">
        <v>5297</v>
      </c>
      <c r="AI4" s="1550" t="s">
        <v>9207</v>
      </c>
      <c r="AJ4" s="1550" t="s">
        <v>9208</v>
      </c>
      <c r="AK4" s="1550" t="s">
        <v>886</v>
      </c>
      <c r="AL4" s="1550" t="s">
        <v>9209</v>
      </c>
      <c r="AM4" s="1551" t="s">
        <v>9210</v>
      </c>
      <c r="AN4" s="1552" t="s">
        <v>9211</v>
      </c>
      <c r="AO4" s="1551" t="s">
        <v>9212</v>
      </c>
      <c r="AP4" s="1552" t="s">
        <v>9213</v>
      </c>
      <c r="AQ4" s="1551" t="s">
        <v>9214</v>
      </c>
      <c r="AR4" s="1551" t="s">
        <v>7600</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5268</v>
      </c>
      <c r="K5" s="1562" t="s">
        <v>9218</v>
      </c>
      <c r="L5" s="1560" t="s">
        <v>2310</v>
      </c>
      <c r="M5" s="1562" t="s">
        <v>2574</v>
      </c>
      <c r="N5" s="1563" t="s">
        <v>4073</v>
      </c>
      <c r="O5" s="1564" t="s">
        <v>9219</v>
      </c>
      <c r="P5" s="1563" t="s">
        <v>9142</v>
      </c>
      <c r="Q5" s="1563" t="s">
        <v>4275</v>
      </c>
      <c r="R5" s="1561" t="s">
        <v>9143</v>
      </c>
      <c r="S5" s="1563" t="s">
        <v>6713</v>
      </c>
      <c r="T5" s="1561" t="s">
        <v>3276</v>
      </c>
      <c r="U5" s="1563" t="s">
        <v>6867</v>
      </c>
      <c r="V5" s="1565" t="s">
        <v>3777</v>
      </c>
      <c r="W5" s="1559" t="s">
        <v>6523</v>
      </c>
      <c r="X5" s="1561" t="s">
        <v>9144</v>
      </c>
      <c r="Y5" s="1561" t="s">
        <v>6894</v>
      </c>
      <c r="Z5" s="1564" t="s">
        <v>5094</v>
      </c>
      <c r="AA5" s="1561" t="s">
        <v>9145</v>
      </c>
      <c r="AB5" s="1560" t="s">
        <v>3296</v>
      </c>
      <c r="AC5" s="1563" t="s">
        <v>4099</v>
      </c>
      <c r="AD5" s="1561" t="s">
        <v>9147</v>
      </c>
      <c r="AE5" s="1562" t="s">
        <v>8231</v>
      </c>
      <c r="AF5" s="1476" t="s">
        <v>9220</v>
      </c>
      <c r="AG5" s="1034" t="s">
        <v>9221</v>
      </c>
      <c r="AH5" s="1560" t="s">
        <v>5662</v>
      </c>
      <c r="AI5" s="1563" t="s">
        <v>9150</v>
      </c>
      <c r="AJ5" s="1034" t="s">
        <v>9222</v>
      </c>
      <c r="AK5" s="1563" t="s">
        <v>9152</v>
      </c>
      <c r="AL5" s="1561" t="s">
        <v>5672</v>
      </c>
      <c r="AM5" s="1561" t="s">
        <v>9153</v>
      </c>
      <c r="AN5" s="1560" t="s">
        <v>6466</v>
      </c>
      <c r="AO5" s="1562" t="s">
        <v>381</v>
      </c>
      <c r="AP5" s="1561" t="s">
        <v>9155</v>
      </c>
      <c r="AQ5" s="1561" t="s">
        <v>9156</v>
      </c>
      <c r="AR5" s="1034" t="s">
        <v>7116</v>
      </c>
      <c r="AS5" s="1564" t="s">
        <v>4510</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4301</v>
      </c>
      <c r="J6" s="1573" t="s">
        <v>9231</v>
      </c>
      <c r="K6" s="1573" t="s">
        <v>7604</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4794</v>
      </c>
      <c r="Y6" s="1576" t="s">
        <v>9240</v>
      </c>
      <c r="Z6" s="1576" t="s">
        <v>7071</v>
      </c>
      <c r="AA6" s="1576" t="s">
        <v>9241</v>
      </c>
      <c r="AB6" s="1576" t="s">
        <v>9242</v>
      </c>
      <c r="AC6" s="1576" t="s">
        <v>8651</v>
      </c>
      <c r="AD6" s="1571" t="s">
        <v>9243</v>
      </c>
      <c r="AE6" s="1571" t="s">
        <v>9244</v>
      </c>
      <c r="AF6" s="1577" t="s">
        <v>9245</v>
      </c>
      <c r="AG6" s="1577" t="s">
        <v>6052</v>
      </c>
      <c r="AH6" s="1577" t="s">
        <v>3270</v>
      </c>
      <c r="AI6" s="1578" t="s">
        <v>9246</v>
      </c>
      <c r="AJ6" s="1578" t="s">
        <v>9247</v>
      </c>
      <c r="AK6" s="1578" t="s">
        <v>9153</v>
      </c>
      <c r="AL6" s="1577" t="s">
        <v>1738</v>
      </c>
      <c r="AM6" s="1579" t="s">
        <v>5038</v>
      </c>
      <c r="AN6" s="1580" t="s">
        <v>6315</v>
      </c>
      <c r="AO6" s="1580" t="s">
        <v>9248</v>
      </c>
      <c r="AP6" s="1580" t="s">
        <v>9249</v>
      </c>
      <c r="AQ6" s="1579" t="s">
        <v>4780</v>
      </c>
      <c r="AR6" s="1580" t="s">
        <v>6909</v>
      </c>
      <c r="AS6" s="1579" t="s">
        <v>2070</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2574</v>
      </c>
      <c r="N7" s="1586" t="s">
        <v>9260</v>
      </c>
      <c r="O7" s="1586" t="s">
        <v>9261</v>
      </c>
      <c r="P7" s="1586" t="s">
        <v>1286</v>
      </c>
      <c r="Q7" s="1588" t="s">
        <v>1565</v>
      </c>
      <c r="R7" s="1586" t="s">
        <v>4460</v>
      </c>
      <c r="S7" s="1586" t="s">
        <v>9258</v>
      </c>
      <c r="T7" s="1586" t="s">
        <v>5230</v>
      </c>
      <c r="U7" s="1588" t="s">
        <v>9262</v>
      </c>
      <c r="V7" s="1589" t="s">
        <v>8968</v>
      </c>
      <c r="W7" s="1586" t="s">
        <v>9263</v>
      </c>
      <c r="X7" s="1586" t="s">
        <v>6633</v>
      </c>
      <c r="Y7" s="1590">
        <v>46.72</v>
      </c>
      <c r="Z7" s="1590" t="s">
        <v>3705</v>
      </c>
      <c r="AA7" s="1586" t="s">
        <v>3717</v>
      </c>
      <c r="AB7" s="1591" t="s">
        <v>9146</v>
      </c>
      <c r="AC7" s="1586" t="s">
        <v>5561</v>
      </c>
      <c r="AD7" s="1586" t="s">
        <v>7035</v>
      </c>
      <c r="AE7" s="1592" t="s">
        <v>4807</v>
      </c>
      <c r="AF7" s="1590" t="s">
        <v>9264</v>
      </c>
      <c r="AG7" s="1589" t="s">
        <v>6191</v>
      </c>
      <c r="AH7" s="1591" t="s">
        <v>3853</v>
      </c>
      <c r="AI7" s="1586" t="s">
        <v>6088</v>
      </c>
      <c r="AJ7" s="1590" t="s">
        <v>9265</v>
      </c>
      <c r="AK7" s="1590" t="s">
        <v>6000</v>
      </c>
      <c r="AL7" s="1589" t="s">
        <v>6315</v>
      </c>
      <c r="AM7" s="1586" t="s">
        <v>9266</v>
      </c>
      <c r="AN7" s="1589" t="s">
        <v>4261</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6780</v>
      </c>
      <c r="B8" s="1557" t="s">
        <v>9134</v>
      </c>
      <c r="C8" s="1558">
        <v>0.049444444444444444</v>
      </c>
      <c r="D8" s="1564" t="s">
        <v>9273</v>
      </c>
      <c r="E8" s="1564" t="s">
        <v>9274</v>
      </c>
      <c r="F8" s="1587" t="s">
        <v>9275</v>
      </c>
      <c r="G8" s="1562" t="s">
        <v>9276</v>
      </c>
      <c r="H8" s="1587" t="s">
        <v>9277</v>
      </c>
      <c r="I8" s="1587" t="s">
        <v>2954</v>
      </c>
      <c r="J8" s="1564" t="s">
        <v>9278</v>
      </c>
      <c r="K8" s="1587" t="s">
        <v>3534</v>
      </c>
      <c r="L8" s="1587" t="s">
        <v>4196</v>
      </c>
      <c r="M8" s="1587" t="s">
        <v>6622</v>
      </c>
      <c r="N8" s="1564" t="s">
        <v>9279</v>
      </c>
      <c r="O8" s="1587" t="s">
        <v>9280</v>
      </c>
      <c r="P8" s="1476" t="s">
        <v>8221</v>
      </c>
      <c r="Q8" s="1564" t="s">
        <v>9281</v>
      </c>
      <c r="R8" s="1587" t="s">
        <v>6859</v>
      </c>
      <c r="S8" s="1587" t="s">
        <v>3440</v>
      </c>
      <c r="T8" s="1476" t="s">
        <v>4082</v>
      </c>
      <c r="U8" s="1587" t="s">
        <v>9282</v>
      </c>
      <c r="V8" s="1587" t="s">
        <v>5276</v>
      </c>
      <c r="W8" s="1594" t="s">
        <v>9283</v>
      </c>
      <c r="X8" s="1476" t="s">
        <v>2573</v>
      </c>
      <c r="Y8" s="1595" t="s">
        <v>7838</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4554</v>
      </c>
      <c r="AN8" s="1564" t="s">
        <v>2784</v>
      </c>
      <c r="AO8" s="1564" t="s">
        <v>6015</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7427</v>
      </c>
      <c r="L9" s="1595">
        <v>55.97</v>
      </c>
      <c r="M9" s="1595" t="s">
        <v>2049</v>
      </c>
      <c r="N9" s="1595" t="s">
        <v>9299</v>
      </c>
      <c r="O9" s="1600" t="s">
        <v>9141</v>
      </c>
      <c r="P9" s="1595">
        <v>47.49</v>
      </c>
      <c r="Q9" s="1595" t="s">
        <v>9300</v>
      </c>
      <c r="R9" s="1595" t="s">
        <v>1229</v>
      </c>
      <c r="S9" s="1601" t="s">
        <v>1831</v>
      </c>
      <c r="T9" s="1595" t="s">
        <v>7992</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6785</v>
      </c>
      <c r="AJ9" s="1603" t="s">
        <v>9222</v>
      </c>
      <c r="AK9" s="1595" t="s">
        <v>5529</v>
      </c>
      <c r="AL9" s="1595">
        <v>56.23</v>
      </c>
      <c r="AM9" s="1599" t="s">
        <v>4027</v>
      </c>
      <c r="AN9" s="1599" t="s">
        <v>9308</v>
      </c>
      <c r="AO9" s="1595" t="s">
        <v>9309</v>
      </c>
      <c r="AP9" s="1595" t="s">
        <v>9310</v>
      </c>
      <c r="AQ9" s="1595" t="s">
        <v>9311</v>
      </c>
      <c r="AR9" s="1602" t="s">
        <v>3927</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4562</v>
      </c>
      <c r="J10" s="1586" t="s">
        <v>1489</v>
      </c>
      <c r="K10" s="1589" t="s">
        <v>9317</v>
      </c>
      <c r="L10" s="1589" t="s">
        <v>9318</v>
      </c>
      <c r="M10" s="1592" t="s">
        <v>6302</v>
      </c>
      <c r="N10" s="1589" t="s">
        <v>5964</v>
      </c>
      <c r="O10" s="1589" t="s">
        <v>9319</v>
      </c>
      <c r="P10" s="1589" t="s">
        <v>6220</v>
      </c>
      <c r="Q10" s="1589" t="s">
        <v>4802</v>
      </c>
      <c r="R10" s="1589" t="s">
        <v>5847</v>
      </c>
      <c r="S10" s="1564" t="s">
        <v>2903</v>
      </c>
      <c r="T10" s="1589" t="s">
        <v>9320</v>
      </c>
      <c r="U10" s="1589" t="s">
        <v>9321</v>
      </c>
      <c r="V10" s="1589" t="s">
        <v>9322</v>
      </c>
      <c r="W10" s="1589" t="s">
        <v>9323</v>
      </c>
      <c r="X10" s="1564" t="s">
        <v>9324</v>
      </c>
      <c r="Y10" s="1589" t="s">
        <v>6220</v>
      </c>
      <c r="Z10" s="1600" t="s">
        <v>6889</v>
      </c>
      <c r="AA10" s="1564" t="s">
        <v>9179</v>
      </c>
      <c r="AB10" s="1589" t="s">
        <v>416</v>
      </c>
      <c r="AC10" s="1589" t="s">
        <v>3799</v>
      </c>
      <c r="AD10" s="1607" t="s">
        <v>3730</v>
      </c>
      <c r="AE10" s="1590">
        <v>47.81</v>
      </c>
      <c r="AF10" s="1589" t="s">
        <v>9325</v>
      </c>
      <c r="AG10" s="1589" t="s">
        <v>9326</v>
      </c>
      <c r="AH10" s="1589" t="s">
        <v>751</v>
      </c>
      <c r="AI10" s="1589" t="s">
        <v>9327</v>
      </c>
      <c r="AJ10" s="1589" t="s">
        <v>9328</v>
      </c>
      <c r="AK10" s="1589" t="s">
        <v>9329</v>
      </c>
      <c r="AL10" s="1589" t="s">
        <v>8772</v>
      </c>
      <c r="AM10" s="1589" t="s">
        <v>4554</v>
      </c>
      <c r="AN10" s="1600" t="s">
        <v>9154</v>
      </c>
      <c r="AO10" s="1600" t="s">
        <v>7116</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5499</v>
      </c>
      <c r="I11" s="1589" t="s">
        <v>1387</v>
      </c>
      <c r="J11" s="1181" t="s">
        <v>9338</v>
      </c>
      <c r="K11" s="1589" t="s">
        <v>7939</v>
      </c>
      <c r="L11" s="1591" t="s">
        <v>234</v>
      </c>
      <c r="M11" s="1181" t="s">
        <v>9339</v>
      </c>
      <c r="N11" s="1586" t="s">
        <v>9340</v>
      </c>
      <c r="O11" s="1181" t="s">
        <v>9341</v>
      </c>
      <c r="P11" s="1589" t="s">
        <v>6610</v>
      </c>
      <c r="Q11" s="1589" t="s">
        <v>9300</v>
      </c>
      <c r="R11" s="1589" t="s">
        <v>5719</v>
      </c>
      <c r="S11" s="1589" t="s">
        <v>9342</v>
      </c>
      <c r="T11" s="1589" t="s">
        <v>9343</v>
      </c>
      <c r="U11" s="1589" t="s">
        <v>6299</v>
      </c>
      <c r="V11" s="1000" t="s">
        <v>5576</v>
      </c>
      <c r="W11" s="1613" t="s">
        <v>9344</v>
      </c>
      <c r="X11" s="1589" t="s">
        <v>9345</v>
      </c>
      <c r="Y11" s="1586">
        <v>46.63</v>
      </c>
      <c r="Z11" s="1133" t="s">
        <v>306</v>
      </c>
      <c r="AA11" s="1586" t="s">
        <v>9346</v>
      </c>
      <c r="AB11" s="1591" t="s">
        <v>9146</v>
      </c>
      <c r="AC11" s="1589" t="s">
        <v>5559</v>
      </c>
      <c r="AD11" s="1589" t="s">
        <v>9347</v>
      </c>
      <c r="AE11" s="1590" t="s">
        <v>9348</v>
      </c>
      <c r="AF11" s="1586" t="s">
        <v>9349</v>
      </c>
      <c r="AG11" s="1595" t="s">
        <v>9350</v>
      </c>
      <c r="AH11" s="1589" t="s">
        <v>9351</v>
      </c>
      <c r="AI11" s="1000" t="s">
        <v>9352</v>
      </c>
      <c r="AJ11" s="1590" t="s">
        <v>9353</v>
      </c>
      <c r="AK11" s="1589" t="s">
        <v>1299</v>
      </c>
      <c r="AL11" s="1589" t="s">
        <v>5212</v>
      </c>
      <c r="AM11" s="1589" t="s">
        <v>9343</v>
      </c>
      <c r="AN11" s="1181" t="s">
        <v>9354</v>
      </c>
      <c r="AO11" s="1589" t="s">
        <v>9269</v>
      </c>
      <c r="AP11" s="1589" t="s">
        <v>9355</v>
      </c>
      <c r="AQ11" s="1589" t="s">
        <v>9356</v>
      </c>
      <c r="AR11" s="1589" t="s">
        <v>4641</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5833</v>
      </c>
      <c r="J12" s="1599" t="s">
        <v>151</v>
      </c>
      <c r="K12" s="1599" t="s">
        <v>7026</v>
      </c>
      <c r="L12" s="1595">
        <v>56.42</v>
      </c>
      <c r="M12" s="1595" t="s">
        <v>1045</v>
      </c>
      <c r="N12" s="1595" t="s">
        <v>9364</v>
      </c>
      <c r="O12" s="1599" t="s">
        <v>9365</v>
      </c>
      <c r="P12" s="1599" t="s">
        <v>280</v>
      </c>
      <c r="Q12" s="1599" t="s">
        <v>9366</v>
      </c>
      <c r="R12" s="1595" t="s">
        <v>9367</v>
      </c>
      <c r="S12" s="1599" t="s">
        <v>9368</v>
      </c>
      <c r="T12" s="1599" t="s">
        <v>5038</v>
      </c>
      <c r="U12" s="1599" t="s">
        <v>9369</v>
      </c>
      <c r="V12" s="1595">
        <v>59.45</v>
      </c>
      <c r="W12" s="1599" t="s">
        <v>9370</v>
      </c>
      <c r="X12" s="1599" t="s">
        <v>9371</v>
      </c>
      <c r="Y12" s="1599" t="s">
        <v>5164</v>
      </c>
      <c r="Z12" s="1595" t="s">
        <v>4190</v>
      </c>
      <c r="AA12" s="1595" t="s">
        <v>3219</v>
      </c>
      <c r="AB12" s="1595" t="s">
        <v>4609</v>
      </c>
      <c r="AC12" s="1599" t="s">
        <v>4930</v>
      </c>
      <c r="AD12" s="1599" t="s">
        <v>9372</v>
      </c>
      <c r="AE12" s="1595">
        <v>47.89</v>
      </c>
      <c r="AF12" s="1595" t="s">
        <v>9373</v>
      </c>
      <c r="AG12" s="1592" t="s">
        <v>9149</v>
      </c>
      <c r="AH12" s="1595">
        <v>57.71</v>
      </c>
      <c r="AI12" s="1599" t="s">
        <v>2229</v>
      </c>
      <c r="AJ12" s="1595" t="s">
        <v>9374</v>
      </c>
      <c r="AK12" s="1599" t="s">
        <v>9375</v>
      </c>
      <c r="AL12" s="1595">
        <v>56.69</v>
      </c>
      <c r="AM12" s="1599" t="s">
        <v>9376</v>
      </c>
      <c r="AN12" s="1599" t="s">
        <v>4150</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4738</v>
      </c>
      <c r="M13" s="1000" t="s">
        <v>6597</v>
      </c>
      <c r="N13" s="1624" t="s">
        <v>5349</v>
      </c>
      <c r="O13" s="1000" t="s">
        <v>6956</v>
      </c>
      <c r="P13" s="1624" t="s">
        <v>5559</v>
      </c>
      <c r="Q13" s="1000" t="s">
        <v>9388</v>
      </c>
      <c r="R13" s="1622" t="s">
        <v>9169</v>
      </c>
      <c r="S13" s="1625" t="s">
        <v>9170</v>
      </c>
      <c r="T13" s="1626" t="s">
        <v>4027</v>
      </c>
      <c r="U13" s="1627" t="s">
        <v>9389</v>
      </c>
      <c r="V13" s="1628" t="s">
        <v>9172</v>
      </c>
      <c r="W13" s="1629" t="s">
        <v>4155</v>
      </c>
      <c r="X13" s="1629" t="s">
        <v>6029</v>
      </c>
      <c r="Y13" s="1622" t="s">
        <v>9173</v>
      </c>
      <c r="Z13" s="1629" t="s">
        <v>1340</v>
      </c>
      <c r="AA13" s="1630" t="s">
        <v>5844</v>
      </c>
      <c r="AB13" s="1622" t="s">
        <v>6851</v>
      </c>
      <c r="AC13" s="1631" t="s">
        <v>9174</v>
      </c>
      <c r="AD13" s="1000" t="s">
        <v>9390</v>
      </c>
      <c r="AE13" s="1632" t="s">
        <v>9176</v>
      </c>
      <c r="AF13" s="1034" t="s">
        <v>9391</v>
      </c>
      <c r="AG13" s="1629" t="s">
        <v>4621</v>
      </c>
      <c r="AH13" s="1633" t="s">
        <v>9178</v>
      </c>
      <c r="AI13" s="1633" t="s">
        <v>9179</v>
      </c>
      <c r="AJ13" s="1000" t="s">
        <v>9392</v>
      </c>
      <c r="AK13" s="1623" t="s">
        <v>6919</v>
      </c>
      <c r="AL13" s="1629" t="s">
        <v>9181</v>
      </c>
      <c r="AM13" s="1000" t="s">
        <v>887</v>
      </c>
      <c r="AN13" s="1634" t="s">
        <v>4761</v>
      </c>
      <c r="AO13" s="1622" t="s">
        <v>7306</v>
      </c>
      <c r="AP13" s="1635" t="s">
        <v>9183</v>
      </c>
      <c r="AQ13" s="1636" t="s">
        <v>9184</v>
      </c>
      <c r="AR13" s="1636" t="s">
        <v>4080</v>
      </c>
      <c r="AS13" s="1637" t="s">
        <v>4885</v>
      </c>
      <c r="AT13" s="1622" t="s">
        <v>5077</v>
      </c>
      <c r="AU13" s="1608" t="s">
        <v>9393</v>
      </c>
      <c r="AV13" s="1476" t="str">
        <f t="shared" si="1"/>
        <v>3:54</v>
      </c>
      <c r="AW13" s="1609" t="s">
        <v>9394</v>
      </c>
    </row>
    <row r="14" ht="15.75" customHeight="1">
      <c r="A14" s="1618" t="s">
        <v>7157</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4515</v>
      </c>
      <c r="M14" s="1587" t="s">
        <v>8945</v>
      </c>
      <c r="N14" s="1587" t="s">
        <v>2225</v>
      </c>
      <c r="O14" s="1587" t="s">
        <v>3336</v>
      </c>
      <c r="P14" s="1587" t="s">
        <v>9399</v>
      </c>
      <c r="Q14" s="1587" t="s">
        <v>9401</v>
      </c>
      <c r="R14" s="1587" t="s">
        <v>1229</v>
      </c>
      <c r="S14" s="1638" t="s">
        <v>9402</v>
      </c>
      <c r="T14" s="1587" t="s">
        <v>4896</v>
      </c>
      <c r="U14" s="1587" t="s">
        <v>9403</v>
      </c>
      <c r="V14" s="1587" t="s">
        <v>9404</v>
      </c>
      <c r="W14" s="1587" t="s">
        <v>9405</v>
      </c>
      <c r="X14" s="1587" t="s">
        <v>1119</v>
      </c>
      <c r="Y14" s="1587" t="s">
        <v>4400</v>
      </c>
      <c r="Z14" s="1587" t="s">
        <v>9406</v>
      </c>
      <c r="AA14" s="1587" t="s">
        <v>9407</v>
      </c>
      <c r="AB14" s="1587" t="s">
        <v>1839</v>
      </c>
      <c r="AC14" s="1587" t="s">
        <v>761</v>
      </c>
      <c r="AD14" s="1587" t="s">
        <v>9408</v>
      </c>
      <c r="AE14" s="1587" t="s">
        <v>5074</v>
      </c>
      <c r="AF14" s="1564" t="s">
        <v>9409</v>
      </c>
      <c r="AG14" s="1587" t="s">
        <v>9410</v>
      </c>
      <c r="AH14" s="1587" t="s">
        <v>4827</v>
      </c>
      <c r="AI14" s="1587" t="s">
        <v>3019</v>
      </c>
      <c r="AJ14" s="1587" t="s">
        <v>9411</v>
      </c>
      <c r="AK14" s="1587" t="s">
        <v>4198</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5845</v>
      </c>
      <c r="J15" s="1624" t="s">
        <v>2547</v>
      </c>
      <c r="K15" s="1624" t="s">
        <v>4354</v>
      </c>
      <c r="L15" s="1624" t="s">
        <v>4738</v>
      </c>
      <c r="M15" s="1642" t="s">
        <v>6302</v>
      </c>
      <c r="N15" s="1624" t="s">
        <v>2698</v>
      </c>
      <c r="O15" s="1624" t="s">
        <v>9424</v>
      </c>
      <c r="P15" s="1624" t="s">
        <v>9425</v>
      </c>
      <c r="Q15" s="1564" t="s">
        <v>9426</v>
      </c>
      <c r="R15" s="1627" t="s">
        <v>9427</v>
      </c>
      <c r="S15" s="1564" t="s">
        <v>1831</v>
      </c>
      <c r="T15" s="1627" t="s">
        <v>9428</v>
      </c>
      <c r="U15" s="1564" t="s">
        <v>9429</v>
      </c>
      <c r="V15" s="1627" t="s">
        <v>3456</v>
      </c>
      <c r="W15" s="1643" t="s">
        <v>9430</v>
      </c>
      <c r="X15" s="1643" t="s">
        <v>4111</v>
      </c>
      <c r="Y15" s="1643" t="s">
        <v>8232</v>
      </c>
      <c r="Z15" s="1643" t="s">
        <v>9431</v>
      </c>
      <c r="AA15" s="1643" t="s">
        <v>6191</v>
      </c>
      <c r="AB15" s="1643" t="s">
        <v>4440</v>
      </c>
      <c r="AC15" s="1643" t="s">
        <v>1147</v>
      </c>
      <c r="AD15" s="1641" t="s">
        <v>9432</v>
      </c>
      <c r="AE15" s="1641" t="s">
        <v>5457</v>
      </c>
      <c r="AF15" s="1644" t="s">
        <v>9433</v>
      </c>
      <c r="AG15" s="1644" t="s">
        <v>7453</v>
      </c>
      <c r="AH15" s="1644" t="s">
        <v>5467</v>
      </c>
      <c r="AI15" s="1644" t="s">
        <v>9434</v>
      </c>
      <c r="AJ15" s="1644" t="s">
        <v>9435</v>
      </c>
      <c r="AK15" s="1644" t="s">
        <v>9436</v>
      </c>
      <c r="AL15" s="1644" t="s">
        <v>3582</v>
      </c>
      <c r="AM15" s="1645" t="s">
        <v>9437</v>
      </c>
      <c r="AN15" s="1646" t="s">
        <v>4738</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7018</v>
      </c>
      <c r="G16" s="1602" t="s">
        <v>9447</v>
      </c>
      <c r="H16" s="1599" t="s">
        <v>9448</v>
      </c>
      <c r="I16" s="1599" t="s">
        <v>3758</v>
      </c>
      <c r="J16" s="1599" t="s">
        <v>9449</v>
      </c>
      <c r="K16" s="1604" t="s">
        <v>9140</v>
      </c>
      <c r="L16" s="1599" t="s">
        <v>8817</v>
      </c>
      <c r="M16" s="1599" t="s">
        <v>9450</v>
      </c>
      <c r="N16" s="1599" t="s">
        <v>691</v>
      </c>
      <c r="O16" s="1599" t="s">
        <v>9451</v>
      </c>
      <c r="P16" s="1599" t="s">
        <v>6610</v>
      </c>
      <c r="Q16" s="1599" t="s">
        <v>9452</v>
      </c>
      <c r="R16" s="1599" t="s">
        <v>6981</v>
      </c>
      <c r="S16" s="1599" t="s">
        <v>9453</v>
      </c>
      <c r="T16" s="1599" t="s">
        <v>5906</v>
      </c>
      <c r="U16" s="1599" t="s">
        <v>9454</v>
      </c>
      <c r="V16" s="1599" t="s">
        <v>9455</v>
      </c>
      <c r="W16" s="1599" t="s">
        <v>9456</v>
      </c>
      <c r="X16" s="1599" t="s">
        <v>9457</v>
      </c>
      <c r="Y16" s="1599" t="s">
        <v>7838</v>
      </c>
      <c r="Z16" s="1599" t="s">
        <v>9458</v>
      </c>
      <c r="AA16" s="1599" t="s">
        <v>9459</v>
      </c>
      <c r="AB16" s="1599" t="s">
        <v>9460</v>
      </c>
      <c r="AC16" s="1599" t="s">
        <v>598</v>
      </c>
      <c r="AD16" s="1599" t="s">
        <v>3239</v>
      </c>
      <c r="AE16" s="1599" t="s">
        <v>5636</v>
      </c>
      <c r="AF16" s="1599" t="s">
        <v>9461</v>
      </c>
      <c r="AG16" s="1599" t="s">
        <v>309</v>
      </c>
      <c r="AH16" s="1599" t="s">
        <v>9462</v>
      </c>
      <c r="AI16" s="1599" t="s">
        <v>3219</v>
      </c>
      <c r="AJ16" s="1599" t="s">
        <v>9463</v>
      </c>
      <c r="AK16" s="1599" t="s">
        <v>9464</v>
      </c>
      <c r="AL16" s="1599" t="s">
        <v>344</v>
      </c>
      <c r="AM16" s="1599" t="s">
        <v>2227</v>
      </c>
      <c r="AN16" s="1599" t="s">
        <v>234</v>
      </c>
      <c r="AO16" s="1599" t="s">
        <v>9465</v>
      </c>
      <c r="AP16" s="1599" t="s">
        <v>9466</v>
      </c>
      <c r="AQ16" s="1649" t="s">
        <v>9467</v>
      </c>
      <c r="AR16" s="1599" t="s">
        <v>9468</v>
      </c>
      <c r="AS16" s="1599" t="s">
        <v>839</v>
      </c>
      <c r="AT16" s="1599" t="s">
        <v>2411</v>
      </c>
      <c r="AU16" s="1587" t="s">
        <v>9469</v>
      </c>
      <c r="AV16" s="1476" t="str">
        <f t="shared" si="1"/>
        <v>2:14</v>
      </c>
      <c r="AW16" s="1650"/>
    </row>
    <row r="17" ht="15.75" customHeight="1">
      <c r="A17" s="1556" t="s">
        <v>6414</v>
      </c>
      <c r="B17" s="1651" t="s">
        <v>9134</v>
      </c>
      <c r="C17" s="1558">
        <v>0.04982638888888889</v>
      </c>
      <c r="D17" s="1428" t="s">
        <v>9470</v>
      </c>
      <c r="E17" s="1428" t="s">
        <v>4851</v>
      </c>
      <c r="F17" s="1428" t="s">
        <v>9471</v>
      </c>
      <c r="G17" s="1428" t="s">
        <v>9472</v>
      </c>
      <c r="H17" s="1428" t="s">
        <v>9473</v>
      </c>
      <c r="I17" s="1428" t="s">
        <v>5313</v>
      </c>
      <c r="J17" s="1428" t="s">
        <v>9474</v>
      </c>
      <c r="K17" s="1000" t="s">
        <v>9475</v>
      </c>
      <c r="L17" s="1428" t="s">
        <v>9476</v>
      </c>
      <c r="M17" s="1428" t="s">
        <v>9477</v>
      </c>
      <c r="N17" s="1428" t="s">
        <v>2098</v>
      </c>
      <c r="O17" s="1428" t="s">
        <v>9478</v>
      </c>
      <c r="P17" s="1000" t="s">
        <v>4489</v>
      </c>
      <c r="Q17" s="1428" t="s">
        <v>9479</v>
      </c>
      <c r="R17" s="1428" t="s">
        <v>1871</v>
      </c>
      <c r="S17" s="1428" t="s">
        <v>3440</v>
      </c>
      <c r="T17" s="1428" t="s">
        <v>9480</v>
      </c>
      <c r="U17" s="1428" t="s">
        <v>9481</v>
      </c>
      <c r="V17" s="1428" t="s">
        <v>7806</v>
      </c>
      <c r="W17" s="1428" t="s">
        <v>5547</v>
      </c>
      <c r="X17" s="1428" t="s">
        <v>9149</v>
      </c>
      <c r="Y17" s="1428" t="s">
        <v>9257</v>
      </c>
      <c r="Z17" s="1428" t="s">
        <v>7947</v>
      </c>
      <c r="AA17" s="1652" t="s">
        <v>9482</v>
      </c>
      <c r="AB17" s="1428" t="s">
        <v>5964</v>
      </c>
      <c r="AC17" s="1428" t="s">
        <v>1097</v>
      </c>
      <c r="AD17" s="1428" t="s">
        <v>7064</v>
      </c>
      <c r="AE17" s="1428" t="s">
        <v>4976</v>
      </c>
      <c r="AF17" s="1428" t="s">
        <v>9483</v>
      </c>
      <c r="AG17" s="1428" t="s">
        <v>1529</v>
      </c>
      <c r="AH17" s="1000" t="s">
        <v>9484</v>
      </c>
      <c r="AI17" s="1428" t="s">
        <v>8862</v>
      </c>
      <c r="AJ17" s="1428" t="s">
        <v>9485</v>
      </c>
      <c r="AK17" s="1428" t="s">
        <v>9486</v>
      </c>
      <c r="AL17" s="1428" t="s">
        <v>4432</v>
      </c>
      <c r="AM17" s="1428" t="s">
        <v>3463</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2649</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4560</v>
      </c>
      <c r="Q18" s="1659" t="s">
        <v>9502</v>
      </c>
      <c r="R18" s="1660" t="s">
        <v>5573</v>
      </c>
      <c r="S18" s="1659" t="s">
        <v>9503</v>
      </c>
      <c r="T18" s="1245" t="s">
        <v>9504</v>
      </c>
      <c r="U18" s="1245" t="s">
        <v>9505</v>
      </c>
      <c r="V18" s="1660" t="s">
        <v>6431</v>
      </c>
      <c r="W18" s="1661" t="s">
        <v>9506</v>
      </c>
      <c r="X18" s="1662" t="s">
        <v>6886</v>
      </c>
      <c r="Y18" s="1643" t="s">
        <v>8651</v>
      </c>
      <c r="Z18" s="1662" t="s">
        <v>9507</v>
      </c>
      <c r="AA18" s="1663" t="s">
        <v>1924</v>
      </c>
      <c r="AB18" s="1661" t="s">
        <v>9508</v>
      </c>
      <c r="AC18" s="1661" t="s">
        <v>4976</v>
      </c>
      <c r="AD18" s="1656" t="s">
        <v>9509</v>
      </c>
      <c r="AE18" s="1656" t="s">
        <v>5424</v>
      </c>
      <c r="AF18" s="1664" t="s">
        <v>9510</v>
      </c>
      <c r="AG18" s="1665" t="s">
        <v>156</v>
      </c>
      <c r="AH18" s="1665" t="s">
        <v>9511</v>
      </c>
      <c r="AI18" s="1664" t="s">
        <v>9512</v>
      </c>
      <c r="AJ18" s="1665" t="s">
        <v>9513</v>
      </c>
      <c r="AK18" s="1665" t="s">
        <v>2335</v>
      </c>
      <c r="AL18" s="1664" t="s">
        <v>4143</v>
      </c>
      <c r="AM18" s="1636" t="s">
        <v>9182</v>
      </c>
      <c r="AN18" s="1666" t="s">
        <v>4634</v>
      </c>
      <c r="AO18" s="1666" t="s">
        <v>9514</v>
      </c>
      <c r="AP18" s="1666" t="s">
        <v>9515</v>
      </c>
      <c r="AQ18" s="1666" t="s">
        <v>4578</v>
      </c>
      <c r="AR18" s="1666" t="s">
        <v>9516</v>
      </c>
      <c r="AS18" s="1666" t="s">
        <v>931</v>
      </c>
      <c r="AT18" s="1657" t="s">
        <v>9517</v>
      </c>
      <c r="AU18" s="1667" t="s">
        <v>9491</v>
      </c>
      <c r="AV18" s="1668" t="str">
        <f t="shared" si="1"/>
        <v>2:15</v>
      </c>
      <c r="AW18" s="1669"/>
    </row>
    <row r="19" ht="15.75" customHeight="1">
      <c r="A19" s="1556" t="s">
        <v>2087</v>
      </c>
      <c r="B19" s="1557" t="s">
        <v>9134</v>
      </c>
      <c r="C19" s="1558">
        <v>0.049895833333333334</v>
      </c>
      <c r="D19" s="1000" t="s">
        <v>9518</v>
      </c>
      <c r="E19" s="1670" t="s">
        <v>956</v>
      </c>
      <c r="F19" s="1641" t="s">
        <v>9519</v>
      </c>
      <c r="G19" s="1670" t="s">
        <v>9520</v>
      </c>
      <c r="H19" s="825" t="s">
        <v>9521</v>
      </c>
      <c r="I19" s="927" t="s">
        <v>5638</v>
      </c>
      <c r="J19" s="1624" t="s">
        <v>9522</v>
      </c>
      <c r="K19" s="1671" t="s">
        <v>9523</v>
      </c>
      <c r="L19" s="1624" t="s">
        <v>9232</v>
      </c>
      <c r="M19" s="1624" t="s">
        <v>5096</v>
      </c>
      <c r="N19" s="1624" t="s">
        <v>9524</v>
      </c>
      <c r="O19" s="1671" t="s">
        <v>9525</v>
      </c>
      <c r="P19" s="1000" t="s">
        <v>992</v>
      </c>
      <c r="Q19" s="1627" t="s">
        <v>3517</v>
      </c>
      <c r="R19" s="1672" t="s">
        <v>7944</v>
      </c>
      <c r="S19" s="1672" t="s">
        <v>9526</v>
      </c>
      <c r="T19" s="1672" t="s">
        <v>9527</v>
      </c>
      <c r="U19" s="1672" t="s">
        <v>1828</v>
      </c>
      <c r="V19" s="1627" t="s">
        <v>4468</v>
      </c>
      <c r="W19" s="1643" t="s">
        <v>9528</v>
      </c>
      <c r="X19" s="1673" t="s">
        <v>9529</v>
      </c>
      <c r="Y19" s="1643" t="s">
        <v>9530</v>
      </c>
      <c r="Z19" s="1643" t="s">
        <v>9531</v>
      </c>
      <c r="AA19" s="1643" t="s">
        <v>3323</v>
      </c>
      <c r="AB19" s="1673" t="s">
        <v>7407</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6861</v>
      </c>
      <c r="AP19" s="1645" t="s">
        <v>5726</v>
      </c>
      <c r="AQ19" s="1646" t="s">
        <v>9541</v>
      </c>
      <c r="AR19" s="1645" t="s">
        <v>1163</v>
      </c>
      <c r="AS19" s="1645" t="s">
        <v>3953</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6911</v>
      </c>
      <c r="S20" s="1676" t="s">
        <v>9552</v>
      </c>
      <c r="T20" s="1676" t="s">
        <v>2666</v>
      </c>
      <c r="U20" s="1676" t="s">
        <v>9553</v>
      </c>
      <c r="V20" s="1676">
        <v>59.79</v>
      </c>
      <c r="W20" s="1676" t="s">
        <v>9554</v>
      </c>
      <c r="X20" s="1676" t="s">
        <v>1924</v>
      </c>
      <c r="Y20" s="1676">
        <v>47.0</v>
      </c>
      <c r="Z20" s="1676" t="s">
        <v>9555</v>
      </c>
      <c r="AA20" s="1676" t="s">
        <v>9556</v>
      </c>
      <c r="AB20" s="1676" t="s">
        <v>6851</v>
      </c>
      <c r="AC20" s="1676">
        <v>47.56</v>
      </c>
      <c r="AD20" s="1676" t="s">
        <v>9175</v>
      </c>
      <c r="AE20" s="1676">
        <v>47.95</v>
      </c>
      <c r="AF20" s="1676" t="s">
        <v>9557</v>
      </c>
      <c r="AG20" s="1676" t="s">
        <v>9558</v>
      </c>
      <c r="AH20" s="1676">
        <v>57.67</v>
      </c>
      <c r="AI20" s="1676" t="s">
        <v>1119</v>
      </c>
      <c r="AJ20" s="1676" t="s">
        <v>9559</v>
      </c>
      <c r="AK20" s="1676" t="s">
        <v>7440</v>
      </c>
      <c r="AL20" s="1676">
        <v>56.37</v>
      </c>
      <c r="AM20" s="1676" t="s">
        <v>9560</v>
      </c>
      <c r="AN20" s="1676">
        <v>55.92</v>
      </c>
      <c r="AO20" s="1676" t="s">
        <v>4520</v>
      </c>
      <c r="AP20" s="1676" t="s">
        <v>9026</v>
      </c>
      <c r="AQ20" s="1676" t="s">
        <v>9561</v>
      </c>
      <c r="AR20" s="1676" t="s">
        <v>7599</v>
      </c>
      <c r="AS20" s="1676">
        <v>46.83</v>
      </c>
      <c r="AT20" s="1677" t="s">
        <v>9562</v>
      </c>
      <c r="AU20" s="1599" t="s">
        <v>9563</v>
      </c>
      <c r="AV20" s="1476" t="str">
        <f t="shared" si="1"/>
        <v>1:53</v>
      </c>
      <c r="AW20" s="1609" t="s">
        <v>9564</v>
      </c>
    </row>
    <row r="21">
      <c r="A21" s="1618" t="s">
        <v>2105</v>
      </c>
      <c r="B21" s="1606" t="s">
        <v>9134</v>
      </c>
      <c r="C21" s="1678">
        <v>0.049930555555555554</v>
      </c>
      <c r="D21" s="1679" t="s">
        <v>9565</v>
      </c>
      <c r="E21" s="1599" t="s">
        <v>6468</v>
      </c>
      <c r="F21" s="1599" t="s">
        <v>4240</v>
      </c>
      <c r="G21" s="1599" t="s">
        <v>9566</v>
      </c>
      <c r="H21" s="1599" t="s">
        <v>9567</v>
      </c>
      <c r="I21" s="1599" t="s">
        <v>5833</v>
      </c>
      <c r="J21" s="1599" t="s">
        <v>6441</v>
      </c>
      <c r="K21" s="1599" t="s">
        <v>9568</v>
      </c>
      <c r="L21" s="1599" t="s">
        <v>3582</v>
      </c>
      <c r="M21" s="1599" t="s">
        <v>1012</v>
      </c>
      <c r="N21" s="1599" t="s">
        <v>9569</v>
      </c>
      <c r="O21" s="1599" t="s">
        <v>800</v>
      </c>
      <c r="P21" s="1595">
        <v>47.54</v>
      </c>
      <c r="Q21" s="1680" t="s">
        <v>5840</v>
      </c>
      <c r="R21" s="1595" t="s">
        <v>9570</v>
      </c>
      <c r="S21" s="1680" t="s">
        <v>9402</v>
      </c>
      <c r="T21" s="1595" t="s">
        <v>9571</v>
      </c>
      <c r="U21" s="1680" t="s">
        <v>9572</v>
      </c>
      <c r="V21" s="1595">
        <v>58.55</v>
      </c>
      <c r="W21" s="1680" t="s">
        <v>9573</v>
      </c>
      <c r="X21" s="1680" t="s">
        <v>9574</v>
      </c>
      <c r="Y21" s="1564" t="s">
        <v>7838</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5849</v>
      </c>
      <c r="AO21" s="1680" t="s">
        <v>7935</v>
      </c>
      <c r="AP21" s="1680" t="s">
        <v>9582</v>
      </c>
      <c r="AQ21" s="1680" t="s">
        <v>7034</v>
      </c>
      <c r="AR21" s="1680" t="s">
        <v>6541</v>
      </c>
      <c r="AS21" s="1681">
        <v>42.83</v>
      </c>
      <c r="AT21" s="1595" t="s">
        <v>9583</v>
      </c>
      <c r="AU21" s="1608" t="s">
        <v>9584</v>
      </c>
      <c r="AV21" s="1476" t="str">
        <f t="shared" si="1"/>
        <v>4:29</v>
      </c>
      <c r="AW21" s="1609" t="s">
        <v>9585</v>
      </c>
    </row>
    <row r="22" ht="15.75" customHeight="1">
      <c r="A22" s="1618" t="s">
        <v>2265</v>
      </c>
      <c r="B22" s="1557" t="s">
        <v>9134</v>
      </c>
      <c r="C22" s="1558">
        <v>0.0499537037037037</v>
      </c>
      <c r="D22" s="1587" t="s">
        <v>9586</v>
      </c>
      <c r="E22" s="1587" t="s">
        <v>2880</v>
      </c>
      <c r="F22" s="1587" t="s">
        <v>9587</v>
      </c>
      <c r="G22" s="1564" t="s">
        <v>9588</v>
      </c>
      <c r="H22" s="1587" t="s">
        <v>9589</v>
      </c>
      <c r="I22" s="794" t="s">
        <v>9533</v>
      </c>
      <c r="J22" s="1587" t="s">
        <v>1419</v>
      </c>
      <c r="K22" s="1587" t="s">
        <v>5266</v>
      </c>
      <c r="L22" s="1587" t="s">
        <v>9590</v>
      </c>
      <c r="M22" s="1587" t="s">
        <v>9591</v>
      </c>
      <c r="N22" s="1587" t="s">
        <v>9592</v>
      </c>
      <c r="O22" s="1587" t="s">
        <v>9593</v>
      </c>
      <c r="P22" s="1587" t="s">
        <v>7823</v>
      </c>
      <c r="Q22" s="1587" t="s">
        <v>4635</v>
      </c>
      <c r="R22" s="1627" t="s">
        <v>5573</v>
      </c>
      <c r="S22" s="1587" t="s">
        <v>4073</v>
      </c>
      <c r="T22" s="1587" t="s">
        <v>9324</v>
      </c>
      <c r="U22" s="1587" t="s">
        <v>9594</v>
      </c>
      <c r="V22" s="1587" t="s">
        <v>9595</v>
      </c>
      <c r="W22" s="1587" t="s">
        <v>9596</v>
      </c>
      <c r="X22" s="1587" t="s">
        <v>7408</v>
      </c>
      <c r="Y22" s="1587" t="s">
        <v>4359</v>
      </c>
      <c r="Z22" s="1587" t="s">
        <v>9597</v>
      </c>
      <c r="AA22" s="1587" t="s">
        <v>7408</v>
      </c>
      <c r="AB22" s="1587" t="s">
        <v>9598</v>
      </c>
      <c r="AC22" s="1587" t="s">
        <v>5688</v>
      </c>
      <c r="AD22" s="1587" t="s">
        <v>7465</v>
      </c>
      <c r="AE22" s="1587" t="s">
        <v>5953</v>
      </c>
      <c r="AF22" s="1587" t="s">
        <v>9599</v>
      </c>
      <c r="AG22" s="1587" t="s">
        <v>5101</v>
      </c>
      <c r="AH22" s="1587" t="s">
        <v>5284</v>
      </c>
      <c r="AI22" s="1587" t="s">
        <v>9600</v>
      </c>
      <c r="AJ22" s="1563" t="s">
        <v>9151</v>
      </c>
      <c r="AK22" s="1587" t="s">
        <v>2531</v>
      </c>
      <c r="AL22" s="1587" t="s">
        <v>9601</v>
      </c>
      <c r="AM22" s="1587" t="s">
        <v>9303</v>
      </c>
      <c r="AN22" s="1587" t="s">
        <v>558</v>
      </c>
      <c r="AO22" s="1587" t="s">
        <v>9602</v>
      </c>
      <c r="AP22" s="1587" t="s">
        <v>9603</v>
      </c>
      <c r="AQ22" s="1587" t="s">
        <v>4837</v>
      </c>
      <c r="AR22" s="1587" t="s">
        <v>7600</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4382</v>
      </c>
      <c r="F23" s="1587" t="s">
        <v>9609</v>
      </c>
      <c r="G23" s="1587" t="s">
        <v>9610</v>
      </c>
      <c r="H23" s="1476" t="s">
        <v>2289</v>
      </c>
      <c r="I23" s="1587" t="s">
        <v>1387</v>
      </c>
      <c r="J23" s="1587" t="s">
        <v>381</v>
      </c>
      <c r="K23" s="1587" t="s">
        <v>9611</v>
      </c>
      <c r="L23" s="1587" t="s">
        <v>5504</v>
      </c>
      <c r="M23" s="1587" t="s">
        <v>6622</v>
      </c>
      <c r="N23" s="1587" t="s">
        <v>9612</v>
      </c>
      <c r="O23" s="1587" t="s">
        <v>2615</v>
      </c>
      <c r="P23" s="1476" t="s">
        <v>5352</v>
      </c>
      <c r="Q23" s="1587" t="s">
        <v>9613</v>
      </c>
      <c r="R23" s="1587" t="s">
        <v>3301</v>
      </c>
      <c r="S23" s="1587" t="s">
        <v>7278</v>
      </c>
      <c r="T23" s="1587" t="s">
        <v>8912</v>
      </c>
      <c r="U23" s="1587" t="s">
        <v>9614</v>
      </c>
      <c r="V23" s="1587" t="s">
        <v>5051</v>
      </c>
      <c r="W23" s="1587" t="s">
        <v>9615</v>
      </c>
      <c r="X23" s="1476" t="s">
        <v>6886</v>
      </c>
      <c r="Y23" s="1476" t="s">
        <v>5622</v>
      </c>
      <c r="Z23" s="1587" t="s">
        <v>9616</v>
      </c>
      <c r="AA23" s="1587" t="s">
        <v>2332</v>
      </c>
      <c r="AB23" s="1587" t="s">
        <v>9617</v>
      </c>
      <c r="AC23" s="1587" t="s">
        <v>786</v>
      </c>
      <c r="AD23" s="1587" t="s">
        <v>5364</v>
      </c>
      <c r="AE23" s="1587" t="s">
        <v>9618</v>
      </c>
      <c r="AF23" s="1587" t="s">
        <v>945</v>
      </c>
      <c r="AG23" s="1587" t="s">
        <v>9619</v>
      </c>
      <c r="AH23" s="1587" t="s">
        <v>6182</v>
      </c>
      <c r="AI23" s="1587" t="s">
        <v>693</v>
      </c>
      <c r="AJ23" s="1476" t="s">
        <v>9620</v>
      </c>
      <c r="AK23" s="1644" t="s">
        <v>7210</v>
      </c>
      <c r="AL23" s="1587" t="s">
        <v>4627</v>
      </c>
      <c r="AM23" s="1587" t="s">
        <v>3717</v>
      </c>
      <c r="AN23" s="1476" t="s">
        <v>6315</v>
      </c>
      <c r="AO23" s="1476" t="s">
        <v>7600</v>
      </c>
      <c r="AP23" s="1476" t="s">
        <v>9621</v>
      </c>
      <c r="AQ23" s="1476" t="s">
        <v>9268</v>
      </c>
      <c r="AR23" s="1476" t="s">
        <v>491</v>
      </c>
      <c r="AS23" s="1476" t="s">
        <v>6894</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4021</v>
      </c>
      <c r="Q24" s="1587" t="s">
        <v>1852</v>
      </c>
      <c r="R24" s="1587" t="s">
        <v>6713</v>
      </c>
      <c r="S24" s="1587" t="s">
        <v>8139</v>
      </c>
      <c r="T24" s="1587" t="s">
        <v>6913</v>
      </c>
      <c r="U24" s="1587" t="s">
        <v>9629</v>
      </c>
      <c r="V24" s="1587" t="s">
        <v>9630</v>
      </c>
      <c r="W24" s="1587" t="s">
        <v>9631</v>
      </c>
      <c r="X24" s="1587" t="s">
        <v>9459</v>
      </c>
      <c r="Y24" s="1587" t="s">
        <v>9632</v>
      </c>
      <c r="Z24" s="1587" t="s">
        <v>9633</v>
      </c>
      <c r="AA24" s="1587" t="s">
        <v>9457</v>
      </c>
      <c r="AB24" s="1587" t="s">
        <v>9634</v>
      </c>
      <c r="AC24" s="1476" t="s">
        <v>1889</v>
      </c>
      <c r="AD24" s="1587" t="s">
        <v>9635</v>
      </c>
      <c r="AE24" s="1476" t="s">
        <v>5610</v>
      </c>
      <c r="AF24" s="1683" t="s">
        <v>9148</v>
      </c>
      <c r="AG24" s="1587" t="s">
        <v>609</v>
      </c>
      <c r="AH24" s="1587" t="s">
        <v>8122</v>
      </c>
      <c r="AI24" s="1587" t="s">
        <v>309</v>
      </c>
      <c r="AJ24" s="1476" t="s">
        <v>9636</v>
      </c>
      <c r="AK24" s="1587" t="s">
        <v>9637</v>
      </c>
      <c r="AL24" s="1476" t="s">
        <v>3270</v>
      </c>
      <c r="AM24" s="1587" t="s">
        <v>2057</v>
      </c>
      <c r="AN24" s="1476" t="s">
        <v>2633</v>
      </c>
      <c r="AO24" s="1587" t="s">
        <v>3491</v>
      </c>
      <c r="AP24" s="1587" t="s">
        <v>9638</v>
      </c>
      <c r="AQ24" s="1476" t="s">
        <v>9639</v>
      </c>
      <c r="AR24" s="1587" t="s">
        <v>1757</v>
      </c>
      <c r="AS24" s="1476" t="s">
        <v>8676</v>
      </c>
      <c r="AT24" s="1587" t="s">
        <v>9640</v>
      </c>
      <c r="AU24" s="1587" t="s">
        <v>9641</v>
      </c>
      <c r="AV24" s="1476" t="str">
        <f t="shared" si="1"/>
        <v>1:53</v>
      </c>
      <c r="AW24" s="1650"/>
    </row>
    <row r="25" ht="15.75" customHeight="1">
      <c r="A25" s="1618" t="s">
        <v>2680</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5610</v>
      </c>
      <c r="Q25" s="1622" t="s">
        <v>5818</v>
      </c>
      <c r="R25" s="1000" t="s">
        <v>6825</v>
      </c>
      <c r="S25" s="1000" t="s">
        <v>336</v>
      </c>
      <c r="T25" s="1622" t="s">
        <v>9171</v>
      </c>
      <c r="U25" s="1000" t="s">
        <v>9648</v>
      </c>
      <c r="V25" s="1000" t="s">
        <v>9649</v>
      </c>
      <c r="W25" s="1000" t="s">
        <v>6791</v>
      </c>
      <c r="X25" s="1000" t="s">
        <v>5906</v>
      </c>
      <c r="Y25" s="1000" t="s">
        <v>5164</v>
      </c>
      <c r="Z25" s="1000" t="s">
        <v>1132</v>
      </c>
      <c r="AA25" s="1000" t="s">
        <v>9512</v>
      </c>
      <c r="AB25" s="1000" t="s">
        <v>2519</v>
      </c>
      <c r="AC25" s="1000" t="s">
        <v>1832</v>
      </c>
      <c r="AD25" s="1000" t="s">
        <v>6328</v>
      </c>
      <c r="AE25" s="1000" t="s">
        <v>3315</v>
      </c>
      <c r="AF25" s="1000" t="s">
        <v>9180</v>
      </c>
      <c r="AG25" s="1000" t="s">
        <v>9650</v>
      </c>
      <c r="AH25" s="1000" t="s">
        <v>5017</v>
      </c>
      <c r="AI25" s="1000" t="s">
        <v>3425</v>
      </c>
      <c r="AJ25" s="1000" t="s">
        <v>9651</v>
      </c>
      <c r="AK25" s="1000" t="s">
        <v>9652</v>
      </c>
      <c r="AL25" s="1000" t="s">
        <v>5317</v>
      </c>
      <c r="AM25" s="1000" t="s">
        <v>9246</v>
      </c>
      <c r="AN25" s="1000" t="s">
        <v>4423</v>
      </c>
      <c r="AO25" s="1000" t="s">
        <v>6968</v>
      </c>
      <c r="AP25" s="1000" t="s">
        <v>9653</v>
      </c>
      <c r="AQ25" s="1000" t="s">
        <v>9654</v>
      </c>
      <c r="AR25" s="1000" t="s">
        <v>9655</v>
      </c>
      <c r="AS25" s="1000" t="s">
        <v>4678</v>
      </c>
      <c r="AT25" s="1000" t="s">
        <v>9656</v>
      </c>
      <c r="AU25" s="1644" t="s">
        <v>9185</v>
      </c>
      <c r="AV25" s="1476" t="str">
        <f t="shared" si="1"/>
        <v>2:51</v>
      </c>
      <c r="AW25" s="1684"/>
    </row>
    <row r="26">
      <c r="A26" s="1618" t="s">
        <v>7579</v>
      </c>
      <c r="B26" s="1616" t="s">
        <v>9161</v>
      </c>
      <c r="C26" s="1558">
        <v>0.05016203703703704</v>
      </c>
      <c r="D26" s="1595" t="s">
        <v>9657</v>
      </c>
      <c r="E26" s="1685" t="s">
        <v>6762</v>
      </c>
      <c r="F26" s="1595" t="s">
        <v>9658</v>
      </c>
      <c r="G26" s="1595" t="s">
        <v>9659</v>
      </c>
      <c r="H26" s="1595" t="s">
        <v>9660</v>
      </c>
      <c r="I26" s="1595" t="s">
        <v>5424</v>
      </c>
      <c r="J26" s="1595" t="s">
        <v>9661</v>
      </c>
      <c r="K26" s="1595" t="s">
        <v>5242</v>
      </c>
      <c r="L26" s="1000" t="s">
        <v>5159</v>
      </c>
      <c r="M26" s="1622" t="s">
        <v>9167</v>
      </c>
      <c r="N26" s="1595" t="s">
        <v>9662</v>
      </c>
      <c r="O26" s="1595" t="s">
        <v>9663</v>
      </c>
      <c r="P26" s="1595" t="s">
        <v>5979</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4807</v>
      </c>
      <c r="AD26" s="1595" t="s">
        <v>9669</v>
      </c>
      <c r="AE26" s="1595" t="s">
        <v>2656</v>
      </c>
      <c r="AF26" s="1595" t="s">
        <v>5868</v>
      </c>
      <c r="AG26" s="1595" t="s">
        <v>9670</v>
      </c>
      <c r="AH26" s="1595" t="s">
        <v>4302</v>
      </c>
      <c r="AI26" s="1587" t="s">
        <v>4168</v>
      </c>
      <c r="AJ26" s="1595" t="s">
        <v>9671</v>
      </c>
      <c r="AK26" s="1595" t="s">
        <v>9497</v>
      </c>
      <c r="AL26" s="1595" t="s">
        <v>2513</v>
      </c>
      <c r="AM26" s="1595" t="s">
        <v>4078</v>
      </c>
      <c r="AN26" s="1595" t="s">
        <v>6092</v>
      </c>
      <c r="AO26" s="1595" t="s">
        <v>9672</v>
      </c>
      <c r="AP26" s="1595" t="s">
        <v>9673</v>
      </c>
      <c r="AQ26" s="1595" t="s">
        <v>4063</v>
      </c>
      <c r="AR26" s="1595" t="s">
        <v>2742</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7314</v>
      </c>
      <c r="G27" s="1564" t="s">
        <v>9678</v>
      </c>
      <c r="H27" s="927" t="s">
        <v>9679</v>
      </c>
      <c r="I27" s="927" t="s">
        <v>1114</v>
      </c>
      <c r="J27" s="1624" t="s">
        <v>7427</v>
      </c>
      <c r="K27" s="1671" t="s">
        <v>8262</v>
      </c>
      <c r="L27" s="1671" t="s">
        <v>5208</v>
      </c>
      <c r="M27" s="1686" t="str">
        <f>HYPERLINK("https://youtu.be/teAIifUZjFw","1:14.18")</f>
        <v>1:14.18</v>
      </c>
      <c r="N27" s="1671" t="s">
        <v>3780</v>
      </c>
      <c r="O27" s="1671" t="s">
        <v>9680</v>
      </c>
      <c r="P27" s="1671" t="s">
        <v>2096</v>
      </c>
      <c r="Q27" s="1672" t="s">
        <v>9681</v>
      </c>
      <c r="R27" s="1627" t="s">
        <v>9682</v>
      </c>
      <c r="S27" s="1627" t="s">
        <v>5538</v>
      </c>
      <c r="T27" s="1687" t="str">
        <f>HYPERLINK("https://youtu.be/AiXricVH5ss","1:24.99")</f>
        <v>1:24.99</v>
      </c>
      <c r="U27" s="1688" t="str">
        <f>HYPERLINK("https://www.twitch.tv/videos/450151935","2:00.31")</f>
        <v>2:00.31</v>
      </c>
      <c r="V27" s="1627" t="s">
        <v>9172</v>
      </c>
      <c r="W27" s="1689" t="str">
        <f>HYPERLINK("https://youtu.be/eafNhBoXVWA","1:46.09")</f>
        <v>1:46.09</v>
      </c>
      <c r="X27" s="1673" t="s">
        <v>4486</v>
      </c>
      <c r="Y27" s="1673" t="s">
        <v>9399</v>
      </c>
      <c r="Z27" s="1673" t="s">
        <v>9683</v>
      </c>
      <c r="AA27" s="1643" t="s">
        <v>9350</v>
      </c>
      <c r="AB27" s="1673" t="s">
        <v>7192</v>
      </c>
      <c r="AC27" s="1673" t="s">
        <v>7236</v>
      </c>
      <c r="AD27" s="1690" t="str">
        <f>HYPERLINK("https://youtu.be/8FEcTKESSh0","1:49.80")</f>
        <v>1:49.80</v>
      </c>
      <c r="AE27" s="1641" t="s">
        <v>5074</v>
      </c>
      <c r="AF27" s="1674" t="s">
        <v>9684</v>
      </c>
      <c r="AG27" s="1674" t="s">
        <v>9685</v>
      </c>
      <c r="AH27" s="1674" t="s">
        <v>9686</v>
      </c>
      <c r="AI27" s="1674" t="s">
        <v>4079</v>
      </c>
      <c r="AJ27" s="1674" t="s">
        <v>9687</v>
      </c>
      <c r="AK27" s="1644" t="s">
        <v>9571</v>
      </c>
      <c r="AL27" s="1674" t="s">
        <v>9688</v>
      </c>
      <c r="AM27" s="1646" t="s">
        <v>9540</v>
      </c>
      <c r="AN27" s="1646" t="s">
        <v>8913</v>
      </c>
      <c r="AO27" s="1646" t="s">
        <v>9655</v>
      </c>
      <c r="AP27" s="1645" t="s">
        <v>9689</v>
      </c>
      <c r="AQ27" s="1645" t="s">
        <v>9690</v>
      </c>
      <c r="AR27" s="1646" t="s">
        <v>9691</v>
      </c>
      <c r="AS27" s="1645" t="s">
        <v>5666</v>
      </c>
      <c r="AT27" s="1686" t="str">
        <f>HYPERLINK("https://youtu.be/xDirVtS1AZ4?t=4416","2:27.45")</f>
        <v>2:27.45</v>
      </c>
      <c r="AU27" s="1668" t="s">
        <v>9692</v>
      </c>
      <c r="AV27" s="1476" t="str">
        <f t="shared" si="1"/>
        <v>2:34</v>
      </c>
      <c r="AW27" s="1615" t="s">
        <v>9693</v>
      </c>
    </row>
    <row r="28">
      <c r="A28" s="1618" t="s">
        <v>7042</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5051</v>
      </c>
      <c r="W28" s="1000" t="s">
        <v>6793</v>
      </c>
      <c r="X28" s="1000" t="s">
        <v>6886</v>
      </c>
      <c r="Y28" s="1000" t="s">
        <v>883</v>
      </c>
      <c r="Z28" s="1000" t="s">
        <v>9705</v>
      </c>
      <c r="AA28" s="1587" t="s">
        <v>9706</v>
      </c>
      <c r="AB28" s="1000" t="s">
        <v>7235</v>
      </c>
      <c r="AC28" s="1587" t="s">
        <v>9646</v>
      </c>
      <c r="AD28" s="1000" t="s">
        <v>6354</v>
      </c>
      <c r="AE28" s="1587" t="s">
        <v>9244</v>
      </c>
      <c r="AF28" s="1587" t="s">
        <v>9707</v>
      </c>
      <c r="AG28" s="1000" t="s">
        <v>1912</v>
      </c>
      <c r="AH28" s="1000" t="s">
        <v>2640</v>
      </c>
      <c r="AI28" s="1587" t="s">
        <v>9708</v>
      </c>
      <c r="AJ28" s="1000" t="s">
        <v>9709</v>
      </c>
      <c r="AK28" s="1000" t="s">
        <v>6633</v>
      </c>
      <c r="AL28" s="1000" t="s">
        <v>4627</v>
      </c>
      <c r="AM28" s="1000" t="s">
        <v>9710</v>
      </c>
      <c r="AN28" s="1000" t="s">
        <v>4627</v>
      </c>
      <c r="AO28" s="1000" t="s">
        <v>1844</v>
      </c>
      <c r="AP28" s="1587" t="s">
        <v>9711</v>
      </c>
      <c r="AQ28" s="1000" t="s">
        <v>2228</v>
      </c>
      <c r="AR28" s="1587" t="s">
        <v>9023</v>
      </c>
      <c r="AS28" s="1000" t="s">
        <v>1970</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7008</v>
      </c>
      <c r="G29" s="1641" t="s">
        <v>9718</v>
      </c>
      <c r="H29" s="864" t="s">
        <v>9719</v>
      </c>
      <c r="I29" s="864" t="s">
        <v>8231</v>
      </c>
      <c r="J29" s="1624" t="s">
        <v>1840</v>
      </c>
      <c r="K29" s="1624" t="s">
        <v>6112</v>
      </c>
      <c r="L29" s="1624" t="s">
        <v>3521</v>
      </c>
      <c r="M29" s="1624" t="s">
        <v>9720</v>
      </c>
      <c r="N29" s="1624" t="s">
        <v>7131</v>
      </c>
      <c r="O29" s="1624" t="s">
        <v>4155</v>
      </c>
      <c r="P29" s="1624" t="s">
        <v>4719</v>
      </c>
      <c r="Q29" s="1627" t="s">
        <v>9721</v>
      </c>
      <c r="R29" s="1627" t="s">
        <v>9722</v>
      </c>
      <c r="S29" s="1627" t="s">
        <v>550</v>
      </c>
      <c r="T29" s="1627" t="s">
        <v>9723</v>
      </c>
      <c r="U29" s="1627" t="s">
        <v>9724</v>
      </c>
      <c r="V29" s="1627" t="s">
        <v>9725</v>
      </c>
      <c r="W29" s="1643" t="s">
        <v>9726</v>
      </c>
      <c r="X29" s="1643" t="s">
        <v>4486</v>
      </c>
      <c r="Y29" s="1643" t="s">
        <v>1546</v>
      </c>
      <c r="Z29" s="1643" t="s">
        <v>2404</v>
      </c>
      <c r="AA29" s="1643" t="s">
        <v>9727</v>
      </c>
      <c r="AB29" s="1643" t="s">
        <v>3809</v>
      </c>
      <c r="AC29" s="1643" t="s">
        <v>9728</v>
      </c>
      <c r="AD29" s="1641" t="s">
        <v>9729</v>
      </c>
      <c r="AE29" s="1641" t="s">
        <v>5953</v>
      </c>
      <c r="AF29" s="1644" t="s">
        <v>9730</v>
      </c>
      <c r="AG29" s="1644" t="s">
        <v>7485</v>
      </c>
      <c r="AH29" s="1644" t="s">
        <v>9731</v>
      </c>
      <c r="AI29" s="1644" t="s">
        <v>5179</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3368</v>
      </c>
      <c r="J30" s="1624" t="s">
        <v>4870</v>
      </c>
      <c r="K30" s="1624" t="s">
        <v>5242</v>
      </c>
      <c r="L30" s="1624" t="s">
        <v>2474</v>
      </c>
      <c r="M30" s="1624" t="s">
        <v>1901</v>
      </c>
      <c r="N30" s="1624" t="s">
        <v>4199</v>
      </c>
      <c r="O30" s="1624" t="s">
        <v>9745</v>
      </c>
      <c r="P30" s="1671" t="s">
        <v>761</v>
      </c>
      <c r="Q30" s="1627" t="s">
        <v>9746</v>
      </c>
      <c r="R30" s="1627" t="s">
        <v>3440</v>
      </c>
      <c r="S30" s="1627" t="s">
        <v>7221</v>
      </c>
      <c r="T30" s="1672" t="s">
        <v>3219</v>
      </c>
      <c r="U30" s="1627" t="s">
        <v>9301</v>
      </c>
      <c r="V30" s="1672" t="s">
        <v>5032</v>
      </c>
      <c r="W30" s="1673" t="s">
        <v>6947</v>
      </c>
      <c r="X30" s="1643" t="s">
        <v>2612</v>
      </c>
      <c r="Y30" s="1673" t="s">
        <v>9747</v>
      </c>
      <c r="Z30" s="1643" t="s">
        <v>9748</v>
      </c>
      <c r="AA30" s="1673" t="s">
        <v>9749</v>
      </c>
      <c r="AB30" s="1000" t="s">
        <v>9750</v>
      </c>
      <c r="AC30" s="1673" t="s">
        <v>3693</v>
      </c>
      <c r="AD30" s="1632" t="s">
        <v>9175</v>
      </c>
      <c r="AE30" s="1641" t="s">
        <v>3315</v>
      </c>
      <c r="AF30" s="1644" t="s">
        <v>9751</v>
      </c>
      <c r="AG30" s="1674" t="s">
        <v>4002</v>
      </c>
      <c r="AH30" s="1674" t="s">
        <v>6178</v>
      </c>
      <c r="AI30" s="1476" t="s">
        <v>9706</v>
      </c>
      <c r="AJ30" s="1674" t="s">
        <v>9752</v>
      </c>
      <c r="AK30" s="1644" t="s">
        <v>9753</v>
      </c>
      <c r="AL30" s="1674" t="s">
        <v>3699</v>
      </c>
      <c r="AM30" s="1646" t="s">
        <v>9754</v>
      </c>
      <c r="AN30" s="1646" t="s">
        <v>5147</v>
      </c>
      <c r="AO30" s="1646" t="s">
        <v>1937</v>
      </c>
      <c r="AP30" s="1646" t="s">
        <v>9755</v>
      </c>
      <c r="AQ30" s="1645" t="s">
        <v>9756</v>
      </c>
      <c r="AR30" s="1645" t="s">
        <v>3744</v>
      </c>
      <c r="AS30" s="1645" t="s">
        <v>5282</v>
      </c>
      <c r="AT30" s="1624" t="s">
        <v>9757</v>
      </c>
      <c r="AU30" s="1608" t="s">
        <v>9758</v>
      </c>
      <c r="AV30" s="1476" t="str">
        <f t="shared" si="1"/>
        <v>2:55</v>
      </c>
      <c r="AW30" s="1669"/>
    </row>
    <row r="31" ht="15.75" customHeight="1">
      <c r="A31" s="1556" t="s">
        <v>4352</v>
      </c>
      <c r="B31" s="1557" t="s">
        <v>9134</v>
      </c>
      <c r="C31" s="1692">
        <v>0.05043981481481481</v>
      </c>
      <c r="D31" s="1000" t="s">
        <v>9759</v>
      </c>
      <c r="E31" s="1476" t="s">
        <v>6973</v>
      </c>
      <c r="F31" s="1476" t="s">
        <v>1573</v>
      </c>
      <c r="G31" s="1476" t="s">
        <v>9760</v>
      </c>
      <c r="H31" s="1476" t="s">
        <v>9363</v>
      </c>
      <c r="I31" s="1476" t="s">
        <v>4759</v>
      </c>
      <c r="J31" s="1476" t="s">
        <v>4496</v>
      </c>
      <c r="K31" s="1476" t="s">
        <v>9611</v>
      </c>
      <c r="L31" s="1476" t="s">
        <v>3881</v>
      </c>
      <c r="M31" s="1476" t="s">
        <v>9761</v>
      </c>
      <c r="N31" s="1476" t="s">
        <v>9171</v>
      </c>
      <c r="O31" s="1476" t="s">
        <v>9762</v>
      </c>
      <c r="P31" s="1476" t="s">
        <v>5457</v>
      </c>
      <c r="Q31" s="1476" t="s">
        <v>9763</v>
      </c>
      <c r="R31" s="1476" t="s">
        <v>9764</v>
      </c>
      <c r="S31" s="1476" t="s">
        <v>9765</v>
      </c>
      <c r="T31" s="1476" t="s">
        <v>9766</v>
      </c>
      <c r="U31" s="1476" t="s">
        <v>9767</v>
      </c>
      <c r="V31" s="1476" t="s">
        <v>2285</v>
      </c>
      <c r="W31" s="1476" t="s">
        <v>9768</v>
      </c>
      <c r="X31" s="1476" t="s">
        <v>9769</v>
      </c>
      <c r="Y31" s="1476" t="s">
        <v>9632</v>
      </c>
      <c r="Z31" s="1476" t="s">
        <v>1132</v>
      </c>
      <c r="AA31" s="1476" t="s">
        <v>3425</v>
      </c>
      <c r="AB31" s="1476" t="s">
        <v>4870</v>
      </c>
      <c r="AC31" s="1476" t="s">
        <v>7236</v>
      </c>
      <c r="AD31" s="1476" t="s">
        <v>6328</v>
      </c>
      <c r="AE31" s="1476" t="s">
        <v>5636</v>
      </c>
      <c r="AF31" s="1476" t="s">
        <v>9770</v>
      </c>
      <c r="AG31" s="1476" t="s">
        <v>5943</v>
      </c>
      <c r="AH31" s="1476" t="s">
        <v>4107</v>
      </c>
      <c r="AI31" s="1476" t="s">
        <v>5179</v>
      </c>
      <c r="AJ31" s="1476" t="s">
        <v>9771</v>
      </c>
      <c r="AK31" s="1476" t="s">
        <v>9772</v>
      </c>
      <c r="AL31" s="1476" t="s">
        <v>6050</v>
      </c>
      <c r="AM31" s="1476" t="s">
        <v>1234</v>
      </c>
      <c r="AN31" s="1476" t="s">
        <v>4202</v>
      </c>
      <c r="AO31" s="1476" t="s">
        <v>9773</v>
      </c>
      <c r="AP31" s="1597" t="str">
        <f>HYPERLINK("https://www.twitch.tv/videos/511415405","2:00.79")</f>
        <v>2:00.79</v>
      </c>
      <c r="AQ31" s="1476" t="s">
        <v>3607</v>
      </c>
      <c r="AR31" s="1476" t="s">
        <v>6968</v>
      </c>
      <c r="AS31" s="1476" t="s">
        <v>9240</v>
      </c>
      <c r="AT31" s="1476" t="s">
        <v>9774</v>
      </c>
      <c r="AU31" s="1476" t="s">
        <v>9775</v>
      </c>
      <c r="AV31" s="1476" t="str">
        <f t="shared" si="1"/>
        <v>2:36</v>
      </c>
      <c r="AW31" s="1598" t="s">
        <v>7660</v>
      </c>
    </row>
    <row r="32">
      <c r="A32" s="1618" t="s">
        <v>1198</v>
      </c>
      <c r="B32" s="1606" t="s">
        <v>9134</v>
      </c>
      <c r="C32" s="1558">
        <v>0.050486111111111114</v>
      </c>
      <c r="D32" s="1641" t="s">
        <v>9776</v>
      </c>
      <c r="E32" s="1641" t="s">
        <v>4277</v>
      </c>
      <c r="F32" s="1641" t="s">
        <v>9777</v>
      </c>
      <c r="G32" s="1641" t="s">
        <v>9778</v>
      </c>
      <c r="H32" s="1000" t="s">
        <v>9779</v>
      </c>
      <c r="I32" s="864" t="s">
        <v>927</v>
      </c>
      <c r="J32" s="1624" t="s">
        <v>5935</v>
      </c>
      <c r="K32" s="1624" t="s">
        <v>7498</v>
      </c>
      <c r="L32" s="1624" t="s">
        <v>6580</v>
      </c>
      <c r="M32" s="1624" t="s">
        <v>5042</v>
      </c>
      <c r="N32" s="1624" t="s">
        <v>9780</v>
      </c>
      <c r="O32" s="1624" t="s">
        <v>9781</v>
      </c>
      <c r="P32" s="1624" t="s">
        <v>9533</v>
      </c>
      <c r="Q32" s="1627" t="s">
        <v>170</v>
      </c>
      <c r="R32" s="1627" t="s">
        <v>4817</v>
      </c>
      <c r="S32" s="1627" t="s">
        <v>9497</v>
      </c>
      <c r="T32" s="1627" t="s">
        <v>9782</v>
      </c>
      <c r="U32" s="1627" t="s">
        <v>9783</v>
      </c>
      <c r="V32" s="1627" t="s">
        <v>9784</v>
      </c>
      <c r="W32" s="1643" t="s">
        <v>9785</v>
      </c>
      <c r="X32" s="1643" t="s">
        <v>9786</v>
      </c>
      <c r="Y32" s="1643" t="s">
        <v>8195</v>
      </c>
      <c r="Z32" s="1643" t="s">
        <v>9787</v>
      </c>
      <c r="AA32" s="1587" t="s">
        <v>9788</v>
      </c>
      <c r="AB32" s="1643" t="s">
        <v>3408</v>
      </c>
      <c r="AC32" s="1643" t="s">
        <v>1114</v>
      </c>
      <c r="AD32" s="1641" t="s">
        <v>9789</v>
      </c>
      <c r="AE32" s="1641" t="s">
        <v>2224</v>
      </c>
      <c r="AF32" s="1644" t="s">
        <v>9790</v>
      </c>
      <c r="AG32" s="1644" t="s">
        <v>529</v>
      </c>
      <c r="AH32" s="1644" t="s">
        <v>9791</v>
      </c>
      <c r="AI32" s="1644" t="s">
        <v>2708</v>
      </c>
      <c r="AJ32" s="1644" t="s">
        <v>9792</v>
      </c>
      <c r="AK32" s="1644" t="s">
        <v>7052</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7598</v>
      </c>
      <c r="L33" s="1686" t="str">
        <f>HYPERLINK("https://www.youtube.com/watch?v=tJdjPKdAbw4","57.01")</f>
        <v>57.01</v>
      </c>
      <c r="M33" s="1671" t="s">
        <v>6859</v>
      </c>
      <c r="N33" s="1624" t="s">
        <v>2304</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5658</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4613</v>
      </c>
      <c r="F34" s="1679" t="s">
        <v>9183</v>
      </c>
      <c r="G34" s="1641" t="s">
        <v>9814</v>
      </c>
      <c r="H34" s="1679" t="s">
        <v>9496</v>
      </c>
      <c r="I34" s="1679" t="s">
        <v>3121</v>
      </c>
      <c r="J34" s="1624" t="s">
        <v>9815</v>
      </c>
      <c r="K34" s="1697" t="s">
        <v>9816</v>
      </c>
      <c r="L34" s="1624" t="s">
        <v>9817</v>
      </c>
      <c r="M34" s="1564" t="s">
        <v>5886</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7823</v>
      </c>
      <c r="Z34" s="1643" t="s">
        <v>9299</v>
      </c>
      <c r="AA34" s="1587" t="s">
        <v>9823</v>
      </c>
      <c r="AB34" s="1643" t="s">
        <v>4151</v>
      </c>
      <c r="AC34" s="1643" t="s">
        <v>942</v>
      </c>
      <c r="AD34" s="1641" t="s">
        <v>3960</v>
      </c>
      <c r="AE34" s="1641" t="s">
        <v>5979</v>
      </c>
      <c r="AF34" s="1644" t="s">
        <v>9824</v>
      </c>
      <c r="AG34" s="1679" t="s">
        <v>4648</v>
      </c>
      <c r="AH34" s="1644" t="s">
        <v>9825</v>
      </c>
      <c r="AI34" s="1644" t="s">
        <v>7936</v>
      </c>
      <c r="AJ34" s="1644" t="s">
        <v>9826</v>
      </c>
      <c r="AK34" s="1644" t="s">
        <v>9827</v>
      </c>
      <c r="AL34" s="1644" t="s">
        <v>9828</v>
      </c>
      <c r="AM34" s="1646" t="s">
        <v>3219</v>
      </c>
      <c r="AN34" s="1646" t="s">
        <v>9536</v>
      </c>
      <c r="AO34" s="1646" t="s">
        <v>3017</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4930</v>
      </c>
      <c r="Q35" s="1627" t="s">
        <v>9845</v>
      </c>
      <c r="R35" s="1627" t="s">
        <v>2713</v>
      </c>
      <c r="S35" s="1627" t="s">
        <v>6997</v>
      </c>
      <c r="T35" s="1627" t="s">
        <v>9846</v>
      </c>
      <c r="U35" s="1627" t="s">
        <v>9847</v>
      </c>
      <c r="V35" s="1627" t="s">
        <v>9172</v>
      </c>
      <c r="W35" s="1643" t="s">
        <v>9848</v>
      </c>
      <c r="X35" s="1643" t="s">
        <v>9849</v>
      </c>
      <c r="Y35" s="1643" t="s">
        <v>9850</v>
      </c>
      <c r="Z35" s="1643" t="s">
        <v>1383</v>
      </c>
      <c r="AA35" s="1643" t="s">
        <v>9851</v>
      </c>
      <c r="AB35" s="1643" t="s">
        <v>7094</v>
      </c>
      <c r="AC35" s="1673" t="s">
        <v>2176</v>
      </c>
      <c r="AD35" s="1641" t="s">
        <v>9852</v>
      </c>
      <c r="AE35" s="1641" t="s">
        <v>9533</v>
      </c>
      <c r="AF35" s="1644" t="s">
        <v>9853</v>
      </c>
      <c r="AG35" s="1644" t="s">
        <v>9854</v>
      </c>
      <c r="AH35" s="1644" t="s">
        <v>5689</v>
      </c>
      <c r="AI35" s="1644" t="s">
        <v>9855</v>
      </c>
      <c r="AJ35" s="1644" t="s">
        <v>9856</v>
      </c>
      <c r="AK35" s="1644" t="s">
        <v>4486</v>
      </c>
      <c r="AL35" s="1644" t="s">
        <v>5776</v>
      </c>
      <c r="AM35" s="1646" t="s">
        <v>1924</v>
      </c>
      <c r="AN35" s="1646" t="s">
        <v>4634</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2559</v>
      </c>
      <c r="J36" s="1000" t="s">
        <v>1303</v>
      </c>
      <c r="K36" s="1000" t="s">
        <v>9867</v>
      </c>
      <c r="L36" s="1000" t="s">
        <v>4270</v>
      </c>
      <c r="M36" s="1000" t="s">
        <v>4179</v>
      </c>
      <c r="N36" s="1000" t="s">
        <v>9868</v>
      </c>
      <c r="O36" s="1000" t="s">
        <v>9869</v>
      </c>
      <c r="P36" s="1000" t="s">
        <v>9870</v>
      </c>
      <c r="Q36" s="1000" t="s">
        <v>9871</v>
      </c>
      <c r="R36" s="1000" t="s">
        <v>1938</v>
      </c>
      <c r="S36" s="1000" t="s">
        <v>9872</v>
      </c>
      <c r="T36" s="1000" t="s">
        <v>9733</v>
      </c>
      <c r="U36" s="1000" t="s">
        <v>9873</v>
      </c>
      <c r="V36" s="1000" t="s">
        <v>9874</v>
      </c>
      <c r="W36" s="1000" t="s">
        <v>4768</v>
      </c>
      <c r="X36" s="1000" t="s">
        <v>9875</v>
      </c>
      <c r="Y36" s="1000" t="s">
        <v>5164</v>
      </c>
      <c r="Z36" s="1000" t="s">
        <v>9876</v>
      </c>
      <c r="AA36" s="1000" t="s">
        <v>9877</v>
      </c>
      <c r="AB36" s="1000" t="s">
        <v>9878</v>
      </c>
      <c r="AC36" s="1000" t="s">
        <v>7236</v>
      </c>
      <c r="AD36" s="1000" t="s">
        <v>9879</v>
      </c>
      <c r="AE36" s="1000" t="s">
        <v>9348</v>
      </c>
      <c r="AF36" s="1000" t="s">
        <v>9880</v>
      </c>
      <c r="AG36" s="1000" t="s">
        <v>5160</v>
      </c>
      <c r="AH36" s="1000" t="s">
        <v>4455</v>
      </c>
      <c r="AI36" s="1000" t="s">
        <v>9881</v>
      </c>
      <c r="AJ36" s="1000" t="s">
        <v>9882</v>
      </c>
      <c r="AK36" s="1000" t="s">
        <v>1673</v>
      </c>
      <c r="AL36" s="1000" t="s">
        <v>9883</v>
      </c>
      <c r="AM36" s="1000" t="s">
        <v>4048</v>
      </c>
      <c r="AN36" s="1000" t="s">
        <v>4085</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5085</v>
      </c>
      <c r="J37" s="1587" t="s">
        <v>1027</v>
      </c>
      <c r="K37" s="1587" t="s">
        <v>4896</v>
      </c>
      <c r="L37" s="1587" t="s">
        <v>2291</v>
      </c>
      <c r="M37" s="1587" t="s">
        <v>2244</v>
      </c>
      <c r="N37" s="1587" t="s">
        <v>9637</v>
      </c>
      <c r="O37" s="1587" t="s">
        <v>9889</v>
      </c>
      <c r="P37" s="1587" t="s">
        <v>4021</v>
      </c>
      <c r="Q37" s="1587" t="s">
        <v>9890</v>
      </c>
      <c r="R37" s="1587" t="s">
        <v>3118</v>
      </c>
      <c r="S37" s="1587" t="s">
        <v>9248</v>
      </c>
      <c r="T37" s="1587" t="s">
        <v>2360</v>
      </c>
      <c r="U37" s="1587" t="s">
        <v>9396</v>
      </c>
      <c r="V37" s="1587" t="s">
        <v>2883</v>
      </c>
      <c r="W37" s="1587" t="s">
        <v>9891</v>
      </c>
      <c r="X37" s="1587" t="s">
        <v>9892</v>
      </c>
      <c r="Y37" s="1587" t="s">
        <v>863</v>
      </c>
      <c r="Z37" s="1587" t="s">
        <v>9555</v>
      </c>
      <c r="AA37" s="1587" t="s">
        <v>7052</v>
      </c>
      <c r="AB37" s="1587" t="s">
        <v>5859</v>
      </c>
      <c r="AC37" s="1476" t="s">
        <v>537</v>
      </c>
      <c r="AD37" s="1587" t="s">
        <v>9893</v>
      </c>
      <c r="AE37" s="1587" t="s">
        <v>2656</v>
      </c>
      <c r="AF37" s="1587" t="s">
        <v>9894</v>
      </c>
      <c r="AG37" s="1587" t="s">
        <v>9733</v>
      </c>
      <c r="AH37" s="1587" t="s">
        <v>2962</v>
      </c>
      <c r="AI37" s="1587" t="s">
        <v>9895</v>
      </c>
      <c r="AJ37" s="1587" t="s">
        <v>3229</v>
      </c>
      <c r="AK37" s="1587" t="s">
        <v>5237</v>
      </c>
      <c r="AL37" s="1587" t="s">
        <v>4202</v>
      </c>
      <c r="AM37" s="1587" t="s">
        <v>3323</v>
      </c>
      <c r="AN37" s="1587" t="s">
        <v>344</v>
      </c>
      <c r="AO37" s="1587" t="s">
        <v>9896</v>
      </c>
      <c r="AP37" s="1587" t="s">
        <v>9897</v>
      </c>
      <c r="AQ37" s="1587" t="s">
        <v>6985</v>
      </c>
      <c r="AR37" s="1587" t="s">
        <v>2698</v>
      </c>
      <c r="AS37" s="1587" t="s">
        <v>4099</v>
      </c>
      <c r="AT37" s="1587" t="s">
        <v>5572</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4459</v>
      </c>
      <c r="I38" s="1476" t="s">
        <v>1183</v>
      </c>
      <c r="J38" s="1587" t="s">
        <v>3477</v>
      </c>
      <c r="K38" s="1587" t="s">
        <v>3477</v>
      </c>
      <c r="L38" s="1476" t="s">
        <v>9902</v>
      </c>
      <c r="M38" s="1476" t="s">
        <v>9903</v>
      </c>
      <c r="N38" s="1476" t="s">
        <v>9560</v>
      </c>
      <c r="O38" s="1685" t="s">
        <v>9168</v>
      </c>
      <c r="P38" s="1476" t="s">
        <v>8228</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4489</v>
      </c>
      <c r="AD38" s="1476" t="s">
        <v>2324</v>
      </c>
      <c r="AE38" s="1476" t="s">
        <v>9850</v>
      </c>
      <c r="AF38" s="1476" t="s">
        <v>9909</v>
      </c>
      <c r="AG38" s="1476" t="s">
        <v>9910</v>
      </c>
      <c r="AH38" s="1476" t="s">
        <v>4476</v>
      </c>
      <c r="AI38" s="1476" t="s">
        <v>3806</v>
      </c>
      <c r="AJ38" s="1476" t="s">
        <v>9911</v>
      </c>
      <c r="AK38" s="1476" t="s">
        <v>1163</v>
      </c>
      <c r="AL38" s="1476" t="s">
        <v>9731</v>
      </c>
      <c r="AM38" s="1476" t="s">
        <v>874</v>
      </c>
      <c r="AN38" s="1587" t="s">
        <v>9912</v>
      </c>
      <c r="AO38" s="1587" t="s">
        <v>3477</v>
      </c>
      <c r="AP38" s="1476" t="s">
        <v>5478</v>
      </c>
      <c r="AQ38" s="1476" t="s">
        <v>252</v>
      </c>
      <c r="AR38" s="1476" t="s">
        <v>9913</v>
      </c>
      <c r="AS38" s="1476" t="s">
        <v>9914</v>
      </c>
      <c r="AT38" s="1476" t="s">
        <v>9915</v>
      </c>
      <c r="AU38" s="1587" t="s">
        <v>9916</v>
      </c>
      <c r="AV38" s="1476" t="str">
        <f t="shared" si="1"/>
        <v>3:07</v>
      </c>
      <c r="AW38" s="1650" t="s">
        <v>9917</v>
      </c>
    </row>
    <row r="39" ht="15.75" customHeight="1">
      <c r="A39" s="1556" t="s">
        <v>4266</v>
      </c>
      <c r="B39" s="1557" t="s">
        <v>9134</v>
      </c>
      <c r="C39" s="1692">
        <v>0.05060185185185185</v>
      </c>
      <c r="D39" s="1000" t="s">
        <v>9918</v>
      </c>
      <c r="E39" s="1670" t="s">
        <v>3299</v>
      </c>
      <c r="F39" s="1670" t="s">
        <v>6129</v>
      </c>
      <c r="G39" s="1670" t="s">
        <v>9919</v>
      </c>
      <c r="H39" s="927" t="s">
        <v>9920</v>
      </c>
      <c r="I39" s="927" t="s">
        <v>4791</v>
      </c>
      <c r="J39" s="1671" t="s">
        <v>9364</v>
      </c>
      <c r="K39" s="1671" t="s">
        <v>7498</v>
      </c>
      <c r="L39" s="1671" t="s">
        <v>5637</v>
      </c>
      <c r="M39" s="1671" t="s">
        <v>9921</v>
      </c>
      <c r="N39" s="1671" t="s">
        <v>5394</v>
      </c>
      <c r="O39" s="1671" t="s">
        <v>9922</v>
      </c>
      <c r="P39" s="1671" t="s">
        <v>5953</v>
      </c>
      <c r="Q39" s="1672" t="s">
        <v>9923</v>
      </c>
      <c r="R39" s="1672" t="s">
        <v>5556</v>
      </c>
      <c r="S39" s="1672" t="s">
        <v>7094</v>
      </c>
      <c r="T39" s="1672" t="s">
        <v>9924</v>
      </c>
      <c r="U39" s="1672" t="s">
        <v>6263</v>
      </c>
      <c r="V39" s="1672" t="s">
        <v>3925</v>
      </c>
      <c r="W39" s="1673" t="s">
        <v>9925</v>
      </c>
      <c r="X39" s="1673" t="s">
        <v>7488</v>
      </c>
      <c r="Y39" s="1673" t="s">
        <v>1915</v>
      </c>
      <c r="Z39" s="1673" t="s">
        <v>1840</v>
      </c>
      <c r="AA39" s="1673" t="s">
        <v>9926</v>
      </c>
      <c r="AB39" s="1673" t="s">
        <v>9414</v>
      </c>
      <c r="AC39" s="1673" t="s">
        <v>5638</v>
      </c>
      <c r="AD39" s="1670" t="s">
        <v>6605</v>
      </c>
      <c r="AE39" s="1670" t="s">
        <v>7823</v>
      </c>
      <c r="AF39" s="1674" t="s">
        <v>9927</v>
      </c>
      <c r="AG39" s="1674" t="s">
        <v>9854</v>
      </c>
      <c r="AH39" s="1674" t="s">
        <v>8313</v>
      </c>
      <c r="AI39" s="1674" t="s">
        <v>5633</v>
      </c>
      <c r="AJ39" s="1674" t="s">
        <v>9928</v>
      </c>
      <c r="AK39" s="1674" t="s">
        <v>9929</v>
      </c>
      <c r="AL39" s="1674" t="s">
        <v>9930</v>
      </c>
      <c r="AM39" s="1645" t="s">
        <v>9931</v>
      </c>
      <c r="AN39" s="1645" t="s">
        <v>9932</v>
      </c>
      <c r="AO39" s="1645" t="s">
        <v>9933</v>
      </c>
      <c r="AP39" s="1645" t="s">
        <v>9934</v>
      </c>
      <c r="AQ39" s="1645" t="s">
        <v>9796</v>
      </c>
      <c r="AR39" s="1645" t="s">
        <v>9935</v>
      </c>
      <c r="AS39" s="1645" t="s">
        <v>4400</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5516</v>
      </c>
      <c r="G40" s="1476" t="s">
        <v>9939</v>
      </c>
      <c r="H40" s="1587" t="s">
        <v>9940</v>
      </c>
      <c r="I40" s="1587" t="s">
        <v>388</v>
      </c>
      <c r="J40" s="1587" t="s">
        <v>7938</v>
      </c>
      <c r="K40" s="1476" t="s">
        <v>9611</v>
      </c>
      <c r="L40" s="1587" t="s">
        <v>9941</v>
      </c>
      <c r="M40" s="1587" t="s">
        <v>9942</v>
      </c>
      <c r="N40" s="1587" t="s">
        <v>4407</v>
      </c>
      <c r="O40" s="1587" t="s">
        <v>9943</v>
      </c>
      <c r="P40" s="1587" t="s">
        <v>1585</v>
      </c>
      <c r="Q40" s="1562" t="s">
        <v>9944</v>
      </c>
      <c r="R40" s="1587" t="s">
        <v>9945</v>
      </c>
      <c r="S40" s="1476" t="s">
        <v>9946</v>
      </c>
      <c r="T40" s="1587" t="s">
        <v>9710</v>
      </c>
      <c r="U40" s="1587" t="s">
        <v>6765</v>
      </c>
      <c r="V40" s="1587" t="s">
        <v>2479</v>
      </c>
      <c r="W40" s="1596" t="str">
        <f>HYPERLINK("https://www.youtube.com/watch?v=nn1ub1z3NYM","1:45.96")</f>
        <v>1:45.96</v>
      </c>
      <c r="X40" s="1587" t="s">
        <v>5774</v>
      </c>
      <c r="Y40" s="1476" t="s">
        <v>5622</v>
      </c>
      <c r="Z40" s="1587" t="s">
        <v>1500</v>
      </c>
      <c r="AA40" s="1587" t="s">
        <v>9947</v>
      </c>
      <c r="AB40" s="1587" t="s">
        <v>9948</v>
      </c>
      <c r="AC40" s="1587" t="s">
        <v>1114</v>
      </c>
      <c r="AD40" s="1587" t="s">
        <v>9949</v>
      </c>
      <c r="AE40" s="1562" t="s">
        <v>4632</v>
      </c>
      <c r="AF40" s="1476" t="s">
        <v>9950</v>
      </c>
      <c r="AG40" s="1587" t="s">
        <v>1936</v>
      </c>
      <c r="AH40" s="1587" t="s">
        <v>3054</v>
      </c>
      <c r="AI40" s="1587" t="s">
        <v>9951</v>
      </c>
      <c r="AJ40" s="1476" t="s">
        <v>8548</v>
      </c>
      <c r="AK40" s="1587" t="s">
        <v>9952</v>
      </c>
      <c r="AL40" s="1476" t="s">
        <v>4360</v>
      </c>
      <c r="AM40" s="1476" t="s">
        <v>9953</v>
      </c>
      <c r="AN40" s="1476" t="s">
        <v>2513</v>
      </c>
      <c r="AO40" s="1587" t="s">
        <v>3608</v>
      </c>
      <c r="AP40" s="1587" t="s">
        <v>9954</v>
      </c>
      <c r="AQ40" s="1587" t="s">
        <v>9955</v>
      </c>
      <c r="AR40" s="1587" t="s">
        <v>1303</v>
      </c>
      <c r="AS40" s="1587" t="s">
        <v>4715</v>
      </c>
      <c r="AT40" s="1587" t="s">
        <v>9956</v>
      </c>
      <c r="AU40" s="1587" t="s">
        <v>9957</v>
      </c>
      <c r="AV40" s="1476" t="str">
        <f t="shared" si="1"/>
        <v>2:25</v>
      </c>
      <c r="AW40" s="1617"/>
    </row>
    <row r="41">
      <c r="A41" s="1584" t="s">
        <v>9958</v>
      </c>
      <c r="B41" s="1616" t="s">
        <v>9134</v>
      </c>
      <c r="C41" s="1558">
        <v>0.050625</v>
      </c>
      <c r="D41" s="1698" t="s">
        <v>9959</v>
      </c>
      <c r="E41" s="1587" t="s">
        <v>4744</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4652</v>
      </c>
      <c r="R41" s="1587" t="s">
        <v>4018</v>
      </c>
      <c r="S41" s="1587" t="s">
        <v>2684</v>
      </c>
      <c r="T41" s="1587" t="s">
        <v>2360</v>
      </c>
      <c r="U41" s="1587" t="s">
        <v>9967</v>
      </c>
      <c r="V41" s="1587" t="s">
        <v>2215</v>
      </c>
      <c r="W41" s="1587" t="s">
        <v>7150</v>
      </c>
      <c r="X41" s="1587" t="s">
        <v>9968</v>
      </c>
      <c r="Y41" s="1587" t="s">
        <v>9969</v>
      </c>
      <c r="Z41" s="1587" t="s">
        <v>9970</v>
      </c>
      <c r="AA41" s="1587" t="s">
        <v>9971</v>
      </c>
      <c r="AB41" s="1587"/>
      <c r="AC41" s="1587" t="s">
        <v>9972</v>
      </c>
      <c r="AD41" s="1587" t="s">
        <v>9973</v>
      </c>
      <c r="AE41" s="1587" t="s">
        <v>4976</v>
      </c>
      <c r="AF41" s="1587" t="s">
        <v>9974</v>
      </c>
      <c r="AG41" s="1587" t="s">
        <v>9975</v>
      </c>
      <c r="AH41" s="1587" t="s">
        <v>9976</v>
      </c>
      <c r="AI41" s="1587" t="s">
        <v>729</v>
      </c>
      <c r="AJ41" s="1587" t="s">
        <v>9977</v>
      </c>
      <c r="AK41" s="1587" t="s">
        <v>9144</v>
      </c>
      <c r="AL41" s="1587" t="s">
        <v>9978</v>
      </c>
      <c r="AM41" s="1587" t="s">
        <v>9979</v>
      </c>
      <c r="AN41" s="1587" t="s">
        <v>9211</v>
      </c>
      <c r="AO41" s="1587" t="s">
        <v>5068</v>
      </c>
      <c r="AP41" s="1587" t="s">
        <v>9980</v>
      </c>
      <c r="AQ41" s="1587" t="s">
        <v>9981</v>
      </c>
      <c r="AR41" s="1587" t="s">
        <v>7603</v>
      </c>
      <c r="AS41" s="1587" t="s">
        <v>5826</v>
      </c>
      <c r="AT41" s="1587" t="s">
        <v>8852</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8269</v>
      </c>
      <c r="L42" s="1624" t="s">
        <v>4334</v>
      </c>
      <c r="M42" s="1624" t="s">
        <v>8270</v>
      </c>
      <c r="N42" s="1624" t="s">
        <v>9989</v>
      </c>
      <c r="O42" s="1624" t="s">
        <v>2248</v>
      </c>
      <c r="P42" s="1624" t="s">
        <v>8231</v>
      </c>
      <c r="Q42" s="1627" t="s">
        <v>7421</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7236</v>
      </c>
      <c r="AD42" s="1641" t="s">
        <v>9999</v>
      </c>
      <c r="AE42" s="1641" t="s">
        <v>537</v>
      </c>
      <c r="AF42" s="1644" t="s">
        <v>10000</v>
      </c>
      <c r="AG42" s="1644" t="s">
        <v>4002</v>
      </c>
      <c r="AH42" s="1644" t="s">
        <v>5284</v>
      </c>
      <c r="AI42" s="1644" t="s">
        <v>10001</v>
      </c>
      <c r="AJ42" s="1644" t="s">
        <v>10002</v>
      </c>
      <c r="AK42" s="1644" t="s">
        <v>174</v>
      </c>
      <c r="AL42" s="1644" t="s">
        <v>2624</v>
      </c>
      <c r="AM42" s="1646" t="s">
        <v>9482</v>
      </c>
      <c r="AN42" s="1646" t="s">
        <v>9734</v>
      </c>
      <c r="AO42" s="1646" t="s">
        <v>9672</v>
      </c>
      <c r="AP42" s="1646" t="s">
        <v>10003</v>
      </c>
      <c r="AQ42" s="1646" t="s">
        <v>10004</v>
      </c>
      <c r="AR42" s="1646" t="s">
        <v>4876</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5525</v>
      </c>
      <c r="M43" s="1671" t="s">
        <v>10012</v>
      </c>
      <c r="N43" s="1671" t="s">
        <v>9846</v>
      </c>
      <c r="O43" s="1671" t="s">
        <v>10013</v>
      </c>
      <c r="P43" s="1671" t="s">
        <v>5084</v>
      </c>
      <c r="Q43" s="1672" t="s">
        <v>10014</v>
      </c>
      <c r="R43" s="1672" t="s">
        <v>732</v>
      </c>
      <c r="S43" s="1672" t="s">
        <v>5068</v>
      </c>
      <c r="T43" s="1672" t="s">
        <v>9849</v>
      </c>
      <c r="U43" s="1672" t="s">
        <v>10015</v>
      </c>
      <c r="V43" s="1672" t="s">
        <v>2479</v>
      </c>
      <c r="W43" s="1673" t="s">
        <v>10016</v>
      </c>
      <c r="X43" s="1673" t="s">
        <v>6191</v>
      </c>
      <c r="Y43" s="1673" t="s">
        <v>7544</v>
      </c>
      <c r="Z43" s="1673" t="s">
        <v>10017</v>
      </c>
      <c r="AA43" s="1673" t="s">
        <v>10018</v>
      </c>
      <c r="AB43" s="1673" t="s">
        <v>2643</v>
      </c>
      <c r="AC43" s="1673" t="s">
        <v>3114</v>
      </c>
      <c r="AD43" s="1670" t="s">
        <v>10019</v>
      </c>
      <c r="AE43" s="1670" t="s">
        <v>6321</v>
      </c>
      <c r="AF43" s="1674" t="s">
        <v>9285</v>
      </c>
      <c r="AG43" s="1674" t="s">
        <v>10020</v>
      </c>
      <c r="AH43" s="1674" t="s">
        <v>2257</v>
      </c>
      <c r="AI43" s="1674" t="s">
        <v>10021</v>
      </c>
      <c r="AJ43" s="1674" t="s">
        <v>10022</v>
      </c>
      <c r="AK43" s="1674" t="s">
        <v>10023</v>
      </c>
      <c r="AL43" s="1674" t="s">
        <v>5495</v>
      </c>
      <c r="AM43" s="1645" t="s">
        <v>9875</v>
      </c>
      <c r="AN43" s="1645" t="s">
        <v>5495</v>
      </c>
      <c r="AO43" s="1645" t="s">
        <v>2304</v>
      </c>
      <c r="AP43" s="1645" t="s">
        <v>10024</v>
      </c>
      <c r="AQ43" s="1645" t="s">
        <v>10025</v>
      </c>
      <c r="AR43" s="1645" t="s">
        <v>4699</v>
      </c>
      <c r="AS43" s="1645" t="s">
        <v>4403</v>
      </c>
      <c r="AT43" s="1671" t="s">
        <v>10026</v>
      </c>
      <c r="AU43" s="1668" t="s">
        <v>10027</v>
      </c>
      <c r="AV43" s="1476" t="str">
        <f t="shared" si="1"/>
        <v>2:54</v>
      </c>
      <c r="AW43" s="1669"/>
    </row>
    <row r="44">
      <c r="A44" s="1618" t="s">
        <v>2824</v>
      </c>
      <c r="B44" s="1616" t="s">
        <v>9134</v>
      </c>
      <c r="C44" s="1558">
        <v>0.050826388888888886</v>
      </c>
      <c r="D44" s="1587" t="s">
        <v>10028</v>
      </c>
      <c r="E44" s="1587" t="s">
        <v>6864</v>
      </c>
      <c r="F44" s="1641" t="s">
        <v>10029</v>
      </c>
      <c r="G44" s="1587" t="s">
        <v>10030</v>
      </c>
      <c r="H44" s="1587" t="s">
        <v>6590</v>
      </c>
      <c r="I44" s="1587" t="s">
        <v>1293</v>
      </c>
      <c r="J44" s="1587" t="s">
        <v>10031</v>
      </c>
      <c r="K44" s="1587" t="s">
        <v>3976</v>
      </c>
      <c r="L44" s="1587" t="s">
        <v>5941</v>
      </c>
      <c r="M44" s="1587" t="s">
        <v>10032</v>
      </c>
      <c r="N44" s="1587" t="s">
        <v>6740</v>
      </c>
      <c r="O44" s="1587" t="s">
        <v>10033</v>
      </c>
      <c r="P44" s="1587" t="s">
        <v>9618</v>
      </c>
      <c r="Q44" s="1587" t="s">
        <v>10034</v>
      </c>
      <c r="R44" s="1587" t="s">
        <v>10035</v>
      </c>
      <c r="S44" s="1587" t="s">
        <v>10036</v>
      </c>
      <c r="T44" s="1587" t="s">
        <v>1708</v>
      </c>
      <c r="U44" s="1587" t="s">
        <v>10037</v>
      </c>
      <c r="V44" s="1587" t="s">
        <v>8315</v>
      </c>
      <c r="W44" s="1587" t="s">
        <v>5555</v>
      </c>
      <c r="X44" s="1587" t="s">
        <v>10038</v>
      </c>
      <c r="Y44" s="1587" t="s">
        <v>8222</v>
      </c>
      <c r="Z44" s="1587" t="s">
        <v>10039</v>
      </c>
      <c r="AA44" s="1643" t="s">
        <v>10040</v>
      </c>
      <c r="AB44" s="1587" t="s">
        <v>1840</v>
      </c>
      <c r="AC44" s="1587" t="s">
        <v>7236</v>
      </c>
      <c r="AD44" s="1587" t="s">
        <v>10041</v>
      </c>
      <c r="AE44" s="1587" t="s">
        <v>4976</v>
      </c>
      <c r="AF44" s="1587" t="s">
        <v>10042</v>
      </c>
      <c r="AG44" s="1587" t="s">
        <v>1177</v>
      </c>
      <c r="AH44" s="1587" t="s">
        <v>3900</v>
      </c>
      <c r="AI44" s="1587" t="s">
        <v>10043</v>
      </c>
      <c r="AJ44" s="1587" t="s">
        <v>10044</v>
      </c>
      <c r="AK44" s="1587" t="s">
        <v>9952</v>
      </c>
      <c r="AL44" s="1587" t="s">
        <v>4365</v>
      </c>
      <c r="AM44" s="1587" t="s">
        <v>9952</v>
      </c>
      <c r="AN44" s="1587" t="s">
        <v>9211</v>
      </c>
      <c r="AO44" s="1587" t="s">
        <v>6968</v>
      </c>
      <c r="AP44" s="1587" t="s">
        <v>10045</v>
      </c>
      <c r="AQ44" s="1587" t="s">
        <v>10046</v>
      </c>
      <c r="AR44" s="1587" t="s">
        <v>5186</v>
      </c>
      <c r="AS44" s="1587" t="s">
        <v>6159</v>
      </c>
      <c r="AT44" s="1587" t="s">
        <v>10047</v>
      </c>
      <c r="AU44" s="1587" t="s">
        <v>10048</v>
      </c>
      <c r="AV44" s="1476" t="str">
        <f t="shared" si="1"/>
        <v>2:25</v>
      </c>
      <c r="AW44" s="1650"/>
    </row>
    <row r="45" ht="15.75" customHeight="1">
      <c r="A45" s="1618" t="s">
        <v>4653</v>
      </c>
      <c r="B45" s="1557" t="s">
        <v>9134</v>
      </c>
      <c r="C45" s="1692">
        <v>0.050868055555555555</v>
      </c>
      <c r="D45" s="1000" t="s">
        <v>10049</v>
      </c>
      <c r="E45" s="1476" t="s">
        <v>7213</v>
      </c>
      <c r="F45" s="1476" t="s">
        <v>10050</v>
      </c>
      <c r="G45" s="1476" t="s">
        <v>10051</v>
      </c>
      <c r="H45" s="1476" t="s">
        <v>9237</v>
      </c>
      <c r="I45" s="1476" t="s">
        <v>1293</v>
      </c>
      <c r="J45" s="1476" t="s">
        <v>4876</v>
      </c>
      <c r="K45" s="1476" t="s">
        <v>9626</v>
      </c>
      <c r="L45" s="1476" t="s">
        <v>9484</v>
      </c>
      <c r="M45" s="1476" t="s">
        <v>5455</v>
      </c>
      <c r="N45" s="1476" t="s">
        <v>8650</v>
      </c>
      <c r="O45" s="1476" t="s">
        <v>10052</v>
      </c>
      <c r="P45" s="1476" t="s">
        <v>4301</v>
      </c>
      <c r="Q45" s="1476" t="s">
        <v>10053</v>
      </c>
      <c r="R45" s="1476" t="s">
        <v>6919</v>
      </c>
      <c r="S45" s="1476" t="s">
        <v>9441</v>
      </c>
      <c r="T45" s="1476" t="s">
        <v>4621</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6993</v>
      </c>
      <c r="AJ45" s="1476" t="s">
        <v>10060</v>
      </c>
      <c r="AK45" s="1476" t="s">
        <v>5483</v>
      </c>
      <c r="AL45" s="1476" t="s">
        <v>3208</v>
      </c>
      <c r="AM45" s="1476" t="s">
        <v>10061</v>
      </c>
      <c r="AN45" s="1476" t="s">
        <v>3343</v>
      </c>
      <c r="AO45" s="1476" t="s">
        <v>9611</v>
      </c>
      <c r="AP45" s="1476" t="s">
        <v>10062</v>
      </c>
      <c r="AQ45" s="1476" t="s">
        <v>10063</v>
      </c>
      <c r="AR45" s="1476" t="s">
        <v>9475</v>
      </c>
      <c r="AS45" s="1476" t="s">
        <v>5149</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2330</v>
      </c>
      <c r="M46" s="1476" t="s">
        <v>2713</v>
      </c>
      <c r="N46" s="1701" t="s">
        <v>9153</v>
      </c>
      <c r="O46" s="1476" t="s">
        <v>10068</v>
      </c>
      <c r="P46" s="1670" t="s">
        <v>639</v>
      </c>
      <c r="Q46" s="1702" t="s">
        <v>9197</v>
      </c>
      <c r="R46" s="1701" t="s">
        <v>9198</v>
      </c>
      <c r="S46" s="1476" t="s">
        <v>1163</v>
      </c>
      <c r="T46" s="1670" t="s">
        <v>7288</v>
      </c>
      <c r="U46" s="1702" t="s">
        <v>9200</v>
      </c>
      <c r="V46" s="1701" t="s">
        <v>4296</v>
      </c>
      <c r="W46" s="1476" t="s">
        <v>10069</v>
      </c>
      <c r="X46" s="1701" t="s">
        <v>9202</v>
      </c>
      <c r="Y46" s="1476" t="s">
        <v>5723</v>
      </c>
      <c r="Z46" s="1641" t="s">
        <v>10070</v>
      </c>
      <c r="AA46" s="1476" t="s">
        <v>2306</v>
      </c>
      <c r="AB46" s="1670" t="s">
        <v>9514</v>
      </c>
      <c r="AC46" s="1587" t="s">
        <v>10071</v>
      </c>
      <c r="AD46" s="1670" t="s">
        <v>10072</v>
      </c>
      <c r="AE46" s="1587" t="s">
        <v>10073</v>
      </c>
      <c r="AF46" s="1670" t="s">
        <v>10074</v>
      </c>
      <c r="AG46" s="1476" t="s">
        <v>8128</v>
      </c>
      <c r="AH46" s="1641" t="s">
        <v>9963</v>
      </c>
      <c r="AI46" s="1702" t="s">
        <v>9207</v>
      </c>
      <c r="AJ46" s="1670" t="s">
        <v>10075</v>
      </c>
      <c r="AK46" s="1476" t="s">
        <v>5964</v>
      </c>
      <c r="AL46" s="1701" t="s">
        <v>9209</v>
      </c>
      <c r="AM46" s="1476" t="s">
        <v>9576</v>
      </c>
      <c r="AN46" s="1670" t="s">
        <v>3920</v>
      </c>
      <c r="AO46" s="1587" t="s">
        <v>4906</v>
      </c>
      <c r="AP46" s="1641" t="s">
        <v>10076</v>
      </c>
      <c r="AQ46" s="1587" t="s">
        <v>10077</v>
      </c>
      <c r="AR46" s="1641" t="s">
        <v>10078</v>
      </c>
      <c r="AS46" s="1476" t="s">
        <v>973</v>
      </c>
      <c r="AT46" s="1701" t="s">
        <v>9215</v>
      </c>
      <c r="AU46" s="1702" t="s">
        <v>9216</v>
      </c>
      <c r="AV46" s="1476" t="str">
        <f t="shared" si="1"/>
        <v>2:24</v>
      </c>
      <c r="AW46" s="1617"/>
    </row>
    <row r="47">
      <c r="A47" s="1618" t="s">
        <v>2582</v>
      </c>
      <c r="B47" s="1619" t="s">
        <v>9161</v>
      </c>
      <c r="C47" s="1558">
        <v>0.05092592592592592</v>
      </c>
      <c r="D47" s="1000" t="s">
        <v>10079</v>
      </c>
      <c r="E47" s="1641" t="s">
        <v>10080</v>
      </c>
      <c r="F47" s="1641" t="s">
        <v>10081</v>
      </c>
      <c r="G47" s="1641" t="s">
        <v>10082</v>
      </c>
      <c r="H47" s="864" t="s">
        <v>10083</v>
      </c>
      <c r="I47" s="864" t="s">
        <v>2960</v>
      </c>
      <c r="J47" s="1624" t="s">
        <v>7992</v>
      </c>
      <c r="K47" s="1624" t="s">
        <v>3594</v>
      </c>
      <c r="L47" s="1624" t="s">
        <v>5878</v>
      </c>
      <c r="M47" s="1624" t="s">
        <v>3132</v>
      </c>
      <c r="N47" s="1624" t="s">
        <v>874</v>
      </c>
      <c r="O47" s="1624" t="s">
        <v>10084</v>
      </c>
      <c r="P47" s="1624" t="s">
        <v>774</v>
      </c>
      <c r="Q47" s="1627" t="s">
        <v>7270</v>
      </c>
      <c r="R47" s="1627" t="s">
        <v>6940</v>
      </c>
      <c r="S47" s="1627" t="s">
        <v>7598</v>
      </c>
      <c r="T47" s="1627" t="s">
        <v>10085</v>
      </c>
      <c r="U47" s="1703" t="s">
        <v>7400</v>
      </c>
      <c r="V47" s="1627" t="s">
        <v>10086</v>
      </c>
      <c r="W47" s="1643" t="s">
        <v>6888</v>
      </c>
      <c r="X47" s="1643" t="s">
        <v>10087</v>
      </c>
      <c r="Y47" s="1643" t="s">
        <v>10088</v>
      </c>
      <c r="Z47" s="1643" t="s">
        <v>7221</v>
      </c>
      <c r="AA47" s="1643" t="s">
        <v>1868</v>
      </c>
      <c r="AB47" s="1643" t="s">
        <v>10089</v>
      </c>
      <c r="AC47" s="1643" t="s">
        <v>2448</v>
      </c>
      <c r="AD47" s="1641" t="s">
        <v>10090</v>
      </c>
      <c r="AE47" s="1641" t="s">
        <v>5290</v>
      </c>
      <c r="AF47" s="1644" t="s">
        <v>10091</v>
      </c>
      <c r="AG47" s="1644" t="s">
        <v>5236</v>
      </c>
      <c r="AH47" s="1644" t="s">
        <v>4476</v>
      </c>
      <c r="AI47" s="1644" t="s">
        <v>10092</v>
      </c>
      <c r="AJ47" s="1633" t="s">
        <v>9180</v>
      </c>
      <c r="AK47" s="1644" t="s">
        <v>194</v>
      </c>
      <c r="AL47" s="1644" t="s">
        <v>5965</v>
      </c>
      <c r="AM47" s="1646" t="s">
        <v>4079</v>
      </c>
      <c r="AN47" s="1646" t="s">
        <v>3735</v>
      </c>
      <c r="AO47" s="1646" t="s">
        <v>2402</v>
      </c>
      <c r="AP47" s="1646" t="s">
        <v>10093</v>
      </c>
      <c r="AQ47" s="1646" t="s">
        <v>4317</v>
      </c>
      <c r="AR47" s="1646" t="s">
        <v>7259</v>
      </c>
      <c r="AS47" s="1646" t="s">
        <v>6610</v>
      </c>
      <c r="AT47" s="1624" t="s">
        <v>10094</v>
      </c>
      <c r="AU47" s="1085" t="s">
        <v>10095</v>
      </c>
      <c r="AV47" s="1476" t="str">
        <f t="shared" si="1"/>
        <v>4:25</v>
      </c>
      <c r="AW47" s="1615"/>
    </row>
    <row r="48" ht="15.75" customHeight="1">
      <c r="A48" s="1556" t="s">
        <v>4506</v>
      </c>
      <c r="B48" s="1651" t="s">
        <v>9161</v>
      </c>
      <c r="C48" s="1558">
        <v>0.05100810185185185</v>
      </c>
      <c r="D48" s="1000" t="s">
        <v>10096</v>
      </c>
      <c r="E48" s="1641" t="s">
        <v>10097</v>
      </c>
      <c r="F48" s="1641" t="s">
        <v>10098</v>
      </c>
      <c r="G48" s="1670" t="s">
        <v>10099</v>
      </c>
      <c r="H48" s="864" t="s">
        <v>10100</v>
      </c>
      <c r="I48" s="864" t="s">
        <v>1410</v>
      </c>
      <c r="J48" s="1624" t="s">
        <v>5186</v>
      </c>
      <c r="K48" s="1624" t="s">
        <v>9844</v>
      </c>
      <c r="L48" s="1624" t="s">
        <v>4419</v>
      </c>
      <c r="M48" s="1624" t="s">
        <v>1453</v>
      </c>
      <c r="N48" s="1624" t="s">
        <v>9150</v>
      </c>
      <c r="O48" s="1624" t="s">
        <v>9344</v>
      </c>
      <c r="P48" s="1624" t="s">
        <v>10101</v>
      </c>
      <c r="Q48" s="1627" t="s">
        <v>10102</v>
      </c>
      <c r="R48" s="1627" t="s">
        <v>3440</v>
      </c>
      <c r="S48" s="1627" t="s">
        <v>7192</v>
      </c>
      <c r="T48" s="1627" t="s">
        <v>10103</v>
      </c>
      <c r="U48" s="1627" t="s">
        <v>10104</v>
      </c>
      <c r="V48" s="1672" t="s">
        <v>1364</v>
      </c>
      <c r="W48" s="1643" t="s">
        <v>10105</v>
      </c>
      <c r="X48" s="1643" t="s">
        <v>9895</v>
      </c>
      <c r="Y48" s="1643" t="s">
        <v>4021</v>
      </c>
      <c r="Z48" s="1643" t="s">
        <v>7149</v>
      </c>
      <c r="AA48" s="1643" t="s">
        <v>1092</v>
      </c>
      <c r="AB48" s="1643" t="s">
        <v>3948</v>
      </c>
      <c r="AC48" s="1673" t="s">
        <v>7785</v>
      </c>
      <c r="AD48" s="1641" t="s">
        <v>10106</v>
      </c>
      <c r="AE48" s="1670" t="s">
        <v>2164</v>
      </c>
      <c r="AF48" s="1644" t="s">
        <v>10107</v>
      </c>
      <c r="AG48" s="1644" t="s">
        <v>10108</v>
      </c>
      <c r="AH48" s="1644" t="s">
        <v>10109</v>
      </c>
      <c r="AI48" s="1644" t="s">
        <v>9558</v>
      </c>
      <c r="AJ48" s="1644" t="s">
        <v>10110</v>
      </c>
      <c r="AK48" s="1644" t="s">
        <v>10111</v>
      </c>
      <c r="AL48" s="1644" t="s">
        <v>4540</v>
      </c>
      <c r="AM48" s="1646" t="s">
        <v>10112</v>
      </c>
      <c r="AN48" s="1646" t="s">
        <v>3415</v>
      </c>
      <c r="AO48" s="1646" t="s">
        <v>10113</v>
      </c>
      <c r="AP48" s="1646" t="s">
        <v>10114</v>
      </c>
      <c r="AQ48" s="1646" t="s">
        <v>4317</v>
      </c>
      <c r="AR48" s="1646" t="s">
        <v>10115</v>
      </c>
      <c r="AS48" s="1646" t="s">
        <v>4562</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4665</v>
      </c>
      <c r="F49" s="1641" t="s">
        <v>10120</v>
      </c>
      <c r="G49" s="1641" t="s">
        <v>10121</v>
      </c>
      <c r="H49" s="1000" t="s">
        <v>10122</v>
      </c>
      <c r="I49" s="864" t="s">
        <v>5424</v>
      </c>
      <c r="J49" s="1624" t="s">
        <v>9343</v>
      </c>
      <c r="K49" s="1624" t="s">
        <v>10123</v>
      </c>
      <c r="L49" s="1564" t="s">
        <v>3652</v>
      </c>
      <c r="M49" s="1624" t="s">
        <v>4460</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5092</v>
      </c>
      <c r="AD49" s="1641" t="s">
        <v>10134</v>
      </c>
      <c r="AE49" s="1641" t="s">
        <v>5590</v>
      </c>
      <c r="AF49" s="1644" t="s">
        <v>9362</v>
      </c>
      <c r="AG49" s="1644" t="s">
        <v>274</v>
      </c>
      <c r="AH49" s="1644" t="s">
        <v>464</v>
      </c>
      <c r="AI49" s="1644" t="s">
        <v>10135</v>
      </c>
      <c r="AJ49" s="1644" t="s">
        <v>10136</v>
      </c>
      <c r="AK49" s="1644" t="s">
        <v>4154</v>
      </c>
      <c r="AL49" s="1644" t="s">
        <v>10137</v>
      </c>
      <c r="AM49" s="1646" t="s">
        <v>10138</v>
      </c>
      <c r="AN49" s="1705" t="s">
        <v>3220</v>
      </c>
      <c r="AO49" s="1646" t="s">
        <v>8269</v>
      </c>
      <c r="AP49" s="1646" t="s">
        <v>10139</v>
      </c>
      <c r="AQ49" s="1646" t="s">
        <v>10140</v>
      </c>
      <c r="AR49" s="1646" t="s">
        <v>10141</v>
      </c>
      <c r="AS49" s="1646" t="s">
        <v>9092</v>
      </c>
      <c r="AT49" s="1624" t="s">
        <v>10142</v>
      </c>
      <c r="AU49" s="1608" t="s">
        <v>10143</v>
      </c>
      <c r="AV49" s="1476" t="str">
        <f t="shared" si="1"/>
        <v>4:57</v>
      </c>
      <c r="AW49" s="1669"/>
    </row>
    <row r="50">
      <c r="A50" s="1618" t="s">
        <v>2375</v>
      </c>
      <c r="B50" s="1616" t="s">
        <v>9161</v>
      </c>
      <c r="C50" s="1558">
        <v>0.05112268518518519</v>
      </c>
      <c r="D50" s="1587" t="s">
        <v>10144</v>
      </c>
      <c r="E50" s="1587" t="s">
        <v>4526</v>
      </c>
      <c r="F50" s="1587" t="s">
        <v>6171</v>
      </c>
      <c r="G50" s="1685" t="s">
        <v>9164</v>
      </c>
      <c r="H50" s="1000" t="s">
        <v>10145</v>
      </c>
      <c r="I50" s="1587" t="s">
        <v>767</v>
      </c>
      <c r="J50" s="1587" t="s">
        <v>7601</v>
      </c>
      <c r="K50" s="1587" t="s">
        <v>2502</v>
      </c>
      <c r="L50" s="1587" t="s">
        <v>1364</v>
      </c>
      <c r="M50" s="1587" t="s">
        <v>10146</v>
      </c>
      <c r="N50" s="1587" t="s">
        <v>9246</v>
      </c>
      <c r="O50" s="1587" t="s">
        <v>10147</v>
      </c>
      <c r="P50" s="1587" t="s">
        <v>3636</v>
      </c>
      <c r="Q50" s="1587" t="s">
        <v>10148</v>
      </c>
      <c r="R50" s="1587" t="s">
        <v>10149</v>
      </c>
      <c r="S50" s="1587" t="s">
        <v>3783</v>
      </c>
      <c r="T50" s="1587" t="s">
        <v>7488</v>
      </c>
      <c r="U50" s="1627" t="s">
        <v>9582</v>
      </c>
      <c r="V50" s="1587" t="s">
        <v>10150</v>
      </c>
      <c r="W50" s="1587" t="s">
        <v>10151</v>
      </c>
      <c r="X50" s="1587" t="s">
        <v>1485</v>
      </c>
      <c r="Y50" s="1587" t="s">
        <v>8228</v>
      </c>
      <c r="Z50" s="1587" t="s">
        <v>9400</v>
      </c>
      <c r="AA50" s="1643" t="s">
        <v>615</v>
      </c>
      <c r="AB50" s="1587" t="s">
        <v>10152</v>
      </c>
      <c r="AC50" s="1587" t="s">
        <v>5290</v>
      </c>
      <c r="AD50" s="1587" t="s">
        <v>10153</v>
      </c>
      <c r="AE50" s="1587" t="s">
        <v>3636</v>
      </c>
      <c r="AF50" s="1587" t="s">
        <v>10154</v>
      </c>
      <c r="AG50" s="1587" t="s">
        <v>10155</v>
      </c>
      <c r="AH50" s="1587" t="s">
        <v>2526</v>
      </c>
      <c r="AI50" s="1587" t="s">
        <v>6203</v>
      </c>
      <c r="AJ50" s="1587" t="s">
        <v>10156</v>
      </c>
      <c r="AK50" s="1587" t="s">
        <v>9672</v>
      </c>
      <c r="AL50" s="1587" t="s">
        <v>10157</v>
      </c>
      <c r="AM50" s="1587" t="s">
        <v>2708</v>
      </c>
      <c r="AN50" s="1587" t="s">
        <v>10158</v>
      </c>
      <c r="AO50" s="1587" t="s">
        <v>7427</v>
      </c>
      <c r="AP50" s="1587" t="s">
        <v>10159</v>
      </c>
      <c r="AQ50" s="1587" t="s">
        <v>10160</v>
      </c>
      <c r="AR50" s="1587" t="s">
        <v>2256</v>
      </c>
      <c r="AS50" s="1587" t="s">
        <v>8222</v>
      </c>
      <c r="AT50" s="1587" t="s">
        <v>10161</v>
      </c>
      <c r="AU50" s="1587" t="s">
        <v>10162</v>
      </c>
      <c r="AV50" s="1476" t="str">
        <f t="shared" si="1"/>
        <v>3:15</v>
      </c>
      <c r="AW50" s="1098"/>
    </row>
    <row r="51">
      <c r="A51" s="1618" t="s">
        <v>2714</v>
      </c>
      <c r="B51" s="1616" t="s">
        <v>9134</v>
      </c>
      <c r="C51" s="1558">
        <v>0.051145833333333335</v>
      </c>
      <c r="D51" s="1000" t="s">
        <v>10163</v>
      </c>
      <c r="E51" s="794" t="s">
        <v>4139</v>
      </c>
      <c r="F51" s="794" t="s">
        <v>1683</v>
      </c>
      <c r="G51" s="794" t="s">
        <v>10164</v>
      </c>
      <c r="H51" s="1000" t="s">
        <v>10165</v>
      </c>
      <c r="I51" s="794" t="s">
        <v>10071</v>
      </c>
      <c r="J51" s="794" t="s">
        <v>10166</v>
      </c>
      <c r="K51" s="794" t="s">
        <v>10166</v>
      </c>
      <c r="L51" s="794" t="s">
        <v>4143</v>
      </c>
      <c r="M51" s="794" t="s">
        <v>3465</v>
      </c>
      <c r="N51" s="794" t="s">
        <v>10167</v>
      </c>
      <c r="O51" s="794" t="s">
        <v>10168</v>
      </c>
      <c r="P51" s="794" t="s">
        <v>9176</v>
      </c>
      <c r="Q51" s="794" t="s">
        <v>10169</v>
      </c>
      <c r="R51" s="794" t="s">
        <v>10170</v>
      </c>
      <c r="S51" s="1560" t="s">
        <v>6832</v>
      </c>
      <c r="T51" s="794" t="s">
        <v>10171</v>
      </c>
      <c r="U51" s="794" t="s">
        <v>230</v>
      </c>
      <c r="V51" s="794" t="s">
        <v>10172</v>
      </c>
      <c r="W51" s="794" t="s">
        <v>10173</v>
      </c>
      <c r="X51" s="794" t="s">
        <v>10174</v>
      </c>
      <c r="Y51" s="794" t="s">
        <v>598</v>
      </c>
      <c r="Z51" s="794" t="s">
        <v>10175</v>
      </c>
      <c r="AA51" s="794" t="s">
        <v>9908</v>
      </c>
      <c r="AB51" s="794" t="s">
        <v>5935</v>
      </c>
      <c r="AC51" s="794" t="s">
        <v>1236</v>
      </c>
      <c r="AD51" s="794" t="s">
        <v>10176</v>
      </c>
      <c r="AE51" s="794" t="s">
        <v>9618</v>
      </c>
      <c r="AF51" s="794" t="s">
        <v>10177</v>
      </c>
      <c r="AG51" s="794" t="s">
        <v>10178</v>
      </c>
      <c r="AH51" s="794" t="s">
        <v>3763</v>
      </c>
      <c r="AI51" s="794" t="s">
        <v>10179</v>
      </c>
      <c r="AJ51" s="794" t="s">
        <v>10180</v>
      </c>
      <c r="AK51" s="794" t="s">
        <v>10181</v>
      </c>
      <c r="AL51" s="794" t="s">
        <v>4985</v>
      </c>
      <c r="AM51" s="794" t="s">
        <v>3619</v>
      </c>
      <c r="AN51" s="794" t="s">
        <v>5662</v>
      </c>
      <c r="AO51" s="794" t="s">
        <v>5186</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4157</v>
      </c>
      <c r="G52" s="1587" t="s">
        <v>10189</v>
      </c>
      <c r="H52" s="1587" t="s">
        <v>10190</v>
      </c>
      <c r="I52" s="1587" t="s">
        <v>161</v>
      </c>
      <c r="J52" s="1587" t="s">
        <v>887</v>
      </c>
      <c r="K52" s="1587" t="s">
        <v>7131</v>
      </c>
      <c r="L52" s="1587" t="s">
        <v>9351</v>
      </c>
      <c r="M52" s="1587" t="s">
        <v>5955</v>
      </c>
      <c r="N52" s="1587" t="s">
        <v>10191</v>
      </c>
      <c r="O52" s="1587" t="s">
        <v>10192</v>
      </c>
      <c r="P52" s="1587" t="s">
        <v>5621</v>
      </c>
      <c r="Q52" s="1587" t="s">
        <v>6726</v>
      </c>
      <c r="R52" s="1587" t="s">
        <v>10193</v>
      </c>
      <c r="S52" s="1587" t="s">
        <v>9023</v>
      </c>
      <c r="T52" s="1476" t="s">
        <v>4200</v>
      </c>
      <c r="U52" s="1476" t="s">
        <v>10194</v>
      </c>
      <c r="V52" s="1587" t="s">
        <v>1964</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4886</v>
      </c>
      <c r="AM52" s="1587" t="s">
        <v>6965</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3751</v>
      </c>
      <c r="B53" s="1699" t="s">
        <v>9134</v>
      </c>
      <c r="C53" s="1708">
        <v>0.05123738425925926</v>
      </c>
      <c r="D53" s="1641" t="s">
        <v>10211</v>
      </c>
      <c r="E53" s="1641" t="s">
        <v>3911</v>
      </c>
      <c r="F53" s="1641" t="s">
        <v>10212</v>
      </c>
      <c r="G53" s="1641" t="s">
        <v>9636</v>
      </c>
      <c r="H53" s="864" t="s">
        <v>10213</v>
      </c>
      <c r="I53" s="864" t="s">
        <v>2559</v>
      </c>
      <c r="J53" s="1624" t="s">
        <v>9844</v>
      </c>
      <c r="K53" s="1624" t="s">
        <v>8257</v>
      </c>
      <c r="L53" s="1624" t="s">
        <v>10214</v>
      </c>
      <c r="M53" s="1624" t="s">
        <v>5573</v>
      </c>
      <c r="N53" s="1709" t="s">
        <v>1162</v>
      </c>
      <c r="O53" s="1624" t="s">
        <v>3458</v>
      </c>
      <c r="P53" s="1624" t="s">
        <v>9284</v>
      </c>
      <c r="Q53" s="1627" t="s">
        <v>10215</v>
      </c>
      <c r="R53" s="1627" t="s">
        <v>9802</v>
      </c>
      <c r="S53" s="1627" t="s">
        <v>10216</v>
      </c>
      <c r="T53" s="1627" t="s">
        <v>10217</v>
      </c>
      <c r="U53" s="1627" t="s">
        <v>10218</v>
      </c>
      <c r="V53" s="1627" t="s">
        <v>4227</v>
      </c>
      <c r="W53" s="1643" t="s">
        <v>10219</v>
      </c>
      <c r="X53" s="1643" t="s">
        <v>10220</v>
      </c>
      <c r="Y53" s="1643" t="s">
        <v>10221</v>
      </c>
      <c r="Z53" s="1643" t="s">
        <v>1353</v>
      </c>
      <c r="AA53" s="1643" t="s">
        <v>9558</v>
      </c>
      <c r="AB53" s="1643" t="s">
        <v>9946</v>
      </c>
      <c r="AC53" s="1643" t="s">
        <v>483</v>
      </c>
      <c r="AD53" s="1641" t="s">
        <v>10222</v>
      </c>
      <c r="AE53" s="1641" t="s">
        <v>5074</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5105</v>
      </c>
      <c r="I54" s="1476" t="s">
        <v>6625</v>
      </c>
      <c r="J54" s="1476" t="s">
        <v>10240</v>
      </c>
      <c r="K54" s="1476" t="s">
        <v>9303</v>
      </c>
      <c r="L54" s="1476" t="s">
        <v>3901</v>
      </c>
      <c r="M54" s="1476" t="s">
        <v>9990</v>
      </c>
      <c r="N54" s="1476" t="s">
        <v>9786</v>
      </c>
      <c r="O54" s="1476" t="s">
        <v>10241</v>
      </c>
      <c r="P54" s="1712" t="s">
        <v>9196</v>
      </c>
      <c r="Q54" s="1476" t="s">
        <v>10242</v>
      </c>
      <c r="R54" s="1476" t="s">
        <v>5944</v>
      </c>
      <c r="S54" s="1476" t="s">
        <v>1160</v>
      </c>
      <c r="T54" s="1476" t="s">
        <v>10243</v>
      </c>
      <c r="U54" s="1476" t="s">
        <v>1075</v>
      </c>
      <c r="V54" s="1476" t="s">
        <v>452</v>
      </c>
      <c r="W54" s="1476" t="s">
        <v>10244</v>
      </c>
      <c r="X54" s="1476" t="s">
        <v>309</v>
      </c>
      <c r="Y54" s="1476" t="s">
        <v>10245</v>
      </c>
      <c r="Z54" s="1476" t="s">
        <v>6970</v>
      </c>
      <c r="AA54" s="1476" t="s">
        <v>10021</v>
      </c>
      <c r="AB54" s="1476" t="s">
        <v>4520</v>
      </c>
      <c r="AC54" s="1476" t="s">
        <v>6160</v>
      </c>
      <c r="AD54" s="1476" t="s">
        <v>10246</v>
      </c>
      <c r="AE54" s="1712" t="s">
        <v>5590</v>
      </c>
      <c r="AF54" s="1712" t="s">
        <v>2804</v>
      </c>
      <c r="AG54" s="1476" t="s">
        <v>4603</v>
      </c>
      <c r="AH54" s="1476" t="s">
        <v>10247</v>
      </c>
      <c r="AI54" s="1476" t="s">
        <v>10248</v>
      </c>
      <c r="AJ54" s="1476" t="s">
        <v>10249</v>
      </c>
      <c r="AK54" s="1476" t="s">
        <v>6112</v>
      </c>
      <c r="AL54" s="1476" t="s">
        <v>6341</v>
      </c>
      <c r="AM54" s="1712" t="s">
        <v>9210</v>
      </c>
      <c r="AN54" s="1587" t="s">
        <v>2474</v>
      </c>
      <c r="AO54" s="1476" t="s">
        <v>4962</v>
      </c>
      <c r="AP54" s="1476" t="s">
        <v>10250</v>
      </c>
      <c r="AQ54" s="1476" t="s">
        <v>10251</v>
      </c>
      <c r="AR54" s="1476" t="s">
        <v>8262</v>
      </c>
      <c r="AS54" s="1476" t="s">
        <v>4448</v>
      </c>
      <c r="AT54" s="1476" t="s">
        <v>10252</v>
      </c>
      <c r="AU54" s="1476" t="s">
        <v>10253</v>
      </c>
      <c r="AV54" s="1476" t="str">
        <f t="shared" si="1"/>
        <v>3:15</v>
      </c>
      <c r="AW54" s="1650" t="s">
        <v>10254</v>
      </c>
    </row>
    <row r="55">
      <c r="A55" s="1618" t="s">
        <v>1946</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4188</v>
      </c>
      <c r="M55" s="1624" t="s">
        <v>10261</v>
      </c>
      <c r="N55" s="1624" t="s">
        <v>9407</v>
      </c>
      <c r="O55" s="1624" t="s">
        <v>10262</v>
      </c>
      <c r="P55" s="1624" t="s">
        <v>9348</v>
      </c>
      <c r="Q55" s="1627" t="s">
        <v>10263</v>
      </c>
      <c r="R55" s="1627" t="s">
        <v>10035</v>
      </c>
      <c r="S55" s="1627" t="s">
        <v>7507</v>
      </c>
      <c r="T55" s="1627" t="s">
        <v>10040</v>
      </c>
      <c r="U55" s="1627" t="s">
        <v>10264</v>
      </c>
      <c r="V55" s="1627" t="s">
        <v>9821</v>
      </c>
      <c r="W55" s="1643" t="s">
        <v>10265</v>
      </c>
      <c r="X55" s="1643" t="s">
        <v>10266</v>
      </c>
      <c r="Y55" s="1643" t="s">
        <v>5559</v>
      </c>
      <c r="Z55" s="1643" t="s">
        <v>1500</v>
      </c>
      <c r="AA55" s="1643" t="s">
        <v>10267</v>
      </c>
      <c r="AB55" s="1643" t="s">
        <v>6407</v>
      </c>
      <c r="AC55" s="1643" t="s">
        <v>263</v>
      </c>
      <c r="AD55" s="1641" t="s">
        <v>9625</v>
      </c>
      <c r="AE55" s="1641" t="s">
        <v>5559</v>
      </c>
      <c r="AF55" s="1644" t="s">
        <v>10268</v>
      </c>
      <c r="AG55" s="1644" t="s">
        <v>5904</v>
      </c>
      <c r="AH55" s="1644" t="s">
        <v>4069</v>
      </c>
      <c r="AI55" s="1644" t="s">
        <v>10269</v>
      </c>
      <c r="AJ55" s="1644" t="s">
        <v>10270</v>
      </c>
      <c r="AK55" s="1644" t="s">
        <v>10196</v>
      </c>
      <c r="AL55" s="1644" t="s">
        <v>3234</v>
      </c>
      <c r="AM55" s="1646" t="s">
        <v>9650</v>
      </c>
      <c r="AN55" s="1646" t="s">
        <v>4077</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6622</v>
      </c>
      <c r="F56" s="1641" t="s">
        <v>10277</v>
      </c>
      <c r="G56" s="1641" t="s">
        <v>10278</v>
      </c>
      <c r="H56" s="1641" t="s">
        <v>10279</v>
      </c>
      <c r="I56" s="1641" t="s">
        <v>1293</v>
      </c>
      <c r="J56" s="1624" t="s">
        <v>5038</v>
      </c>
      <c r="K56" s="1624" t="s">
        <v>9375</v>
      </c>
      <c r="L56" s="1624" t="s">
        <v>4911</v>
      </c>
      <c r="M56" s="1624" t="s">
        <v>3643</v>
      </c>
      <c r="N56" s="1624" t="s">
        <v>2075</v>
      </c>
      <c r="O56" s="1624" t="s">
        <v>10280</v>
      </c>
      <c r="P56" s="1624" t="s">
        <v>4560</v>
      </c>
      <c r="Q56" s="1627" t="s">
        <v>10281</v>
      </c>
      <c r="R56" s="1627" t="s">
        <v>2599</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1971</v>
      </c>
      <c r="AI56" s="1644" t="s">
        <v>420</v>
      </c>
      <c r="AJ56" s="1644" t="s">
        <v>10290</v>
      </c>
      <c r="AK56" s="1644" t="s">
        <v>10291</v>
      </c>
      <c r="AL56" s="1644" t="s">
        <v>5760</v>
      </c>
      <c r="AM56" s="1646" t="s">
        <v>10292</v>
      </c>
      <c r="AN56" s="1646" t="s">
        <v>6580</v>
      </c>
      <c r="AO56" s="1646" t="s">
        <v>10293</v>
      </c>
      <c r="AP56" s="1646" t="s">
        <v>10294</v>
      </c>
      <c r="AQ56" s="1646" t="s">
        <v>9859</v>
      </c>
      <c r="AR56" s="1646" t="s">
        <v>9500</v>
      </c>
      <c r="AS56" s="1646" t="s">
        <v>1970</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4048</v>
      </c>
      <c r="L57" s="1714" t="s">
        <v>3811</v>
      </c>
      <c r="M57" s="1671" t="s">
        <v>5719</v>
      </c>
      <c r="N57" s="1671" t="s">
        <v>7428</v>
      </c>
      <c r="O57" s="1714" t="s">
        <v>9195</v>
      </c>
      <c r="P57" s="1671" t="s">
        <v>388</v>
      </c>
      <c r="Q57" s="1672" t="s">
        <v>10301</v>
      </c>
      <c r="R57" s="1672" t="s">
        <v>1623</v>
      </c>
      <c r="S57" s="1672" t="s">
        <v>10302</v>
      </c>
      <c r="T57" s="1715" t="s">
        <v>9199</v>
      </c>
      <c r="U57" s="1672" t="s">
        <v>10303</v>
      </c>
      <c r="V57" s="1672" t="s">
        <v>4071</v>
      </c>
      <c r="W57" s="1716" t="s">
        <v>9201</v>
      </c>
      <c r="X57" s="1673" t="s">
        <v>4374</v>
      </c>
      <c r="Y57" s="1673" t="s">
        <v>6625</v>
      </c>
      <c r="Z57" s="1673" t="s">
        <v>7247</v>
      </c>
      <c r="AA57" s="1673" t="s">
        <v>9708</v>
      </c>
      <c r="AB57" s="1716" t="s">
        <v>9205</v>
      </c>
      <c r="AC57" s="1673" t="s">
        <v>7619</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4692</v>
      </c>
      <c r="AO57" s="1645" t="s">
        <v>10311</v>
      </c>
      <c r="AP57" s="1645" t="s">
        <v>10312</v>
      </c>
      <c r="AQ57" s="1645" t="s">
        <v>10313</v>
      </c>
      <c r="AR57" s="1645" t="s">
        <v>10314</v>
      </c>
      <c r="AS57" s="1645" t="s">
        <v>4632</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7283</v>
      </c>
      <c r="H58" s="1476" t="s">
        <v>9396</v>
      </c>
      <c r="I58" s="1476" t="s">
        <v>6344</v>
      </c>
      <c r="J58" s="1476" t="s">
        <v>10320</v>
      </c>
      <c r="K58" s="1476" t="s">
        <v>3976</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7192</v>
      </c>
      <c r="AA58" s="1476" t="s">
        <v>9854</v>
      </c>
      <c r="AB58" s="1476" t="s">
        <v>9269</v>
      </c>
      <c r="AC58" s="1476" t="s">
        <v>849</v>
      </c>
      <c r="AD58" s="1476" t="s">
        <v>10328</v>
      </c>
      <c r="AE58" s="1476" t="s">
        <v>388</v>
      </c>
      <c r="AF58" s="1476" t="s">
        <v>10329</v>
      </c>
      <c r="AG58" s="1476" t="s">
        <v>10330</v>
      </c>
      <c r="AH58" s="1476" t="s">
        <v>5277</v>
      </c>
      <c r="AI58" s="1476" t="s">
        <v>10331</v>
      </c>
      <c r="AJ58" s="1476" t="s">
        <v>10270</v>
      </c>
      <c r="AK58" s="1476" t="s">
        <v>6937</v>
      </c>
      <c r="AL58" s="1476" t="s">
        <v>3317</v>
      </c>
      <c r="AM58" s="1476" t="s">
        <v>4152</v>
      </c>
      <c r="AN58" s="1476" t="s">
        <v>5789</v>
      </c>
      <c r="AO58" s="1476" t="s">
        <v>6538</v>
      </c>
      <c r="AP58" s="1476" t="s">
        <v>10332</v>
      </c>
      <c r="AQ58" s="1476" t="s">
        <v>10333</v>
      </c>
      <c r="AR58" s="1476" t="s">
        <v>10334</v>
      </c>
      <c r="AS58" s="1645" t="s">
        <v>4436</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7154</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5995</v>
      </c>
      <c r="W59" s="1587" t="s">
        <v>10344</v>
      </c>
      <c r="X59" s="1587" t="s">
        <v>630</v>
      </c>
      <c r="Y59" s="1587" t="s">
        <v>10345</v>
      </c>
      <c r="Z59" s="1587" t="s">
        <v>10346</v>
      </c>
      <c r="AA59" s="1718" t="s">
        <v>9204</v>
      </c>
      <c r="AB59" s="1587" t="s">
        <v>6087</v>
      </c>
      <c r="AC59" s="1587" t="s">
        <v>10347</v>
      </c>
      <c r="AD59" s="1587" t="s">
        <v>9567</v>
      </c>
      <c r="AE59" s="1587" t="s">
        <v>2605</v>
      </c>
      <c r="AF59" s="1587" t="s">
        <v>10348</v>
      </c>
      <c r="AG59" s="1702" t="s">
        <v>4616</v>
      </c>
      <c r="AH59" s="1702" t="s">
        <v>5297</v>
      </c>
      <c r="AI59" s="1587" t="s">
        <v>10349</v>
      </c>
      <c r="AJ59" s="1587" t="s">
        <v>10350</v>
      </c>
      <c r="AK59" s="1587" t="s">
        <v>7210</v>
      </c>
      <c r="AL59" s="1587" t="s">
        <v>3900</v>
      </c>
      <c r="AM59" s="1587" t="s">
        <v>10351</v>
      </c>
      <c r="AN59" s="1587" t="s">
        <v>3822</v>
      </c>
      <c r="AO59" s="1702" t="s">
        <v>9212</v>
      </c>
      <c r="AP59" s="1719" t="s">
        <v>9213</v>
      </c>
      <c r="AQ59" s="1587" t="s">
        <v>3245</v>
      </c>
      <c r="AR59" s="1587" t="s">
        <v>1619</v>
      </c>
      <c r="AS59" s="1587" t="s">
        <v>4719</v>
      </c>
      <c r="AT59" s="1587" t="s">
        <v>10352</v>
      </c>
      <c r="AU59" s="1587" t="s">
        <v>9584</v>
      </c>
      <c r="AV59" s="1476" t="str">
        <f t="shared" si="1"/>
        <v>2:22</v>
      </c>
      <c r="AW59" s="1617" t="s">
        <v>10353</v>
      </c>
    </row>
    <row r="60" ht="15.75" customHeight="1">
      <c r="A60" s="1618" t="s">
        <v>4054</v>
      </c>
      <c r="B60" s="1606" t="s">
        <v>9134</v>
      </c>
      <c r="C60" s="1558">
        <v>0.05153935185185185</v>
      </c>
      <c r="D60" s="794" t="s">
        <v>10354</v>
      </c>
      <c r="E60" s="794" t="s">
        <v>7855</v>
      </c>
      <c r="F60" s="794" t="s">
        <v>10355</v>
      </c>
      <c r="G60" s="794" t="s">
        <v>4969</v>
      </c>
      <c r="H60" s="1000" t="s">
        <v>10356</v>
      </c>
      <c r="I60" s="794" t="s">
        <v>1293</v>
      </c>
      <c r="J60" s="794" t="s">
        <v>10357</v>
      </c>
      <c r="K60" s="794" t="s">
        <v>3679</v>
      </c>
      <c r="L60" s="794" t="s">
        <v>4227</v>
      </c>
      <c r="M60" s="794" t="s">
        <v>6783</v>
      </c>
      <c r="N60" s="794" t="s">
        <v>10358</v>
      </c>
      <c r="O60" s="794" t="s">
        <v>3804</v>
      </c>
      <c r="P60" s="794" t="s">
        <v>8228</v>
      </c>
      <c r="Q60" s="794" t="s">
        <v>10359</v>
      </c>
      <c r="R60" s="794" t="s">
        <v>3440</v>
      </c>
      <c r="S60" s="1720" t="s">
        <v>9988</v>
      </c>
      <c r="T60" s="794" t="s">
        <v>9806</v>
      </c>
      <c r="U60" s="794" t="s">
        <v>10360</v>
      </c>
      <c r="V60" s="794" t="s">
        <v>1704</v>
      </c>
      <c r="W60" s="794" t="s">
        <v>10361</v>
      </c>
      <c r="X60" s="794" t="s">
        <v>1762</v>
      </c>
      <c r="Y60" s="794" t="s">
        <v>3693</v>
      </c>
      <c r="Z60" s="794" t="s">
        <v>6961</v>
      </c>
      <c r="AA60" s="794" t="s">
        <v>964</v>
      </c>
      <c r="AB60" s="794" t="s">
        <v>10362</v>
      </c>
      <c r="AC60" s="794" t="s">
        <v>10347</v>
      </c>
      <c r="AD60" s="794" t="s">
        <v>10363</v>
      </c>
      <c r="AE60" s="794" t="s">
        <v>4976</v>
      </c>
      <c r="AF60" s="1564" t="s">
        <v>10364</v>
      </c>
      <c r="AG60" s="794" t="s">
        <v>10365</v>
      </c>
      <c r="AH60" s="794" t="s">
        <v>10366</v>
      </c>
      <c r="AI60" s="794" t="s">
        <v>10367</v>
      </c>
      <c r="AJ60" s="794" t="s">
        <v>10368</v>
      </c>
      <c r="AK60" s="794" t="s">
        <v>5160</v>
      </c>
      <c r="AL60" s="794" t="s">
        <v>10157</v>
      </c>
      <c r="AM60" s="794" t="s">
        <v>10349</v>
      </c>
      <c r="AN60" s="794" t="s">
        <v>2594</v>
      </c>
      <c r="AO60" s="794" t="s">
        <v>5832</v>
      </c>
      <c r="AP60" s="1720" t="s">
        <v>10093</v>
      </c>
      <c r="AQ60" s="794" t="s">
        <v>10369</v>
      </c>
      <c r="AR60" s="794" t="s">
        <v>5038</v>
      </c>
      <c r="AS60" s="794" t="s">
        <v>9240</v>
      </c>
      <c r="AT60" s="794" t="s">
        <v>10370</v>
      </c>
      <c r="AU60" s="794" t="s">
        <v>10371</v>
      </c>
      <c r="AV60" s="1476" t="str">
        <f t="shared" si="1"/>
        <v>2:41</v>
      </c>
      <c r="AW60" s="1721" t="s">
        <v>10372</v>
      </c>
    </row>
    <row r="61" ht="15.75" customHeight="1">
      <c r="A61" s="1556" t="s">
        <v>2026</v>
      </c>
      <c r="B61" s="1557" t="s">
        <v>9134</v>
      </c>
      <c r="C61" s="1558">
        <v>0.05157407407407407</v>
      </c>
      <c r="D61" s="1000" t="s">
        <v>10373</v>
      </c>
      <c r="E61" s="1641" t="s">
        <v>10374</v>
      </c>
      <c r="F61" s="1641" t="s">
        <v>10375</v>
      </c>
      <c r="G61" s="1670" t="s">
        <v>9865</v>
      </c>
      <c r="H61" s="927" t="s">
        <v>10376</v>
      </c>
      <c r="I61" s="927" t="s">
        <v>2099</v>
      </c>
      <c r="J61" s="1671" t="s">
        <v>5529</v>
      </c>
      <c r="K61" s="1671" t="s">
        <v>3552</v>
      </c>
      <c r="L61" s="1671" t="s">
        <v>10377</v>
      </c>
      <c r="M61" s="1671" t="s">
        <v>10032</v>
      </c>
      <c r="N61" s="1671" t="s">
        <v>1232</v>
      </c>
      <c r="O61" s="1671" t="s">
        <v>10344</v>
      </c>
      <c r="P61" s="1671" t="s">
        <v>10378</v>
      </c>
      <c r="Q61" s="1672" t="s">
        <v>10379</v>
      </c>
      <c r="R61" s="1672" t="s">
        <v>10380</v>
      </c>
      <c r="S61" s="1672" t="s">
        <v>10381</v>
      </c>
      <c r="T61" s="1672" t="s">
        <v>6965</v>
      </c>
      <c r="U61" s="1672" t="s">
        <v>2749</v>
      </c>
      <c r="V61" s="1672" t="s">
        <v>5131</v>
      </c>
      <c r="W61" s="1673" t="s">
        <v>10382</v>
      </c>
      <c r="X61" s="1673" t="s">
        <v>10383</v>
      </c>
      <c r="Y61" s="1673" t="s">
        <v>10245</v>
      </c>
      <c r="Z61" s="1673" t="s">
        <v>9205</v>
      </c>
      <c r="AA61" s="1673" t="s">
        <v>6203</v>
      </c>
      <c r="AB61" s="1673" t="s">
        <v>5935</v>
      </c>
      <c r="AC61" s="1673" t="s">
        <v>6488</v>
      </c>
      <c r="AD61" s="1641" t="s">
        <v>10384</v>
      </c>
      <c r="AE61" s="1670" t="s">
        <v>5610</v>
      </c>
      <c r="AF61" s="1674" t="s">
        <v>10385</v>
      </c>
      <c r="AG61" s="1674" t="s">
        <v>10386</v>
      </c>
      <c r="AH61" s="1674" t="s">
        <v>10387</v>
      </c>
      <c r="AI61" s="1674" t="s">
        <v>1105</v>
      </c>
      <c r="AJ61" s="1674" t="s">
        <v>10388</v>
      </c>
      <c r="AK61" s="1644" t="s">
        <v>630</v>
      </c>
      <c r="AL61" s="1644" t="s">
        <v>10389</v>
      </c>
      <c r="AM61" s="1645" t="s">
        <v>3734</v>
      </c>
      <c r="AN61" s="1645" t="s">
        <v>10390</v>
      </c>
      <c r="AO61" s="1645" t="s">
        <v>10391</v>
      </c>
      <c r="AP61" s="1645" t="s">
        <v>10392</v>
      </c>
      <c r="AQ61" s="1645" t="s">
        <v>10393</v>
      </c>
      <c r="AR61" s="1646" t="s">
        <v>7498</v>
      </c>
      <c r="AS61" s="1645" t="s">
        <v>4436</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7680</v>
      </c>
      <c r="F62" s="1641" t="s">
        <v>9330</v>
      </c>
      <c r="G62" s="1641" t="s">
        <v>10399</v>
      </c>
      <c r="H62" s="864" t="s">
        <v>10400</v>
      </c>
      <c r="I62" s="864" t="s">
        <v>10401</v>
      </c>
      <c r="J62" s="1624" t="s">
        <v>10402</v>
      </c>
      <c r="K62" s="1624" t="s">
        <v>7210</v>
      </c>
      <c r="L62" s="1624" t="s">
        <v>4468</v>
      </c>
      <c r="M62" s="1624" t="s">
        <v>10403</v>
      </c>
      <c r="N62" s="1624" t="s">
        <v>9803</v>
      </c>
      <c r="O62" s="1624" t="s">
        <v>10404</v>
      </c>
      <c r="P62" s="1624" t="s">
        <v>2176</v>
      </c>
      <c r="Q62" s="1627" t="s">
        <v>10405</v>
      </c>
      <c r="R62" s="1627" t="s">
        <v>5944</v>
      </c>
      <c r="S62" s="1627" t="s">
        <v>5682</v>
      </c>
      <c r="T62" s="1627" t="s">
        <v>6325</v>
      </c>
      <c r="U62" s="1627" t="s">
        <v>10406</v>
      </c>
      <c r="V62" s="1627" t="s">
        <v>10407</v>
      </c>
      <c r="W62" s="1643" t="s">
        <v>10408</v>
      </c>
      <c r="X62" s="1643" t="s">
        <v>630</v>
      </c>
      <c r="Y62" s="1643" t="s">
        <v>5123</v>
      </c>
      <c r="Z62" s="1643" t="s">
        <v>10409</v>
      </c>
      <c r="AA62" s="1587" t="s">
        <v>10410</v>
      </c>
      <c r="AB62" s="1643" t="s">
        <v>9998</v>
      </c>
      <c r="AC62" s="1643" t="s">
        <v>4759</v>
      </c>
      <c r="AD62" s="1641" t="s">
        <v>10411</v>
      </c>
      <c r="AE62" s="1641" t="s">
        <v>9700</v>
      </c>
      <c r="AF62" s="1722" t="s">
        <v>10412</v>
      </c>
      <c r="AG62" s="1644" t="s">
        <v>7820</v>
      </c>
      <c r="AH62" s="1644" t="s">
        <v>10387</v>
      </c>
      <c r="AI62" s="1644" t="s">
        <v>4125</v>
      </c>
      <c r="AJ62" s="1644" t="s">
        <v>10413</v>
      </c>
      <c r="AK62" s="1644" t="s">
        <v>1521</v>
      </c>
      <c r="AL62" s="1644" t="s">
        <v>3487</v>
      </c>
      <c r="AM62" s="1646" t="s">
        <v>6203</v>
      </c>
      <c r="AN62" s="1646" t="s">
        <v>5760</v>
      </c>
      <c r="AO62" s="1646" t="s">
        <v>7600</v>
      </c>
      <c r="AP62" s="1646" t="s">
        <v>10414</v>
      </c>
      <c r="AQ62" s="1646" t="s">
        <v>3560</v>
      </c>
      <c r="AR62" s="1646" t="s">
        <v>9965</v>
      </c>
      <c r="AS62" s="1646" t="s">
        <v>4099</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3553</v>
      </c>
      <c r="K63" s="337" t="s">
        <v>10422</v>
      </c>
      <c r="L63" s="337" t="s">
        <v>5235</v>
      </c>
      <c r="M63" s="337" t="s">
        <v>715</v>
      </c>
      <c r="N63" s="337" t="s">
        <v>10423</v>
      </c>
      <c r="O63" s="337" t="s">
        <v>4768</v>
      </c>
      <c r="P63" s="337" t="s">
        <v>5085</v>
      </c>
      <c r="Q63" s="337" t="s">
        <v>10424</v>
      </c>
      <c r="R63" s="337" t="s">
        <v>10425</v>
      </c>
      <c r="S63" s="337" t="s">
        <v>10207</v>
      </c>
      <c r="T63" s="337" t="s">
        <v>9650</v>
      </c>
      <c r="U63" s="337" t="s">
        <v>10426</v>
      </c>
      <c r="V63" s="337" t="s">
        <v>10427</v>
      </c>
      <c r="W63" s="337" t="s">
        <v>10428</v>
      </c>
      <c r="X63" s="337" t="s">
        <v>10349</v>
      </c>
      <c r="Y63" s="337" t="s">
        <v>4759</v>
      </c>
      <c r="Z63" s="337" t="s">
        <v>6833</v>
      </c>
      <c r="AA63" s="337" t="s">
        <v>5943</v>
      </c>
      <c r="AB63" s="337" t="s">
        <v>10429</v>
      </c>
      <c r="AC63" s="337" t="s">
        <v>388</v>
      </c>
      <c r="AD63" s="337" t="s">
        <v>6150</v>
      </c>
      <c r="AE63" s="337" t="s">
        <v>3114</v>
      </c>
      <c r="AF63" s="337" t="s">
        <v>10099</v>
      </c>
      <c r="AG63" s="337" t="s">
        <v>10430</v>
      </c>
      <c r="AH63" s="337" t="s">
        <v>5497</v>
      </c>
      <c r="AI63" s="337" t="s">
        <v>3583</v>
      </c>
      <c r="AJ63" s="337" t="s">
        <v>10431</v>
      </c>
      <c r="AK63" s="337" t="s">
        <v>10267</v>
      </c>
      <c r="AL63" s="337" t="s">
        <v>5270</v>
      </c>
      <c r="AM63" s="337" t="s">
        <v>10432</v>
      </c>
      <c r="AN63" s="337" t="s">
        <v>8999</v>
      </c>
      <c r="AO63" s="337" t="s">
        <v>5172</v>
      </c>
      <c r="AP63" s="337" t="s">
        <v>10433</v>
      </c>
      <c r="AQ63" s="337" t="s">
        <v>3700</v>
      </c>
      <c r="AR63" s="337" t="s">
        <v>9788</v>
      </c>
      <c r="AS63" s="337" t="s">
        <v>4745</v>
      </c>
      <c r="AT63" s="337" t="s">
        <v>10434</v>
      </c>
      <c r="AU63" s="1723" t="str">
        <f>HYPERLINK("https://splits.io/pc9","1:16:48")</f>
        <v>1:16:48</v>
      </c>
      <c r="AV63" s="1476" t="str">
        <f t="shared" si="1"/>
        <v>2:27</v>
      </c>
      <c r="AW63" s="1724" t="s">
        <v>10435</v>
      </c>
    </row>
    <row r="64" ht="15.75" customHeight="1">
      <c r="A64" s="1556" t="s">
        <v>5932</v>
      </c>
      <c r="B64" s="1557" t="s">
        <v>9134</v>
      </c>
      <c r="C64" s="1692">
        <v>0.051631944444444446</v>
      </c>
      <c r="D64" s="1000" t="s">
        <v>10436</v>
      </c>
      <c r="E64" s="337" t="s">
        <v>7855</v>
      </c>
      <c r="F64" s="337" t="s">
        <v>10437</v>
      </c>
      <c r="G64" s="337" t="s">
        <v>5428</v>
      </c>
      <c r="H64" s="337" t="s">
        <v>10010</v>
      </c>
      <c r="I64" s="337" t="s">
        <v>4759</v>
      </c>
      <c r="J64" s="337" t="s">
        <v>9320</v>
      </c>
      <c r="K64" s="337" t="s">
        <v>9012</v>
      </c>
      <c r="L64" s="337" t="s">
        <v>5918</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4870</v>
      </c>
      <c r="AA64" s="337" t="s">
        <v>10445</v>
      </c>
      <c r="AB64" s="337" t="s">
        <v>6883</v>
      </c>
      <c r="AC64" s="337" t="s">
        <v>10446</v>
      </c>
      <c r="AD64" s="337" t="s">
        <v>10447</v>
      </c>
      <c r="AE64" s="794" t="s">
        <v>5559</v>
      </c>
      <c r="AF64" s="337" t="s">
        <v>10448</v>
      </c>
      <c r="AG64" s="337" t="s">
        <v>10449</v>
      </c>
      <c r="AH64" s="337" t="s">
        <v>2254</v>
      </c>
      <c r="AI64" s="337" t="s">
        <v>5298</v>
      </c>
      <c r="AJ64" s="337" t="s">
        <v>8847</v>
      </c>
      <c r="AK64" s="337" t="s">
        <v>1792</v>
      </c>
      <c r="AL64" s="337" t="s">
        <v>5760</v>
      </c>
      <c r="AM64" s="337" t="s">
        <v>10450</v>
      </c>
      <c r="AN64" s="337" t="s">
        <v>10451</v>
      </c>
      <c r="AO64" s="337" t="s">
        <v>9428</v>
      </c>
      <c r="AP64" s="337" t="s">
        <v>10452</v>
      </c>
      <c r="AQ64" s="337" t="s">
        <v>10453</v>
      </c>
      <c r="AR64" s="337" t="s">
        <v>4858</v>
      </c>
      <c r="AS64" s="337" t="s">
        <v>3041</v>
      </c>
      <c r="AT64" s="337" t="s">
        <v>10454</v>
      </c>
      <c r="AU64" s="337" t="s">
        <v>10455</v>
      </c>
      <c r="AV64" s="1476" t="str">
        <f t="shared" si="1"/>
        <v>3:33</v>
      </c>
      <c r="AW64" s="1724"/>
    </row>
    <row r="65" ht="15.75" customHeight="1">
      <c r="A65" s="1556" t="s">
        <v>4245</v>
      </c>
      <c r="B65" s="1557" t="s">
        <v>9134</v>
      </c>
      <c r="C65" s="1692">
        <v>0.05164351851851852</v>
      </c>
      <c r="D65" s="1000" t="s">
        <v>10456</v>
      </c>
      <c r="E65" s="337" t="s">
        <v>9339</v>
      </c>
      <c r="F65" s="337" t="s">
        <v>10457</v>
      </c>
      <c r="G65" s="337" t="s">
        <v>9191</v>
      </c>
      <c r="H65" s="337" t="s">
        <v>10458</v>
      </c>
      <c r="I65" s="337" t="s">
        <v>1293</v>
      </c>
      <c r="J65" s="337" t="s">
        <v>806</v>
      </c>
      <c r="K65" s="337" t="s">
        <v>6810</v>
      </c>
      <c r="L65" s="337" t="s">
        <v>3735</v>
      </c>
      <c r="M65" s="337" t="s">
        <v>10403</v>
      </c>
      <c r="N65" s="337" t="s">
        <v>9529</v>
      </c>
      <c r="O65" s="337" t="s">
        <v>10105</v>
      </c>
      <c r="P65" s="337" t="s">
        <v>5218</v>
      </c>
      <c r="Q65" s="337" t="s">
        <v>10459</v>
      </c>
      <c r="R65" s="337" t="s">
        <v>9055</v>
      </c>
      <c r="S65" s="337" t="s">
        <v>10460</v>
      </c>
      <c r="T65" s="337" t="s">
        <v>10461</v>
      </c>
      <c r="U65" s="337" t="s">
        <v>10462</v>
      </c>
      <c r="V65" s="337" t="s">
        <v>10463</v>
      </c>
      <c r="W65" s="337" t="s">
        <v>10464</v>
      </c>
      <c r="X65" s="337" t="s">
        <v>609</v>
      </c>
      <c r="Y65" s="337" t="s">
        <v>10465</v>
      </c>
      <c r="Z65" s="337" t="s">
        <v>7247</v>
      </c>
      <c r="AA65" s="337" t="s">
        <v>5686</v>
      </c>
      <c r="AB65" s="337" t="s">
        <v>7601</v>
      </c>
      <c r="AC65" s="337" t="s">
        <v>7785</v>
      </c>
      <c r="AD65" s="337" t="s">
        <v>10466</v>
      </c>
      <c r="AE65" s="337" t="s">
        <v>1848</v>
      </c>
      <c r="AF65" s="337" t="s">
        <v>10467</v>
      </c>
      <c r="AG65" s="337" t="s">
        <v>528</v>
      </c>
      <c r="AH65" s="337" t="s">
        <v>5497</v>
      </c>
      <c r="AI65" s="337" t="s">
        <v>10468</v>
      </c>
      <c r="AJ65" s="337" t="s">
        <v>10469</v>
      </c>
      <c r="AK65" s="337" t="s">
        <v>10470</v>
      </c>
      <c r="AL65" s="337" t="s">
        <v>5215</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5949</v>
      </c>
      <c r="G66" s="337" t="s">
        <v>10478</v>
      </c>
      <c r="H66" s="337" t="s">
        <v>10479</v>
      </c>
      <c r="I66" s="337" t="s">
        <v>1836</v>
      </c>
      <c r="J66" s="337" t="s">
        <v>10340</v>
      </c>
      <c r="K66" s="337" t="s">
        <v>9486</v>
      </c>
      <c r="L66" s="337" t="s">
        <v>1964</v>
      </c>
      <c r="M66" s="337" t="s">
        <v>6919</v>
      </c>
      <c r="N66" s="337" t="s">
        <v>10480</v>
      </c>
      <c r="O66" s="337" t="s">
        <v>10481</v>
      </c>
      <c r="P66" s="337" t="s">
        <v>2385</v>
      </c>
      <c r="Q66" s="337" t="s">
        <v>722</v>
      </c>
      <c r="R66" s="337" t="s">
        <v>10482</v>
      </c>
      <c r="S66" s="337" t="s">
        <v>10483</v>
      </c>
      <c r="T66" s="337" t="s">
        <v>10484</v>
      </c>
      <c r="U66" s="337" t="s">
        <v>10062</v>
      </c>
      <c r="V66" s="337" t="s">
        <v>488</v>
      </c>
      <c r="W66" s="337" t="s">
        <v>6011</v>
      </c>
      <c r="X66" s="337" t="s">
        <v>10485</v>
      </c>
      <c r="Y66" s="337" t="s">
        <v>942</v>
      </c>
      <c r="Z66" s="337" t="s">
        <v>3948</v>
      </c>
      <c r="AA66" s="337" t="s">
        <v>1620</v>
      </c>
      <c r="AB66" s="337" t="s">
        <v>10486</v>
      </c>
      <c r="AC66" s="337" t="s">
        <v>9386</v>
      </c>
      <c r="AD66" s="794" t="s">
        <v>10487</v>
      </c>
      <c r="AE66" s="337" t="s">
        <v>1862</v>
      </c>
      <c r="AF66" s="337" t="s">
        <v>9950</v>
      </c>
      <c r="AG66" s="337" t="s">
        <v>7942</v>
      </c>
      <c r="AH66" s="337" t="s">
        <v>4468</v>
      </c>
      <c r="AI66" s="337" t="s">
        <v>1707</v>
      </c>
      <c r="AJ66" s="337" t="s">
        <v>10488</v>
      </c>
      <c r="AK66" s="337" t="s">
        <v>4082</v>
      </c>
      <c r="AL66" s="337" t="s">
        <v>5297</v>
      </c>
      <c r="AM66" s="337" t="s">
        <v>10489</v>
      </c>
      <c r="AN66" s="337" t="s">
        <v>10490</v>
      </c>
      <c r="AO66" s="337" t="s">
        <v>10491</v>
      </c>
      <c r="AP66" s="337" t="s">
        <v>10492</v>
      </c>
      <c r="AQ66" s="337" t="s">
        <v>10493</v>
      </c>
      <c r="AR66" s="337" t="s">
        <v>10494</v>
      </c>
      <c r="AS66" s="337" t="s">
        <v>2577</v>
      </c>
      <c r="AT66" s="337" t="s">
        <v>10495</v>
      </c>
      <c r="AU66" s="337" t="s">
        <v>10496</v>
      </c>
      <c r="AV66" s="1476" t="str">
        <f t="shared" si="1"/>
        <v>2:51</v>
      </c>
      <c r="AW66" s="1725"/>
    </row>
    <row r="67" ht="15.75" customHeight="1">
      <c r="A67" s="1618" t="s">
        <v>4653</v>
      </c>
      <c r="B67" s="1651" t="s">
        <v>9161</v>
      </c>
      <c r="C67" s="1692">
        <v>0.05170138888888889</v>
      </c>
      <c r="D67" s="1000" t="s">
        <v>10497</v>
      </c>
      <c r="E67" s="337" t="s">
        <v>4282</v>
      </c>
      <c r="F67" s="337" t="s">
        <v>10054</v>
      </c>
      <c r="G67" s="337" t="s">
        <v>9961</v>
      </c>
      <c r="H67" s="337" t="s">
        <v>10498</v>
      </c>
      <c r="I67" s="337" t="s">
        <v>10499</v>
      </c>
      <c r="J67" s="337" t="s">
        <v>10067</v>
      </c>
      <c r="K67" s="337" t="s">
        <v>9428</v>
      </c>
      <c r="L67" s="337" t="s">
        <v>4102</v>
      </c>
      <c r="M67" s="337" t="s">
        <v>7122</v>
      </c>
      <c r="N67" s="337" t="s">
        <v>6219</v>
      </c>
      <c r="O67" s="337" t="s">
        <v>10192</v>
      </c>
      <c r="P67" s="337" t="s">
        <v>483</v>
      </c>
      <c r="Q67" s="337" t="s">
        <v>2829</v>
      </c>
      <c r="R67" s="337" t="s">
        <v>9231</v>
      </c>
      <c r="S67" s="337" t="s">
        <v>10391</v>
      </c>
      <c r="T67" s="337" t="s">
        <v>2925</v>
      </c>
      <c r="U67" s="337" t="s">
        <v>10500</v>
      </c>
      <c r="V67" s="337" t="s">
        <v>10501</v>
      </c>
      <c r="W67" s="337" t="s">
        <v>10428</v>
      </c>
      <c r="X67" s="337" t="s">
        <v>3734</v>
      </c>
      <c r="Y67" s="337" t="s">
        <v>2448</v>
      </c>
      <c r="Z67" s="337" t="s">
        <v>491</v>
      </c>
      <c r="AA67" s="337" t="s">
        <v>630</v>
      </c>
      <c r="AB67" s="337" t="s">
        <v>10502</v>
      </c>
      <c r="AC67" s="337" t="s">
        <v>5870</v>
      </c>
      <c r="AD67" s="337" t="s">
        <v>10122</v>
      </c>
      <c r="AE67" s="337" t="s">
        <v>143</v>
      </c>
      <c r="AF67" s="337" t="s">
        <v>10503</v>
      </c>
      <c r="AG67" s="337" t="s">
        <v>10504</v>
      </c>
      <c r="AH67" s="337" t="s">
        <v>10505</v>
      </c>
      <c r="AI67" s="337" t="s">
        <v>10506</v>
      </c>
      <c r="AJ67" s="337" t="s">
        <v>10507</v>
      </c>
      <c r="AK67" s="337" t="s">
        <v>9514</v>
      </c>
      <c r="AL67" s="337" t="s">
        <v>4543</v>
      </c>
      <c r="AM67" s="337" t="s">
        <v>10367</v>
      </c>
      <c r="AN67" s="337" t="s">
        <v>10508</v>
      </c>
      <c r="AO67" s="337" t="s">
        <v>10113</v>
      </c>
      <c r="AP67" s="337" t="s">
        <v>3330</v>
      </c>
      <c r="AQ67" s="337" t="s">
        <v>10509</v>
      </c>
      <c r="AR67" s="337" t="s">
        <v>10510</v>
      </c>
      <c r="AS67" s="337" t="s">
        <v>6610</v>
      </c>
      <c r="AT67" s="337" t="s">
        <v>10511</v>
      </c>
      <c r="AU67" s="337" t="s">
        <v>10512</v>
      </c>
      <c r="AV67" s="1476" t="str">
        <f t="shared" si="1"/>
        <v>2:37</v>
      </c>
      <c r="AW67" s="1725" t="s">
        <v>10513</v>
      </c>
    </row>
    <row r="68" ht="15.75" customHeight="1">
      <c r="A68" s="1618" t="s">
        <v>5136</v>
      </c>
      <c r="B68" s="1616" t="s">
        <v>9161</v>
      </c>
      <c r="C68" s="1558">
        <v>0.05171296296296296</v>
      </c>
      <c r="D68" s="1698" t="s">
        <v>10514</v>
      </c>
      <c r="E68" s="794" t="s">
        <v>10515</v>
      </c>
      <c r="F68" s="794" t="s">
        <v>163</v>
      </c>
      <c r="G68" s="794" t="s">
        <v>10516</v>
      </c>
      <c r="H68" s="794" t="s">
        <v>10517</v>
      </c>
      <c r="I68" s="794" t="s">
        <v>10518</v>
      </c>
      <c r="J68" s="794" t="s">
        <v>887</v>
      </c>
      <c r="K68" s="794" t="s">
        <v>4896</v>
      </c>
      <c r="L68" s="794" t="s">
        <v>1955</v>
      </c>
      <c r="M68" s="1726" t="s">
        <v>10519</v>
      </c>
      <c r="N68" s="794" t="s">
        <v>10520</v>
      </c>
      <c r="O68" s="794" t="s">
        <v>1697</v>
      </c>
      <c r="P68" s="794" t="s">
        <v>5123</v>
      </c>
      <c r="Q68" s="794" t="s">
        <v>2677</v>
      </c>
      <c r="R68" s="794" t="s">
        <v>10521</v>
      </c>
      <c r="S68" s="794" t="s">
        <v>9266</v>
      </c>
      <c r="T68" s="794" t="s">
        <v>10522</v>
      </c>
      <c r="U68" s="794" t="s">
        <v>10319</v>
      </c>
      <c r="V68" s="1726" t="s">
        <v>10523</v>
      </c>
      <c r="W68" s="1726" t="s">
        <v>10524</v>
      </c>
      <c r="X68" s="794" t="s">
        <v>10198</v>
      </c>
      <c r="Y68" s="1000" t="s">
        <v>2559</v>
      </c>
      <c r="Z68" s="794" t="s">
        <v>1519</v>
      </c>
      <c r="AA68" s="794" t="s">
        <v>200</v>
      </c>
      <c r="AB68" s="1726" t="s">
        <v>10525</v>
      </c>
      <c r="AC68" s="794" t="s">
        <v>1848</v>
      </c>
      <c r="AD68" s="794" t="s">
        <v>10526</v>
      </c>
      <c r="AE68" s="794" t="s">
        <v>3856</v>
      </c>
      <c r="AF68" s="794" t="s">
        <v>10527</v>
      </c>
      <c r="AG68" s="794" t="s">
        <v>528</v>
      </c>
      <c r="AH68" s="794" t="s">
        <v>10528</v>
      </c>
      <c r="AI68" s="794" t="s">
        <v>5522</v>
      </c>
      <c r="AJ68" s="794" t="s">
        <v>10529</v>
      </c>
      <c r="AK68" s="794" t="s">
        <v>10530</v>
      </c>
      <c r="AL68" s="794" t="s">
        <v>1749</v>
      </c>
      <c r="AM68" s="794" t="s">
        <v>10358</v>
      </c>
      <c r="AN68" s="794" t="s">
        <v>10531</v>
      </c>
      <c r="AO68" s="794" t="s">
        <v>2901</v>
      </c>
      <c r="AP68" s="794" t="s">
        <v>2073</v>
      </c>
      <c r="AQ68" s="794" t="s">
        <v>759</v>
      </c>
      <c r="AR68" s="794" t="s">
        <v>10141</v>
      </c>
      <c r="AS68" s="794" t="s">
        <v>8232</v>
      </c>
      <c r="AT68" s="794" t="s">
        <v>10532</v>
      </c>
      <c r="AU68" s="794" t="s">
        <v>10533</v>
      </c>
      <c r="AV68" s="1476" t="str">
        <f t="shared" si="1"/>
        <v>4:14</v>
      </c>
      <c r="AW68" s="1721" t="s">
        <v>10534</v>
      </c>
    </row>
    <row r="69" ht="15.75" customHeight="1">
      <c r="A69" s="1618" t="s">
        <v>2190</v>
      </c>
      <c r="B69" s="1707" t="s">
        <v>9161</v>
      </c>
      <c r="C69" s="1558">
        <v>0.05173611111111111</v>
      </c>
      <c r="D69" s="1000" t="s">
        <v>10535</v>
      </c>
      <c r="E69" s="794" t="s">
        <v>10536</v>
      </c>
      <c r="F69" s="794" t="s">
        <v>10537</v>
      </c>
      <c r="G69" s="794" t="s">
        <v>10538</v>
      </c>
      <c r="H69" s="794" t="s">
        <v>7009</v>
      </c>
      <c r="I69" s="794" t="s">
        <v>496</v>
      </c>
      <c r="J69" s="794" t="s">
        <v>9571</v>
      </c>
      <c r="K69" s="794" t="s">
        <v>9145</v>
      </c>
      <c r="L69" s="794" t="s">
        <v>8311</v>
      </c>
      <c r="M69" s="794" t="s">
        <v>3646</v>
      </c>
      <c r="N69" s="794" t="s">
        <v>10539</v>
      </c>
      <c r="O69" s="794" t="s">
        <v>10540</v>
      </c>
      <c r="P69" s="794" t="s">
        <v>3758</v>
      </c>
      <c r="Q69" s="794" t="s">
        <v>10541</v>
      </c>
      <c r="R69" s="794" t="s">
        <v>10482</v>
      </c>
      <c r="S69" s="794" t="s">
        <v>5656</v>
      </c>
      <c r="T69" s="794" t="s">
        <v>10542</v>
      </c>
      <c r="U69" s="794" t="s">
        <v>10543</v>
      </c>
      <c r="V69" s="794" t="s">
        <v>128</v>
      </c>
      <c r="W69" s="794" t="s">
        <v>5690</v>
      </c>
      <c r="X69" s="794" t="s">
        <v>10386</v>
      </c>
      <c r="Y69" s="794" t="s">
        <v>1165</v>
      </c>
      <c r="Z69" s="794" t="s">
        <v>10544</v>
      </c>
      <c r="AA69" s="794" t="s">
        <v>5943</v>
      </c>
      <c r="AB69" s="794" t="s">
        <v>7599</v>
      </c>
      <c r="AC69" s="794" t="s">
        <v>161</v>
      </c>
      <c r="AD69" s="794" t="s">
        <v>10411</v>
      </c>
      <c r="AE69" s="794" t="s">
        <v>9840</v>
      </c>
      <c r="AF69" s="794" t="s">
        <v>9853</v>
      </c>
      <c r="AG69" s="794" t="s">
        <v>10545</v>
      </c>
      <c r="AH69" s="794" t="s">
        <v>10546</v>
      </c>
      <c r="AI69" s="794" t="s">
        <v>10547</v>
      </c>
      <c r="AJ69" s="794" t="s">
        <v>6176</v>
      </c>
      <c r="AK69" s="794" t="s">
        <v>6861</v>
      </c>
      <c r="AL69" s="794" t="s">
        <v>10548</v>
      </c>
      <c r="AM69" s="794" t="s">
        <v>2981</v>
      </c>
      <c r="AN69" s="794" t="s">
        <v>5215</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7555</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6947</v>
      </c>
      <c r="P70" s="1589" t="s">
        <v>10563</v>
      </c>
      <c r="Q70" s="1589" t="s">
        <v>10564</v>
      </c>
      <c r="R70" s="1590" t="s">
        <v>10565</v>
      </c>
      <c r="S70" s="1590" t="s">
        <v>10207</v>
      </c>
      <c r="T70" s="1590" t="s">
        <v>10566</v>
      </c>
      <c r="U70" s="1590" t="s">
        <v>10567</v>
      </c>
      <c r="V70" s="1590" t="s">
        <v>4330</v>
      </c>
      <c r="W70" s="1590" t="s">
        <v>10568</v>
      </c>
      <c r="X70" s="1590" t="s">
        <v>10569</v>
      </c>
      <c r="Y70" s="1589" t="s">
        <v>10071</v>
      </c>
      <c r="Z70" s="1727" t="s">
        <v>9203</v>
      </c>
      <c r="AA70" s="1590" t="s">
        <v>966</v>
      </c>
      <c r="AB70" s="1589" t="s">
        <v>4354</v>
      </c>
      <c r="AC70" s="1590">
        <v>49.53</v>
      </c>
      <c r="AD70" s="1590" t="s">
        <v>2004</v>
      </c>
      <c r="AE70" s="1589" t="s">
        <v>10570</v>
      </c>
      <c r="AF70" s="1590" t="s">
        <v>9328</v>
      </c>
      <c r="AG70" s="1590" t="s">
        <v>10571</v>
      </c>
      <c r="AH70" s="1590">
        <v>59.93</v>
      </c>
      <c r="AI70" s="1590" t="s">
        <v>10572</v>
      </c>
      <c r="AJ70" s="1590" t="s">
        <v>10573</v>
      </c>
      <c r="AK70" s="1590" t="s">
        <v>6000</v>
      </c>
      <c r="AL70" s="1590">
        <v>59.13</v>
      </c>
      <c r="AM70" s="1590" t="s">
        <v>10510</v>
      </c>
      <c r="AN70" s="1590">
        <v>57.86</v>
      </c>
      <c r="AO70" s="1590" t="s">
        <v>7287</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7687</v>
      </c>
      <c r="F71" s="1564" t="s">
        <v>10579</v>
      </c>
      <c r="G71" s="1564" t="s">
        <v>10580</v>
      </c>
      <c r="H71" s="1564" t="s">
        <v>10581</v>
      </c>
      <c r="I71" s="1564" t="s">
        <v>5060</v>
      </c>
      <c r="J71" s="1564" t="s">
        <v>9556</v>
      </c>
      <c r="K71" s="1564" t="s">
        <v>9171</v>
      </c>
      <c r="L71" s="1564" t="s">
        <v>10546</v>
      </c>
      <c r="M71" s="1564" t="s">
        <v>1454</v>
      </c>
      <c r="N71" s="1564" t="s">
        <v>10043</v>
      </c>
      <c r="O71" s="1564" t="s">
        <v>7064</v>
      </c>
      <c r="P71" s="1564" t="s">
        <v>9646</v>
      </c>
      <c r="Q71" s="1564" t="s">
        <v>10582</v>
      </c>
      <c r="R71" s="1564" t="s">
        <v>6889</v>
      </c>
      <c r="S71" s="1564" t="s">
        <v>3654</v>
      </c>
      <c r="T71" s="1564" t="s">
        <v>10583</v>
      </c>
      <c r="U71" s="1564" t="s">
        <v>10584</v>
      </c>
      <c r="V71" s="1564" t="s">
        <v>10501</v>
      </c>
      <c r="W71" s="1564" t="s">
        <v>9243</v>
      </c>
      <c r="X71" s="1564" t="s">
        <v>10131</v>
      </c>
      <c r="Y71" s="1564" t="s">
        <v>10585</v>
      </c>
      <c r="Z71" s="1564" t="s">
        <v>6428</v>
      </c>
      <c r="AA71" s="1564" t="s">
        <v>957</v>
      </c>
      <c r="AB71" s="1564" t="s">
        <v>10586</v>
      </c>
      <c r="AC71" s="1564" t="s">
        <v>2099</v>
      </c>
      <c r="AD71" s="1564" t="s">
        <v>10587</v>
      </c>
      <c r="AE71" s="1564" t="s">
        <v>2176</v>
      </c>
      <c r="AF71" s="1564" t="s">
        <v>10268</v>
      </c>
      <c r="AG71" s="1564" t="s">
        <v>174</v>
      </c>
      <c r="AH71" s="1564" t="s">
        <v>10588</v>
      </c>
      <c r="AI71" s="1564" t="s">
        <v>246</v>
      </c>
      <c r="AJ71" s="1564" t="s">
        <v>10589</v>
      </c>
      <c r="AK71" s="1564" t="s">
        <v>9857</v>
      </c>
      <c r="AL71" s="1564" t="s">
        <v>4773</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3142</v>
      </c>
      <c r="M72" s="337" t="s">
        <v>10380</v>
      </c>
      <c r="N72" s="337" t="s">
        <v>5160</v>
      </c>
      <c r="O72" s="337" t="s">
        <v>10603</v>
      </c>
      <c r="P72" s="337" t="s">
        <v>1236</v>
      </c>
      <c r="Q72" s="337" t="s">
        <v>10604</v>
      </c>
      <c r="R72" s="337" t="s">
        <v>5811</v>
      </c>
      <c r="S72" s="337" t="s">
        <v>10605</v>
      </c>
      <c r="T72" s="337" t="s">
        <v>10606</v>
      </c>
      <c r="U72" s="337" t="s">
        <v>10607</v>
      </c>
      <c r="V72" s="337" t="s">
        <v>10150</v>
      </c>
      <c r="W72" s="337" t="s">
        <v>10608</v>
      </c>
      <c r="X72" s="337" t="s">
        <v>10506</v>
      </c>
      <c r="Y72" s="337" t="s">
        <v>3368</v>
      </c>
      <c r="Z72" s="337" t="s">
        <v>10609</v>
      </c>
      <c r="AA72" s="337" t="s">
        <v>10610</v>
      </c>
      <c r="AB72" s="337" t="s">
        <v>9023</v>
      </c>
      <c r="AC72" s="337" t="s">
        <v>5870</v>
      </c>
      <c r="AD72" s="337" t="s">
        <v>10611</v>
      </c>
      <c r="AE72" s="337" t="s">
        <v>1183</v>
      </c>
      <c r="AF72" s="337" t="s">
        <v>10612</v>
      </c>
      <c r="AG72" s="337" t="s">
        <v>10613</v>
      </c>
      <c r="AH72" s="337" t="s">
        <v>5235</v>
      </c>
      <c r="AI72" s="337" t="s">
        <v>10547</v>
      </c>
      <c r="AJ72" s="337" t="s">
        <v>10614</v>
      </c>
      <c r="AK72" s="337" t="s">
        <v>1840</v>
      </c>
      <c r="AL72" s="337" t="s">
        <v>10588</v>
      </c>
      <c r="AM72" s="337" t="s">
        <v>10615</v>
      </c>
      <c r="AN72" s="337" t="s">
        <v>3208</v>
      </c>
      <c r="AO72" s="337" t="s">
        <v>9324</v>
      </c>
      <c r="AP72" s="337" t="s">
        <v>10616</v>
      </c>
      <c r="AQ72" s="337" t="s">
        <v>10617</v>
      </c>
      <c r="AR72" s="337" t="s">
        <v>2229</v>
      </c>
      <c r="AS72" s="337" t="s">
        <v>4849</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7172</v>
      </c>
      <c r="N73" s="337" t="s">
        <v>9650</v>
      </c>
      <c r="O73" s="337" t="s">
        <v>4482</v>
      </c>
      <c r="P73" s="337" t="s">
        <v>1524</v>
      </c>
      <c r="Q73" s="337" t="s">
        <v>10627</v>
      </c>
      <c r="R73" s="337" t="s">
        <v>1938</v>
      </c>
      <c r="S73" s="337" t="s">
        <v>4446</v>
      </c>
      <c r="T73" s="337" t="s">
        <v>10628</v>
      </c>
      <c r="U73" s="337" t="s">
        <v>10426</v>
      </c>
      <c r="V73" s="337" t="s">
        <v>6606</v>
      </c>
      <c r="W73" s="337" t="s">
        <v>4482</v>
      </c>
      <c r="X73" s="337" t="s">
        <v>10043</v>
      </c>
      <c r="Y73" s="337" t="s">
        <v>10073</v>
      </c>
      <c r="Z73" s="337" t="s">
        <v>6553</v>
      </c>
      <c r="AA73" s="337" t="s">
        <v>420</v>
      </c>
      <c r="AB73" s="337" t="s">
        <v>624</v>
      </c>
      <c r="AC73" s="337" t="s">
        <v>4880</v>
      </c>
      <c r="AD73" s="337" t="s">
        <v>10466</v>
      </c>
      <c r="AE73" s="337" t="s">
        <v>849</v>
      </c>
      <c r="AF73" s="337" t="s">
        <v>10629</v>
      </c>
      <c r="AG73" s="337" t="s">
        <v>10630</v>
      </c>
      <c r="AH73" s="337" t="s">
        <v>10377</v>
      </c>
      <c r="AI73" s="337" t="s">
        <v>10631</v>
      </c>
      <c r="AJ73" s="337" t="s">
        <v>10632</v>
      </c>
      <c r="AK73" s="337" t="s">
        <v>10633</v>
      </c>
      <c r="AL73" s="337" t="s">
        <v>5689</v>
      </c>
      <c r="AM73" s="337" t="s">
        <v>10634</v>
      </c>
      <c r="AN73" s="337" t="s">
        <v>6412</v>
      </c>
      <c r="AO73" s="794" t="s">
        <v>10231</v>
      </c>
      <c r="AP73" s="337" t="s">
        <v>10635</v>
      </c>
      <c r="AQ73" s="337" t="s">
        <v>10636</v>
      </c>
      <c r="AR73" s="337" t="s">
        <v>9892</v>
      </c>
      <c r="AS73" s="337" t="s">
        <v>4715</v>
      </c>
      <c r="AT73" s="337" t="s">
        <v>10637</v>
      </c>
      <c r="AU73" s="794" t="s">
        <v>10638</v>
      </c>
      <c r="AV73" s="1476" t="str">
        <f t="shared" si="1"/>
        <v>0:37</v>
      </c>
      <c r="AW73" s="1725" t="s">
        <v>10639</v>
      </c>
    </row>
    <row r="74">
      <c r="A74" s="1618" t="s">
        <v>7512</v>
      </c>
      <c r="B74" s="1616" t="s">
        <v>9134</v>
      </c>
      <c r="C74" s="1558">
        <v>0.05188657407407407</v>
      </c>
      <c r="D74" s="794" t="s">
        <v>10640</v>
      </c>
      <c r="E74" s="1000" t="s">
        <v>175</v>
      </c>
      <c r="F74" s="1000" t="s">
        <v>10641</v>
      </c>
      <c r="G74" s="1000" t="s">
        <v>10642</v>
      </c>
      <c r="H74" s="1000" t="s">
        <v>10643</v>
      </c>
      <c r="I74" s="1000" t="s">
        <v>143</v>
      </c>
      <c r="J74" s="1000" t="s">
        <v>4154</v>
      </c>
      <c r="K74" s="1000" t="s">
        <v>9867</v>
      </c>
      <c r="L74" s="1000" t="s">
        <v>2882</v>
      </c>
      <c r="M74" s="1000" t="s">
        <v>10644</v>
      </c>
      <c r="N74" s="1000" t="s">
        <v>4079</v>
      </c>
      <c r="O74" s="1000" t="s">
        <v>10645</v>
      </c>
      <c r="P74" s="1000" t="s">
        <v>5220</v>
      </c>
      <c r="Q74" s="1000" t="s">
        <v>10646</v>
      </c>
      <c r="R74" s="1000" t="s">
        <v>5639</v>
      </c>
      <c r="S74" s="1000" t="s">
        <v>10647</v>
      </c>
      <c r="T74" s="1000" t="s">
        <v>9207</v>
      </c>
      <c r="U74" s="1000" t="s">
        <v>10648</v>
      </c>
      <c r="V74" s="1000" t="s">
        <v>5369</v>
      </c>
      <c r="W74" s="1000" t="s">
        <v>10649</v>
      </c>
      <c r="X74" s="1000" t="s">
        <v>10650</v>
      </c>
      <c r="Y74" s="1000" t="s">
        <v>10651</v>
      </c>
      <c r="Z74" s="1000" t="s">
        <v>9878</v>
      </c>
      <c r="AA74" s="1000" t="s">
        <v>5179</v>
      </c>
      <c r="AB74" s="1000" t="s">
        <v>691</v>
      </c>
      <c r="AC74" s="1000" t="s">
        <v>10652</v>
      </c>
      <c r="AD74" s="1000" t="s">
        <v>2729</v>
      </c>
      <c r="AE74" s="1000" t="s">
        <v>5979</v>
      </c>
      <c r="AF74" s="1000" t="s">
        <v>10653</v>
      </c>
      <c r="AG74" s="1000" t="s">
        <v>2415</v>
      </c>
      <c r="AH74" s="1000" t="s">
        <v>2882</v>
      </c>
      <c r="AI74" s="1000" t="s">
        <v>199</v>
      </c>
      <c r="AJ74" s="1000" t="s">
        <v>10654</v>
      </c>
      <c r="AK74" s="1000" t="s">
        <v>9885</v>
      </c>
      <c r="AL74" s="1000" t="s">
        <v>10339</v>
      </c>
      <c r="AM74" s="1000" t="s">
        <v>9855</v>
      </c>
      <c r="AN74" s="1000" t="s">
        <v>3640</v>
      </c>
      <c r="AO74" s="1000" t="s">
        <v>4888</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7213</v>
      </c>
      <c r="F75" s="794" t="s">
        <v>10659</v>
      </c>
      <c r="G75" s="794" t="s">
        <v>10660</v>
      </c>
      <c r="H75" s="794" t="s">
        <v>10661</v>
      </c>
      <c r="I75" s="794" t="s">
        <v>2385</v>
      </c>
      <c r="J75" s="794" t="s">
        <v>4265</v>
      </c>
      <c r="K75" s="794" t="s">
        <v>9808</v>
      </c>
      <c r="L75" s="794"/>
      <c r="M75" s="794" t="s">
        <v>6816</v>
      </c>
      <c r="N75" s="794" t="s">
        <v>4699</v>
      </c>
      <c r="O75" s="794" t="s">
        <v>9201</v>
      </c>
      <c r="P75" s="794" t="s">
        <v>10287</v>
      </c>
      <c r="Q75" s="794" t="s">
        <v>10662</v>
      </c>
      <c r="R75" s="794" t="s">
        <v>10663</v>
      </c>
      <c r="S75" s="794" t="s">
        <v>9465</v>
      </c>
      <c r="T75" s="794" t="s">
        <v>9823</v>
      </c>
      <c r="U75" s="794" t="s">
        <v>2270</v>
      </c>
      <c r="V75" s="794" t="s">
        <v>9665</v>
      </c>
      <c r="W75" s="794" t="s">
        <v>6005</v>
      </c>
      <c r="X75" s="794" t="s">
        <v>630</v>
      </c>
      <c r="Y75" s="794" t="s">
        <v>9632</v>
      </c>
      <c r="Z75" s="794" t="s">
        <v>10017</v>
      </c>
      <c r="AA75" s="794" t="s">
        <v>7299</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3652</v>
      </c>
      <c r="AO75" s="794" t="s">
        <v>10672</v>
      </c>
      <c r="AP75" s="794" t="s">
        <v>10673</v>
      </c>
      <c r="AQ75" s="794" t="s">
        <v>10674</v>
      </c>
      <c r="AR75" s="794" t="s">
        <v>10675</v>
      </c>
      <c r="AS75" s="794" t="s">
        <v>3799</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7102</v>
      </c>
      <c r="I76" s="337" t="s">
        <v>10245</v>
      </c>
      <c r="J76" s="337" t="s">
        <v>10683</v>
      </c>
      <c r="K76" s="337" t="s">
        <v>10684</v>
      </c>
      <c r="L76" s="337" t="s">
        <v>3142</v>
      </c>
      <c r="M76" s="337" t="s">
        <v>10685</v>
      </c>
      <c r="N76" s="337" t="s">
        <v>9952</v>
      </c>
      <c r="O76" s="337" t="s">
        <v>10686</v>
      </c>
      <c r="P76" s="337" t="s">
        <v>2438</v>
      </c>
      <c r="Q76" s="337" t="s">
        <v>5139</v>
      </c>
      <c r="R76" s="337" t="s">
        <v>5419</v>
      </c>
      <c r="S76" s="337" t="s">
        <v>10687</v>
      </c>
      <c r="T76" s="337" t="s">
        <v>5904</v>
      </c>
      <c r="U76" s="337" t="s">
        <v>10688</v>
      </c>
      <c r="V76" s="337" t="s">
        <v>6606</v>
      </c>
      <c r="W76" s="337" t="s">
        <v>7518</v>
      </c>
      <c r="X76" s="337" t="s">
        <v>10689</v>
      </c>
      <c r="Y76" s="337" t="s">
        <v>2099</v>
      </c>
      <c r="Z76" s="337" t="s">
        <v>10690</v>
      </c>
      <c r="AA76" s="337" t="s">
        <v>10383</v>
      </c>
      <c r="AB76" s="337" t="s">
        <v>10691</v>
      </c>
      <c r="AC76" s="337" t="s">
        <v>5590</v>
      </c>
      <c r="AD76" s="337" t="s">
        <v>10692</v>
      </c>
      <c r="AE76" s="337" t="s">
        <v>7785</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5459</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3653</v>
      </c>
      <c r="J77" s="337" t="s">
        <v>9844</v>
      </c>
      <c r="K77" s="337" t="s">
        <v>4446</v>
      </c>
      <c r="L77" s="337" t="s">
        <v>3547</v>
      </c>
      <c r="M77" s="337" t="s">
        <v>10425</v>
      </c>
      <c r="N77" s="337" t="s">
        <v>4486</v>
      </c>
      <c r="O77" s="337" t="s">
        <v>10706</v>
      </c>
      <c r="P77" s="337" t="s">
        <v>10707</v>
      </c>
      <c r="Q77" s="337" t="s">
        <v>4943</v>
      </c>
      <c r="R77" s="337" t="s">
        <v>1454</v>
      </c>
      <c r="S77" s="337" t="s">
        <v>9924</v>
      </c>
      <c r="T77" s="337" t="s">
        <v>529</v>
      </c>
      <c r="U77" s="337" t="s">
        <v>1990</v>
      </c>
      <c r="V77" s="337" t="s">
        <v>465</v>
      </c>
      <c r="W77" s="337" t="s">
        <v>5837</v>
      </c>
      <c r="X77" s="337" t="s">
        <v>10202</v>
      </c>
      <c r="Y77" s="337" t="s">
        <v>2448</v>
      </c>
      <c r="Z77" s="337" t="s">
        <v>5349</v>
      </c>
      <c r="AA77" s="337" t="s">
        <v>9952</v>
      </c>
      <c r="AB77" s="337" t="s">
        <v>10708</v>
      </c>
      <c r="AC77" s="337" t="s">
        <v>3114</v>
      </c>
      <c r="AD77" s="337" t="s">
        <v>10709</v>
      </c>
      <c r="AE77" s="337" t="s">
        <v>5220</v>
      </c>
      <c r="AF77" s="337" t="s">
        <v>10710</v>
      </c>
      <c r="AG77" s="337" t="s">
        <v>10711</v>
      </c>
      <c r="AH77" s="337" t="s">
        <v>2254</v>
      </c>
      <c r="AI77" s="337" t="s">
        <v>10712</v>
      </c>
      <c r="AJ77" s="337" t="s">
        <v>10713</v>
      </c>
      <c r="AK77" s="337" t="s">
        <v>4648</v>
      </c>
      <c r="AL77" s="337" t="s">
        <v>6182</v>
      </c>
      <c r="AM77" s="337" t="s">
        <v>1459</v>
      </c>
      <c r="AN77" s="337" t="s">
        <v>5576</v>
      </c>
      <c r="AO77" s="337" t="s">
        <v>5242</v>
      </c>
      <c r="AP77" s="337" t="s">
        <v>4694</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4222</v>
      </c>
      <c r="L78" s="337" t="s">
        <v>10727</v>
      </c>
      <c r="M78" s="337" t="s">
        <v>10728</v>
      </c>
      <c r="N78" s="337" t="s">
        <v>10729</v>
      </c>
      <c r="O78" s="337" t="s">
        <v>10730</v>
      </c>
      <c r="P78" s="337" t="s">
        <v>161</v>
      </c>
      <c r="Q78" s="337" t="s">
        <v>10731</v>
      </c>
      <c r="R78" s="337" t="s">
        <v>6940</v>
      </c>
      <c r="S78" s="337" t="s">
        <v>10732</v>
      </c>
      <c r="T78" s="337" t="s">
        <v>10733</v>
      </c>
      <c r="U78" s="337" t="s">
        <v>10734</v>
      </c>
      <c r="V78" s="337" t="s">
        <v>8486</v>
      </c>
      <c r="W78" s="337" t="s">
        <v>10735</v>
      </c>
      <c r="X78" s="337" t="s">
        <v>10202</v>
      </c>
      <c r="Y78" s="337" t="s">
        <v>209</v>
      </c>
      <c r="Z78" s="337" t="s">
        <v>2379</v>
      </c>
      <c r="AA78" s="337" t="s">
        <v>5967</v>
      </c>
      <c r="AB78" s="337" t="s">
        <v>9524</v>
      </c>
      <c r="AC78" s="337" t="s">
        <v>927</v>
      </c>
      <c r="AD78" s="337" t="s">
        <v>10736</v>
      </c>
      <c r="AE78" s="337" t="s">
        <v>1165</v>
      </c>
      <c r="AF78" s="337" t="s">
        <v>10737</v>
      </c>
      <c r="AG78" s="337" t="s">
        <v>2981</v>
      </c>
      <c r="AH78" s="337" t="s">
        <v>6222</v>
      </c>
      <c r="AI78" s="337" t="s">
        <v>1569</v>
      </c>
      <c r="AJ78" s="337" t="s">
        <v>10738</v>
      </c>
      <c r="AK78" s="337" t="s">
        <v>3629</v>
      </c>
      <c r="AL78" s="337" t="s">
        <v>3901</v>
      </c>
      <c r="AM78" s="337" t="s">
        <v>841</v>
      </c>
      <c r="AN78" s="337" t="s">
        <v>4543</v>
      </c>
      <c r="AO78" s="337" t="s">
        <v>2256</v>
      </c>
      <c r="AP78" s="337" t="s">
        <v>10739</v>
      </c>
      <c r="AQ78" s="337" t="s">
        <v>1072</v>
      </c>
      <c r="AR78" s="337" t="s">
        <v>9202</v>
      </c>
      <c r="AS78" s="337" t="s">
        <v>9142</v>
      </c>
      <c r="AT78" s="337" t="s">
        <v>10740</v>
      </c>
      <c r="AU78" s="337" t="s">
        <v>10741</v>
      </c>
      <c r="AV78" s="1476" t="str">
        <f t="shared" si="1"/>
        <v>2:58</v>
      </c>
      <c r="AW78" s="1725" t="s">
        <v>10742</v>
      </c>
    </row>
    <row r="79" ht="15.75" customHeight="1">
      <c r="A79" s="1556" t="s">
        <v>7157</v>
      </c>
      <c r="B79" s="1651" t="s">
        <v>9161</v>
      </c>
      <c r="C79" s="1692">
        <v>0.05207175925925926</v>
      </c>
      <c r="D79" s="1000" t="s">
        <v>10743</v>
      </c>
      <c r="E79" s="337" t="s">
        <v>10744</v>
      </c>
      <c r="F79" s="337" t="s">
        <v>10745</v>
      </c>
      <c r="G79" s="337" t="s">
        <v>10746</v>
      </c>
      <c r="H79" s="337" t="s">
        <v>9384</v>
      </c>
      <c r="I79" s="337" t="s">
        <v>4894</v>
      </c>
      <c r="J79" s="337" t="s">
        <v>9754</v>
      </c>
      <c r="K79" s="337" t="s">
        <v>10391</v>
      </c>
      <c r="L79" s="337" t="s">
        <v>10747</v>
      </c>
      <c r="M79" s="337" t="s">
        <v>2820</v>
      </c>
      <c r="N79" s="337" t="s">
        <v>10748</v>
      </c>
      <c r="O79" s="337" t="s">
        <v>10749</v>
      </c>
      <c r="P79" s="337" t="s">
        <v>767</v>
      </c>
      <c r="Q79" s="337" t="s">
        <v>10750</v>
      </c>
      <c r="R79" s="337" t="s">
        <v>4961</v>
      </c>
      <c r="S79" s="337" t="s">
        <v>6199</v>
      </c>
      <c r="T79" s="337" t="s">
        <v>5904</v>
      </c>
      <c r="U79" s="337" t="s">
        <v>10751</v>
      </c>
      <c r="V79" s="337" t="s">
        <v>2421</v>
      </c>
      <c r="W79" s="337" t="s">
        <v>9206</v>
      </c>
      <c r="X79" s="337" t="s">
        <v>10752</v>
      </c>
      <c r="Y79" s="337" t="s">
        <v>1410</v>
      </c>
      <c r="Z79" s="337" t="s">
        <v>6910</v>
      </c>
      <c r="AA79" s="337" t="s">
        <v>1484</v>
      </c>
      <c r="AB79" s="337" t="s">
        <v>10753</v>
      </c>
      <c r="AC79" s="337" t="s">
        <v>239</v>
      </c>
      <c r="AD79" s="337" t="s">
        <v>4272</v>
      </c>
      <c r="AE79" s="337" t="s">
        <v>6160</v>
      </c>
      <c r="AF79" s="337" t="s">
        <v>10754</v>
      </c>
      <c r="AG79" s="337" t="s">
        <v>10202</v>
      </c>
      <c r="AH79" s="337" t="s">
        <v>8314</v>
      </c>
      <c r="AI79" s="337" t="s">
        <v>10547</v>
      </c>
      <c r="AJ79" s="337" t="s">
        <v>10755</v>
      </c>
      <c r="AK79" s="337" t="s">
        <v>10756</v>
      </c>
      <c r="AL79" s="337" t="s">
        <v>4367</v>
      </c>
      <c r="AM79" s="337" t="s">
        <v>10309</v>
      </c>
      <c r="AN79" s="337" t="s">
        <v>3901</v>
      </c>
      <c r="AO79" s="337" t="s">
        <v>4222</v>
      </c>
      <c r="AP79" s="337" t="s">
        <v>10034</v>
      </c>
      <c r="AQ79" s="337" t="s">
        <v>10757</v>
      </c>
      <c r="AR79" s="337" t="s">
        <v>1483</v>
      </c>
      <c r="AS79" s="337" t="s">
        <v>6319</v>
      </c>
      <c r="AT79" s="337" t="s">
        <v>7283</v>
      </c>
      <c r="AU79" s="337" t="s">
        <v>10758</v>
      </c>
      <c r="AV79" s="1476" t="str">
        <f t="shared" si="1"/>
        <v>3:10</v>
      </c>
      <c r="AW79" s="1725" t="s">
        <v>10759</v>
      </c>
    </row>
    <row r="80">
      <c r="A80" s="976" t="s">
        <v>3906</v>
      </c>
      <c r="B80" s="1711" t="s">
        <v>9187</v>
      </c>
      <c r="C80" s="1655">
        <v>0.052141203703703703</v>
      </c>
      <c r="D80" s="1000" t="s">
        <v>10760</v>
      </c>
      <c r="E80" s="1641" t="s">
        <v>3008</v>
      </c>
      <c r="F80" s="1641" t="s">
        <v>10761</v>
      </c>
      <c r="G80" s="1679" t="s">
        <v>10762</v>
      </c>
      <c r="H80" s="1679" t="s">
        <v>10763</v>
      </c>
      <c r="I80" s="1679" t="s">
        <v>2433</v>
      </c>
      <c r="J80" s="1679" t="s">
        <v>8135</v>
      </c>
      <c r="K80" s="1730" t="s">
        <v>6350</v>
      </c>
      <c r="L80" s="1731" t="s">
        <v>8311</v>
      </c>
      <c r="M80" s="1679" t="s">
        <v>10764</v>
      </c>
      <c r="N80" s="1679" t="s">
        <v>5904</v>
      </c>
      <c r="O80" s="1679" t="s">
        <v>5642</v>
      </c>
      <c r="P80" s="1679" t="s">
        <v>1848</v>
      </c>
      <c r="Q80" s="1679" t="s">
        <v>10765</v>
      </c>
      <c r="R80" s="1679" t="s">
        <v>10766</v>
      </c>
      <c r="S80" s="1732" t="s">
        <v>2268</v>
      </c>
      <c r="T80" s="1679" t="s">
        <v>9457</v>
      </c>
      <c r="U80" s="1679" t="s">
        <v>3517</v>
      </c>
      <c r="V80" s="1679" t="s">
        <v>10767</v>
      </c>
      <c r="W80" s="1679" t="s">
        <v>10768</v>
      </c>
      <c r="X80" s="1679" t="s">
        <v>4471</v>
      </c>
      <c r="Y80" s="1679" t="s">
        <v>3693</v>
      </c>
      <c r="Z80" s="1679" t="s">
        <v>4191</v>
      </c>
      <c r="AA80" s="1679" t="s">
        <v>174</v>
      </c>
      <c r="AB80" s="1679" t="s">
        <v>627</v>
      </c>
      <c r="AC80" s="1679" t="s">
        <v>6160</v>
      </c>
      <c r="AD80" s="1564" t="s">
        <v>9589</v>
      </c>
      <c r="AE80" s="1679" t="s">
        <v>479</v>
      </c>
      <c r="AF80" s="1679" t="s">
        <v>10769</v>
      </c>
      <c r="AG80" s="1679" t="s">
        <v>10770</v>
      </c>
      <c r="AH80" s="1679" t="s">
        <v>4591</v>
      </c>
      <c r="AI80" s="1679" t="s">
        <v>10771</v>
      </c>
      <c r="AJ80" s="1679" t="s">
        <v>10772</v>
      </c>
      <c r="AK80" s="1679" t="s">
        <v>10773</v>
      </c>
      <c r="AL80" s="1679" t="s">
        <v>5082</v>
      </c>
      <c r="AM80" s="1679" t="s">
        <v>10432</v>
      </c>
      <c r="AN80" s="1679" t="s">
        <v>4334</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3972</v>
      </c>
      <c r="B81" s="1606" t="s">
        <v>9134</v>
      </c>
      <c r="C81" s="1558">
        <v>0.0522337962962963</v>
      </c>
      <c r="D81" s="1698" t="s">
        <v>10779</v>
      </c>
      <c r="E81" s="794" t="s">
        <v>10780</v>
      </c>
      <c r="F81" s="794" t="s">
        <v>10781</v>
      </c>
      <c r="G81" s="794" t="s">
        <v>10782</v>
      </c>
      <c r="H81" s="794" t="s">
        <v>10783</v>
      </c>
      <c r="I81" s="794" t="s">
        <v>1975</v>
      </c>
      <c r="J81" s="794" t="s">
        <v>8862</v>
      </c>
      <c r="K81" s="794" t="s">
        <v>4446</v>
      </c>
      <c r="L81" s="794" t="s">
        <v>5827</v>
      </c>
      <c r="M81" s="794" t="s">
        <v>10784</v>
      </c>
      <c r="N81" s="794" t="s">
        <v>10179</v>
      </c>
      <c r="O81" s="794" t="s">
        <v>10785</v>
      </c>
      <c r="P81" s="794" t="s">
        <v>5220</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8257</v>
      </c>
      <c r="AC81" s="794" t="s">
        <v>10570</v>
      </c>
      <c r="AD81" s="794" t="s">
        <v>7099</v>
      </c>
      <c r="AE81" s="794" t="s">
        <v>2164</v>
      </c>
      <c r="AF81" s="1034" t="s">
        <v>10792</v>
      </c>
      <c r="AG81" s="794" t="s">
        <v>10793</v>
      </c>
      <c r="AH81" s="794" t="s">
        <v>5100</v>
      </c>
      <c r="AI81" s="794" t="s">
        <v>7813</v>
      </c>
      <c r="AJ81" s="794" t="s">
        <v>10794</v>
      </c>
      <c r="AK81" s="794" t="s">
        <v>10795</v>
      </c>
      <c r="AL81" s="794" t="s">
        <v>10508</v>
      </c>
      <c r="AM81" s="794" t="s">
        <v>10181</v>
      </c>
      <c r="AN81" s="794" t="s">
        <v>999</v>
      </c>
      <c r="AO81" s="794" t="s">
        <v>6524</v>
      </c>
      <c r="AP81" s="794" t="s">
        <v>5692</v>
      </c>
      <c r="AQ81" s="794" t="s">
        <v>10796</v>
      </c>
      <c r="AR81" s="794" t="s">
        <v>694</v>
      </c>
      <c r="AS81" s="1034" t="s">
        <v>2828</v>
      </c>
      <c r="AT81" s="794" t="s">
        <v>10797</v>
      </c>
      <c r="AU81" s="794" t="s">
        <v>10798</v>
      </c>
      <c r="AV81" s="1476" t="str">
        <f t="shared" si="1"/>
        <v>4:32</v>
      </c>
      <c r="AW81" s="1721" t="s">
        <v>10799</v>
      </c>
    </row>
    <row r="82">
      <c r="A82" s="1618" t="s">
        <v>5264</v>
      </c>
      <c r="B82" s="1616" t="s">
        <v>9161</v>
      </c>
      <c r="C82" s="1558">
        <v>0.05232638888888889</v>
      </c>
      <c r="D82" s="1698" t="s">
        <v>10800</v>
      </c>
      <c r="E82" s="794" t="s">
        <v>1233</v>
      </c>
      <c r="F82" s="794" t="s">
        <v>10801</v>
      </c>
      <c r="G82" s="794" t="s">
        <v>10802</v>
      </c>
      <c r="H82" s="794" t="s">
        <v>10803</v>
      </c>
      <c r="I82" s="794" t="s">
        <v>1352</v>
      </c>
      <c r="J82" s="794" t="s">
        <v>7440</v>
      </c>
      <c r="K82" s="794" t="s">
        <v>10402</v>
      </c>
      <c r="L82" s="794" t="s">
        <v>10804</v>
      </c>
      <c r="M82" s="794" t="s">
        <v>7087</v>
      </c>
      <c r="N82" s="794" t="s">
        <v>10805</v>
      </c>
      <c r="O82" s="794" t="s">
        <v>10806</v>
      </c>
      <c r="P82" s="794" t="s">
        <v>520</v>
      </c>
      <c r="Q82" s="794" t="s">
        <v>10242</v>
      </c>
      <c r="R82" s="794" t="s">
        <v>5231</v>
      </c>
      <c r="S82" s="794" t="s">
        <v>10043</v>
      </c>
      <c r="T82" s="794" t="s">
        <v>10807</v>
      </c>
      <c r="U82" s="794" t="s">
        <v>10808</v>
      </c>
      <c r="V82" s="794" t="s">
        <v>10809</v>
      </c>
      <c r="W82" s="794" t="s">
        <v>6435</v>
      </c>
      <c r="X82" s="794" t="s">
        <v>312</v>
      </c>
      <c r="Y82" s="794" t="s">
        <v>7620</v>
      </c>
      <c r="Z82" s="794" t="s">
        <v>782</v>
      </c>
      <c r="AA82" s="337" t="s">
        <v>10043</v>
      </c>
      <c r="AB82" s="794" t="s">
        <v>10810</v>
      </c>
      <c r="AC82" s="794" t="s">
        <v>6344</v>
      </c>
      <c r="AD82" s="794" t="s">
        <v>10811</v>
      </c>
      <c r="AE82" s="794" t="s">
        <v>225</v>
      </c>
      <c r="AF82" s="794" t="s">
        <v>9718</v>
      </c>
      <c r="AG82" s="794" t="s">
        <v>4084</v>
      </c>
      <c r="AH82" s="794" t="s">
        <v>1955</v>
      </c>
      <c r="AI82" s="794" t="s">
        <v>419</v>
      </c>
      <c r="AJ82" s="794" t="s">
        <v>10812</v>
      </c>
      <c r="AK82" s="794" t="s">
        <v>10813</v>
      </c>
      <c r="AL82" s="794" t="s">
        <v>10548</v>
      </c>
      <c r="AM82" s="794" t="s">
        <v>2981</v>
      </c>
      <c r="AN82" s="794" t="s">
        <v>6074</v>
      </c>
      <c r="AO82" s="794" t="s">
        <v>3728</v>
      </c>
      <c r="AP82" s="794" t="s">
        <v>10814</v>
      </c>
      <c r="AQ82" s="794" t="s">
        <v>7086</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7448</v>
      </c>
      <c r="G83" s="337" t="s">
        <v>10529</v>
      </c>
      <c r="H83" s="337" t="s">
        <v>10820</v>
      </c>
      <c r="I83" s="337" t="s">
        <v>10821</v>
      </c>
      <c r="J83" s="337" t="s">
        <v>10822</v>
      </c>
      <c r="K83" s="337" t="s">
        <v>10823</v>
      </c>
      <c r="L83" s="337" t="s">
        <v>4476</v>
      </c>
      <c r="M83" s="337" t="s">
        <v>3301</v>
      </c>
      <c r="N83" s="337" t="s">
        <v>4867</v>
      </c>
      <c r="O83" s="337" t="s">
        <v>10824</v>
      </c>
      <c r="P83" s="337" t="s">
        <v>10825</v>
      </c>
      <c r="Q83" s="337" t="s">
        <v>4248</v>
      </c>
      <c r="R83" s="337" t="s">
        <v>10149</v>
      </c>
      <c r="S83" s="337" t="s">
        <v>10311</v>
      </c>
      <c r="T83" s="337" t="s">
        <v>5101</v>
      </c>
      <c r="U83" s="337" t="s">
        <v>10826</v>
      </c>
      <c r="V83" s="337" t="s">
        <v>10827</v>
      </c>
      <c r="W83" s="337" t="s">
        <v>10828</v>
      </c>
      <c r="X83" s="337" t="s">
        <v>10829</v>
      </c>
      <c r="Y83" s="337" t="s">
        <v>6625</v>
      </c>
      <c r="Z83" s="337" t="s">
        <v>10690</v>
      </c>
      <c r="AA83" s="337" t="s">
        <v>1868</v>
      </c>
      <c r="AB83" s="337" t="s">
        <v>6998</v>
      </c>
      <c r="AC83" s="337" t="s">
        <v>1538</v>
      </c>
      <c r="AD83" s="337" t="s">
        <v>10830</v>
      </c>
      <c r="AE83" s="337" t="s">
        <v>1538</v>
      </c>
      <c r="AF83" s="337" t="s">
        <v>10831</v>
      </c>
      <c r="AG83" s="337" t="s">
        <v>10468</v>
      </c>
      <c r="AH83" s="337" t="s">
        <v>2114</v>
      </c>
      <c r="AI83" s="337" t="s">
        <v>3372</v>
      </c>
      <c r="AJ83" s="337" t="s">
        <v>10832</v>
      </c>
      <c r="AK83" s="337" t="s">
        <v>8258</v>
      </c>
      <c r="AL83" s="337" t="s">
        <v>10833</v>
      </c>
      <c r="AM83" s="337" t="s">
        <v>1190</v>
      </c>
      <c r="AN83" s="337" t="s">
        <v>3009</v>
      </c>
      <c r="AO83" s="337" t="s">
        <v>10834</v>
      </c>
      <c r="AP83" s="337" t="s">
        <v>3662</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7687</v>
      </c>
      <c r="F84" s="337" t="s">
        <v>10841</v>
      </c>
      <c r="G84" s="337" t="s">
        <v>10842</v>
      </c>
      <c r="H84" s="337" t="s">
        <v>10843</v>
      </c>
      <c r="I84" s="337" t="s">
        <v>10844</v>
      </c>
      <c r="J84" s="337" t="s">
        <v>10845</v>
      </c>
      <c r="K84" s="337" t="s">
        <v>4154</v>
      </c>
      <c r="L84" s="337" t="s">
        <v>4227</v>
      </c>
      <c r="M84" s="337" t="s">
        <v>9876</v>
      </c>
      <c r="N84" s="337" t="s">
        <v>10846</v>
      </c>
      <c r="O84" s="337" t="s">
        <v>9175</v>
      </c>
      <c r="P84" s="337" t="s">
        <v>483</v>
      </c>
      <c r="Q84" s="337" t="s">
        <v>10847</v>
      </c>
      <c r="R84" s="337" t="s">
        <v>5639</v>
      </c>
      <c r="S84" s="337" t="s">
        <v>6575</v>
      </c>
      <c r="T84" s="337" t="s">
        <v>10848</v>
      </c>
      <c r="U84" s="337" t="s">
        <v>10849</v>
      </c>
      <c r="V84" s="337" t="s">
        <v>10850</v>
      </c>
      <c r="W84" s="337" t="s">
        <v>10851</v>
      </c>
      <c r="X84" s="337" t="s">
        <v>5863</v>
      </c>
      <c r="Y84" s="337" t="s">
        <v>1538</v>
      </c>
      <c r="Z84" s="337" t="s">
        <v>7601</v>
      </c>
      <c r="AA84" s="794" t="s">
        <v>6520</v>
      </c>
      <c r="AB84" s="337" t="s">
        <v>9773</v>
      </c>
      <c r="AC84" s="337" t="s">
        <v>10585</v>
      </c>
      <c r="AD84" s="337" t="s">
        <v>3046</v>
      </c>
      <c r="AE84" s="337" t="s">
        <v>4791</v>
      </c>
      <c r="AF84" s="337" t="s">
        <v>10852</v>
      </c>
      <c r="AG84" s="337" t="s">
        <v>2890</v>
      </c>
      <c r="AH84" s="337" t="s">
        <v>7806</v>
      </c>
      <c r="AI84" s="337" t="s">
        <v>10853</v>
      </c>
      <c r="AJ84" s="337" t="s">
        <v>10854</v>
      </c>
      <c r="AK84" s="337" t="s">
        <v>10198</v>
      </c>
      <c r="AL84" s="337" t="s">
        <v>10855</v>
      </c>
      <c r="AM84" s="337" t="s">
        <v>10856</v>
      </c>
      <c r="AN84" s="337" t="s">
        <v>3900</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6441</v>
      </c>
      <c r="AA85" s="794" t="s">
        <v>10874</v>
      </c>
      <c r="AB85" s="1000" t="s">
        <v>9218</v>
      </c>
      <c r="AC85" s="1000" t="s">
        <v>7619</v>
      </c>
      <c r="AD85" s="1734" t="s">
        <v>9206</v>
      </c>
      <c r="AE85" s="1000" t="s">
        <v>335</v>
      </c>
      <c r="AF85" s="1000" t="s">
        <v>10875</v>
      </c>
      <c r="AG85" s="1000" t="s">
        <v>7066</v>
      </c>
      <c r="AH85" s="1000" t="s">
        <v>3832</v>
      </c>
      <c r="AI85" s="1000" t="s">
        <v>10876</v>
      </c>
      <c r="AJ85" s="1000" t="s">
        <v>10877</v>
      </c>
      <c r="AK85" s="1000" t="s">
        <v>10878</v>
      </c>
      <c r="AL85" s="1000" t="s">
        <v>4615</v>
      </c>
      <c r="AM85" s="1000" t="s">
        <v>5836</v>
      </c>
      <c r="AN85" s="1734" t="s">
        <v>9211</v>
      </c>
      <c r="AO85" s="1000" t="s">
        <v>10879</v>
      </c>
      <c r="AP85" s="1000" t="s">
        <v>10880</v>
      </c>
      <c r="AQ85" s="1000" t="s">
        <v>10881</v>
      </c>
      <c r="AR85" s="1000" t="s">
        <v>6112</v>
      </c>
      <c r="AS85" s="1000" t="s">
        <v>8195</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5685</v>
      </c>
      <c r="J86" s="1000" t="s">
        <v>10889</v>
      </c>
      <c r="K86" s="794" t="s">
        <v>10890</v>
      </c>
      <c r="L86" s="794" t="s">
        <v>3832</v>
      </c>
      <c r="M86" s="794" t="s">
        <v>7048</v>
      </c>
      <c r="N86" s="794" t="s">
        <v>10891</v>
      </c>
      <c r="O86" s="794" t="s">
        <v>10892</v>
      </c>
      <c r="P86" s="794" t="s">
        <v>10245</v>
      </c>
      <c r="Q86" s="794" t="s">
        <v>10893</v>
      </c>
      <c r="R86" s="794" t="s">
        <v>5702</v>
      </c>
      <c r="S86" s="794" t="s">
        <v>10894</v>
      </c>
      <c r="T86" s="794" t="s">
        <v>10895</v>
      </c>
      <c r="U86" s="794" t="s">
        <v>10896</v>
      </c>
      <c r="V86" s="794" t="s">
        <v>3925</v>
      </c>
      <c r="W86" s="794" t="s">
        <v>10897</v>
      </c>
      <c r="X86" s="794" t="s">
        <v>2415</v>
      </c>
      <c r="Y86" s="794" t="s">
        <v>9840</v>
      </c>
      <c r="Z86" s="794" t="s">
        <v>9364</v>
      </c>
      <c r="AA86" s="794" t="s">
        <v>10898</v>
      </c>
      <c r="AB86" s="794" t="s">
        <v>10460</v>
      </c>
      <c r="AC86" s="794" t="s">
        <v>9728</v>
      </c>
      <c r="AD86" s="794" t="s">
        <v>10899</v>
      </c>
      <c r="AE86" s="794" t="s">
        <v>2385</v>
      </c>
      <c r="AF86" s="794" t="s">
        <v>10900</v>
      </c>
      <c r="AG86" s="794" t="s">
        <v>10901</v>
      </c>
      <c r="AH86" s="794" t="s">
        <v>4227</v>
      </c>
      <c r="AI86" s="794" t="s">
        <v>10902</v>
      </c>
      <c r="AJ86" s="794" t="s">
        <v>10903</v>
      </c>
      <c r="AK86" s="794" t="s">
        <v>1775</v>
      </c>
      <c r="AL86" s="794" t="s">
        <v>2609</v>
      </c>
      <c r="AM86" s="794" t="s">
        <v>1775</v>
      </c>
      <c r="AN86" s="794" t="s">
        <v>2609</v>
      </c>
      <c r="AO86" s="794" t="s">
        <v>6275</v>
      </c>
      <c r="AP86" s="794" t="s">
        <v>10904</v>
      </c>
      <c r="AQ86" s="794" t="s">
        <v>2207</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6855</v>
      </c>
      <c r="I87" s="337" t="s">
        <v>2284</v>
      </c>
      <c r="J87" s="337" t="s">
        <v>4168</v>
      </c>
      <c r="K87" s="337" t="s">
        <v>10605</v>
      </c>
      <c r="L87" s="337" t="s">
        <v>5397</v>
      </c>
      <c r="M87" s="337" t="s">
        <v>4153</v>
      </c>
      <c r="N87" s="337" t="s">
        <v>10911</v>
      </c>
      <c r="O87" s="337" t="s">
        <v>10912</v>
      </c>
      <c r="P87" s="337" t="s">
        <v>6394</v>
      </c>
      <c r="Q87" s="337" t="s">
        <v>10913</v>
      </c>
      <c r="R87" s="337" t="s">
        <v>10914</v>
      </c>
      <c r="S87" s="337" t="s">
        <v>9149</v>
      </c>
      <c r="T87" s="337" t="s">
        <v>2614</v>
      </c>
      <c r="U87" s="337" t="s">
        <v>498</v>
      </c>
      <c r="V87" s="337" t="s">
        <v>10915</v>
      </c>
      <c r="W87" s="337" t="s">
        <v>10916</v>
      </c>
      <c r="X87" s="337" t="s">
        <v>9331</v>
      </c>
      <c r="Y87" s="337" t="s">
        <v>5873</v>
      </c>
      <c r="Z87" s="337" t="s">
        <v>9524</v>
      </c>
      <c r="AA87" s="337" t="s">
        <v>10917</v>
      </c>
      <c r="AB87" s="337" t="s">
        <v>491</v>
      </c>
      <c r="AC87" s="337" t="s">
        <v>9386</v>
      </c>
      <c r="AD87" s="337" t="s">
        <v>10918</v>
      </c>
      <c r="AE87" s="337" t="s">
        <v>10919</v>
      </c>
      <c r="AF87" s="337" t="s">
        <v>10002</v>
      </c>
      <c r="AG87" s="337" t="s">
        <v>8129</v>
      </c>
      <c r="AH87" s="337" t="s">
        <v>725</v>
      </c>
      <c r="AI87" s="337" t="s">
        <v>5427</v>
      </c>
      <c r="AJ87" s="337" t="s">
        <v>10920</v>
      </c>
      <c r="AK87" s="337" t="s">
        <v>9464</v>
      </c>
      <c r="AL87" s="337" t="s">
        <v>5240</v>
      </c>
      <c r="AM87" s="337" t="s">
        <v>2725</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5970</v>
      </c>
      <c r="G88" s="337" t="s">
        <v>10136</v>
      </c>
      <c r="H88" s="337" t="s">
        <v>10479</v>
      </c>
      <c r="I88" s="337" t="s">
        <v>3121</v>
      </c>
      <c r="J88" s="337" t="s">
        <v>10929</v>
      </c>
      <c r="K88" s="337" t="s">
        <v>5524</v>
      </c>
      <c r="L88" s="337" t="s">
        <v>7419</v>
      </c>
      <c r="M88" s="337" t="s">
        <v>10930</v>
      </c>
      <c r="N88" s="337" t="s">
        <v>10931</v>
      </c>
      <c r="O88" s="337" t="s">
        <v>10932</v>
      </c>
      <c r="P88" s="337" t="s">
        <v>10347</v>
      </c>
      <c r="Q88" s="337" t="s">
        <v>10933</v>
      </c>
      <c r="R88" s="337" t="s">
        <v>5944</v>
      </c>
      <c r="S88" s="337" t="s">
        <v>2666</v>
      </c>
      <c r="T88" s="337" t="s">
        <v>9537</v>
      </c>
      <c r="U88" s="337" t="s">
        <v>5599</v>
      </c>
      <c r="V88" s="337" t="s">
        <v>1148</v>
      </c>
      <c r="W88" s="337" t="s">
        <v>1830</v>
      </c>
      <c r="X88" s="337" t="s">
        <v>3364</v>
      </c>
      <c r="Y88" s="337" t="s">
        <v>663</v>
      </c>
      <c r="Z88" s="337" t="s">
        <v>10934</v>
      </c>
      <c r="AA88" s="794" t="s">
        <v>7294</v>
      </c>
      <c r="AB88" s="337" t="s">
        <v>3679</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4375</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4290</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5685</v>
      </c>
      <c r="Z89" s="1000" t="s">
        <v>3575</v>
      </c>
      <c r="AA89" s="794" t="s">
        <v>10961</v>
      </c>
      <c r="AB89" s="1000" t="s">
        <v>10282</v>
      </c>
      <c r="AC89" s="1000" t="s">
        <v>5638</v>
      </c>
      <c r="AD89" s="1000" t="s">
        <v>10962</v>
      </c>
      <c r="AE89" s="1000" t="s">
        <v>10073</v>
      </c>
      <c r="AF89" s="1000" t="s">
        <v>10963</v>
      </c>
      <c r="AG89" s="1000" t="s">
        <v>10770</v>
      </c>
      <c r="AH89" s="1000" t="s">
        <v>5839</v>
      </c>
      <c r="AI89" s="1000" t="s">
        <v>10964</v>
      </c>
      <c r="AJ89" s="1000" t="s">
        <v>10965</v>
      </c>
      <c r="AK89" s="794" t="s">
        <v>10966</v>
      </c>
      <c r="AL89" s="1000" t="s">
        <v>10588</v>
      </c>
      <c r="AM89" s="1000" t="s">
        <v>8554</v>
      </c>
      <c r="AN89" s="1000" t="s">
        <v>10427</v>
      </c>
      <c r="AO89" s="1000" t="s">
        <v>4550</v>
      </c>
      <c r="AP89" s="1000" t="s">
        <v>10967</v>
      </c>
      <c r="AQ89" s="1000" t="s">
        <v>10968</v>
      </c>
      <c r="AR89" s="794" t="s">
        <v>3831</v>
      </c>
      <c r="AS89" s="1000" t="s">
        <v>10969</v>
      </c>
      <c r="AT89" s="1000" t="s">
        <v>10970</v>
      </c>
      <c r="AU89" s="794" t="s">
        <v>10883</v>
      </c>
      <c r="AV89" s="1476" t="str">
        <f t="shared" si="1"/>
        <v>3:53</v>
      </c>
      <c r="AW89" s="1721" t="s">
        <v>10971</v>
      </c>
    </row>
    <row r="90">
      <c r="A90" s="1618" t="s">
        <v>4804</v>
      </c>
      <c r="B90" s="1616" t="s">
        <v>9187</v>
      </c>
      <c r="C90" s="1558">
        <v>0.05331018518518518</v>
      </c>
      <c r="D90" s="794" t="s">
        <v>10972</v>
      </c>
      <c r="E90" s="794" t="s">
        <v>7499</v>
      </c>
      <c r="F90" s="794" t="s">
        <v>10745</v>
      </c>
      <c r="G90" s="794" t="s">
        <v>10973</v>
      </c>
      <c r="H90" s="1000" t="s">
        <v>10974</v>
      </c>
      <c r="I90" s="794" t="s">
        <v>10975</v>
      </c>
      <c r="J90" s="794" t="s">
        <v>10520</v>
      </c>
      <c r="K90" s="794" t="s">
        <v>9324</v>
      </c>
      <c r="L90" s="794" t="s">
        <v>4483</v>
      </c>
      <c r="M90" s="794" t="s">
        <v>10976</v>
      </c>
      <c r="N90" s="794" t="s">
        <v>10309</v>
      </c>
      <c r="O90" s="794" t="s">
        <v>10977</v>
      </c>
      <c r="P90" s="794" t="s">
        <v>6344</v>
      </c>
      <c r="Q90" s="794" t="s">
        <v>10978</v>
      </c>
      <c r="R90" s="794" t="s">
        <v>2150</v>
      </c>
      <c r="S90" s="794" t="s">
        <v>7309</v>
      </c>
      <c r="T90" s="794" t="s">
        <v>6837</v>
      </c>
      <c r="U90" s="794" t="s">
        <v>10979</v>
      </c>
      <c r="V90" s="794" t="s">
        <v>10501</v>
      </c>
      <c r="W90" s="794" t="s">
        <v>10980</v>
      </c>
      <c r="X90" s="794" t="s">
        <v>7815</v>
      </c>
      <c r="Y90" s="794" t="s">
        <v>5539</v>
      </c>
      <c r="Z90" s="794" t="s">
        <v>10311</v>
      </c>
      <c r="AA90" s="794" t="s">
        <v>10981</v>
      </c>
      <c r="AB90" s="794" t="s">
        <v>3534</v>
      </c>
      <c r="AC90" s="794" t="s">
        <v>10982</v>
      </c>
      <c r="AD90" s="794" t="s">
        <v>10983</v>
      </c>
      <c r="AE90" s="794" t="s">
        <v>5873</v>
      </c>
      <c r="AF90" s="794" t="s">
        <v>10984</v>
      </c>
      <c r="AG90" s="794" t="s">
        <v>9654</v>
      </c>
      <c r="AH90" s="794" t="s">
        <v>10985</v>
      </c>
      <c r="AI90" s="794" t="s">
        <v>10986</v>
      </c>
      <c r="AJ90" s="794" t="s">
        <v>10987</v>
      </c>
      <c r="AK90" s="794" t="s">
        <v>2229</v>
      </c>
      <c r="AL90" s="794" t="s">
        <v>2198</v>
      </c>
      <c r="AM90" s="794" t="s">
        <v>10988</v>
      </c>
      <c r="AN90" s="794" t="s">
        <v>4689</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2351</v>
      </c>
      <c r="J91" s="337" t="s">
        <v>9704</v>
      </c>
      <c r="K91" s="337" t="s">
        <v>9199</v>
      </c>
      <c r="L91" s="337" t="s">
        <v>4865</v>
      </c>
      <c r="M91" s="337" t="s">
        <v>10997</v>
      </c>
      <c r="N91" s="337" t="s">
        <v>10998</v>
      </c>
      <c r="O91" s="337" t="s">
        <v>4336</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5891</v>
      </c>
      <c r="AH91" s="337" t="s">
        <v>9784</v>
      </c>
      <c r="AI91" s="337" t="s">
        <v>2639</v>
      </c>
      <c r="AJ91" s="337" t="s">
        <v>11005</v>
      </c>
      <c r="AK91" s="337" t="s">
        <v>9626</v>
      </c>
      <c r="AL91" s="337" t="s">
        <v>11006</v>
      </c>
      <c r="AM91" s="337" t="s">
        <v>9378</v>
      </c>
      <c r="AN91" s="337" t="s">
        <v>10588</v>
      </c>
      <c r="AO91" s="337" t="s">
        <v>9303</v>
      </c>
      <c r="AP91" s="337" t="s">
        <v>11007</v>
      </c>
      <c r="AQ91" s="337" t="s">
        <v>4473</v>
      </c>
      <c r="AR91" s="337" t="s">
        <v>1382</v>
      </c>
      <c r="AS91" s="337" t="s">
        <v>9399</v>
      </c>
      <c r="AT91" s="337" t="s">
        <v>4746</v>
      </c>
      <c r="AU91" s="337" t="s">
        <v>11008</v>
      </c>
      <c r="AV91" s="1476" t="str">
        <f t="shared" si="1"/>
        <v>3:27</v>
      </c>
      <c r="AW91" s="1721" t="s">
        <v>11009</v>
      </c>
    </row>
    <row r="92">
      <c r="A92" s="1618" t="s">
        <v>5480</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4412</v>
      </c>
      <c r="R92" s="794" t="s">
        <v>11018</v>
      </c>
      <c r="S92" s="1737" t="s">
        <v>11019</v>
      </c>
      <c r="T92" s="1737" t="s">
        <v>9749</v>
      </c>
      <c r="U92" s="794" t="s">
        <v>11020</v>
      </c>
      <c r="V92" s="794" t="s">
        <v>11021</v>
      </c>
      <c r="W92" s="794" t="s">
        <v>7141</v>
      </c>
      <c r="X92" s="794" t="s">
        <v>11022</v>
      </c>
      <c r="Y92" s="794" t="s">
        <v>2125</v>
      </c>
      <c r="Z92" s="794" t="s">
        <v>10320</v>
      </c>
      <c r="AA92" s="794" t="s">
        <v>11023</v>
      </c>
      <c r="AB92" s="794" t="s">
        <v>11024</v>
      </c>
      <c r="AC92" s="794" t="s">
        <v>7236</v>
      </c>
      <c r="AD92" s="794" t="s">
        <v>6104</v>
      </c>
      <c r="AE92" s="794" t="s">
        <v>2448</v>
      </c>
      <c r="AF92" s="794" t="s">
        <v>11025</v>
      </c>
      <c r="AG92" s="794" t="s">
        <v>11026</v>
      </c>
      <c r="AH92" s="794" t="s">
        <v>5032</v>
      </c>
      <c r="AI92" s="794" t="s">
        <v>7078</v>
      </c>
      <c r="AJ92" s="794" t="s">
        <v>11027</v>
      </c>
      <c r="AK92" s="794" t="s">
        <v>4858</v>
      </c>
      <c r="AL92" s="794" t="s">
        <v>11028</v>
      </c>
      <c r="AM92" s="794" t="s">
        <v>4868</v>
      </c>
      <c r="AN92" s="794" t="s">
        <v>11029</v>
      </c>
      <c r="AO92" s="794" t="s">
        <v>6633</v>
      </c>
      <c r="AP92" s="794" t="s">
        <v>11030</v>
      </c>
      <c r="AQ92" s="794" t="s">
        <v>11031</v>
      </c>
      <c r="AR92" s="794" t="s">
        <v>5216</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4298</v>
      </c>
      <c r="H93" s="337" t="s">
        <v>11037</v>
      </c>
      <c r="I93" s="337" t="s">
        <v>10975</v>
      </c>
      <c r="J93" s="337" t="s">
        <v>11038</v>
      </c>
      <c r="K93" s="337" t="s">
        <v>11039</v>
      </c>
      <c r="L93" s="337" t="s">
        <v>1435</v>
      </c>
      <c r="M93" s="337" t="s">
        <v>4570</v>
      </c>
      <c r="N93" s="337" t="s">
        <v>7041</v>
      </c>
      <c r="O93" s="337" t="s">
        <v>11040</v>
      </c>
      <c r="P93" s="337" t="s">
        <v>6344</v>
      </c>
      <c r="Q93" s="337" t="s">
        <v>11041</v>
      </c>
      <c r="R93" s="337" t="s">
        <v>9503</v>
      </c>
      <c r="S93" s="337" t="s">
        <v>11042</v>
      </c>
      <c r="T93" s="337" t="s">
        <v>7428</v>
      </c>
      <c r="U93" s="337" t="s">
        <v>11043</v>
      </c>
      <c r="V93" s="337" t="s">
        <v>11044</v>
      </c>
      <c r="W93" s="337" t="s">
        <v>11045</v>
      </c>
      <c r="X93" s="337" t="s">
        <v>1333</v>
      </c>
      <c r="Y93" s="337" t="s">
        <v>1950</v>
      </c>
      <c r="Z93" s="337" t="s">
        <v>9171</v>
      </c>
      <c r="AA93" s="1000" t="s">
        <v>11046</v>
      </c>
      <c r="AB93" s="337" t="s">
        <v>11047</v>
      </c>
      <c r="AC93" s="337" t="s">
        <v>8223</v>
      </c>
      <c r="AD93" s="337" t="s">
        <v>11048</v>
      </c>
      <c r="AE93" s="337" t="s">
        <v>11049</v>
      </c>
      <c r="AF93" s="337" t="s">
        <v>10632</v>
      </c>
      <c r="AG93" s="337" t="s">
        <v>11050</v>
      </c>
      <c r="AH93" s="337" t="s">
        <v>11051</v>
      </c>
      <c r="AI93" s="337" t="s">
        <v>3655</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5377</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2391</v>
      </c>
      <c r="AB94" s="794" t="s">
        <v>6869</v>
      </c>
      <c r="AC94" s="794" t="s">
        <v>11071</v>
      </c>
      <c r="AD94" s="794" t="s">
        <v>11072</v>
      </c>
      <c r="AE94" s="794" t="s">
        <v>1538</v>
      </c>
      <c r="AF94" s="794" t="s">
        <v>11073</v>
      </c>
      <c r="AG94" s="794" t="s">
        <v>11074</v>
      </c>
      <c r="AH94" s="794" t="s">
        <v>11075</v>
      </c>
      <c r="AI94" s="794" t="s">
        <v>5815</v>
      </c>
      <c r="AJ94" s="794" t="s">
        <v>11076</v>
      </c>
      <c r="AK94" s="794" t="s">
        <v>246</v>
      </c>
      <c r="AL94" s="794" t="s">
        <v>8311</v>
      </c>
      <c r="AM94" s="794" t="s">
        <v>4303</v>
      </c>
      <c r="AN94" s="794" t="s">
        <v>11077</v>
      </c>
      <c r="AO94" s="794" t="s">
        <v>1708</v>
      </c>
      <c r="AP94" s="794" t="s">
        <v>885</v>
      </c>
      <c r="AQ94" s="794" t="s">
        <v>11078</v>
      </c>
      <c r="AR94" s="794" t="s">
        <v>11079</v>
      </c>
      <c r="AS94" s="794" t="s">
        <v>2224</v>
      </c>
      <c r="AT94" s="794" t="s">
        <v>11080</v>
      </c>
      <c r="AU94" s="794" t="s">
        <v>11081</v>
      </c>
      <c r="AV94" s="1476" t="str">
        <f t="shared" si="1"/>
        <v>3:40</v>
      </c>
      <c r="AW94" s="1721" t="s">
        <v>11082</v>
      </c>
    </row>
    <row r="95">
      <c r="A95" s="1618" t="s">
        <v>5346</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2253</v>
      </c>
      <c r="N95" s="1595" t="s">
        <v>11089</v>
      </c>
      <c r="O95" s="1595" t="s">
        <v>11090</v>
      </c>
      <c r="P95" s="1595">
        <v>49.15</v>
      </c>
      <c r="Q95" s="1595" t="s">
        <v>11091</v>
      </c>
      <c r="R95" s="1595" t="s">
        <v>3404</v>
      </c>
      <c r="S95" s="1595" t="s">
        <v>11092</v>
      </c>
      <c r="T95" s="1595" t="s">
        <v>5101</v>
      </c>
      <c r="U95" s="1595" t="s">
        <v>3263</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4473</v>
      </c>
      <c r="AN95" s="1595" t="s">
        <v>625</v>
      </c>
      <c r="AO95" s="1595" t="s">
        <v>11100</v>
      </c>
      <c r="AP95" s="1595" t="s">
        <v>11101</v>
      </c>
      <c r="AQ95" s="1595" t="s">
        <v>11102</v>
      </c>
      <c r="AR95" s="1595" t="s">
        <v>6904</v>
      </c>
      <c r="AS95" s="1595">
        <v>47.7</v>
      </c>
      <c r="AT95" s="1595" t="s">
        <v>11103</v>
      </c>
      <c r="AU95" s="1599" t="s">
        <v>11104</v>
      </c>
      <c r="AV95" s="1476" t="str">
        <f t="shared" si="1"/>
        <v>5:51</v>
      </c>
      <c r="AW95" s="1706" t="s">
        <v>11105</v>
      </c>
    </row>
    <row r="96">
      <c r="A96" s="1618" t="s">
        <v>5600</v>
      </c>
      <c r="B96" s="1616" t="s">
        <v>9134</v>
      </c>
      <c r="C96" s="1558">
        <v>0.05559027777777778</v>
      </c>
      <c r="D96" s="1698" t="s">
        <v>11106</v>
      </c>
      <c r="E96" s="794" t="s">
        <v>11107</v>
      </c>
      <c r="F96" s="794" t="s">
        <v>11108</v>
      </c>
      <c r="G96" s="794" t="s">
        <v>11109</v>
      </c>
      <c r="H96" s="794" t="s">
        <v>5981</v>
      </c>
      <c r="I96" s="794" t="s">
        <v>1845</v>
      </c>
      <c r="J96" s="794" t="s">
        <v>11110</v>
      </c>
      <c r="K96" s="794" t="s">
        <v>6347</v>
      </c>
      <c r="L96" s="794" t="s">
        <v>8955</v>
      </c>
      <c r="M96" s="794" t="s">
        <v>6910</v>
      </c>
      <c r="N96" s="794" t="s">
        <v>11111</v>
      </c>
      <c r="O96" s="794" t="s">
        <v>11112</v>
      </c>
      <c r="P96" s="794" t="s">
        <v>190</v>
      </c>
      <c r="Q96" s="794" t="s">
        <v>1668</v>
      </c>
      <c r="R96" s="794" t="s">
        <v>11113</v>
      </c>
      <c r="S96" s="794" t="s">
        <v>5285</v>
      </c>
      <c r="T96" s="794" t="s">
        <v>11114</v>
      </c>
      <c r="U96" s="794" t="s">
        <v>11115</v>
      </c>
      <c r="V96" s="794" t="s">
        <v>6623</v>
      </c>
      <c r="W96" s="794" t="s">
        <v>9237</v>
      </c>
      <c r="X96" s="794" t="s">
        <v>5034</v>
      </c>
      <c r="Y96" s="794" t="s">
        <v>101</v>
      </c>
      <c r="Z96" s="794" t="s">
        <v>11116</v>
      </c>
      <c r="AA96" s="794" t="s">
        <v>10876</v>
      </c>
      <c r="AB96" s="794" t="s">
        <v>3552</v>
      </c>
      <c r="AC96" s="794" t="s">
        <v>4759</v>
      </c>
      <c r="AD96" s="794" t="s">
        <v>6171</v>
      </c>
      <c r="AE96" s="794" t="s">
        <v>860</v>
      </c>
      <c r="AF96" s="794" t="s">
        <v>11117</v>
      </c>
      <c r="AG96" s="794" t="s">
        <v>11118</v>
      </c>
      <c r="AH96" s="794" t="s">
        <v>4097</v>
      </c>
      <c r="AI96" s="794" t="s">
        <v>11119</v>
      </c>
      <c r="AJ96" s="794" t="s">
        <v>11120</v>
      </c>
      <c r="AK96" s="794" t="s">
        <v>4564</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4958</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5446</v>
      </c>
      <c r="AA97" s="794" t="s">
        <v>10506</v>
      </c>
      <c r="AB97" s="794" t="s">
        <v>10823</v>
      </c>
      <c r="AC97" s="794" t="s">
        <v>10347</v>
      </c>
      <c r="AD97" s="794" t="s">
        <v>11141</v>
      </c>
      <c r="AE97" s="794" t="s">
        <v>5578</v>
      </c>
      <c r="AF97" s="794" t="s">
        <v>11142</v>
      </c>
      <c r="AG97" s="794" t="s">
        <v>11143</v>
      </c>
      <c r="AH97" s="794" t="s">
        <v>11144</v>
      </c>
      <c r="AI97" s="794" t="s">
        <v>11145</v>
      </c>
      <c r="AJ97" s="794" t="s">
        <v>11146</v>
      </c>
      <c r="AK97" s="794" t="s">
        <v>6837</v>
      </c>
      <c r="AL97" s="794" t="s">
        <v>3763</v>
      </c>
      <c r="AM97" s="794" t="s">
        <v>4868</v>
      </c>
      <c r="AN97" s="794" t="s">
        <v>11147</v>
      </c>
      <c r="AO97" s="794" t="s">
        <v>2057</v>
      </c>
      <c r="AP97" s="794" t="s">
        <v>11148</v>
      </c>
      <c r="AQ97" s="794" t="s">
        <v>11149</v>
      </c>
      <c r="AR97" s="794" t="s">
        <v>11150</v>
      </c>
      <c r="AS97" s="794" t="s">
        <v>2174</v>
      </c>
      <c r="AT97" s="794" t="s">
        <v>11151</v>
      </c>
      <c r="AU97" s="794" t="s">
        <v>11152</v>
      </c>
      <c r="AV97" s="1476" t="str">
        <f t="shared" si="1"/>
        <v>8:24</v>
      </c>
      <c r="AW97" s="1721" t="s">
        <v>10210</v>
      </c>
    </row>
    <row r="98">
      <c r="A98" s="976" t="s">
        <v>5781</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4726</v>
      </c>
      <c r="M98" s="1118" t="s">
        <v>7247</v>
      </c>
      <c r="N98" s="1118" t="s">
        <v>10400</v>
      </c>
      <c r="O98" s="1118" t="s">
        <v>11159</v>
      </c>
      <c r="P98" s="1118" t="s">
        <v>9284</v>
      </c>
      <c r="Q98" s="1118" t="s">
        <v>11160</v>
      </c>
      <c r="R98" s="1118" t="s">
        <v>4018</v>
      </c>
      <c r="S98" s="1118" t="s">
        <v>5451</v>
      </c>
      <c r="T98" s="1118" t="s">
        <v>1651</v>
      </c>
      <c r="U98" s="1118" t="s">
        <v>9422</v>
      </c>
      <c r="V98" s="1118" t="s">
        <v>2752</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2817</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3717</v>
      </c>
      <c r="L99" s="337" t="s">
        <v>11184</v>
      </c>
      <c r="M99" s="337" t="s">
        <v>7938</v>
      </c>
      <c r="N99" s="337" t="s">
        <v>11185</v>
      </c>
      <c r="O99" s="337" t="s">
        <v>11186</v>
      </c>
      <c r="P99" s="337" t="s">
        <v>3818</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5406</v>
      </c>
      <c r="AE99" s="337" t="s">
        <v>2616</v>
      </c>
      <c r="AF99" s="337" t="s">
        <v>11196</v>
      </c>
      <c r="AG99" s="337" t="s">
        <v>5894</v>
      </c>
      <c r="AH99" s="337" t="s">
        <v>11197</v>
      </c>
      <c r="AI99" s="337" t="s">
        <v>4919</v>
      </c>
      <c r="AJ99" s="337" t="s">
        <v>11198</v>
      </c>
      <c r="AK99" s="337" t="s">
        <v>11199</v>
      </c>
      <c r="AL99" s="337" t="s">
        <v>4033</v>
      </c>
      <c r="AM99" s="337" t="s">
        <v>4927</v>
      </c>
      <c r="AN99" s="337" t="s">
        <v>11200</v>
      </c>
      <c r="AO99" s="337" t="s">
        <v>10571</v>
      </c>
      <c r="AP99" s="337" t="s">
        <v>11201</v>
      </c>
      <c r="AQ99" s="337" t="s">
        <v>6854</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6957</v>
      </c>
      <c r="M100" s="1747" t="s">
        <v>11211</v>
      </c>
      <c r="N100" s="1747" t="s">
        <v>6946</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7028</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4494</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3480</v>
      </c>
      <c r="J101" s="1000" t="s">
        <v>11236</v>
      </c>
      <c r="K101" s="1000" t="s">
        <v>4003</v>
      </c>
      <c r="L101" s="1000" t="s">
        <v>6911</v>
      </c>
      <c r="M101" s="1000" t="s">
        <v>936</v>
      </c>
      <c r="N101" s="1000" t="s">
        <v>11237</v>
      </c>
      <c r="O101" s="1000" t="s">
        <v>11238</v>
      </c>
      <c r="P101" s="1000" t="s">
        <v>11239</v>
      </c>
      <c r="Q101" s="1000" t="s">
        <v>11240</v>
      </c>
      <c r="R101" s="1000" t="s">
        <v>4580</v>
      </c>
      <c r="S101" s="1000" t="s">
        <v>11241</v>
      </c>
      <c r="T101" s="1000" t="s">
        <v>6471</v>
      </c>
      <c r="U101" s="1000" t="s">
        <v>11242</v>
      </c>
      <c r="V101" s="1000" t="s">
        <v>7499</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2331</v>
      </c>
      <c r="AP101" s="1000" t="s">
        <v>11257</v>
      </c>
      <c r="AQ101" s="1000" t="s">
        <v>132</v>
      </c>
      <c r="AR101" s="1000" t="s">
        <v>11258</v>
      </c>
      <c r="AS101" s="1000" t="s">
        <v>4085</v>
      </c>
      <c r="AT101" s="1000" t="s">
        <v>11259</v>
      </c>
      <c r="AU101" s="1410" t="s">
        <v>11260</v>
      </c>
      <c r="AV101" s="1476" t="str">
        <f t="shared" si="1"/>
        <v>9:53</v>
      </c>
      <c r="AW101" s="1706" t="s">
        <v>11261</v>
      </c>
    </row>
    <row r="102">
      <c r="A102" s="1618" t="s">
        <v>7042</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4660</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7522</v>
      </c>
      <c r="F1" s="1764" t="s">
        <v>7524</v>
      </c>
      <c r="G1" s="1765" t="s">
        <v>38</v>
      </c>
      <c r="H1" s="1766" t="s">
        <v>36</v>
      </c>
      <c r="I1" s="1762" t="s">
        <v>11263</v>
      </c>
      <c r="J1" s="1767" t="s">
        <v>39</v>
      </c>
      <c r="K1" s="1768" t="s">
        <v>7523</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5077</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6780</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3677</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2087</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2649</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5077</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2265</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7042</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2105</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3097</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2582</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4054</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7480</v>
      </c>
      <c r="J37" s="1593" t="s">
        <v>11542</v>
      </c>
      <c r="K37" s="1593" t="s">
        <v>11543</v>
      </c>
      <c r="L37" s="1593" t="s">
        <v>10415</v>
      </c>
      <c r="M37" s="1814">
        <v>0.05331018518518518</v>
      </c>
      <c r="N37" s="1817" t="str">
        <f t="shared" si="1"/>
        <v>0:54</v>
      </c>
      <c r="O37" s="1647" t="s">
        <v>11544</v>
      </c>
    </row>
    <row r="38" ht="15.75" customHeight="1">
      <c r="A38" s="1654" t="s">
        <v>3751</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4958</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7522</v>
      </c>
      <c r="E1" s="1873" t="s">
        <v>7524</v>
      </c>
      <c r="F1" s="1874" t="s">
        <v>38</v>
      </c>
      <c r="G1" s="1875" t="s">
        <v>36</v>
      </c>
      <c r="H1" s="1871" t="s">
        <v>11263</v>
      </c>
      <c r="I1" s="1876" t="s">
        <v>39</v>
      </c>
      <c r="J1" s="1768" t="s">
        <v>7523</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6780</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2087</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7042</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2265</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2582</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5346</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4958</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5781</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4352</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4054</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4352</v>
      </c>
      <c r="D13" s="1943" t="s">
        <v>11849</v>
      </c>
      <c r="E13" s="1942" t="s">
        <v>11833</v>
      </c>
      <c r="F13" s="1944">
        <v>44250.0</v>
      </c>
    </row>
    <row r="14" ht="15.75" customHeight="1">
      <c r="A14" s="1940" t="s">
        <v>11850</v>
      </c>
      <c r="B14" s="1945" t="s">
        <v>11835</v>
      </c>
      <c r="C14" s="1942" t="s">
        <v>4266</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5377</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5346</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2265</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4352</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4804</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5377</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2190</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5377</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4134</v>
      </c>
      <c r="D127" s="1965">
        <v>0.06892361111111112</v>
      </c>
      <c r="E127" s="1942" t="s">
        <v>11843</v>
      </c>
      <c r="F127" s="1944">
        <v>44652.0</v>
      </c>
    </row>
    <row r="128">
      <c r="A128" s="1964"/>
      <c r="B128" s="1946" t="s">
        <v>11838</v>
      </c>
      <c r="C128" s="1951" t="s">
        <v>5480</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4266</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